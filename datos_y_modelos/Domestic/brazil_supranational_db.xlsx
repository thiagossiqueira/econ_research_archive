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https://bloomberglp-my.sharepoint.com/personal/tsiqueira4_bloomberg_com/Documents/Desktop/master_thesis_economics/datos_y_modelos/Domestic/"/>
    </mc:Choice>
  </mc:AlternateContent>
  <xr:revisionPtr revIDLastSave="17644" documentId="8_{59A61096-7701-400A-9025-850207428D4F}" xr6:coauthVersionLast="47" xr6:coauthVersionMax="47" xr10:uidLastSave="{31B494BC-CD54-43FD-811C-53B799B3F617}"/>
  <bookViews>
    <workbookView minimized="1" xWindow="15" yWindow="0" windowWidth="28770" windowHeight="15600" activeTab="1" xr2:uid="{2D9F1FD3-68CB-46AE-93FD-3DDF1115852B}"/>
  </bookViews>
  <sheets>
    <sheet name="db_formulae" sheetId="1" r:id="rId1"/>
    <sheet name="db_values_only" sheetId="5" r:id="rId2"/>
  </sheets>
  <externalReferences>
    <externalReference r:id="rId3"/>
    <externalReference r:id="rId4"/>
  </externalReferences>
  <definedNames>
    <definedName name="_xlnm._FilterDatabase" localSheetId="0" hidden="1">db_formulae!$A$1:$X$5595</definedName>
    <definedName name="_xlnm._FilterDatabase" localSheetId="1" hidden="1">db_values_only!$A$1:$AK$3255</definedName>
    <definedName name="_INH">'[1]Estimates Break Down'!$Y$1</definedName>
    <definedName name="bb_Mzk0MjlDQUYwQjg5NEJCM0" hidden="1">#REF!</definedName>
    <definedName name="bb_RjdDN0M0MkE1NDhCNEQyNj" hidden="1">#REF!</definedName>
    <definedName name="CFCapex">OFFSET(PerFstDate,MATCH(PerStartWith,PerRgn,0)-1, 22,NumPer,1)</definedName>
    <definedName name="CFDepr">OFFSET(PerFstDate,MATCH(PerStartWith,PerRgn,0)-1, 19,NumPer,1)</definedName>
    <definedName name="CFEbit">OFFSET(PerFstDate,MATCH(PerStartWith,PerRgn,0)-1, 10,NumPer,1)</definedName>
    <definedName name="CFFCFF">OFFSET(PerFstDate,MATCH(PerStartWith,PerRgn,0)-1, 28,NumPer,1)</definedName>
    <definedName name="CFIncTax">OFFSET(PerFstDate,MATCH(PerStartWith,PerRgn,0)-1, 13,NumPer,1)</definedName>
    <definedName name="CFNopat">OFFSET(PerFstDate,MATCH(PerStartWith,PerRgn,0)-1, 16,NumPer,1)</definedName>
    <definedName name="CFOpCostExp">OFFSET(PerFstDate,MATCH(PerStartWith,PerRgn,0)-1, 7,NumPer,1)</definedName>
    <definedName name="CFSales">OFFSET(PerFstDate,MATCH(PerStartWith,PerRgn,0)-1, 4,NumPer,1)</definedName>
    <definedName name="CFSalesPer">OFFSET(PerFstDate,MATCH(PerStartWith,PerRgn,0)-1, 0,NumPer,1)</definedName>
    <definedName name="CFWC">OFFSET(PerFstDate,MATCH(PerStartWith,PerRgn,0)-1, 25,NumPer,1)</definedName>
    <definedName name="chg">'[1]Estimates Break Down'!#REF!,'[1]Estimates Break Down'!$W$1,'[1]Estimates Break Down'!$W$2,'[1]Estimates Break Down'!$X$2</definedName>
    <definedName name="Currency">'[1]General Information'!$C$14</definedName>
    <definedName name="DateRngCorpBonds">#REF!</definedName>
    <definedName name="DateRngGovtBonds">#REF!</definedName>
    <definedName name="DebLT_Tax">#REF!</definedName>
    <definedName name="DebST_Tax">#REF!</definedName>
    <definedName name="DELETE2">'[1]Estimates Break Down'!$G$17:$M$90,'[1]Estimates Break Down'!$H$16:$M$16</definedName>
    <definedName name="EndDate">'[1]General Information'!$C$9</definedName>
    <definedName name="GraphBlank">[1]Sensitivity!$D$2:$J$2</definedName>
    <definedName name="GraphCapexDepr">[1]Sensitivity!$D$10:$J$10</definedName>
    <definedName name="GraphDDE">[1]Sensitivity!$D$22:$J$22</definedName>
    <definedName name="GraphDepr">[1]Sensitivity!$D$12:$J$12</definedName>
    <definedName name="GraphEbitdaMargin">[1]Sensitivity!$D$8:$J$8</definedName>
    <definedName name="GraphGrowthRate">[1]Sensitivity!$D$20:$J$20</definedName>
    <definedName name="GraphInventor">[1]Sensitivity!$D$14:$J$14</definedName>
    <definedName name="GraphNominalKD">[1]Sensitivity!$D$24:$J$24</definedName>
    <definedName name="GraphPayables">[1]Sensitivity!$D$18:$J$18</definedName>
    <definedName name="GraphRealKd">[1]Sensitivity!$D$26:$J$26</definedName>
    <definedName name="GraphReceivables">[1]Sensitivity!$D$16:$J$16</definedName>
    <definedName name="GraphSalesGrowth">[1]Sensitivity!$D$6:$J$6</definedName>
    <definedName name="GrowthRate">'[1]General Information'!$C$18</definedName>
    <definedName name="GrowthRateRng">'[1]Data - Growth Rate Index'!$A$2:$A$65536</definedName>
    <definedName name="GvtLT_Tax">#REF!</definedName>
    <definedName name="GvtST_Tax">#REF!</definedName>
    <definedName name="lookup">#REF!</definedName>
    <definedName name="LTMonth">'[1]General Information'!$D$27</definedName>
    <definedName name="LTYear">'[1]General Information'!$C$27</definedName>
    <definedName name="NumPer">'[1]Cash Flow'!$M$4</definedName>
    <definedName name="PerFstDate">'[1]Cash Flow'!$C$10</definedName>
    <definedName name="PerRgn">'[1]Cash Flow'!$C$10:$C$25</definedName>
    <definedName name="PerStartWith">'[1]Cash Flow'!$M$3</definedName>
    <definedName name="PriceRngCorpBonds">#REF!</definedName>
    <definedName name="PriceRngGovtBonds">#REF!</definedName>
    <definedName name="ProjectedSharePrice">'[1]Target Price'!$E$24</definedName>
    <definedName name="RngIndexList">'[1]Data - Equity Index'!$A$2:$A$65536</definedName>
    <definedName name="RngTickerList">[1]DB!$B$2:$B$65536</definedName>
    <definedName name="Security">'[1]General Information'!$C$6</definedName>
    <definedName name="Series_CapexDepr">IF(X_Show_CapexDepr,GraphCapexDepr,GraphBlank)</definedName>
    <definedName name="Series_DDE">IF(X_Show_DDE,GraphDDE,GraphBlank)</definedName>
    <definedName name="Series_Depr">IF(X_Show_Depr,GraphDepr,GraphBlank)</definedName>
    <definedName name="Series_DeprFixAsset" localSheetId="1">IF(X_Show_DeprFixAsset,GraphDeprFixAsset,[0]!GraphBlank)</definedName>
    <definedName name="Series_DeprFixAsset">IF(X_Show_DeprFixAsset,GraphDeprFixAsset,GraphBlank)</definedName>
    <definedName name="Series_EbitdaMargin">IF(X_Show_EbitdaMargin,GraphEbitdaMargin,GraphBlank)</definedName>
    <definedName name="Series_Final">OFFSET('[1]Cash Flow'!XEZ3,MATCH('[1]Cash Flow'!XEY1048572,'[1]Cash Flow'!XEZ3:XEZ31993,1)-1, 1, '[1]Cash Flow'!XEY1048573,1)</definedName>
    <definedName name="Series_GrowthRate">IF(X_Show_GrowthRate,GraphGrowthRate,GraphBlank)</definedName>
    <definedName name="Series_Inventor">IF(X_Show_Inventor,GraphInventor,GraphBlank)</definedName>
    <definedName name="Series_NominalKd">IF(X_Show_NominalKd,GraphNominalKD,GraphBlank)</definedName>
    <definedName name="Series_Payables">IF(X_Show_Payables,GraphPayables,GraphBlank)</definedName>
    <definedName name="Series_RealKd">IF(X_Show_RealKd,GraphRealKd,GraphBlank)</definedName>
    <definedName name="Series_Receivables">IF(X_Show_Receivables,GraphReceivables,GraphBlank)</definedName>
    <definedName name="StartDate">'[1]General Information'!$C$8</definedName>
    <definedName name="STMonth">'[1]General Information'!$D$22</definedName>
    <definedName name="STYear">'[1]General Information'!$C$22</definedName>
    <definedName name="ticker">'[2]Price Recommendations'!$C$7</definedName>
    <definedName name="TICKERS">#REF!</definedName>
    <definedName name="X_Show_CapexDepr">[1]Sensitivity!$M$9</definedName>
    <definedName name="X_Show_DDE">[1]Sensitivity!$M$21</definedName>
    <definedName name="X_Show_Depr">[1]Sensitivity!$M$11</definedName>
    <definedName name="X_Show_EbitdaMargin">[1]Sensitivity!$M$7</definedName>
    <definedName name="X_Show_GrowthRate">[1]Sensitivity!$M$19</definedName>
    <definedName name="X_Show_Inventor">[1]Sensitivity!$M$13</definedName>
    <definedName name="X_Show_NominalKd">[1]Sensitivity!$M$23</definedName>
    <definedName name="X_Show_Payables">[1]Sensitivity!$M$17</definedName>
    <definedName name="X_Show_RealKd">[1]Sensitivity!$M$25</definedName>
    <definedName name="X_Show_Receivables">[1]Sensitivity!$M$15</definedName>
    <definedName name="X_Show_SalesGrowth">[1]Sensitivity!$M$5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AI35" i="1" a="1"/>
  <c r="AC27" i="1" a="1"/>
  <c r="AD40" i="1" a="1"/>
  <c r="AF40" i="1" a="1"/>
  <c r="AC20" i="1" a="1"/>
  <c r="D32" i="1" a="1"/>
  <c r="M50" i="1" a="1"/>
  <c r="R40" i="1" a="1"/>
  <c r="Q17" i="1" a="1"/>
  <c r="Y17" i="1" a="1"/>
  <c r="M27" i="1" a="1"/>
  <c r="W40" i="1" a="1"/>
  <c r="J50" i="1" a="1"/>
  <c r="U53" i="1" a="1"/>
  <c r="AA68" i="1" a="1"/>
  <c r="P17" i="1" a="1"/>
  <c r="E40" i="1" a="1"/>
  <c r="Y9" i="1" a="1"/>
  <c r="AG17" i="1" a="1"/>
  <c r="Y40" i="1" a="1"/>
  <c r="S40" i="1" a="1"/>
  <c r="O20" i="1" a="1"/>
  <c r="W17" i="1" a="1"/>
  <c r="AB17" i="1" a="1"/>
  <c r="I17" i="1" a="1"/>
  <c r="S50" i="1" a="1"/>
  <c r="Z17" i="1" a="1"/>
  <c r="R32" i="1" a="1"/>
  <c r="R22" i="1" a="1"/>
  <c r="AG32" i="1" a="1"/>
  <c r="Z40" i="1" a="1"/>
  <c r="E68" i="1" a="1"/>
  <c r="Y68" i="1" a="1"/>
  <c r="T20" i="1" a="1"/>
  <c r="W9" i="1" a="1"/>
  <c r="AA27" i="1" a="1"/>
  <c r="Y27" i="1" a="1"/>
  <c r="AB50" i="1" a="1"/>
  <c r="AF68" i="1" a="1"/>
  <c r="AE20" i="1" a="1"/>
  <c r="Q27" i="1" a="1"/>
  <c r="AG53" i="1" a="1"/>
  <c r="P9" i="1" a="1"/>
  <c r="O50" i="1" a="1"/>
  <c r="D20" i="1" a="1"/>
  <c r="L20" i="1" a="1"/>
  <c r="W53" i="1" a="1"/>
  <c r="M17" i="1" a="1"/>
  <c r="U27" i="1" a="1"/>
  <c r="AI10" i="1" a="1"/>
  <c r="Z27" i="1" a="1"/>
  <c r="M9" i="1" a="1"/>
  <c r="T68" i="1" a="1"/>
  <c r="S27" i="1" a="1"/>
  <c r="F32" i="1" a="1"/>
  <c r="O17" i="1" a="1"/>
  <c r="V27" i="1" a="1"/>
  <c r="AA17" i="1" a="1"/>
  <c r="C27" i="1" a="1"/>
  <c r="AJ35" i="1" a="1"/>
  <c r="Z22" i="1" a="1"/>
  <c r="N32" i="1" a="1"/>
  <c r="P40" i="1" a="1"/>
  <c r="W50" i="1" a="1"/>
  <c r="AA53" i="1" a="1"/>
  <c r="N22" i="1" a="1"/>
  <c r="O40" i="1" a="1"/>
  <c r="AA22" i="1" a="1"/>
  <c r="R50" i="1" a="1"/>
  <c r="AE40" i="1" a="1"/>
  <c r="U9" i="1" a="1"/>
  <c r="G20" i="1" a="1"/>
  <c r="K68" i="1" a="1"/>
  <c r="AG9" i="1" a="1"/>
  <c r="C32" i="1" a="1"/>
  <c r="H68" i="1" a="1"/>
  <c r="X20" i="1" a="1"/>
  <c r="AE32" i="1" a="1"/>
  <c r="W20" i="1" a="1"/>
  <c r="V22" i="1" a="1"/>
  <c r="H22" i="1" a="1"/>
  <c r="E20" i="1" a="1"/>
  <c r="D53" i="1" a="1"/>
  <c r="C9" i="1" a="1"/>
  <c r="R9" i="1" a="1"/>
  <c r="AG22" i="1" a="1"/>
  <c r="P50" i="1" a="1"/>
  <c r="Q40" i="1" a="1"/>
  <c r="AE68" i="1" a="1"/>
  <c r="AE17" i="1" a="1"/>
  <c r="U50" i="1" a="1"/>
  <c r="AF9" i="1" a="1"/>
  <c r="AG20" i="1" a="1"/>
  <c r="U32" i="1" a="1"/>
  <c r="T27" i="1" a="1"/>
  <c r="AC40" i="1" a="1"/>
  <c r="C68" i="1" a="1"/>
  <c r="F53" i="1" a="1"/>
  <c r="Y22" i="1" a="1"/>
  <c r="C50" i="1" a="1"/>
  <c r="V50" i="1" a="1"/>
  <c r="AD9" i="1" a="1"/>
  <c r="X40" i="1" a="1"/>
  <c r="AE53" i="1" a="1"/>
  <c r="S17" i="1" a="1"/>
  <c r="G9" i="1" a="1"/>
  <c r="C20" i="1" a="1"/>
  <c r="M20" i="1" a="1"/>
  <c r="R17" i="1" a="1"/>
  <c r="AJ10" i="1" a="1"/>
  <c r="AF20" i="1" a="1"/>
  <c r="O53" i="1" a="1"/>
  <c r="L32" i="1" a="1"/>
  <c r="Q53" i="1" a="1"/>
  <c r="I22" i="1" a="1"/>
  <c r="J68" i="1" a="1"/>
  <c r="AF22" i="1" a="1"/>
  <c r="AB9" i="1" a="1"/>
  <c r="AB40" i="1" a="1"/>
  <c r="X32" i="1" a="1"/>
  <c r="T32" i="1" a="1"/>
  <c r="G50" i="1" a="1"/>
  <c r="R53" i="1" a="1"/>
  <c r="V40" i="1" a="1"/>
  <c r="Q9" i="1" a="1"/>
  <c r="G32" i="1" a="1"/>
  <c r="H40" i="1" a="1"/>
  <c r="AE9" i="1" a="1"/>
  <c r="U68" i="1" a="1"/>
  <c r="Z50" i="1" a="1"/>
  <c r="K22" i="1" a="1"/>
  <c r="J32" i="1" a="1"/>
  <c r="E53" i="1" a="1"/>
  <c r="P32" i="1" a="1"/>
  <c r="AA9" i="1" a="1"/>
  <c r="AH27" i="1" a="1"/>
  <c r="O27" i="1" a="1"/>
  <c r="H9" i="1" a="1"/>
  <c r="H17" i="1" a="1"/>
  <c r="V20" i="1" a="1"/>
  <c r="U22" i="1" a="1"/>
  <c r="AB53" i="1" a="1"/>
  <c r="AD20" i="1" a="1"/>
  <c r="F27" i="1" a="1"/>
  <c r="AH40" i="1" a="1"/>
  <c r="AF53" i="1" a="1"/>
  <c r="AC68" i="1" a="1"/>
  <c r="N40" i="1" a="1"/>
  <c r="AD22" i="1" a="1"/>
  <c r="J27" i="1" a="1"/>
  <c r="AH17" i="1" a="1"/>
  <c r="K53" i="1" a="1"/>
  <c r="Y53" i="1" a="1"/>
  <c r="AD53" i="1" a="1"/>
  <c r="E22" i="1" a="1"/>
  <c r="M68" i="1" a="1"/>
  <c r="Q68" i="1" a="1"/>
  <c r="N68" i="1" a="1"/>
  <c r="O68" i="1" a="1"/>
  <c r="AF17" i="1" a="1"/>
  <c r="E17" i="1" a="1"/>
  <c r="I9" i="1" a="1"/>
  <c r="I68" i="1" a="1"/>
  <c r="E32" i="1" a="1"/>
  <c r="J9" i="1" a="1"/>
  <c r="V9" i="1" a="1"/>
  <c r="C53" i="1" a="1"/>
  <c r="R20" i="1" a="1"/>
  <c r="V17" i="1" a="1"/>
  <c r="Z53" i="1" a="1"/>
  <c r="C22" i="1" a="1"/>
  <c r="X68" i="1" a="1"/>
  <c r="AE27" i="1" a="1"/>
  <c r="AB68" i="1" a="1"/>
  <c r="AG68" i="1" a="1"/>
  <c r="Z9" i="1" a="1"/>
  <c r="AF32" i="1" a="1"/>
  <c r="AD68" i="1" a="1"/>
  <c r="AC53" i="1" a="1"/>
  <c r="L40" i="1" a="1"/>
  <c r="G17" i="1" a="1"/>
  <c r="J20" i="1" a="1"/>
  <c r="D17" i="1" a="1"/>
  <c r="K17" i="1" a="1"/>
  <c r="H20" i="1" a="1"/>
  <c r="W32" i="1" a="1"/>
  <c r="Z32" i="1" a="1"/>
  <c r="J40" i="1" a="1"/>
  <c r="P53" i="1" a="1"/>
  <c r="AB27" i="1" a="1"/>
  <c r="H32" i="1" a="1"/>
  <c r="K50" i="1" a="1"/>
  <c r="AE50" i="1" a="1"/>
  <c r="Q32" i="1" a="1"/>
  <c r="J17" i="1" a="1"/>
  <c r="H50" i="1" a="1"/>
  <c r="Y20" i="1" a="1"/>
  <c r="AD27" i="1" a="1"/>
  <c r="O22" i="1" a="1"/>
  <c r="P27" i="1" a="1"/>
  <c r="V68" i="1" a="1"/>
  <c r="N27" i="1" a="1"/>
  <c r="G40" i="1" a="1"/>
  <c r="K9" i="1" a="1"/>
  <c r="I40" i="1" a="1"/>
  <c r="AB32" i="1" a="1"/>
  <c r="R68" i="1" a="1"/>
  <c r="O9" i="1" a="1"/>
  <c r="K27" i="1" a="1"/>
  <c r="S68" i="1" a="1"/>
  <c r="D22" i="1" a="1"/>
  <c r="AG50" i="1" a="1"/>
  <c r="F22" i="1" a="1"/>
  <c r="U17" i="1" a="1"/>
  <c r="T40" i="1" a="1"/>
  <c r="V32" i="1" a="1"/>
  <c r="Z68" i="1" a="1"/>
  <c r="C40" i="1" a="1"/>
  <c r="L9" i="1" a="1"/>
  <c r="L53" i="1" a="1"/>
  <c r="L50" i="1" a="1"/>
  <c r="T50" i="1" a="1"/>
  <c r="O32" i="1" a="1"/>
  <c r="S22" i="1" a="1"/>
  <c r="AH68" i="1" a="1"/>
  <c r="S53" i="1" a="1"/>
  <c r="S32" i="1" a="1"/>
  <c r="T9" i="1" a="1"/>
  <c r="AC22" i="1" a="1"/>
  <c r="AE22" i="1" a="1"/>
  <c r="AH22" i="1" a="1"/>
  <c r="M32" i="1" a="1"/>
  <c r="K20" i="1" a="1"/>
  <c r="AC9" i="1" a="1"/>
  <c r="L27" i="1" a="1"/>
  <c r="AA50" i="1" a="1"/>
  <c r="AB22" i="1" a="1"/>
  <c r="W22" i="1" a="1"/>
  <c r="I27" i="1" a="1"/>
  <c r="X22" i="1" a="1"/>
  <c r="AG27" i="1" a="1"/>
  <c r="D68" i="1" a="1"/>
  <c r="AA20" i="1" a="1"/>
  <c r="G53" i="1" a="1"/>
  <c r="AC32" i="1" a="1"/>
  <c r="I32" i="1" a="1"/>
  <c r="AH53" i="1" a="1"/>
  <c r="U40" i="1" a="1"/>
  <c r="AA40" i="1" a="1"/>
  <c r="F17" i="1" a="1"/>
  <c r="F68" i="1" a="1"/>
  <c r="Y50" i="1" a="1"/>
  <c r="H27" i="1" a="1"/>
  <c r="AC17" i="1" a="1"/>
  <c r="F9" i="1" a="1"/>
  <c r="D27" i="1" a="1"/>
  <c r="N17" i="1" a="1"/>
  <c r="L68" i="1" a="1"/>
  <c r="AG40" i="1" a="1"/>
  <c r="U20" i="1" a="1"/>
  <c r="S9" i="1" a="1"/>
  <c r="M22" i="1" a="1"/>
  <c r="Q22" i="1" a="1"/>
  <c r="AF50" i="1" a="1"/>
  <c r="D50" i="1" a="1"/>
  <c r="E9" i="1" a="1"/>
  <c r="E50" i="1" a="1"/>
  <c r="X53" i="1" a="1"/>
  <c r="AD17" i="1" a="1"/>
  <c r="F20" i="1" a="1"/>
  <c r="T22" i="1" a="1"/>
  <c r="AH32" i="1" a="1"/>
  <c r="AH20" i="1" a="1"/>
  <c r="F50" i="1" a="1"/>
  <c r="AB20" i="1" a="1"/>
  <c r="AF27" i="1" a="1"/>
  <c r="F40" i="1" a="1"/>
  <c r="S20" i="1" a="1"/>
  <c r="X50" i="1" a="1"/>
  <c r="X17" i="1" a="1"/>
  <c r="M40" i="1" a="1"/>
  <c r="G22" i="1" a="1"/>
  <c r="G27" i="1" a="1"/>
  <c r="J22" i="1" a="1"/>
  <c r="V53" i="1" a="1"/>
  <c r="X27" i="1" a="1"/>
  <c r="J53" i="1" a="1"/>
  <c r="Y32" i="1" a="1"/>
  <c r="D9" i="1" a="1"/>
  <c r="W68" i="1" a="1"/>
  <c r="AD32" i="1" a="1"/>
  <c r="E27" i="1" a="1"/>
  <c r="W27" i="1" a="1"/>
  <c r="AA32" i="1" a="1"/>
  <c r="I50" i="1" a="1"/>
  <c r="K40" i="1" a="1"/>
  <c r="AC50" i="1" a="1"/>
  <c r="H53" i="1" a="1"/>
  <c r="T53" i="1" a="1"/>
  <c r="AH9" i="1" a="1"/>
  <c r="I20" i="1" a="1"/>
  <c r="N20" i="1" a="1"/>
  <c r="Q50" i="1" a="1"/>
  <c r="P22" i="1" a="1"/>
  <c r="Z20" i="1" a="1"/>
  <c r="X9" i="1" a="1"/>
  <c r="G68" i="1" a="1"/>
  <c r="D40" i="1" a="1"/>
  <c r="M53" i="1" a="1"/>
  <c r="K32" i="1" a="1"/>
  <c r="Q20" i="1" a="1"/>
  <c r="T17" i="1" a="1"/>
  <c r="P68" i="1" a="1"/>
  <c r="R27" i="1" a="1"/>
  <c r="N53" i="1" a="1"/>
  <c r="I53" i="1" a="1"/>
  <c r="N9" i="1" a="1"/>
  <c r="L22" i="1" a="1"/>
  <c r="AD50" i="1" a="1"/>
  <c r="P20" i="1" a="1"/>
  <c r="N50" i="1" a="1"/>
  <c r="AH50" i="1" a="1"/>
  <c r="L17" i="1" a="1"/>
  <c r="C17" i="1" a="1"/>
  <c r="R29" i="1" a="1"/>
  <c r="AA59" i="1" a="1"/>
  <c r="V61" i="1" a="1"/>
  <c r="J33" i="1" a="1"/>
  <c r="AG57" i="1" a="1"/>
  <c r="F25" i="1" a="1"/>
  <c r="D62" i="1" a="1"/>
  <c r="F61" i="1" a="1"/>
  <c r="U25" i="1" a="1"/>
  <c r="Y47" i="1" a="1"/>
  <c r="AD33" i="1" a="1"/>
  <c r="Y57" i="1" a="1"/>
  <c r="U62" i="1" a="1"/>
  <c r="I57" i="1" a="1"/>
  <c r="L62" i="1" a="1"/>
  <c r="R25" i="1" a="1"/>
  <c r="D57" i="1" a="1"/>
  <c r="H4" i="1" a="1"/>
  <c r="K33" i="1" a="1"/>
  <c r="E47" i="1" a="1"/>
  <c r="N62" i="1" a="1"/>
  <c r="C4" i="1" a="1"/>
  <c r="AC25" i="1" a="1"/>
  <c r="AD59" i="1" a="1"/>
  <c r="I47" i="1" a="1"/>
  <c r="C47" i="1" a="1"/>
  <c r="AB33" i="1" a="1"/>
  <c r="R4" i="1" a="1"/>
  <c r="T29" i="1" a="1"/>
  <c r="O4" i="1" a="1"/>
  <c r="AA33" i="1" a="1"/>
  <c r="Y30" i="1" a="1"/>
  <c r="AE4" i="1" a="1"/>
  <c r="N33" i="1" a="1"/>
  <c r="L57" i="1" a="1"/>
  <c r="R30" i="1" a="1"/>
  <c r="Q61" i="1" a="1"/>
  <c r="M59" i="1" a="1"/>
  <c r="O57" i="1" a="1"/>
  <c r="W47" i="1" a="1"/>
  <c r="AG59" i="1" a="1"/>
  <c r="Q59" i="1" a="1"/>
  <c r="AC30" i="1" a="1"/>
  <c r="AG4" i="1" a="1"/>
  <c r="X4" i="1" a="1"/>
  <c r="AF47" i="1" a="1"/>
  <c r="AA57" i="1" a="1"/>
  <c r="D47" i="1" a="1"/>
  <c r="D33" i="1" a="1"/>
  <c r="D61" i="1" a="1"/>
  <c r="I29" i="1" a="1"/>
  <c r="V59" i="1" a="1"/>
  <c r="Q33" i="1" a="1"/>
  <c r="S57" i="1" a="1"/>
  <c r="AE30" i="1" a="1"/>
  <c r="I61" i="1" a="1"/>
  <c r="AB30" i="1" a="1"/>
  <c r="AE59" i="1" a="1"/>
  <c r="Q47" i="1" a="1"/>
  <c r="E59" i="1" a="1"/>
  <c r="AD61" i="1" a="1"/>
  <c r="H47" i="1" a="1"/>
  <c r="U59" i="1" a="1"/>
  <c r="X62" i="1" a="1"/>
  <c r="Q29" i="1" a="1"/>
  <c r="AA61" i="1" a="1"/>
  <c r="W30" i="1" a="1"/>
  <c r="AA47" i="1" a="1"/>
  <c r="J29" i="1" a="1"/>
  <c r="AH59" i="1" a="1"/>
  <c r="R61" i="1" a="1"/>
  <c r="Q25" i="1" a="1"/>
  <c r="I33" i="1" a="1"/>
  <c r="V25" i="1" a="1"/>
  <c r="AC47" i="1" a="1"/>
  <c r="AF59" i="1" a="1"/>
  <c r="M47" i="1" a="1"/>
  <c r="Z57" i="1" a="1"/>
  <c r="K30" i="1" a="1"/>
  <c r="O61" i="1" a="1"/>
  <c r="H25" i="1" a="1"/>
  <c r="AD62" i="1" a="1"/>
  <c r="AB61" i="1" a="1"/>
  <c r="AD4" i="1" a="1"/>
  <c r="V33" i="1" a="1"/>
  <c r="V29" i="1" a="1"/>
  <c r="AG25" i="1" a="1"/>
  <c r="M61" i="1" a="1"/>
  <c r="E25" i="1" a="1"/>
  <c r="AH4" i="1" a="1"/>
  <c r="U29" i="1" a="1"/>
  <c r="T25" i="1" a="1"/>
  <c r="AG29" i="1" a="1"/>
  <c r="M57" i="1" a="1"/>
  <c r="R33" i="1" a="1"/>
  <c r="L4" i="1" a="1"/>
  <c r="I30" i="1" a="1"/>
  <c r="F30" i="1" a="1"/>
  <c r="AB47" i="1" a="1"/>
  <c r="AC61" i="1" a="1"/>
  <c r="AA4" i="1" a="1"/>
  <c r="Q30" i="1" a="1"/>
  <c r="K59" i="1" a="1"/>
  <c r="P62" i="1" a="1"/>
  <c r="Z61" i="1" a="1"/>
  <c r="X30" i="1" a="1"/>
  <c r="F33" i="1" a="1"/>
  <c r="AG30" i="1" a="1"/>
  <c r="Z33" i="1" a="1"/>
  <c r="AF30" i="1" a="1"/>
  <c r="L61" i="1" a="1"/>
  <c r="AA62" i="1" a="1"/>
  <c r="J47" i="1" a="1"/>
  <c r="D59" i="1" a="1"/>
  <c r="AE33" i="1" a="1"/>
  <c r="R62" i="1" a="1"/>
  <c r="AB59" i="1" a="1"/>
  <c r="C33" i="1" a="1"/>
  <c r="AG61" i="1" a="1"/>
  <c r="W4" i="1" a="1"/>
  <c r="P59" i="1" a="1"/>
  <c r="F4" i="1" a="1"/>
  <c r="U57" i="1" a="1"/>
  <c r="P61" i="1" a="1"/>
  <c r="L59" i="1" a="1"/>
  <c r="U4" i="1" a="1"/>
  <c r="H62" i="1" a="1"/>
  <c r="P57" i="1" a="1"/>
  <c r="O47" i="1" a="1"/>
  <c r="X57" i="1" a="1"/>
  <c r="N61" i="1" a="1"/>
  <c r="G57" i="1" a="1"/>
  <c r="W61" i="1" a="1"/>
  <c r="AF4" i="1" a="1"/>
  <c r="AF33" i="1" a="1"/>
  <c r="W62" i="1" a="1"/>
  <c r="N59" i="1" a="1"/>
  <c r="S47" i="1" a="1"/>
  <c r="L25" i="1" a="1"/>
  <c r="AH62" i="1" a="1"/>
  <c r="G4" i="1" a="1"/>
  <c r="X29" i="1" a="1"/>
  <c r="W33" i="1" a="1"/>
  <c r="P4" i="1" a="1"/>
  <c r="V62" i="1" a="1"/>
  <c r="X47" i="1" a="1"/>
  <c r="K25" i="1" a="1"/>
  <c r="M25" i="1" a="1"/>
  <c r="L47" i="1" a="1"/>
  <c r="N4" i="1" a="1"/>
  <c r="O30" i="1" a="1"/>
  <c r="C29" i="1" a="1"/>
  <c r="E62" i="1" a="1"/>
  <c r="AF29" i="1" a="1"/>
  <c r="G59" i="1" a="1"/>
  <c r="Z47" i="1" a="1"/>
  <c r="O59" i="1" a="1"/>
  <c r="AB25" i="1" a="1"/>
  <c r="R57" i="1" a="1"/>
  <c r="AB62" i="1" a="1"/>
  <c r="P47" i="1" a="1"/>
  <c r="K57" i="1" a="1"/>
  <c r="H29" i="1" a="1"/>
  <c r="X61" i="1" a="1"/>
  <c r="M30" i="1" a="1"/>
  <c r="P29" i="1" a="1"/>
  <c r="AH30" i="1" a="1"/>
  <c r="W25" i="1" a="1"/>
  <c r="J62" i="1" a="1"/>
  <c r="AG47" i="1" a="1"/>
  <c r="AH61" i="1" a="1"/>
  <c r="D25" i="1" a="1"/>
  <c r="E30" i="1" a="1"/>
  <c r="Q4" i="1" a="1"/>
  <c r="AH57" i="1" a="1"/>
  <c r="AA29" i="1" a="1"/>
  <c r="W57" i="1" a="1"/>
  <c r="G33" i="1" a="1"/>
  <c r="D29" i="1" a="1"/>
  <c r="AD47" i="1" a="1"/>
  <c r="P30" i="1" a="1"/>
  <c r="X59" i="1" a="1"/>
  <c r="E29" i="1" a="1"/>
  <c r="N25" i="1" a="1"/>
  <c r="F62" i="1" a="1"/>
  <c r="AH29" i="1" a="1"/>
  <c r="M33" i="1" a="1"/>
  <c r="M4" i="1" a="1"/>
  <c r="S25" i="1" a="1"/>
  <c r="AA30" i="1" a="1"/>
  <c r="L29" i="1" a="1"/>
  <c r="T59" i="1" a="1"/>
  <c r="F57" i="1" a="1"/>
  <c r="AC29" i="1" a="1"/>
  <c r="O25" i="1" a="1"/>
  <c r="AH33" i="1" a="1"/>
  <c r="AF57" i="1" a="1"/>
  <c r="D30" i="1" a="1"/>
  <c r="C59" i="1" a="1"/>
  <c r="AE29" i="1" a="1"/>
  <c r="C61" i="1" a="1"/>
  <c r="F59" i="1" a="1"/>
  <c r="S4" i="1" a="1"/>
  <c r="I62" i="1" a="1"/>
  <c r="N57" i="1" a="1"/>
  <c r="AA25" i="1" a="1"/>
  <c r="Z59" i="1" a="1"/>
  <c r="V4" i="1" a="1"/>
  <c r="C62" i="1" a="1"/>
  <c r="K29" i="1" a="1"/>
  <c r="T30" i="1" a="1"/>
  <c r="AB57" i="1" a="1"/>
  <c r="Z29" i="1" a="1"/>
  <c r="AB29" i="1" a="1"/>
  <c r="V47" i="1" a="1"/>
  <c r="AE62" i="1" a="1"/>
  <c r="E61" i="1" a="1"/>
  <c r="K62" i="1" a="1"/>
  <c r="P25" i="1" a="1"/>
  <c r="M29" i="1" a="1"/>
  <c r="J59" i="1" a="1"/>
  <c r="Y29" i="1" a="1"/>
  <c r="C57" i="1" a="1"/>
  <c r="U30" i="1" a="1"/>
  <c r="J30" i="1" a="1"/>
  <c r="S59" i="1" a="1"/>
  <c r="Y33" i="1" a="1"/>
  <c r="E33" i="1" a="1"/>
  <c r="H59" i="1" a="1"/>
  <c r="R59" i="1" a="1"/>
  <c r="U61" i="1" a="1"/>
  <c r="Y4" i="1" a="1"/>
  <c r="R47" i="1" a="1"/>
  <c r="W59" i="1" a="1"/>
  <c r="M62" i="1" a="1"/>
  <c r="I59" i="1" a="1"/>
  <c r="Z62" i="1" a="1"/>
  <c r="V57" i="1" a="1"/>
  <c r="S33" i="1" a="1"/>
  <c r="E57" i="1" a="1"/>
  <c r="Q57" i="1" a="1"/>
  <c r="H33" i="1" a="1"/>
  <c r="G47" i="1" a="1"/>
  <c r="AD25" i="1" a="1"/>
  <c r="AC4" i="1" a="1"/>
  <c r="AE57" i="1" a="1"/>
  <c r="AC62" i="1" a="1"/>
  <c r="AG62" i="1" a="1"/>
  <c r="Y62" i="1" a="1"/>
  <c r="S62" i="1" a="1"/>
  <c r="Y25" i="1" a="1"/>
  <c r="K47" i="1" a="1"/>
  <c r="N47" i="1" a="1"/>
  <c r="L30" i="1" a="1"/>
  <c r="I25" i="1" a="1"/>
  <c r="H61" i="1" a="1"/>
  <c r="Z30" i="1" a="1"/>
  <c r="H30" i="1" a="1"/>
  <c r="Y59" i="1" a="1"/>
  <c r="Y61" i="1" a="1"/>
  <c r="G61" i="1" a="1"/>
  <c r="S29" i="1" a="1"/>
  <c r="V30" i="1" a="1"/>
  <c r="AD57" i="1" a="1"/>
  <c r="AC57" i="1" a="1"/>
  <c r="AF61" i="1" a="1"/>
  <c r="T47" i="1" a="1"/>
  <c r="AG33" i="1" a="1"/>
  <c r="G29" i="1" a="1"/>
  <c r="N30" i="1" a="1"/>
  <c r="P33" i="1" a="1"/>
  <c r="AH47" i="1" a="1"/>
  <c r="F29" i="1" a="1"/>
  <c r="J61" i="1" a="1"/>
  <c r="AD29" i="1" a="1"/>
  <c r="U47" i="1" a="1"/>
  <c r="AC59" i="1" a="1"/>
  <c r="J25" i="1" a="1"/>
  <c r="X25" i="1" a="1"/>
  <c r="O62" i="1" a="1"/>
  <c r="S30" i="1" a="1"/>
  <c r="T57" i="1" a="1"/>
  <c r="AE61" i="1" a="1"/>
  <c r="W29" i="1" a="1"/>
  <c r="N29" i="1" a="1"/>
  <c r="Z4" i="1" a="1"/>
  <c r="AC33" i="1" a="1"/>
  <c r="K61" i="1" a="1"/>
  <c r="G30" i="1" a="1"/>
  <c r="AH25" i="1" a="1"/>
  <c r="C25" i="1" a="1"/>
  <c r="U33" i="1" a="1"/>
  <c r="X33" i="1" a="1"/>
  <c r="T33" i="1" a="1"/>
  <c r="G62" i="1" a="1"/>
  <c r="H57" i="1" a="1"/>
  <c r="D4" i="1" a="1"/>
  <c r="F47" i="1" a="1"/>
  <c r="AE25" i="1" a="1"/>
  <c r="Q62" i="1" a="1"/>
  <c r="L33" i="1" a="1"/>
  <c r="T4" i="1" a="1"/>
  <c r="AB4" i="1" a="1"/>
  <c r="K4" i="1" a="1"/>
  <c r="G25" i="1" a="1"/>
  <c r="T62" i="1" a="1"/>
  <c r="AE47" i="1" a="1"/>
  <c r="O33" i="1" a="1"/>
  <c r="E4" i="1" a="1"/>
  <c r="J57" i="1" a="1"/>
  <c r="AF62" i="1" a="1"/>
  <c r="T61" i="1" a="1"/>
  <c r="Z25" i="1" a="1"/>
  <c r="C30" i="1" a="1"/>
  <c r="I4" i="1" a="1"/>
  <c r="J4" i="1" a="1"/>
  <c r="S61" i="1" a="1"/>
  <c r="AF25" i="1" a="1"/>
  <c r="AD30" i="1" a="1"/>
  <c r="O29" i="1" a="1"/>
  <c r="AK35" i="1" a="1"/>
  <c r="AK10" i="1" a="1"/>
  <c r="H44" i="1" a="1"/>
  <c r="T71" i="1" a="1"/>
  <c r="AH56" i="1" a="1"/>
  <c r="AC3" i="1" a="1"/>
  <c r="N52" i="1" a="1"/>
  <c r="AB56" i="1" a="1"/>
  <c r="AG10" i="1" a="1"/>
  <c r="I56" i="1" a="1"/>
  <c r="F52" i="1" a="1"/>
  <c r="S52" i="1" a="1"/>
  <c r="E52" i="1" a="1"/>
  <c r="AG56" i="1" a="1"/>
  <c r="H26" i="1" a="1"/>
  <c r="D10" i="1" a="1"/>
  <c r="F8" i="1" a="1"/>
  <c r="E44" i="1" a="1"/>
  <c r="N44" i="1" a="1"/>
  <c r="D3" i="1" a="1"/>
  <c r="I3" i="1" a="1"/>
  <c r="E55" i="1" a="1"/>
  <c r="AG55" i="1" a="1"/>
  <c r="G10" i="1" a="1"/>
  <c r="T52" i="1" a="1"/>
  <c r="V10" i="1" a="1"/>
  <c r="X71" i="1" a="1"/>
  <c r="AF8" i="1" a="1"/>
  <c r="J8" i="1" a="1"/>
  <c r="AB71" i="1" a="1"/>
  <c r="I55" i="1" a="1"/>
  <c r="Y71" i="1" a="1"/>
  <c r="W8" i="1" a="1"/>
  <c r="X55" i="1" a="1"/>
  <c r="AH10" i="1" a="1"/>
  <c r="G56" i="1" a="1"/>
  <c r="AB23" i="1" a="1"/>
  <c r="R44" i="1" a="1"/>
  <c r="G26" i="1" a="1"/>
  <c r="K52" i="1" a="1"/>
  <c r="M26" i="1" a="1"/>
  <c r="AH3" i="1" a="1"/>
  <c r="AC26" i="1" a="1"/>
  <c r="G52" i="1" a="1"/>
  <c r="W44" i="1" a="1"/>
  <c r="T10" i="1" a="1"/>
  <c r="F26" i="1" a="1"/>
  <c r="C10" i="1" a="1"/>
  <c r="Y10" i="1" a="1"/>
  <c r="O3" i="1" a="1"/>
  <c r="Q56" i="1" a="1"/>
  <c r="U56" i="1" a="1"/>
  <c r="L8" i="1" a="1"/>
  <c r="AC23" i="1" a="1"/>
  <c r="AF55" i="1" a="1"/>
  <c r="AA44" i="1" a="1"/>
  <c r="M55" i="1" a="1"/>
  <c r="H10" i="1" a="1"/>
  <c r="E23" i="1" a="1"/>
  <c r="S10" i="1" a="1"/>
  <c r="C8" i="1" a="1"/>
  <c r="AC52" i="1" a="1"/>
  <c r="AA10" i="1" a="1"/>
  <c r="D8" i="1" a="1"/>
  <c r="I8" i="1" a="1"/>
  <c r="P8" i="1" a="1"/>
  <c r="G3" i="1" a="1"/>
  <c r="M3" i="1" a="1"/>
  <c r="K8" i="1" a="1"/>
  <c r="Q8" i="1" a="1"/>
  <c r="AD26" i="1" a="1"/>
  <c r="Q23" i="1" a="1"/>
  <c r="Y56" i="1" a="1"/>
  <c r="F71" i="1" a="1"/>
  <c r="AE71" i="1" a="1"/>
  <c r="W52" i="1" a="1"/>
  <c r="AG52" i="1" a="1"/>
  <c r="L71" i="1" a="1"/>
  <c r="AC56" i="1" a="1"/>
  <c r="AC71" i="1" a="1"/>
  <c r="AB55" i="1" a="1"/>
  <c r="Z26" i="1" a="1"/>
  <c r="D23" i="1" a="1"/>
  <c r="AA55" i="1" a="1"/>
  <c r="X26" i="1" a="1"/>
  <c r="O44" i="1" a="1"/>
  <c r="O26" i="1" a="1"/>
  <c r="T23" i="1" a="1"/>
  <c r="U8" i="1" a="1"/>
  <c r="T44" i="1" a="1"/>
  <c r="E10" i="1" a="1"/>
  <c r="S44" i="1" a="1"/>
  <c r="Y44" i="1" a="1"/>
  <c r="U26" i="1" a="1"/>
  <c r="G23" i="1" a="1"/>
  <c r="X3" i="1" a="1"/>
  <c r="O23" i="1" a="1"/>
  <c r="O55" i="1" a="1"/>
  <c r="L10" i="1" a="1"/>
  <c r="G8" i="1" a="1"/>
  <c r="Y26" i="1" a="1"/>
  <c r="W23" i="1" a="1"/>
  <c r="AF10" i="1" a="1"/>
  <c r="D44" i="1" a="1"/>
  <c r="Y23" i="1" a="1"/>
  <c r="AB8" i="1" a="1"/>
  <c r="AD8" i="1" a="1"/>
  <c r="F55" i="1" a="1"/>
  <c r="V56" i="1" a="1"/>
  <c r="J44" i="1" a="1"/>
  <c r="AB10" i="1" a="1"/>
  <c r="W55" i="1" a="1"/>
  <c r="AA52" i="1" a="1"/>
  <c r="X10" i="1" a="1"/>
  <c r="AF71" i="1" a="1"/>
  <c r="R26" i="1" a="1"/>
  <c r="C23" i="1" a="1"/>
  <c r="N3" i="1" a="1"/>
  <c r="G44" i="1" a="1"/>
  <c r="L56" i="1" a="1"/>
  <c r="AG3" i="1" a="1"/>
  <c r="U55" i="1" a="1"/>
  <c r="AE44" i="1" a="1"/>
  <c r="I23" i="1" a="1"/>
  <c r="P26" i="1" a="1"/>
  <c r="K23" i="1" a="1"/>
  <c r="S26" i="1" a="1"/>
  <c r="M71" i="1" a="1"/>
  <c r="M52" i="1" a="1"/>
  <c r="AE3" i="1" a="1"/>
  <c r="AE10" i="1" a="1"/>
  <c r="M44" i="1" a="1"/>
  <c r="Z3" i="1" a="1"/>
  <c r="U71" i="1" a="1"/>
  <c r="K26" i="1" a="1"/>
  <c r="AD71" i="1" a="1"/>
  <c r="L52" i="1" a="1"/>
  <c r="M8" i="1" a="1"/>
  <c r="X52" i="1" a="1"/>
  <c r="AD56" i="1" a="1"/>
  <c r="I44" i="1" a="1"/>
  <c r="T55" i="1" a="1"/>
  <c r="R52" i="1" a="1"/>
  <c r="AD10" i="1" a="1"/>
  <c r="AF56" i="1" a="1"/>
  <c r="H3" i="1" a="1"/>
  <c r="J10" i="1" a="1"/>
  <c r="H56" i="1" a="1"/>
  <c r="J55" i="1" a="1"/>
  <c r="H52" i="1" a="1"/>
  <c r="T3" i="1" a="1"/>
  <c r="J52" i="1" a="1"/>
  <c r="L44" i="1" a="1"/>
  <c r="Z52" i="1" a="1"/>
  <c r="I26" i="1" a="1"/>
  <c r="AE52" i="1" a="1"/>
  <c r="M23" i="1" a="1"/>
  <c r="AH8" i="1" a="1"/>
  <c r="U10" i="1" a="1"/>
  <c r="W71" i="1" a="1"/>
  <c r="V44" i="1" a="1"/>
  <c r="AF44" i="1" a="1"/>
  <c r="AE55" i="1" a="1"/>
  <c r="W3" i="1" a="1"/>
  <c r="AH55" i="1" a="1"/>
  <c r="S71" i="1" a="1"/>
  <c r="K55" i="1" a="1"/>
  <c r="E26" i="1" a="1"/>
  <c r="AD3" i="1" a="1"/>
  <c r="R56" i="1" a="1"/>
  <c r="AA56" i="1" a="1"/>
  <c r="AA3" i="1" a="1"/>
  <c r="AD23" i="1" a="1"/>
  <c r="AC8" i="1" a="1"/>
  <c r="F23" i="1" a="1"/>
  <c r="AD52" i="1" a="1"/>
  <c r="U44" i="1" a="1"/>
  <c r="N71" i="1" a="1"/>
  <c r="Z56" i="1" a="1"/>
  <c r="Y3" i="1" a="1"/>
  <c r="K71" i="1" a="1"/>
  <c r="I52" i="1" a="1"/>
  <c r="H71" i="1" a="1"/>
  <c r="AA23" i="1" a="1"/>
  <c r="O8" i="1" a="1"/>
  <c r="P10" i="1" a="1"/>
  <c r="N10" i="1" a="1"/>
  <c r="C3" i="1" a="1"/>
  <c r="O71" i="1" a="1"/>
  <c r="AG26" i="1" a="1"/>
  <c r="V8" i="1" a="1"/>
  <c r="AF26" i="1" a="1"/>
  <c r="W10" i="1" a="1"/>
  <c r="H55" i="1" a="1"/>
  <c r="P55" i="1" a="1"/>
  <c r="V55" i="1" a="1"/>
  <c r="P56" i="1" a="1"/>
  <c r="K44" i="1" a="1"/>
  <c r="R3" i="1" a="1"/>
  <c r="J26" i="1" a="1"/>
  <c r="R23" i="1" a="1"/>
  <c r="Z55" i="1" a="1"/>
  <c r="AH26" i="1" a="1"/>
  <c r="T56" i="1" a="1"/>
  <c r="L26" i="1" a="1"/>
  <c r="AF3" i="1" a="1"/>
  <c r="P23" i="1" a="1"/>
  <c r="W26" i="1" a="1"/>
  <c r="P71" i="1" a="1"/>
  <c r="H23" i="1" a="1"/>
  <c r="AH52" i="1" a="1"/>
  <c r="V3" i="1" a="1"/>
  <c r="R10" i="1" a="1"/>
  <c r="E3" i="1" a="1"/>
  <c r="Y52" i="1" a="1"/>
  <c r="I71" i="1" a="1"/>
  <c r="AA71" i="1" a="1"/>
  <c r="D71" i="1" a="1"/>
  <c r="F44" i="1" a="1"/>
  <c r="Q55" i="1" a="1"/>
  <c r="T8" i="1" a="1"/>
  <c r="V52" i="1" a="1"/>
  <c r="S55" i="1" a="1"/>
  <c r="G71" i="1" a="1"/>
  <c r="S8" i="1" a="1"/>
  <c r="D55" i="1" a="1"/>
  <c r="L55" i="1" a="1"/>
  <c r="F10" i="1" a="1"/>
  <c r="U3" i="1" a="1"/>
  <c r="N8" i="1" a="1"/>
  <c r="AH71" i="1" a="1"/>
  <c r="K3" i="1" a="1"/>
  <c r="P3" i="1" a="1"/>
  <c r="Q44" i="1" a="1"/>
  <c r="AE23" i="1" a="1"/>
  <c r="AC10" i="1" a="1"/>
  <c r="F3" i="1" a="1"/>
  <c r="C71" i="1" a="1"/>
  <c r="Q3" i="1" a="1"/>
  <c r="L3" i="1" a="1"/>
  <c r="AE56" i="1" a="1"/>
  <c r="E71" i="1" a="1"/>
  <c r="T26" i="1" a="1"/>
  <c r="C52" i="1" a="1"/>
  <c r="I10" i="1" a="1"/>
  <c r="AB26" i="1" a="1"/>
  <c r="X23" i="1" a="1"/>
  <c r="J56" i="1" a="1"/>
  <c r="AF52" i="1" a="1"/>
  <c r="E56" i="1" a="1"/>
  <c r="Q10" i="1" a="1"/>
  <c r="X44" i="1" a="1"/>
  <c r="AG23" i="1" a="1"/>
  <c r="M10" i="1" a="1"/>
  <c r="X56" i="1" a="1"/>
  <c r="S3" i="1" a="1"/>
  <c r="R8" i="1" a="1"/>
  <c r="S23" i="1" a="1"/>
  <c r="AH23" i="1" a="1"/>
  <c r="AH44" i="1" a="1"/>
  <c r="Z71" i="1" a="1"/>
  <c r="O56" i="1" a="1"/>
  <c r="C26" i="1" a="1"/>
  <c r="E8" i="1" a="1"/>
  <c r="L23" i="1" a="1"/>
  <c r="H8" i="1" a="1"/>
  <c r="AG44" i="1" a="1"/>
  <c r="R55" i="1" a="1"/>
  <c r="Z23" i="1" a="1"/>
  <c r="U52" i="1" a="1"/>
  <c r="D52" i="1" a="1"/>
  <c r="K10" i="1" a="1"/>
  <c r="J23" i="1" a="1"/>
  <c r="AC55" i="1" a="1"/>
  <c r="X8" i="1" a="1"/>
  <c r="D26" i="1" a="1"/>
  <c r="AE8" i="1" a="1"/>
  <c r="N56" i="1" a="1"/>
  <c r="Z8" i="1" a="1"/>
  <c r="AG71" i="1" a="1"/>
  <c r="J3" i="1" a="1"/>
  <c r="AG8" i="1" a="1"/>
  <c r="AA26" i="1" a="1"/>
  <c r="S56" i="1" a="1"/>
  <c r="Y55" i="1" a="1"/>
  <c r="AD55" i="1" a="1"/>
  <c r="Y8" i="1" a="1"/>
  <c r="J71" i="1" a="1"/>
  <c r="W56" i="1" a="1"/>
  <c r="V23" i="1" a="1"/>
  <c r="N26" i="1" a="1"/>
  <c r="AF23" i="1" a="1"/>
  <c r="G55" i="1" a="1"/>
  <c r="V71" i="1" a="1"/>
  <c r="O52" i="1" a="1"/>
  <c r="Q26" i="1" a="1"/>
  <c r="C44" i="1" a="1"/>
  <c r="O10" i="1" a="1"/>
  <c r="AD44" i="1" a="1"/>
  <c r="N55" i="1" a="1"/>
  <c r="M56" i="1" a="1"/>
  <c r="P44" i="1" a="1"/>
  <c r="AC44" i="1" a="1"/>
  <c r="V26" i="1" a="1"/>
  <c r="Z10" i="1" a="1"/>
  <c r="D56" i="1" a="1"/>
  <c r="K56" i="1" a="1"/>
  <c r="AE26" i="1" a="1"/>
  <c r="P52" i="1" a="1"/>
  <c r="AA8" i="1" a="1"/>
  <c r="Q71" i="1" a="1"/>
  <c r="AB52" i="1" a="1"/>
  <c r="Z44" i="1" a="1"/>
  <c r="C56" i="1" a="1"/>
  <c r="AB3" i="1" a="1"/>
  <c r="AB44" i="1" a="1"/>
  <c r="C55" i="1" a="1"/>
  <c r="N23" i="1" a="1"/>
  <c r="Q52" i="1" a="1"/>
  <c r="F56" i="1" a="1"/>
  <c r="R71" i="1" a="1"/>
  <c r="U23" i="1" a="1"/>
  <c r="P77" i="1" a="1"/>
  <c r="G72" i="1" a="1"/>
  <c r="AE77" i="1" a="1"/>
  <c r="E15" i="1" a="1"/>
  <c r="R77" i="1" a="1"/>
  <c r="K54" i="1" a="1"/>
  <c r="P63" i="1" a="1"/>
  <c r="Z63" i="1" a="1"/>
  <c r="AD15" i="1" a="1"/>
  <c r="N54" i="1" a="1"/>
  <c r="U73" i="1" a="1"/>
  <c r="E24" i="1" a="1"/>
  <c r="J24" i="1" a="1"/>
  <c r="I77" i="1" a="1"/>
  <c r="C63" i="1" a="1"/>
  <c r="V72" i="1" a="1"/>
  <c r="Y35" i="1" a="1"/>
  <c r="AH35" i="1" a="1"/>
  <c r="K72" i="1" a="1"/>
  <c r="W77" i="1" a="1"/>
  <c r="W43" i="1" a="1"/>
  <c r="AD43" i="1" a="1"/>
  <c r="V35" i="1" a="1"/>
  <c r="H73" i="1" a="1"/>
  <c r="L15" i="1" a="1"/>
  <c r="AE54" i="1" a="1"/>
  <c r="W63" i="1" a="1"/>
  <c r="X14" i="1" a="1"/>
  <c r="M15" i="1" a="1"/>
  <c r="S35" i="1" a="1"/>
  <c r="AD35" i="1" a="1"/>
  <c r="AF24" i="1" a="1"/>
  <c r="E73" i="1" a="1"/>
  <c r="F43" i="1" a="1"/>
  <c r="AB24" i="1" a="1"/>
  <c r="AC15" i="1" a="1"/>
  <c r="F35" i="1" a="1"/>
  <c r="C43" i="1" a="1"/>
  <c r="R54" i="1" a="1"/>
  <c r="AF43" i="1" a="1"/>
  <c r="AD63" i="1" a="1"/>
  <c r="Q77" i="1" a="1"/>
  <c r="O54" i="1" a="1"/>
  <c r="J72" i="1" a="1"/>
  <c r="L73" i="1" a="1"/>
  <c r="Q24" i="1" a="1"/>
  <c r="Y15" i="1" a="1"/>
  <c r="K15" i="1" a="1"/>
  <c r="G63" i="1" a="1"/>
  <c r="T24" i="1" a="1"/>
  <c r="U43" i="1" a="1"/>
  <c r="R35" i="1" a="1"/>
  <c r="AB72" i="1" a="1"/>
  <c r="AE24" i="1" a="1"/>
  <c r="D35" i="1" a="1"/>
  <c r="Z15" i="1" a="1"/>
  <c r="T77" i="1" a="1"/>
  <c r="O63" i="1" a="1"/>
  <c r="Y77" i="1" a="1"/>
  <c r="AG63" i="1" a="1"/>
  <c r="H54" i="1" a="1"/>
  <c r="Z35" i="1" a="1"/>
  <c r="H72" i="1" a="1"/>
  <c r="I54" i="1" a="1"/>
  <c r="AC43" i="1" a="1"/>
  <c r="AG14" i="1" a="1"/>
  <c r="AG72" i="1" a="1"/>
  <c r="W24" i="1" a="1"/>
  <c r="W35" i="1" a="1"/>
  <c r="W54" i="1" a="1"/>
  <c r="AC77" i="1" a="1"/>
  <c r="E14" i="1" a="1"/>
  <c r="AG77" i="1" a="1"/>
  <c r="K43" i="1" a="1"/>
  <c r="J73" i="1" a="1"/>
  <c r="T15" i="1" a="1"/>
  <c r="D24" i="1" a="1"/>
  <c r="AB15" i="1" a="1"/>
  <c r="AE14" i="1" a="1"/>
  <c r="O24" i="1" a="1"/>
  <c r="L72" i="1" a="1"/>
  <c r="I63" i="1" a="1"/>
  <c r="M72" i="1" a="1"/>
  <c r="X54" i="1" a="1"/>
  <c r="X15" i="1" a="1"/>
  <c r="Q73" i="1" a="1"/>
  <c r="G24" i="1" a="1"/>
  <c r="N24" i="1" a="1"/>
  <c r="N73" i="1" a="1"/>
  <c r="P15" i="1" a="1"/>
  <c r="E72" i="1" a="1"/>
  <c r="I73" i="1" a="1"/>
  <c r="L24" i="1" a="1"/>
  <c r="X35" i="1" a="1"/>
  <c r="S24" i="1" a="1"/>
  <c r="V73" i="1" a="1"/>
  <c r="C54" i="1" a="1"/>
  <c r="I14" i="1" a="1"/>
  <c r="Q63" i="1" a="1"/>
  <c r="D54" i="1" a="1"/>
  <c r="S15" i="1" a="1"/>
  <c r="AB35" i="1" a="1"/>
  <c r="AE15" i="1" a="1"/>
  <c r="M54" i="1" a="1"/>
  <c r="O14" i="1" a="1"/>
  <c r="P35" i="1" a="1"/>
  <c r="V43" i="1" a="1"/>
  <c r="AG43" i="1" a="1"/>
  <c r="AD24" i="1" a="1"/>
  <c r="J54" i="1" a="1"/>
  <c r="C73" i="1" a="1"/>
  <c r="I72" i="1" a="1"/>
  <c r="AG15" i="1" a="1"/>
  <c r="T63" i="1" a="1"/>
  <c r="S43" i="1" a="1"/>
  <c r="AA54" i="1" a="1"/>
  <c r="Y54" i="1" a="1"/>
  <c r="J35" i="1" a="1"/>
  <c r="P73" i="1" a="1"/>
  <c r="N63" i="1" a="1"/>
  <c r="E63" i="1" a="1"/>
  <c r="S54" i="1" a="1"/>
  <c r="L63" i="1" a="1"/>
  <c r="X72" i="1" a="1"/>
  <c r="W72" i="1" a="1"/>
  <c r="F73" i="1" a="1"/>
  <c r="F63" i="1" a="1"/>
  <c r="R24" i="1" a="1"/>
  <c r="AB14" i="1" a="1"/>
  <c r="Z77" i="1" a="1"/>
  <c r="H35" i="1" a="1"/>
  <c r="X77" i="1" a="1"/>
  <c r="AC14" i="1" a="1"/>
  <c r="AD77" i="1" a="1"/>
  <c r="J14" i="1" a="1"/>
  <c r="AF77" i="1" a="1"/>
  <c r="I43" i="1" a="1"/>
  <c r="AH14" i="1" a="1"/>
  <c r="AA63" i="1" a="1"/>
  <c r="V77" i="1" a="1"/>
  <c r="AF14" i="1" a="1"/>
  <c r="X24" i="1" a="1"/>
  <c r="I15" i="1" a="1"/>
  <c r="U77" i="1" a="1"/>
  <c r="Q15" i="1" a="1"/>
  <c r="O77" i="1" a="1"/>
  <c r="Z43" i="1" a="1"/>
  <c r="N43" i="1" a="1"/>
  <c r="G35" i="1" a="1"/>
  <c r="R14" i="1" a="1"/>
  <c r="Y63" i="1" a="1"/>
  <c r="Q14" i="1" a="1"/>
  <c r="M43" i="1" a="1"/>
  <c r="J63" i="1" a="1"/>
  <c r="D63" i="1" a="1"/>
  <c r="U24" i="1" a="1"/>
  <c r="C77" i="1" a="1"/>
  <c r="AH43" i="1" a="1"/>
  <c r="J43" i="1" a="1"/>
  <c r="U35" i="1" a="1"/>
  <c r="G43" i="1" a="1"/>
  <c r="AD72" i="1" a="1"/>
  <c r="AH77" i="1" a="1"/>
  <c r="L77" i="1" a="1"/>
  <c r="X63" i="1" a="1"/>
  <c r="P72" i="1" a="1"/>
  <c r="AF15" i="1" a="1"/>
  <c r="G14" i="1" a="1"/>
  <c r="AE43" i="1" a="1"/>
  <c r="L54" i="1" a="1"/>
  <c r="AF35" i="1" a="1"/>
  <c r="F24" i="1" a="1"/>
  <c r="T73" i="1" a="1"/>
  <c r="C24" i="1" a="1"/>
  <c r="V54" i="1" a="1"/>
  <c r="W14" i="1" a="1"/>
  <c r="Z24" i="1" a="1"/>
  <c r="AH63" i="1" a="1"/>
  <c r="M35" i="1" a="1"/>
  <c r="AH24" i="1" a="1"/>
  <c r="Q72" i="1" a="1"/>
  <c r="R63" i="1" a="1"/>
  <c r="E77" i="1" a="1"/>
  <c r="Q43" i="1" a="1"/>
  <c r="AC72" i="1" a="1"/>
  <c r="AA77" i="1" a="1"/>
  <c r="D73" i="1" a="1"/>
  <c r="T14" i="1" a="1"/>
  <c r="AE72" i="1" a="1"/>
  <c r="G15" i="1" a="1"/>
  <c r="Z72" i="1" a="1"/>
  <c r="AA35" i="1" a="1"/>
  <c r="AE73" i="1" a="1"/>
  <c r="AB54" i="1" a="1"/>
  <c r="AA73" i="1" a="1"/>
  <c r="AE35" i="1" a="1"/>
  <c r="W15" i="1" a="1"/>
  <c r="O43" i="1" a="1"/>
  <c r="AA14" i="1" a="1"/>
  <c r="AA24" i="1" a="1"/>
  <c r="AG35" i="1" a="1"/>
  <c r="P43" i="1" a="1"/>
  <c r="AC24" i="1" a="1"/>
  <c r="AC35" i="1" a="1"/>
  <c r="F15" i="1" a="1"/>
  <c r="AB77" i="1" a="1"/>
  <c r="AC63" i="1" a="1"/>
  <c r="T54" i="1" a="1"/>
  <c r="D14" i="1" a="1"/>
  <c r="C15" i="1" a="1"/>
  <c r="W73" i="1" a="1"/>
  <c r="AH73" i="1" a="1"/>
  <c r="F77" i="1" a="1"/>
  <c r="D72" i="1" a="1"/>
  <c r="AD73" i="1" a="1"/>
  <c r="D77" i="1" a="1"/>
  <c r="H77" i="1" a="1"/>
  <c r="AH54" i="1" a="1"/>
  <c r="M73" i="1" a="1"/>
  <c r="U15" i="1" a="1"/>
  <c r="Y24" i="1" a="1"/>
  <c r="S63" i="1" a="1"/>
  <c r="F54" i="1" a="1"/>
  <c r="Q54" i="1" a="1"/>
  <c r="L43" i="1" a="1"/>
  <c r="C72" i="1" a="1"/>
  <c r="AG73" i="1" a="1"/>
  <c r="I24" i="1" a="1"/>
  <c r="U14" i="1" a="1"/>
  <c r="R43" i="1" a="1"/>
  <c r="J77" i="1" a="1"/>
  <c r="AB63" i="1" a="1"/>
  <c r="L14" i="1" a="1"/>
  <c r="R72" i="1" a="1"/>
  <c r="O15" i="1" a="1"/>
  <c r="AD54" i="1" a="1"/>
  <c r="V15" i="1" a="1"/>
  <c r="P24" i="1" a="1"/>
  <c r="H15" i="1" a="1"/>
  <c r="K35" i="1" a="1"/>
  <c r="AE63" i="1" a="1"/>
  <c r="D15" i="1" a="1"/>
  <c r="L35" i="1" a="1"/>
  <c r="AC73" i="1" a="1"/>
  <c r="H43" i="1" a="1"/>
  <c r="Y72" i="1" a="1"/>
  <c r="P54" i="1" a="1"/>
  <c r="O35" i="1" a="1"/>
  <c r="Q35" i="1" a="1"/>
  <c r="Y73" i="1" a="1"/>
  <c r="K63" i="1" a="1"/>
  <c r="AG54" i="1" a="1"/>
  <c r="S73" i="1" a="1"/>
  <c r="D43" i="1" a="1"/>
  <c r="C35" i="1" a="1"/>
  <c r="K77" i="1" a="1"/>
  <c r="K24" i="1" a="1"/>
  <c r="AB43" i="1" a="1"/>
  <c r="G77" i="1" a="1"/>
  <c r="X73" i="1" a="1"/>
  <c r="N15" i="1" a="1"/>
  <c r="E54" i="1" a="1"/>
  <c r="M14" i="1" a="1"/>
  <c r="AF73" i="1" a="1"/>
  <c r="AF63" i="1" a="1"/>
  <c r="V24" i="1" a="1"/>
  <c r="AA43" i="1" a="1"/>
  <c r="F72" i="1" a="1"/>
  <c r="N77" i="1" a="1"/>
  <c r="AH15" i="1" a="1"/>
  <c r="P14" i="1" a="1"/>
  <c r="G54" i="1" a="1"/>
  <c r="E35" i="1" a="1"/>
  <c r="T35" i="1" a="1"/>
  <c r="M77" i="1" a="1"/>
  <c r="N14" i="1" a="1"/>
  <c r="AF54" i="1" a="1"/>
  <c r="M24" i="1" a="1"/>
  <c r="N72" i="1" a="1"/>
  <c r="U63" i="1" a="1"/>
  <c r="R15" i="1" a="1"/>
  <c r="Z54" i="1" a="1"/>
  <c r="AD14" i="1" a="1"/>
  <c r="H24" i="1" a="1"/>
  <c r="V14" i="1" a="1"/>
  <c r="K73" i="1" a="1"/>
  <c r="S14" i="1" a="1"/>
  <c r="AF72" i="1" a="1"/>
  <c r="J15" i="1" a="1"/>
  <c r="F14" i="1" a="1"/>
  <c r="H63" i="1" a="1"/>
  <c r="Z14" i="1" a="1"/>
  <c r="S72" i="1" a="1"/>
  <c r="T72" i="1" a="1"/>
  <c r="O72" i="1" a="1"/>
  <c r="G73" i="1" a="1"/>
  <c r="V63" i="1" a="1"/>
  <c r="E43" i="1" a="1"/>
  <c r="I35" i="1" a="1"/>
  <c r="AH72" i="1" a="1"/>
  <c r="Y14" i="1" a="1"/>
  <c r="S77" i="1" a="1"/>
  <c r="M63" i="1" a="1"/>
  <c r="AA72" i="1" a="1"/>
  <c r="H14" i="1" a="1"/>
  <c r="AG24" i="1" a="1"/>
  <c r="Y43" i="1" a="1"/>
  <c r="U72" i="1" a="1"/>
  <c r="C14" i="1" a="1"/>
  <c r="Z73" i="1" a="1"/>
  <c r="AA15" i="1" a="1"/>
  <c r="R73" i="1" a="1"/>
  <c r="X43" i="1" a="1"/>
  <c r="N35" i="1" a="1"/>
  <c r="K14" i="1" a="1"/>
  <c r="AB73" i="1" a="1"/>
  <c r="O73" i="1" a="1"/>
  <c r="T43" i="1" a="1"/>
  <c r="AC54" i="1" a="1"/>
  <c r="U54" i="1" a="1"/>
  <c r="AJ64" i="1" a="1"/>
  <c r="AI64" i="1" a="1"/>
  <c r="AJ79" i="1" a="1"/>
  <c r="AJ6" i="1" a="1"/>
  <c r="AI58" i="1" a="1"/>
  <c r="AI36" i="1" a="1"/>
  <c r="AI16" i="1" a="1"/>
  <c r="AI12" i="1" a="1"/>
  <c r="AJ51" i="1" a="1"/>
  <c r="AJ34" i="1" a="1"/>
  <c r="AJ78" i="1" a="1"/>
  <c r="AJ49" i="1" a="1"/>
  <c r="AI51" i="1" a="1"/>
  <c r="AI79" i="1" a="1"/>
  <c r="AI11" i="1" a="1"/>
  <c r="AJ5" i="1" a="1"/>
  <c r="AJ65" i="1" a="1"/>
  <c r="AI5" i="1" a="1"/>
  <c r="AI31" i="1" a="1"/>
  <c r="AI78" i="1" a="1"/>
  <c r="AI39" i="1" a="1"/>
  <c r="AJ46" i="1" a="1"/>
  <c r="AJ21" i="1" a="1"/>
  <c r="AI69" i="1" a="1"/>
  <c r="AI48" i="1" a="1"/>
  <c r="AJ41" i="1" a="1"/>
  <c r="AJ2" i="1" a="1"/>
  <c r="AI67" i="1" a="1"/>
  <c r="AI2" i="1" a="1"/>
  <c r="AI75" i="1" a="1"/>
  <c r="AJ19" i="1" a="1"/>
  <c r="AI66" i="1" a="1"/>
  <c r="AI19" i="1" a="1"/>
  <c r="AI70" i="1" a="1"/>
  <c r="AI60" i="1" a="1"/>
  <c r="AI7" i="1" a="1"/>
  <c r="AJ16" i="1" a="1"/>
  <c r="AJ28" i="1" a="1"/>
  <c r="AJ38" i="1" a="1"/>
  <c r="AI38" i="1" a="1"/>
  <c r="AI18" i="1" a="1"/>
  <c r="AJ58" i="1" a="1"/>
  <c r="AJ48" i="1" a="1"/>
  <c r="AJ39" i="1" a="1"/>
  <c r="AI46" i="1" a="1"/>
  <c r="AI28" i="1" a="1"/>
  <c r="AI65" i="1" a="1"/>
  <c r="AJ12" i="1" a="1"/>
  <c r="AJ69" i="1" a="1"/>
  <c r="AJ42" i="1" a="1"/>
  <c r="AI42" i="1" a="1"/>
  <c r="AJ11" i="1" a="1"/>
  <c r="AI41" i="1" a="1"/>
  <c r="AI45" i="1" a="1"/>
  <c r="AJ66" i="1" a="1"/>
  <c r="AJ75" i="1" a="1"/>
  <c r="AJ37" i="1" a="1"/>
  <c r="AJ18" i="1" a="1"/>
  <c r="AJ70" i="1" a="1"/>
  <c r="AI6" i="1" a="1"/>
  <c r="AJ36" i="1" a="1"/>
  <c r="AI49" i="1" a="1"/>
  <c r="AI34" i="1" a="1"/>
  <c r="AI74" i="1" a="1"/>
  <c r="AJ31" i="1" a="1"/>
  <c r="AJ74" i="1" a="1"/>
  <c r="AJ7" i="1" a="1"/>
  <c r="AJ45" i="1" a="1"/>
  <c r="AI21" i="1" a="1"/>
  <c r="AJ67" i="1" a="1"/>
  <c r="AJ13" i="1" a="1"/>
  <c r="AI13" i="1" a="1"/>
  <c r="AJ60" i="1" a="1"/>
  <c r="AI37" i="1" a="1"/>
  <c r="AK79" i="1" a="1"/>
  <c r="AK78" i="1" a="1"/>
  <c r="AK65" i="1" a="1"/>
  <c r="AK48" i="1" a="1"/>
  <c r="AK45" i="1" a="1"/>
  <c r="AK13" i="1" a="1"/>
  <c r="AK64" i="1" a="1"/>
  <c r="AK70" i="1" a="1"/>
  <c r="N78" i="1" a="1"/>
  <c r="M78" i="1" a="1"/>
  <c r="AF39" i="1" a="1"/>
  <c r="Y11" i="1" a="1"/>
  <c r="AC78" i="1" a="1"/>
  <c r="Q75" i="1" a="1"/>
  <c r="E46" i="1" a="1"/>
  <c r="S11" i="1" a="1"/>
  <c r="V75" i="1" a="1"/>
  <c r="AA78" i="1" a="1"/>
  <c r="K45" i="1" a="1"/>
  <c r="V11" i="1" a="1"/>
  <c r="AK42" i="1" a="1"/>
  <c r="X36" i="1" a="1"/>
  <c r="Z12" i="1" a="1"/>
  <c r="D12" i="1" a="1"/>
  <c r="AH39" i="1" a="1"/>
  <c r="S78" i="1" a="1"/>
  <c r="I39" i="1" a="1"/>
  <c r="H39" i="1" a="1"/>
  <c r="S45" i="1" a="1"/>
  <c r="AB16" i="1" a="1"/>
  <c r="K12" i="1" a="1"/>
  <c r="V36" i="1" a="1"/>
  <c r="I16" i="1" a="1"/>
  <c r="T78" i="1" a="1"/>
  <c r="AK74" i="1" a="1"/>
  <c r="AK21" i="1" a="1"/>
  <c r="J36" i="1" a="1"/>
  <c r="AG45" i="1" a="1"/>
  <c r="AE19" i="1" a="1"/>
  <c r="AD45" i="1" a="1"/>
  <c r="U46" i="1" a="1"/>
  <c r="T16" i="1" a="1"/>
  <c r="H36" i="1" a="1"/>
  <c r="P39" i="1" a="1"/>
  <c r="O36" i="1" a="1"/>
  <c r="J39" i="1" a="1"/>
  <c r="O39" i="1" a="1"/>
  <c r="L39" i="1" a="1"/>
  <c r="AK2" i="1" a="1"/>
  <c r="W46" i="1" a="1"/>
  <c r="T12" i="1" a="1"/>
  <c r="P75" i="1" a="1"/>
  <c r="AE11" i="1" a="1"/>
  <c r="AK6" i="1" a="1"/>
  <c r="C75" i="1" a="1"/>
  <c r="J16" i="1" a="1"/>
  <c r="L12" i="1" a="1"/>
  <c r="AC19" i="1" a="1"/>
  <c r="R36" i="1" a="1"/>
  <c r="AA12" i="1" a="1"/>
  <c r="L16" i="1" a="1"/>
  <c r="AF75" i="1" a="1"/>
  <c r="AA45" i="1" a="1"/>
  <c r="E11" i="1" a="1"/>
  <c r="AA19" i="1" a="1"/>
  <c r="M16" i="1" a="1"/>
  <c r="Z39" i="1" a="1"/>
  <c r="F78" i="1" a="1"/>
  <c r="J75" i="1" a="1"/>
  <c r="O46" i="1" a="1"/>
  <c r="H78" i="1" a="1"/>
  <c r="AD46" i="1" a="1"/>
  <c r="AH46" i="1" a="1"/>
  <c r="T36" i="1" a="1"/>
  <c r="Q11" i="1" a="1"/>
  <c r="X12" i="1" a="1"/>
  <c r="D78" i="1" a="1"/>
  <c r="C19" i="1" a="1"/>
  <c r="AF78" i="1" a="1"/>
  <c r="H19" i="1" a="1"/>
  <c r="D36" i="1" a="1"/>
  <c r="R11" i="1" a="1"/>
  <c r="K39" i="1" a="1"/>
  <c r="W75" i="1" a="1"/>
  <c r="K36" i="1" a="1"/>
  <c r="AH75" i="1" a="1"/>
  <c r="X75" i="1" a="1"/>
  <c r="G12" i="1" a="1"/>
  <c r="D11" i="1" a="1"/>
  <c r="C78" i="1" a="1"/>
  <c r="R45" i="1" a="1"/>
  <c r="E45" i="1" a="1"/>
  <c r="J46" i="1" a="1"/>
  <c r="AB12" i="1" a="1"/>
  <c r="U39" i="1" a="1"/>
  <c r="AE78" i="1" a="1"/>
  <c r="Y75" i="1" a="1"/>
  <c r="K11" i="1" a="1"/>
  <c r="J45" i="1" a="1"/>
  <c r="O11" i="1" a="1"/>
  <c r="X45" i="1" a="1"/>
  <c r="X19" i="1" a="1"/>
  <c r="E16" i="1" a="1"/>
  <c r="F45" i="1" a="1"/>
  <c r="C45" i="1" a="1"/>
  <c r="AG36" i="1" a="1"/>
  <c r="N36" i="1" a="1"/>
  <c r="G39" i="1" a="1"/>
  <c r="AK41" i="1" a="1"/>
  <c r="AK18" i="1" a="1"/>
  <c r="G78" i="1" a="1"/>
  <c r="Y36" i="1" a="1"/>
  <c r="P36" i="1" a="1"/>
  <c r="Z19" i="1" a="1"/>
  <c r="V39" i="1" a="1"/>
  <c r="AF11" i="1" a="1"/>
  <c r="AH16" i="1" a="1"/>
  <c r="T11" i="1" a="1"/>
  <c r="AC46" i="1" a="1"/>
  <c r="Q19" i="1" a="1"/>
  <c r="L19" i="1" a="1"/>
  <c r="AK7" i="1" a="1"/>
  <c r="S19" i="1" a="1"/>
  <c r="P16" i="1" a="1"/>
  <c r="AK69" i="1" a="1"/>
  <c r="L75" i="1" a="1"/>
  <c r="Q45" i="1" a="1"/>
  <c r="G36" i="1" a="1"/>
  <c r="U36" i="1" a="1"/>
  <c r="S46" i="1" a="1"/>
  <c r="AB36" i="1" a="1"/>
  <c r="V19" i="1" a="1"/>
  <c r="H11" i="1" a="1"/>
  <c r="N19" i="1" a="1"/>
  <c r="K16" i="1" a="1"/>
  <c r="R19" i="1" a="1"/>
  <c r="Z75" i="1" a="1"/>
  <c r="AG39" i="1" a="1"/>
  <c r="F19" i="1" a="1"/>
  <c r="F36" i="1" a="1"/>
  <c r="Y46" i="1" a="1"/>
  <c r="Z78" i="1" a="1"/>
  <c r="Q16" i="1" a="1"/>
  <c r="W19" i="1" a="1"/>
  <c r="AA16" i="1" a="1"/>
  <c r="D16" i="1" a="1"/>
  <c r="AC36" i="1" a="1"/>
  <c r="S36" i="1" a="1"/>
  <c r="E78" i="1" a="1"/>
  <c r="AB75" i="1" a="1"/>
  <c r="AC75" i="1" a="1"/>
  <c r="I36" i="1" a="1"/>
  <c r="E39" i="1" a="1"/>
  <c r="M19" i="1" a="1"/>
  <c r="AG19" i="1" a="1"/>
  <c r="R12" i="1" a="1"/>
  <c r="C46" i="1" a="1"/>
  <c r="E36" i="1" a="1"/>
  <c r="AF12" i="1" a="1"/>
  <c r="I75" i="1" a="1"/>
  <c r="AK67" i="1" a="1"/>
  <c r="AK38" i="1" a="1"/>
  <c r="I19" i="1" a="1"/>
  <c r="T75" i="1" a="1"/>
  <c r="N75" i="1" a="1"/>
  <c r="T45" i="1" a="1"/>
  <c r="AD75" i="1" a="1"/>
  <c r="U12" i="1" a="1"/>
  <c r="N11" i="1" a="1"/>
  <c r="V12" i="1" a="1"/>
  <c r="AC12" i="1" a="1"/>
  <c r="AB11" i="1" a="1"/>
  <c r="AD11" i="1" a="1"/>
  <c r="O19" i="1" a="1"/>
  <c r="J11" i="1" a="1"/>
  <c r="U11" i="1" a="1"/>
  <c r="M11" i="1" a="1"/>
  <c r="U78" i="1" a="1"/>
  <c r="V46" i="1" a="1"/>
  <c r="K75" i="1" a="1"/>
  <c r="R16" i="1" a="1"/>
  <c r="G19" i="1" a="1"/>
  <c r="H46" i="1" a="1"/>
  <c r="AH19" i="1" a="1"/>
  <c r="W11" i="1" a="1"/>
  <c r="AE75" i="1" a="1"/>
  <c r="L45" i="1" a="1"/>
  <c r="F16" i="1" a="1"/>
  <c r="AF45" i="1" a="1"/>
  <c r="AG75" i="1" a="1"/>
  <c r="K46" i="1" a="1"/>
  <c r="AB46" i="1" a="1"/>
  <c r="H16" i="1" a="1"/>
  <c r="L78" i="1" a="1"/>
  <c r="AC45" i="1" a="1"/>
  <c r="I12" i="1" a="1"/>
  <c r="AF36" i="1" a="1"/>
  <c r="Q39" i="1" a="1"/>
  <c r="L11" i="1" a="1"/>
  <c r="N46" i="1" a="1"/>
  <c r="R46" i="1" a="1"/>
  <c r="W39" i="1" a="1"/>
  <c r="AG12" i="1" a="1"/>
  <c r="S75" i="1" a="1"/>
  <c r="H75" i="1" a="1"/>
  <c r="M45" i="1" a="1"/>
  <c r="V78" i="1" a="1"/>
  <c r="AK66" i="1" a="1"/>
  <c r="AK37" i="1" a="1"/>
  <c r="M36" i="1" a="1"/>
  <c r="S39" i="1" a="1"/>
  <c r="O75" i="1" a="1"/>
  <c r="AK51" i="1" a="1"/>
  <c r="AK28" i="1" a="1"/>
  <c r="O12" i="1" a="1"/>
  <c r="E19" i="1" a="1"/>
  <c r="G75" i="1" a="1"/>
  <c r="Y78" i="1" a="1"/>
  <c r="AB45" i="1" a="1"/>
  <c r="W78" i="1" a="1"/>
  <c r="AC39" i="1" a="1"/>
  <c r="AG46" i="1" a="1"/>
  <c r="AA36" i="1" a="1"/>
  <c r="AE46" i="1" a="1"/>
  <c r="H45" i="1" a="1"/>
  <c r="J19" i="1" a="1"/>
  <c r="U19" i="1" a="1"/>
  <c r="T39" i="1" a="1"/>
  <c r="Y12" i="1" a="1"/>
  <c r="AC11" i="1" a="1"/>
  <c r="AG78" i="1" a="1"/>
  <c r="Z45" i="1" a="1"/>
  <c r="C12" i="1" a="1"/>
  <c r="P78" i="1" a="1"/>
  <c r="G11" i="1" a="1"/>
  <c r="J78" i="1" a="1"/>
  <c r="E12" i="1" a="1"/>
  <c r="AA75" i="1" a="1"/>
  <c r="M75" i="1" a="1"/>
  <c r="W12" i="1" a="1"/>
  <c r="R39" i="1" a="1"/>
  <c r="M39" i="1" a="1"/>
  <c r="AE45" i="1" a="1"/>
  <c r="AE36" i="1" a="1"/>
  <c r="J12" i="1" a="1"/>
  <c r="M46" i="1" a="1"/>
  <c r="AE16" i="1" a="1"/>
  <c r="N12" i="1" a="1"/>
  <c r="AA46" i="1" a="1"/>
  <c r="AE12" i="1" a="1"/>
  <c r="X46" i="1" a="1"/>
  <c r="F46" i="1" a="1"/>
  <c r="AG16" i="1" a="1"/>
  <c r="AK5" i="1" a="1"/>
  <c r="AA11" i="1" a="1"/>
  <c r="U16" i="1" a="1"/>
  <c r="D45" i="1" a="1"/>
  <c r="AG11" i="1" a="1"/>
  <c r="Y19" i="1" a="1"/>
  <c r="U45" i="1" a="1"/>
  <c r="H12" i="1" a="1"/>
  <c r="AH12" i="1" a="1"/>
  <c r="AK49" i="1" a="1"/>
  <c r="X11" i="1" a="1"/>
  <c r="F11" i="1" a="1"/>
  <c r="AK60" i="1" a="1"/>
  <c r="S12" i="1" a="1"/>
  <c r="Y39" i="1" a="1"/>
  <c r="Z16" i="1" a="1"/>
  <c r="AD12" i="1" a="1"/>
  <c r="L36" i="1" a="1"/>
  <c r="F39" i="1" a="1"/>
  <c r="AH78" i="1" a="1"/>
  <c r="AD39" i="1" a="1"/>
  <c r="P45" i="1" a="1"/>
  <c r="X78" i="1" a="1"/>
  <c r="M12" i="1" a="1"/>
  <c r="P12" i="1" a="1"/>
  <c r="X16" i="1" a="1"/>
  <c r="N16" i="1" a="1"/>
  <c r="Y45" i="1" a="1"/>
  <c r="G16" i="1" a="1"/>
  <c r="Z36" i="1" a="1"/>
  <c r="N39" i="1" a="1"/>
  <c r="P11" i="1" a="1"/>
  <c r="Z46" i="1" a="1"/>
  <c r="D19" i="1" a="1"/>
  <c r="W45" i="1" a="1"/>
  <c r="AC16" i="1" a="1"/>
  <c r="C36" i="1" a="1"/>
  <c r="L46" i="1" a="1"/>
  <c r="Z11" i="1" a="1"/>
  <c r="F12" i="1" a="1"/>
  <c r="G45" i="1" a="1"/>
  <c r="Q46" i="1" a="1"/>
  <c r="I46" i="1" a="1"/>
  <c r="F75" i="1" a="1"/>
  <c r="AH36" i="1" a="1"/>
  <c r="X39" i="1" a="1"/>
  <c r="AK58" i="1" a="1"/>
  <c r="O45" i="1" a="1"/>
  <c r="AK34" i="1" a="1"/>
  <c r="O78" i="1" a="1"/>
  <c r="Q78" i="1" a="1"/>
  <c r="AH45" i="1" a="1"/>
  <c r="G46" i="1" a="1"/>
  <c r="U75" i="1" a="1"/>
  <c r="AK31" i="1" a="1"/>
  <c r="C16" i="1" a="1"/>
  <c r="W36" i="1" a="1"/>
  <c r="AB78" i="1" a="1"/>
  <c r="AA39" i="1" a="1"/>
  <c r="S16" i="1" a="1"/>
  <c r="W16" i="1" a="1"/>
  <c r="AD19" i="1" a="1"/>
  <c r="N45" i="1" a="1"/>
  <c r="D39" i="1" a="1"/>
  <c r="AD78" i="1" a="1"/>
  <c r="AB19" i="1" a="1"/>
  <c r="C39" i="1" a="1"/>
  <c r="I78" i="1" a="1"/>
  <c r="P46" i="1" a="1"/>
  <c r="AD36" i="1" a="1"/>
  <c r="AB39" i="1" a="1"/>
  <c r="AF46" i="1" a="1"/>
  <c r="Q36" i="1" a="1"/>
  <c r="K78" i="1" a="1"/>
  <c r="T46" i="1" a="1"/>
  <c r="E75" i="1" a="1"/>
  <c r="I45" i="1" a="1"/>
  <c r="K19" i="1" a="1"/>
  <c r="AD16" i="1" a="1"/>
  <c r="C11" i="1" a="1"/>
  <c r="R75" i="1" a="1"/>
  <c r="D75" i="1" a="1"/>
  <c r="V16" i="1" a="1"/>
  <c r="I11" i="1" a="1"/>
  <c r="V45" i="1" a="1"/>
  <c r="T19" i="1" a="1"/>
  <c r="AF16" i="1" a="1"/>
  <c r="P19" i="1" a="1"/>
  <c r="AE39" i="1" a="1"/>
  <c r="Y16" i="1" a="1"/>
  <c r="R78" i="1" a="1"/>
  <c r="O16" i="1" a="1"/>
  <c r="AF19" i="1" a="1"/>
  <c r="AH11" i="1" a="1"/>
  <c r="D46" i="1" a="1"/>
  <c r="Q12" i="1" a="1"/>
  <c r="AB5" i="1" a="1"/>
  <c r="K64" i="1" a="1"/>
  <c r="AA66" i="1" a="1"/>
  <c r="H5" i="1" a="1"/>
  <c r="AB38" i="1" a="1"/>
  <c r="AG79" i="1" a="1"/>
  <c r="AH31" i="1" a="1"/>
  <c r="K38" i="1" a="1"/>
  <c r="AF66" i="1" a="1"/>
  <c r="Y31" i="1" a="1"/>
  <c r="H31" i="1" a="1"/>
  <c r="AF5" i="1" a="1"/>
  <c r="V48" i="1" a="1"/>
  <c r="J64" i="1" a="1"/>
  <c r="I5" i="1" a="1"/>
  <c r="U38" i="1" a="1"/>
  <c r="AG66" i="1" a="1"/>
  <c r="S13" i="1" a="1"/>
  <c r="D13" i="1" a="1"/>
  <c r="E66" i="1" a="1"/>
  <c r="P13" i="1" a="1"/>
  <c r="R2" i="1" a="1"/>
  <c r="G38" i="1" a="1"/>
  <c r="Y66" i="1" a="1"/>
  <c r="G79" i="1" a="1"/>
  <c r="I13" i="1" a="1"/>
  <c r="I66" i="1" a="1"/>
  <c r="Q66" i="1" a="1"/>
  <c r="AH66" i="1" a="1"/>
  <c r="K13" i="1" a="1"/>
  <c r="W49" i="1" a="1"/>
  <c r="T31" i="1" a="1"/>
  <c r="W66" i="1" a="1"/>
  <c r="AD49" i="1" a="1"/>
  <c r="X79" i="1" a="1"/>
  <c r="AA38" i="1" a="1"/>
  <c r="E5" i="1" a="1"/>
  <c r="U13" i="1" a="1"/>
  <c r="E31" i="1" a="1"/>
  <c r="H38" i="1" a="1"/>
  <c r="N31" i="1" a="1"/>
  <c r="Y13" i="1" a="1"/>
  <c r="AF13" i="1" a="1"/>
  <c r="G31" i="1" a="1"/>
  <c r="P49" i="1" a="1"/>
  <c r="G2" i="1" a="1"/>
  <c r="O38" i="1" a="1"/>
  <c r="AC38" i="1" a="1"/>
  <c r="L5" i="1" a="1"/>
  <c r="V64" i="1" a="1"/>
  <c r="AA49" i="1" a="1"/>
  <c r="R5" i="1" a="1"/>
  <c r="AH79" i="1" a="1"/>
  <c r="O64" i="1" a="1"/>
  <c r="AC5" i="1" a="1"/>
  <c r="Q64" i="1" a="1"/>
  <c r="U64" i="1" a="1"/>
  <c r="AG5" i="1" a="1"/>
  <c r="AG2" i="1" a="1"/>
  <c r="T66" i="1" a="1"/>
  <c r="K2" i="1" a="1"/>
  <c r="P2" i="1" a="1"/>
  <c r="F79" i="1" a="1"/>
  <c r="O79" i="1" a="1"/>
  <c r="I31" i="1" a="1"/>
  <c r="R38" i="1" a="1"/>
  <c r="X48" i="1" a="1"/>
  <c r="M2" i="1" a="1"/>
  <c r="O31" i="1" a="1"/>
  <c r="Q31" i="1" a="1"/>
  <c r="X13" i="1" a="1"/>
  <c r="P38" i="1" a="1"/>
  <c r="W13" i="1" a="1"/>
  <c r="AA2" i="1" a="1"/>
  <c r="AE48" i="1" a="1"/>
  <c r="P66" i="1" a="1"/>
  <c r="E13" i="1" a="1"/>
  <c r="O13" i="1" a="1"/>
  <c r="L48" i="1" a="1"/>
  <c r="J2" i="1" a="1"/>
  <c r="V5" i="1" a="1"/>
  <c r="Q38" i="1" a="1"/>
  <c r="R49" i="1" a="1"/>
  <c r="T5" i="1" a="1"/>
  <c r="AF31" i="1" a="1"/>
  <c r="N64" i="1" a="1"/>
  <c r="AC66" i="1" a="1"/>
  <c r="D38" i="1" a="1"/>
  <c r="AF79" i="1" a="1"/>
  <c r="G64" i="1" a="1"/>
  <c r="AE79" i="1" a="1"/>
  <c r="S49" i="1" a="1"/>
  <c r="V13" i="1" a="1"/>
  <c r="R31" i="1" a="1"/>
  <c r="X31" i="1" a="1"/>
  <c r="M79" i="1" a="1"/>
  <c r="AH13" i="1" a="1"/>
  <c r="E38" i="1" a="1"/>
  <c r="AA64" i="1" a="1"/>
  <c r="J48" i="1" a="1"/>
  <c r="AD31" i="1" a="1"/>
  <c r="M66" i="1" a="1"/>
  <c r="M5" i="1" a="1"/>
  <c r="E49" i="1" a="1"/>
  <c r="N66" i="1" a="1"/>
  <c r="AE66" i="1" a="1"/>
  <c r="AB66" i="1" a="1"/>
  <c r="AC48" i="1" a="1"/>
  <c r="K5" i="1" a="1"/>
  <c r="T48" i="1" a="1"/>
  <c r="Y79" i="1" a="1"/>
  <c r="C79" i="1" a="1"/>
  <c r="E48" i="1" a="1"/>
  <c r="H48" i="1" a="1"/>
  <c r="AC49" i="1" a="1"/>
  <c r="Z66" i="1" a="1"/>
  <c r="AA31" i="1" a="1"/>
  <c r="AG48" i="1" a="1"/>
  <c r="U66" i="1" a="1"/>
  <c r="AC31" i="1" a="1"/>
  <c r="C66" i="1" a="1"/>
  <c r="J13" i="1" a="1"/>
  <c r="AA13" i="1" a="1"/>
  <c r="K66" i="1" a="1"/>
  <c r="F13" i="1" a="1"/>
  <c r="J31" i="1" a="1"/>
  <c r="H13" i="1" a="1"/>
  <c r="AE2" i="1" a="1"/>
  <c r="C2" i="1" a="1"/>
  <c r="U48" i="1" a="1"/>
  <c r="AH38" i="1" a="1"/>
  <c r="Y38" i="1" a="1"/>
  <c r="Q79" i="1" a="1"/>
  <c r="D79" i="1" a="1"/>
  <c r="S79" i="1" a="1"/>
  <c r="Z79" i="1" a="1"/>
  <c r="S2" i="1" a="1"/>
  <c r="W2" i="1" a="1"/>
  <c r="V79" i="1" a="1"/>
  <c r="N38" i="1" a="1"/>
  <c r="F64" i="1" a="1"/>
  <c r="X5" i="1" a="1"/>
  <c r="K48" i="1" a="1"/>
  <c r="J49" i="1" a="1"/>
  <c r="AG49" i="1" a="1"/>
  <c r="X64" i="1" a="1"/>
  <c r="Z64" i="1" a="1"/>
  <c r="AF48" i="1" a="1"/>
  <c r="C64" i="1" a="1"/>
  <c r="I48" i="1" a="1"/>
  <c r="T13" i="1" a="1"/>
  <c r="L64" i="1" a="1"/>
  <c r="H79" i="1" a="1"/>
  <c r="L79" i="1" a="1"/>
  <c r="W64" i="1" a="1"/>
  <c r="AB13" i="1" a="1"/>
  <c r="AF64" i="1" a="1"/>
  <c r="F31" i="1" a="1"/>
  <c r="AG38" i="1" a="1"/>
  <c r="O49" i="1" a="1"/>
  <c r="Z31" i="1" a="1"/>
  <c r="AE13" i="1" a="1"/>
  <c r="Q48" i="1" a="1"/>
  <c r="T2" i="1" a="1"/>
  <c r="D2" i="1" a="1"/>
  <c r="S48" i="1" a="1"/>
  <c r="AG13" i="1" a="1"/>
  <c r="AD2" i="1" a="1"/>
  <c r="Q5" i="1" a="1"/>
  <c r="R13" i="1" a="1"/>
  <c r="K31" i="1" a="1"/>
  <c r="Z48" i="1" a="1"/>
  <c r="AB79" i="1" a="1"/>
  <c r="AC2" i="1" a="1"/>
  <c r="AD48" i="1" a="1"/>
  <c r="AB2" i="1" a="1"/>
  <c r="J5" i="1" a="1"/>
  <c r="J38" i="1" a="1"/>
  <c r="AD66" i="1" a="1"/>
  <c r="N2" i="1" a="1"/>
  <c r="AC79" i="1" a="1"/>
  <c r="S38" i="1" a="1"/>
  <c r="F66" i="1" a="1"/>
  <c r="T49" i="1" a="1"/>
  <c r="H49" i="1" a="1"/>
  <c r="AH5" i="1" a="1"/>
  <c r="D64" i="1" a="1"/>
  <c r="I38" i="1" a="1"/>
  <c r="R64" i="1" a="1"/>
  <c r="S64" i="1" a="1"/>
  <c r="Q13" i="1" a="1"/>
  <c r="E79" i="1" a="1"/>
  <c r="G13" i="1" a="1"/>
  <c r="R48" i="1" a="1"/>
  <c r="AE64" i="1" a="1"/>
  <c r="AE5" i="1" a="1"/>
  <c r="AH64" i="1" a="1"/>
  <c r="Y48" i="1" a="1"/>
  <c r="J79" i="1" a="1"/>
  <c r="D49" i="1" a="1"/>
  <c r="O48" i="1" a="1"/>
  <c r="AD38" i="1" a="1"/>
  <c r="L13" i="1" a="1"/>
  <c r="I2" i="1" a="1"/>
  <c r="U79" i="1" a="1"/>
  <c r="N79" i="1" a="1"/>
  <c r="N5" i="1" a="1"/>
  <c r="C49" i="1" a="1"/>
  <c r="AB48" i="1" a="1"/>
  <c r="G66" i="1" a="1"/>
  <c r="N13" i="1" a="1"/>
  <c r="W79" i="1" a="1"/>
  <c r="L2" i="1" a="1"/>
  <c r="AE31" i="1" a="1"/>
  <c r="E2" i="1" a="1"/>
  <c r="C48" i="1" a="1"/>
  <c r="X66" i="1" a="1"/>
  <c r="Z49" i="1" a="1"/>
  <c r="V38" i="1" a="1"/>
  <c r="X38" i="1" a="1"/>
  <c r="P64" i="1" a="1"/>
  <c r="M31" i="1" a="1"/>
  <c r="AB49" i="1" a="1"/>
  <c r="M13" i="1" a="1"/>
  <c r="G5" i="1" a="1"/>
  <c r="S31" i="1" a="1"/>
  <c r="O5" i="1" a="1"/>
  <c r="K79" i="1" a="1"/>
  <c r="AC64" i="1" a="1"/>
  <c r="K49" i="1" a="1"/>
  <c r="I64" i="1" a="1"/>
  <c r="V66" i="1" a="1"/>
  <c r="X2" i="1" a="1"/>
  <c r="M64" i="1" a="1"/>
  <c r="F48" i="1" a="1"/>
  <c r="V49" i="1" a="1"/>
  <c r="Z38" i="1" a="1"/>
  <c r="L66" i="1" a="1"/>
  <c r="W5" i="1" a="1"/>
  <c r="AB31" i="1" a="1"/>
  <c r="AA48" i="1" a="1"/>
  <c r="AE49" i="1" a="1"/>
  <c r="P31" i="1" a="1"/>
  <c r="Z5" i="1" a="1"/>
  <c r="Q2" i="1" a="1"/>
  <c r="O66" i="1" a="1"/>
  <c r="AH2" i="1" a="1"/>
  <c r="M49" i="1" a="1"/>
  <c r="C13" i="1" a="1"/>
  <c r="W31" i="1" a="1"/>
  <c r="N48" i="1" a="1"/>
  <c r="AF49" i="1" a="1"/>
  <c r="AH48" i="1" a="1"/>
  <c r="V2" i="1" a="1"/>
  <c r="U2" i="1" a="1"/>
  <c r="W48" i="1" a="1"/>
  <c r="F38" i="1" a="1"/>
  <c r="F49" i="1" a="1"/>
  <c r="C31" i="1" a="1"/>
  <c r="J66" i="1" a="1"/>
  <c r="Y64" i="1" a="1"/>
  <c r="AF38" i="1" a="1"/>
  <c r="AB64" i="1" a="1"/>
  <c r="O2" i="1" a="1"/>
  <c r="AD79" i="1" a="1"/>
  <c r="AC13" i="1" a="1"/>
  <c r="F5" i="1" a="1"/>
  <c r="Y5" i="1" a="1"/>
  <c r="I79" i="1" a="1"/>
  <c r="S66" i="1" a="1"/>
  <c r="Y49" i="1" a="1"/>
  <c r="G49" i="1" a="1"/>
  <c r="Z2" i="1" a="1"/>
  <c r="X49" i="1" a="1"/>
  <c r="D31" i="1" a="1"/>
  <c r="V31" i="1" a="1"/>
  <c r="AD13" i="1" a="1"/>
  <c r="AA5" i="1" a="1"/>
  <c r="L38" i="1" a="1"/>
  <c r="D66" i="1" a="1"/>
  <c r="AG64" i="1" a="1"/>
  <c r="AE38" i="1" a="1"/>
  <c r="L49" i="1" a="1"/>
  <c r="AG31" i="1" a="1"/>
  <c r="L31" i="1" a="1"/>
  <c r="C5" i="1" a="1"/>
  <c r="C38" i="1" a="1"/>
  <c r="P5" i="1" a="1"/>
  <c r="W38" i="1" a="1"/>
  <c r="H66" i="1" a="1"/>
  <c r="AF2" i="1" a="1"/>
  <c r="M38" i="1" a="1"/>
  <c r="R66" i="1" a="1"/>
  <c r="U31" i="1" a="1"/>
  <c r="G48" i="1" a="1"/>
  <c r="Y2" i="1" a="1"/>
  <c r="H64" i="1" a="1"/>
  <c r="R79" i="1" a="1"/>
  <c r="D48" i="1" a="1"/>
  <c r="H2" i="1" a="1"/>
  <c r="T79" i="1" a="1"/>
  <c r="AH49" i="1" a="1"/>
  <c r="E64" i="1" a="1"/>
  <c r="P79" i="1" a="1"/>
  <c r="Z13" i="1" a="1"/>
  <c r="U49" i="1" a="1"/>
  <c r="S5" i="1" a="1"/>
  <c r="I49" i="1" a="1"/>
  <c r="AA79" i="1" a="1"/>
  <c r="AD64" i="1" a="1"/>
  <c r="Q49" i="1" a="1"/>
  <c r="T64" i="1" a="1"/>
  <c r="AD5" i="1" a="1"/>
  <c r="M48" i="1" a="1"/>
  <c r="F2" i="1" a="1"/>
  <c r="N49" i="1" a="1"/>
  <c r="U5" i="1" a="1"/>
  <c r="P48" i="1" a="1"/>
  <c r="T38" i="1" a="1"/>
  <c r="D5" i="1" a="1"/>
  <c r="Z18" i="1" a="1"/>
  <c r="X34" i="1" a="1"/>
  <c r="AF69" i="1" a="1"/>
  <c r="AD6" i="1" a="1"/>
  <c r="C65" i="1" a="1"/>
  <c r="AA6" i="1" a="1"/>
  <c r="M69" i="1" a="1"/>
  <c r="E21" i="1" a="1"/>
  <c r="J76" i="1" a="1"/>
  <c r="AF76" i="1" a="1"/>
  <c r="O65" i="1" a="1"/>
  <c r="W21" i="1" a="1"/>
  <c r="L21" i="1" a="1"/>
  <c r="AG34" i="1" a="1"/>
  <c r="AB18" i="1" a="1"/>
  <c r="AC34" i="1" a="1"/>
  <c r="L70" i="1" a="1"/>
  <c r="U34" i="1" a="1"/>
  <c r="AE37" i="1" a="1"/>
  <c r="G6" i="1" a="1"/>
  <c r="P42" i="1" a="1"/>
  <c r="AA37" i="1" a="1"/>
  <c r="T70" i="1" a="1"/>
  <c r="S69" i="1" a="1"/>
  <c r="AB76" i="1" a="1"/>
  <c r="D34" i="1" a="1"/>
  <c r="X69" i="1" a="1"/>
  <c r="AA70" i="1" a="1"/>
  <c r="S70" i="1" a="1"/>
  <c r="E65" i="1" a="1"/>
  <c r="P70" i="1" a="1"/>
  <c r="S37" i="1" a="1"/>
  <c r="I37" i="1" a="1"/>
  <c r="AE34" i="1" a="1"/>
  <c r="AB65" i="1" a="1"/>
  <c r="AG69" i="1" a="1"/>
  <c r="W6" i="1" a="1"/>
  <c r="H65" i="1" a="1"/>
  <c r="P18" i="1" a="1"/>
  <c r="X70" i="1" a="1"/>
  <c r="E70" i="1" a="1"/>
  <c r="I70" i="1" a="1"/>
  <c r="I69" i="1" a="1"/>
  <c r="Q42" i="1" a="1"/>
  <c r="AC18" i="1" a="1"/>
  <c r="L37" i="1" a="1"/>
  <c r="D76" i="1" a="1"/>
  <c r="AD65" i="1" a="1"/>
  <c r="AG70" i="1" a="1"/>
  <c r="K21" i="1" a="1"/>
  <c r="AD21" i="1" a="1"/>
  <c r="Y6" i="1" a="1"/>
  <c r="H42" i="1" a="1"/>
  <c r="D18" i="1" a="1"/>
  <c r="V6" i="1" a="1"/>
  <c r="AF6" i="1" a="1"/>
  <c r="F37" i="1" a="1"/>
  <c r="S21" i="1" a="1"/>
  <c r="Q37" i="1" a="1"/>
  <c r="AH69" i="1" a="1"/>
  <c r="N21" i="1" a="1"/>
  <c r="AD69" i="1" a="1"/>
  <c r="C69" i="1" a="1"/>
  <c r="M65" i="1" a="1"/>
  <c r="U42" i="1" a="1"/>
  <c r="F76" i="1" a="1"/>
  <c r="AG37" i="1" a="1"/>
  <c r="X37" i="1" a="1"/>
  <c r="AC6" i="1" a="1"/>
  <c r="M76" i="1" a="1"/>
  <c r="AH65" i="1" a="1"/>
  <c r="R21" i="1" a="1"/>
  <c r="AE18" i="1" a="1"/>
  <c r="Y21" i="1" a="1"/>
  <c r="I18" i="1" a="1"/>
  <c r="V37" i="1" a="1"/>
  <c r="K69" i="1" a="1"/>
  <c r="Y34" i="1" a="1"/>
  <c r="X42" i="1" a="1"/>
  <c r="P69" i="1" a="1"/>
  <c r="O37" i="1" a="1"/>
  <c r="AC65" i="1" a="1"/>
  <c r="U21" i="1" a="1"/>
  <c r="U76" i="1" a="1"/>
  <c r="Z65" i="1" a="1"/>
  <c r="C18" i="1" a="1"/>
  <c r="D65" i="1" a="1"/>
  <c r="N42" i="1" a="1"/>
  <c r="M34" i="1" a="1"/>
  <c r="V65" i="1" a="1"/>
  <c r="Q21" i="1" a="1"/>
  <c r="F65" i="1" a="1"/>
  <c r="V69" i="1" a="1"/>
  <c r="AB69" i="1" a="1"/>
  <c r="Y76" i="1" a="1"/>
  <c r="AB37" i="1" a="1"/>
  <c r="C21" i="1" a="1"/>
  <c r="N18" i="1" a="1"/>
  <c r="H21" i="1" a="1"/>
  <c r="J18" i="1" a="1"/>
  <c r="G37" i="1" a="1"/>
  <c r="U69" i="1" a="1"/>
  <c r="F69" i="1" a="1"/>
  <c r="P65" i="1" a="1"/>
  <c r="E18" i="1" a="1"/>
  <c r="AG18" i="1" a="1"/>
  <c r="AD37" i="1" a="1"/>
  <c r="L69" i="1" a="1"/>
  <c r="N34" i="1" a="1"/>
  <c r="D69" i="1" a="1"/>
  <c r="E6" i="1" a="1"/>
  <c r="X21" i="1" a="1"/>
  <c r="AA65" i="1" a="1"/>
  <c r="W65" i="1" a="1"/>
  <c r="AH34" i="1" a="1"/>
  <c r="AC76" i="1" a="1"/>
  <c r="I21" i="1" a="1"/>
  <c r="D37" i="1" a="1"/>
  <c r="AB34" i="1" a="1"/>
  <c r="AE65" i="1" a="1"/>
  <c r="W69" i="1" a="1"/>
  <c r="G65" i="1" a="1"/>
  <c r="D6" i="1" a="1"/>
  <c r="AA42" i="1" a="1"/>
  <c r="H34" i="1" a="1"/>
  <c r="K6" i="1" a="1"/>
  <c r="M70" i="1" a="1"/>
  <c r="Y37" i="1" a="1"/>
  <c r="Y70" i="1" a="1"/>
  <c r="R18" i="1" a="1"/>
  <c r="K42" i="1" a="1"/>
  <c r="AF21" i="1" a="1"/>
  <c r="G34" i="1" a="1"/>
  <c r="O42" i="1" a="1"/>
  <c r="AG21" i="1" a="1"/>
  <c r="F70" i="1" a="1"/>
  <c r="E42" i="1" a="1"/>
  <c r="R69" i="1" a="1"/>
  <c r="W34" i="1" a="1"/>
  <c r="J34" i="1" a="1"/>
  <c r="H18" i="1" a="1"/>
  <c r="V70" i="1" a="1"/>
  <c r="AF65" i="1" a="1"/>
  <c r="Q70" i="1" a="1"/>
  <c r="V18" i="1" a="1"/>
  <c r="U65" i="1" a="1"/>
  <c r="J69" i="1" a="1"/>
  <c r="R76" i="1" a="1"/>
  <c r="J21" i="1" a="1"/>
  <c r="F18" i="1" a="1"/>
  <c r="T69" i="1" a="1"/>
  <c r="G69" i="1" a="1"/>
  <c r="AF34" i="1" a="1"/>
  <c r="Z37" i="1" a="1"/>
  <c r="AC69" i="1" a="1"/>
  <c r="V34" i="1" a="1"/>
  <c r="L42" i="1" a="1"/>
  <c r="G18" i="1" a="1"/>
  <c r="R42" i="1" a="1"/>
  <c r="AE21" i="1" a="1"/>
  <c r="S42" i="1" a="1"/>
  <c r="E34" i="1" a="1"/>
  <c r="G70" i="1" a="1"/>
  <c r="L65" i="1" a="1"/>
  <c r="K65" i="1" a="1"/>
  <c r="M37" i="1" a="1"/>
  <c r="X6" i="1" a="1"/>
  <c r="W42" i="1" a="1"/>
  <c r="AH18" i="1" a="1"/>
  <c r="I65" i="1" a="1"/>
  <c r="Q69" i="1" a="1"/>
  <c r="AB42" i="1" a="1"/>
  <c r="J37" i="1" a="1"/>
  <c r="N6" i="1" a="1"/>
  <c r="Y69" i="1" a="1"/>
  <c r="R34" i="1" a="1"/>
  <c r="AE6" i="1" a="1"/>
  <c r="P37" i="1" a="1"/>
  <c r="H70" i="1" a="1"/>
  <c r="C70" i="1" a="1"/>
  <c r="P34" i="1" a="1"/>
  <c r="P6" i="1" a="1"/>
  <c r="AD42" i="1" a="1"/>
  <c r="E76" i="1" a="1"/>
  <c r="E37" i="1" a="1"/>
  <c r="F21" i="1" a="1"/>
  <c r="P21" i="1" a="1"/>
  <c r="J65" i="1" a="1"/>
  <c r="Z70" i="1" a="1"/>
  <c r="O18" i="1" a="1"/>
  <c r="E69" i="1" a="1"/>
  <c r="X76" i="1" a="1"/>
  <c r="N70" i="1" a="1"/>
  <c r="S6" i="1" a="1"/>
  <c r="C76" i="1" a="1"/>
  <c r="O6" i="1" a="1"/>
  <c r="AH6" i="1" a="1"/>
  <c r="F34" i="1" a="1"/>
  <c r="AH42" i="1" a="1"/>
  <c r="AG42" i="1" a="1"/>
  <c r="V21" i="1" a="1"/>
  <c r="S76" i="1" a="1"/>
  <c r="R65" i="1" a="1"/>
  <c r="J6" i="1" a="1"/>
  <c r="AG65" i="1" a="1"/>
  <c r="Q65" i="1" a="1"/>
  <c r="AB6" i="1" a="1"/>
  <c r="L76" i="1" a="1"/>
  <c r="AH37" i="1" a="1"/>
  <c r="AE76" i="1" a="1"/>
  <c r="T76" i="1" a="1"/>
  <c r="Q18" i="1" a="1"/>
  <c r="W76" i="1" a="1"/>
  <c r="AF70" i="1" a="1"/>
  <c r="Y42" i="1" a="1"/>
  <c r="G42" i="1" a="1"/>
  <c r="AH70" i="1" a="1"/>
  <c r="S65" i="1" a="1"/>
  <c r="AA34" i="1" a="1"/>
  <c r="N69" i="1" a="1"/>
  <c r="Z76" i="1" a="1"/>
  <c r="AA76" i="1" a="1"/>
  <c r="H69" i="1" a="1"/>
  <c r="AA69" i="1" a="1"/>
  <c r="V42" i="1" a="1"/>
  <c r="K70" i="1" a="1"/>
  <c r="O21" i="1" a="1"/>
  <c r="J70" i="1" a="1"/>
  <c r="I42" i="1" a="1"/>
  <c r="W70" i="1" a="1"/>
  <c r="AA18" i="1" a="1"/>
  <c r="X65" i="1" a="1"/>
  <c r="AG6" i="1" a="1"/>
  <c r="C6" i="1" a="1"/>
  <c r="D21" i="1" a="1"/>
  <c r="M6" i="1" a="1"/>
  <c r="O76" i="1" a="1"/>
  <c r="M42" i="1" a="1"/>
  <c r="R37" i="1" a="1"/>
  <c r="Z21" i="1" a="1"/>
  <c r="K18" i="1" a="1"/>
  <c r="T6" i="1" a="1"/>
  <c r="C34" i="1" a="1"/>
  <c r="Q34" i="1" a="1"/>
  <c r="AD18" i="1" a="1"/>
  <c r="U6" i="1" a="1"/>
  <c r="Q6" i="1" a="1"/>
  <c r="AF18" i="1" a="1"/>
  <c r="K34" i="1" a="1"/>
  <c r="S34" i="1" a="1"/>
  <c r="AC70" i="1" a="1"/>
  <c r="W37" i="1" a="1"/>
  <c r="V76" i="1" a="1"/>
  <c r="Q76" i="1" a="1"/>
  <c r="AE70" i="1" a="1"/>
  <c r="U37" i="1" a="1"/>
  <c r="I76" i="1" a="1"/>
  <c r="O69" i="1" a="1"/>
  <c r="Z69" i="1" a="1"/>
  <c r="L34" i="1" a="1"/>
  <c r="AD70" i="1" a="1"/>
  <c r="H6" i="1" a="1"/>
  <c r="U18" i="1" a="1"/>
  <c r="AB70" i="1" a="1"/>
  <c r="M21" i="1" a="1"/>
  <c r="O70" i="1" a="1"/>
  <c r="P76" i="1" a="1"/>
  <c r="R6" i="1" a="1"/>
  <c r="N65" i="1" a="1"/>
  <c r="F6" i="1" a="1"/>
  <c r="F42" i="1" a="1"/>
  <c r="X18" i="1" a="1"/>
  <c r="N76" i="1" a="1"/>
  <c r="K76" i="1" a="1"/>
  <c r="I34" i="1" a="1"/>
  <c r="D70" i="1" a="1"/>
  <c r="Y65" i="1" a="1"/>
  <c r="AD76" i="1" a="1"/>
  <c r="L6" i="1" a="1"/>
  <c r="H37" i="1" a="1"/>
  <c r="Z34" i="1" a="1"/>
  <c r="J42" i="1" a="1"/>
  <c r="AA21" i="1" a="1"/>
  <c r="T42" i="1" a="1"/>
  <c r="G21" i="1" a="1"/>
  <c r="K37" i="1" a="1"/>
  <c r="D42" i="1" a="1"/>
  <c r="L18" i="1" a="1"/>
  <c r="AF37" i="1" a="1"/>
  <c r="Y18" i="1" a="1"/>
  <c r="H76" i="1" a="1"/>
  <c r="AH76" i="1" a="1"/>
  <c r="AE42" i="1" a="1"/>
  <c r="Z6" i="1" a="1"/>
  <c r="AG76" i="1" a="1"/>
  <c r="T21" i="1" a="1"/>
  <c r="T34" i="1" a="1"/>
  <c r="AB21" i="1" a="1"/>
  <c r="S18" i="1" a="1"/>
  <c r="T37" i="1" a="1"/>
  <c r="I6" i="1" a="1"/>
  <c r="U70" i="1" a="1"/>
  <c r="G76" i="1" a="1"/>
  <c r="AC37" i="1" a="1"/>
  <c r="AF42" i="1" a="1"/>
  <c r="AE69" i="1" a="1"/>
  <c r="AC42" i="1" a="1"/>
  <c r="M18" i="1" a="1"/>
  <c r="O34" i="1" a="1"/>
  <c r="AH21" i="1" a="1"/>
  <c r="C42" i="1" a="1"/>
  <c r="Z42" i="1" a="1"/>
  <c r="R70" i="1" a="1"/>
  <c r="AC21" i="1" a="1"/>
  <c r="T65" i="1" a="1"/>
  <c r="N37" i="1" a="1"/>
  <c r="AD34" i="1" a="1"/>
  <c r="C37" i="1" a="1"/>
  <c r="T18" i="1" a="1"/>
  <c r="W18" i="1" a="1"/>
  <c r="AD7" i="1" a="1"/>
  <c r="Y51" i="1" a="1"/>
  <c r="X67" i="1" a="1"/>
  <c r="J74" i="1" a="1"/>
  <c r="AB67" i="1" a="1"/>
  <c r="AB28" i="1" a="1"/>
  <c r="L51" i="1" a="1"/>
  <c r="H7" i="1" a="1"/>
  <c r="P28" i="1" a="1"/>
  <c r="V67" i="1" a="1"/>
  <c r="N60" i="1" a="1"/>
  <c r="W67" i="1" a="1"/>
  <c r="I41" i="1" a="1"/>
  <c r="K41" i="1" a="1"/>
  <c r="O51" i="1" a="1"/>
  <c r="P41" i="1" a="1"/>
  <c r="L41" i="1" a="1"/>
  <c r="G74" i="1" a="1"/>
  <c r="AB51" i="1" a="1"/>
  <c r="W41" i="1" a="1"/>
  <c r="C7" i="1" a="1"/>
  <c r="H58" i="1" a="1"/>
  <c r="AB60" i="1" a="1"/>
  <c r="I74" i="1" a="1"/>
  <c r="AB74" i="1" a="1"/>
  <c r="Y58" i="1" a="1"/>
  <c r="U51" i="1" a="1"/>
  <c r="D74" i="1" a="1"/>
  <c r="U60" i="1" a="1"/>
  <c r="R41" i="1" a="1"/>
  <c r="Q41" i="1" a="1"/>
  <c r="H60" i="1" a="1"/>
  <c r="V58" i="1" a="1"/>
  <c r="V7" i="1" a="1"/>
  <c r="D51" i="1" a="1"/>
  <c r="J67" i="1" a="1"/>
  <c r="AD74" i="1" a="1"/>
  <c r="N67" i="1" a="1"/>
  <c r="P60" i="1" a="1"/>
  <c r="F58" i="1" a="1"/>
  <c r="T60" i="1" a="1"/>
  <c r="G7" i="1" a="1"/>
  <c r="Z60" i="1" a="1"/>
  <c r="V60" i="1" a="1"/>
  <c r="W28" i="1" a="1"/>
  <c r="K28" i="1" a="1"/>
  <c r="D41" i="1" a="1"/>
  <c r="AF60" i="1" a="1"/>
  <c r="AD58" i="1" a="1"/>
  <c r="O28" i="1" a="1"/>
  <c r="G28" i="1" a="1"/>
  <c r="AG28" i="1" a="1"/>
  <c r="J41" i="1" a="1"/>
  <c r="P51" i="1" a="1"/>
  <c r="D28" i="1" a="1"/>
  <c r="AF7" i="1" a="1"/>
  <c r="Y74" i="1" a="1"/>
  <c r="Q51" i="1" a="1"/>
  <c r="AH28" i="1" a="1"/>
  <c r="E58" i="1" a="1"/>
  <c r="K7" i="1" a="1"/>
  <c r="AF74" i="1" a="1"/>
  <c r="R58" i="1" a="1"/>
  <c r="AH7" i="1" a="1"/>
  <c r="C74" i="1" a="1"/>
  <c r="W74" i="1" a="1"/>
  <c r="T58" i="1" a="1"/>
  <c r="U28" i="1" a="1"/>
  <c r="P74" i="1" a="1"/>
  <c r="AG58" i="1" a="1"/>
  <c r="U74" i="1" a="1"/>
  <c r="Y60" i="1" a="1"/>
  <c r="M74" i="1" a="1"/>
  <c r="AE58" i="1" a="1"/>
  <c r="M7" i="1" a="1"/>
  <c r="L74" i="1" a="1"/>
  <c r="V41" i="1" a="1"/>
  <c r="O7" i="1" a="1"/>
  <c r="C51" i="1" a="1"/>
  <c r="S60" i="1" a="1"/>
  <c r="H74" i="1" a="1"/>
  <c r="S41" i="1" a="1"/>
  <c r="E51" i="1" a="1"/>
  <c r="L7" i="1" a="1"/>
  <c r="AE74" i="1" a="1"/>
  <c r="F41" i="1" a="1"/>
  <c r="R28" i="1" a="1"/>
  <c r="AG41" i="1" a="1"/>
  <c r="T51" i="1" a="1"/>
  <c r="Y7" i="1" a="1"/>
  <c r="N58" i="1" a="1"/>
  <c r="AA28" i="1" a="1"/>
  <c r="S51" i="1" a="1"/>
  <c r="M41" i="1" a="1"/>
  <c r="AH41" i="1" a="1"/>
  <c r="J60" i="1" a="1"/>
  <c r="X58" i="1" a="1"/>
  <c r="N7" i="1" a="1"/>
  <c r="E74" i="1" a="1"/>
  <c r="Q28" i="1" a="1"/>
  <c r="N28" i="1" a="1"/>
  <c r="Q67" i="1" a="1"/>
  <c r="AE7" i="1" a="1"/>
  <c r="Z7" i="1" a="1"/>
  <c r="AG67" i="1" a="1"/>
  <c r="AG60" i="1" a="1"/>
  <c r="H28" i="1" a="1"/>
  <c r="W58" i="1" a="1"/>
  <c r="I51" i="1" a="1"/>
  <c r="Q74" i="1" a="1"/>
  <c r="D60" i="1" a="1"/>
  <c r="Z51" i="1" a="1"/>
  <c r="X51" i="1" a="1"/>
  <c r="F51" i="1" a="1"/>
  <c r="Q60" i="1" a="1"/>
  <c r="D67" i="1" a="1"/>
  <c r="S74" i="1" a="1"/>
  <c r="AE28" i="1" a="1"/>
  <c r="W51" i="1" a="1"/>
  <c r="O58" i="1" a="1"/>
  <c r="C60" i="1" a="1"/>
  <c r="AC67" i="1" a="1"/>
  <c r="I28" i="1" a="1"/>
  <c r="E60" i="1" a="1"/>
  <c r="X74" i="1" a="1"/>
  <c r="AA74" i="1" a="1"/>
  <c r="O74" i="1" a="1"/>
  <c r="K51" i="1" a="1"/>
  <c r="AF51" i="1" a="1"/>
  <c r="AA41" i="1" a="1"/>
  <c r="AE67" i="1" a="1"/>
  <c r="L28" i="1" a="1"/>
  <c r="L67" i="1" a="1"/>
  <c r="H67" i="1" a="1"/>
  <c r="V51" i="1" a="1"/>
  <c r="P58" i="1" a="1"/>
  <c r="AD67" i="1" a="1"/>
  <c r="T41" i="1" a="1"/>
  <c r="G58" i="1" a="1"/>
  <c r="M28" i="1" a="1"/>
  <c r="F28" i="1" a="1"/>
  <c r="E41" i="1" a="1"/>
  <c r="I67" i="1" a="1"/>
  <c r="C28" i="1" a="1"/>
  <c r="AB7" i="1" a="1"/>
  <c r="AG74" i="1" a="1"/>
  <c r="X41" i="1" a="1"/>
  <c r="AG7" i="1" a="1"/>
  <c r="AA51" i="1" a="1"/>
  <c r="AA60" i="1" a="1"/>
  <c r="X60" i="1" a="1"/>
  <c r="U67" i="1" a="1"/>
  <c r="AC41" i="1" a="1"/>
  <c r="C58" i="1" a="1"/>
  <c r="S28" i="1" a="1"/>
  <c r="Y67" i="1" a="1"/>
  <c r="O67" i="1" a="1"/>
  <c r="N51" i="1" a="1"/>
  <c r="F67" i="1" a="1"/>
  <c r="R60" i="1" a="1"/>
  <c r="AH67" i="1" a="1"/>
  <c r="AC74" i="1" a="1"/>
  <c r="AG51" i="1" a="1"/>
  <c r="J7" i="1" a="1"/>
  <c r="F7" i="1" a="1"/>
  <c r="W60" i="1" a="1"/>
  <c r="U58" i="1" a="1"/>
  <c r="AE51" i="1" a="1"/>
  <c r="AB41" i="1" a="1"/>
  <c r="AF58" i="1" a="1"/>
  <c r="F60" i="1" a="1"/>
  <c r="AD60" i="1" a="1"/>
  <c r="U41" i="1" a="1"/>
  <c r="J28" i="1" a="1"/>
  <c r="Y41" i="1" a="1"/>
  <c r="T28" i="1" a="1"/>
  <c r="AD41" i="1" a="1"/>
  <c r="G51" i="1" a="1"/>
  <c r="O41" i="1" a="1"/>
  <c r="M58" i="1" a="1"/>
  <c r="X7" i="1" a="1"/>
  <c r="Y28" i="1" a="1"/>
  <c r="I60" i="1" a="1"/>
  <c r="T74" i="1" a="1"/>
  <c r="P67" i="1" a="1"/>
  <c r="AH51" i="1" a="1"/>
  <c r="C67" i="1" a="1"/>
  <c r="D7" i="1" a="1"/>
  <c r="I58" i="1" a="1"/>
  <c r="G60" i="1" a="1"/>
  <c r="N74" i="1" a="1"/>
  <c r="Z28" i="1" a="1"/>
  <c r="Q7" i="1" a="1"/>
  <c r="X28" i="1" a="1"/>
  <c r="G67" i="1" a="1"/>
  <c r="C41" i="1" a="1"/>
  <c r="K67" i="1" a="1"/>
  <c r="D58" i="1" a="1"/>
  <c r="E67" i="1" a="1"/>
  <c r="L60" i="1" a="1"/>
  <c r="M51" i="1" a="1"/>
  <c r="U7" i="1" a="1"/>
  <c r="V74" i="1" a="1"/>
  <c r="M67" i="1" a="1"/>
  <c r="AE60" i="1" a="1"/>
  <c r="Q58" i="1" a="1"/>
  <c r="J51" i="1" a="1"/>
  <c r="Z67" i="1" a="1"/>
  <c r="G41" i="1" a="1"/>
  <c r="K60" i="1" a="1"/>
  <c r="AH58" i="1" a="1"/>
  <c r="AB58" i="1" a="1"/>
  <c r="E7" i="1" a="1"/>
  <c r="W7" i="1" a="1"/>
  <c r="R51" i="1" a="1"/>
  <c r="AE41" i="1" a="1"/>
  <c r="F74" i="1" a="1"/>
  <c r="L58" i="1" a="1"/>
  <c r="AF67" i="1" a="1"/>
  <c r="N41" i="1" a="1"/>
  <c r="V28" i="1" a="1"/>
  <c r="S58" i="1" a="1"/>
  <c r="AF28" i="1" a="1"/>
  <c r="J58" i="1" a="1"/>
  <c r="AA58" i="1" a="1"/>
  <c r="AC28" i="1" a="1"/>
  <c r="R74" i="1" a="1"/>
  <c r="AC58" i="1" a="1"/>
  <c r="Z58" i="1" a="1"/>
  <c r="Z74" i="1" a="1"/>
  <c r="K74" i="1" a="1"/>
  <c r="S7" i="1" a="1"/>
  <c r="H41" i="1" a="1"/>
  <c r="AH74" i="1" a="1"/>
  <c r="M60" i="1" a="1"/>
  <c r="AH60" i="1" a="1"/>
  <c r="AD51" i="1" a="1"/>
  <c r="Z41" i="1" a="1"/>
  <c r="H51" i="1" a="1"/>
  <c r="AA7" i="1" a="1"/>
  <c r="I7" i="1" a="1"/>
  <c r="S67" i="1" a="1"/>
  <c r="T7" i="1" a="1"/>
  <c r="AF41" i="1" a="1"/>
  <c r="E28" i="1" a="1"/>
  <c r="K58" i="1" a="1"/>
  <c r="R67" i="1" a="1"/>
  <c r="AD28" i="1" a="1"/>
  <c r="AC60" i="1" a="1"/>
  <c r="O60" i="1" a="1"/>
  <c r="AC7" i="1" a="1"/>
  <c r="AC51" i="1" a="1"/>
  <c r="R7" i="1" a="1"/>
  <c r="AA67" i="1" a="1"/>
  <c r="P7" i="1" a="1"/>
  <c r="T67" i="1" a="1"/>
  <c r="C17" i="1" l="1"/>
  <c r="L17" i="1"/>
  <c r="AH50" i="1"/>
  <c r="N50" i="1"/>
  <c r="P20" i="1"/>
  <c r="AD50" i="1"/>
  <c r="L22" i="1"/>
  <c r="N9" i="1"/>
  <c r="I53" i="1"/>
  <c r="N53" i="1"/>
  <c r="R27" i="1"/>
  <c r="P68" i="1"/>
  <c r="T17" i="1"/>
  <c r="Q20" i="1"/>
  <c r="K32" i="1"/>
  <c r="M53" i="1"/>
  <c r="D40" i="1"/>
  <c r="G68" i="1"/>
  <c r="X9" i="1"/>
  <c r="Z20" i="1"/>
  <c r="P22" i="1"/>
  <c r="Q50" i="1"/>
  <c r="N20" i="1"/>
  <c r="I20" i="1"/>
  <c r="AH9" i="1"/>
  <c r="T53" i="1"/>
  <c r="H53" i="1"/>
  <c r="AC50" i="1"/>
  <c r="K40" i="1"/>
  <c r="I50" i="1"/>
  <c r="AA32" i="1"/>
  <c r="W27" i="1"/>
  <c r="E27" i="1"/>
  <c r="AD32" i="1"/>
  <c r="W68" i="1"/>
  <c r="D9" i="1"/>
  <c r="Y32" i="1"/>
  <c r="J53" i="1"/>
  <c r="X27" i="1"/>
  <c r="V53" i="1"/>
  <c r="J22" i="1"/>
  <c r="G27" i="1"/>
  <c r="G22" i="1"/>
  <c r="M40" i="1"/>
  <c r="X17" i="1"/>
  <c r="X50" i="1"/>
  <c r="S20" i="1"/>
  <c r="F40" i="1"/>
  <c r="AF27" i="1"/>
  <c r="AB20" i="1"/>
  <c r="F50" i="1"/>
  <c r="AH20" i="1"/>
  <c r="AH32" i="1"/>
  <c r="T22" i="1"/>
  <c r="F20" i="1"/>
  <c r="AD17" i="1"/>
  <c r="X53" i="1"/>
  <c r="E50" i="1"/>
  <c r="E9" i="1"/>
  <c r="D50" i="1"/>
  <c r="AF50" i="1"/>
  <c r="Q22" i="1"/>
  <c r="M22" i="1"/>
  <c r="S9" i="1"/>
  <c r="U20" i="1"/>
  <c r="AG40" i="1"/>
  <c r="L68" i="1"/>
  <c r="N17" i="1"/>
  <c r="D27" i="1"/>
  <c r="F9" i="1"/>
  <c r="AC17" i="1"/>
  <c r="H27" i="1"/>
  <c r="Y50" i="1"/>
  <c r="F68" i="1"/>
  <c r="F17" i="1"/>
  <c r="AA40" i="1"/>
  <c r="U40" i="1"/>
  <c r="AH53" i="1"/>
  <c r="I32" i="1"/>
  <c r="AC32" i="1"/>
  <c r="G53" i="1"/>
  <c r="AA20" i="1"/>
  <c r="D68" i="1"/>
  <c r="AG27" i="1"/>
  <c r="X22" i="1"/>
  <c r="I27" i="1"/>
  <c r="W22" i="1"/>
  <c r="AB22" i="1"/>
  <c r="AA50" i="1"/>
  <c r="L27" i="1"/>
  <c r="AC9" i="1"/>
  <c r="K20" i="1"/>
  <c r="M32" i="1"/>
  <c r="AH22" i="1"/>
  <c r="AE22" i="1"/>
  <c r="AC22" i="1"/>
  <c r="T9" i="1"/>
  <c r="S32" i="1"/>
  <c r="S53" i="1"/>
  <c r="AH68" i="1"/>
  <c r="S22" i="1"/>
  <c r="O32" i="1"/>
  <c r="T50" i="1"/>
  <c r="L50" i="1"/>
  <c r="L53" i="1"/>
  <c r="L9" i="1"/>
  <c r="C40" i="1"/>
  <c r="Z68" i="1"/>
  <c r="V32" i="1"/>
  <c r="T40" i="1"/>
  <c r="U17" i="1"/>
  <c r="F22" i="1"/>
  <c r="AG50" i="1"/>
  <c r="D22" i="1"/>
  <c r="S68" i="1"/>
  <c r="K27" i="1"/>
  <c r="O9" i="1"/>
  <c r="R68" i="1"/>
  <c r="AB32" i="1"/>
  <c r="I40" i="1"/>
  <c r="K9" i="1"/>
  <c r="G40" i="1"/>
  <c r="N27" i="1"/>
  <c r="V68" i="1"/>
  <c r="P27" i="1"/>
  <c r="O22" i="1"/>
  <c r="AD27" i="1"/>
  <c r="Y20" i="1"/>
  <c r="H50" i="1"/>
  <c r="J17" i="1"/>
  <c r="Q32" i="1"/>
  <c r="AE50" i="1"/>
  <c r="K50" i="1"/>
  <c r="H32" i="1"/>
  <c r="AB27" i="1"/>
  <c r="P53" i="1"/>
  <c r="J40" i="1"/>
  <c r="Z32" i="1"/>
  <c r="W32" i="1"/>
  <c r="H20" i="1"/>
  <c r="K17" i="1"/>
  <c r="D17" i="1"/>
  <c r="J20" i="1"/>
  <c r="G17" i="1"/>
  <c r="L40" i="1"/>
  <c r="AC53" i="1"/>
  <c r="AD68" i="1"/>
  <c r="AF32" i="1"/>
  <c r="Z9" i="1"/>
  <c r="AG68" i="1"/>
  <c r="AB68" i="1"/>
  <c r="AE27" i="1"/>
  <c r="X68" i="1"/>
  <c r="C22" i="1"/>
  <c r="Z53" i="1"/>
  <c r="V17" i="1"/>
  <c r="R20" i="1"/>
  <c r="C53" i="1"/>
  <c r="V9" i="1"/>
  <c r="J9" i="1"/>
  <c r="E32" i="1"/>
  <c r="I68" i="1"/>
  <c r="I9" i="1"/>
  <c r="E17" i="1"/>
  <c r="AF17" i="1"/>
  <c r="O68" i="1"/>
  <c r="N68" i="1"/>
  <c r="Q68" i="1"/>
  <c r="M68" i="1"/>
  <c r="E22" i="1"/>
  <c r="AD53" i="1"/>
  <c r="Y53" i="1"/>
  <c r="K53" i="1"/>
  <c r="AH17" i="1"/>
  <c r="J27" i="1"/>
  <c r="AD22" i="1"/>
  <c r="N40" i="1"/>
  <c r="AC68" i="1"/>
  <c r="AF53" i="1"/>
  <c r="AH40" i="1"/>
  <c r="F27" i="1"/>
  <c r="AD20" i="1"/>
  <c r="AB53" i="1"/>
  <c r="U22" i="1"/>
  <c r="V20" i="1"/>
  <c r="H17" i="1"/>
  <c r="H9" i="1"/>
  <c r="O27" i="1"/>
  <c r="AH27" i="1"/>
  <c r="AA9" i="1"/>
  <c r="P32" i="1"/>
  <c r="E53" i="1"/>
  <c r="J32" i="1"/>
  <c r="K22" i="1"/>
  <c r="Z50" i="1"/>
  <c r="U68" i="1"/>
  <c r="AE9" i="1"/>
  <c r="H40" i="1"/>
  <c r="G32" i="1"/>
  <c r="Q9" i="1"/>
  <c r="V40" i="1"/>
  <c r="R53" i="1"/>
  <c r="G50" i="1"/>
  <c r="T32" i="1"/>
  <c r="X32" i="1"/>
  <c r="AB40" i="1"/>
  <c r="AB9" i="1"/>
  <c r="AF22" i="1"/>
  <c r="J68" i="1"/>
  <c r="I22" i="1"/>
  <c r="Q53" i="1"/>
  <c r="L32" i="1"/>
  <c r="O53" i="1"/>
  <c r="AF20" i="1"/>
  <c r="AJ10" i="1"/>
  <c r="R17" i="1"/>
  <c r="M20" i="1"/>
  <c r="C20" i="1"/>
  <c r="G9" i="1"/>
  <c r="S17" i="1"/>
  <c r="AE53" i="1"/>
  <c r="X40" i="1"/>
  <c r="AD9" i="1"/>
  <c r="V50" i="1"/>
  <c r="C50" i="1"/>
  <c r="Y22" i="1"/>
  <c r="F53" i="1"/>
  <c r="C68" i="1"/>
  <c r="AC40" i="1"/>
  <c r="T27" i="1"/>
  <c r="U32" i="1"/>
  <c r="AG20" i="1"/>
  <c r="AF9" i="1"/>
  <c r="U50" i="1"/>
  <c r="AE17" i="1"/>
  <c r="AE68" i="1"/>
  <c r="Q40" i="1"/>
  <c r="P50" i="1"/>
  <c r="AG22" i="1"/>
  <c r="R9" i="1"/>
  <c r="C9" i="1"/>
  <c r="D53" i="1"/>
  <c r="E20" i="1"/>
  <c r="H22" i="1"/>
  <c r="V22" i="1"/>
  <c r="W20" i="1"/>
  <c r="AE32" i="1"/>
  <c r="X20" i="1"/>
  <c r="H68" i="1"/>
  <c r="C32" i="1"/>
  <c r="AG9" i="1"/>
  <c r="K68" i="1"/>
  <c r="G20" i="1"/>
  <c r="U9" i="1"/>
  <c r="AE40" i="1"/>
  <c r="R50" i="1"/>
  <c r="AA22" i="1"/>
  <c r="O40" i="1"/>
  <c r="N22" i="1"/>
  <c r="AA53" i="1"/>
  <c r="W50" i="1"/>
  <c r="P40" i="1"/>
  <c r="N32" i="1"/>
  <c r="Z22" i="1"/>
  <c r="AJ35" i="1"/>
  <c r="C27" i="1"/>
  <c r="AA17" i="1"/>
  <c r="V27" i="1"/>
  <c r="O17" i="1"/>
  <c r="F32" i="1"/>
  <c r="S27" i="1"/>
  <c r="T68" i="1"/>
  <c r="M9" i="1"/>
  <c r="Z27" i="1"/>
  <c r="AI10" i="1"/>
  <c r="U27" i="1"/>
  <c r="M17" i="1"/>
  <c r="W53" i="1"/>
  <c r="L20" i="1"/>
  <c r="D20" i="1"/>
  <c r="O50" i="1"/>
  <c r="P9" i="1"/>
  <c r="AG53" i="1"/>
  <c r="Q27" i="1"/>
  <c r="AE20" i="1"/>
  <c r="AF68" i="1"/>
  <c r="AB50" i="1"/>
  <c r="Y27" i="1"/>
  <c r="AA27" i="1"/>
  <c r="W9" i="1"/>
  <c r="T20" i="1"/>
  <c r="Y68" i="1"/>
  <c r="E68" i="1"/>
  <c r="Z40" i="1"/>
  <c r="AG32" i="1"/>
  <c r="R22" i="1"/>
  <c r="R32" i="1"/>
  <c r="Z17" i="1"/>
  <c r="S50" i="1"/>
  <c r="I17" i="1"/>
  <c r="AB17" i="1"/>
  <c r="W17" i="1"/>
  <c r="O20" i="1"/>
  <c r="S40" i="1"/>
  <c r="Y40" i="1"/>
  <c r="AG17" i="1"/>
  <c r="Y9" i="1"/>
  <c r="E40" i="1"/>
  <c r="P17" i="1"/>
  <c r="AA68" i="1"/>
  <c r="U53" i="1"/>
  <c r="J50" i="1"/>
  <c r="W40" i="1"/>
  <c r="M27" i="1"/>
  <c r="Y17" i="1"/>
  <c r="Q17" i="1"/>
  <c r="R40" i="1"/>
  <c r="M50" i="1"/>
  <c r="D32" i="1"/>
  <c r="AC20" i="1"/>
  <c r="AF40" i="1"/>
  <c r="AD40" i="1"/>
  <c r="AC27" i="1"/>
  <c r="AI35" i="1"/>
  <c r="O29" i="1"/>
  <c r="AD30" i="1"/>
  <c r="AF25" i="1"/>
  <c r="S61" i="1"/>
  <c r="J4" i="1"/>
  <c r="I4" i="1"/>
  <c r="C30" i="1"/>
  <c r="Z25" i="1"/>
  <c r="T61" i="1"/>
  <c r="AF62" i="1"/>
  <c r="J57" i="1"/>
  <c r="E4" i="1"/>
  <c r="O33" i="1"/>
  <c r="AE47" i="1"/>
  <c r="T62" i="1"/>
  <c r="G25" i="1"/>
  <c r="K4" i="1"/>
  <c r="AB4" i="1"/>
  <c r="T4" i="1"/>
  <c r="L33" i="1"/>
  <c r="Q62" i="1"/>
  <c r="AE25" i="1"/>
  <c r="F47" i="1"/>
  <c r="D4" i="1"/>
  <c r="H57" i="1"/>
  <c r="G62" i="1"/>
  <c r="T33" i="1"/>
  <c r="X33" i="1"/>
  <c r="U33" i="1"/>
  <c r="C25" i="1"/>
  <c r="AH25" i="1"/>
  <c r="G30" i="1"/>
  <c r="K61" i="1"/>
  <c r="AC33" i="1"/>
  <c r="Z4" i="1"/>
  <c r="N29" i="1"/>
  <c r="W29" i="1"/>
  <c r="AE61" i="1"/>
  <c r="T57" i="1"/>
  <c r="S30" i="1"/>
  <c r="O62" i="1"/>
  <c r="X25" i="1"/>
  <c r="J25" i="1"/>
  <c r="AC59" i="1"/>
  <c r="U47" i="1"/>
  <c r="AD29" i="1"/>
  <c r="J61" i="1"/>
  <c r="F29" i="1"/>
  <c r="AH47" i="1"/>
  <c r="P33" i="1"/>
  <c r="N30" i="1"/>
  <c r="G29" i="1"/>
  <c r="AG33" i="1"/>
  <c r="T47" i="1"/>
  <c r="AF61" i="1"/>
  <c r="AC57" i="1"/>
  <c r="AD57" i="1"/>
  <c r="V30" i="1"/>
  <c r="S29" i="1"/>
  <c r="G61" i="1"/>
  <c r="Y61" i="1"/>
  <c r="Y59" i="1"/>
  <c r="H30" i="1"/>
  <c r="Z30" i="1"/>
  <c r="H61" i="1"/>
  <c r="I25" i="1"/>
  <c r="L30" i="1"/>
  <c r="N47" i="1"/>
  <c r="K47" i="1"/>
  <c r="Y25" i="1"/>
  <c r="S62" i="1"/>
  <c r="Y62" i="1"/>
  <c r="AG62" i="1"/>
  <c r="AC62" i="1"/>
  <c r="AE57" i="1"/>
  <c r="AC4" i="1"/>
  <c r="AD25" i="1"/>
  <c r="G47" i="1"/>
  <c r="H33" i="1"/>
  <c r="Q57" i="1"/>
  <c r="E57" i="1"/>
  <c r="S33" i="1"/>
  <c r="V57" i="1"/>
  <c r="Z62" i="1"/>
  <c r="I59" i="1"/>
  <c r="M62" i="1"/>
  <c r="W59" i="1"/>
  <c r="R47" i="1"/>
  <c r="Y4" i="1"/>
  <c r="U61" i="1"/>
  <c r="R59" i="1"/>
  <c r="H59" i="1"/>
  <c r="E33" i="1"/>
  <c r="Y33" i="1"/>
  <c r="S59" i="1"/>
  <c r="J30" i="1"/>
  <c r="U30" i="1"/>
  <c r="C57" i="1"/>
  <c r="Y29" i="1"/>
  <c r="J59" i="1"/>
  <c r="M29" i="1"/>
  <c r="P25" i="1"/>
  <c r="K62" i="1"/>
  <c r="E61" i="1"/>
  <c r="AE62" i="1"/>
  <c r="V47" i="1"/>
  <c r="AB29" i="1"/>
  <c r="Z29" i="1"/>
  <c r="AB57" i="1"/>
  <c r="T30" i="1"/>
  <c r="K29" i="1"/>
  <c r="C62" i="1"/>
  <c r="V4" i="1"/>
  <c r="Z59" i="1"/>
  <c r="AA25" i="1"/>
  <c r="N57" i="1"/>
  <c r="I62" i="1"/>
  <c r="S4" i="1"/>
  <c r="F59" i="1"/>
  <c r="C61" i="1"/>
  <c r="AE29" i="1"/>
  <c r="C59" i="1"/>
  <c r="D30" i="1"/>
  <c r="AF57" i="1"/>
  <c r="AH33" i="1"/>
  <c r="O25" i="1"/>
  <c r="AC29" i="1"/>
  <c r="F57" i="1"/>
  <c r="T59" i="1"/>
  <c r="L29" i="1"/>
  <c r="AA30" i="1"/>
  <c r="S25" i="1"/>
  <c r="M4" i="1"/>
  <c r="M33" i="1"/>
  <c r="AH29" i="1"/>
  <c r="F62" i="1"/>
  <c r="N25" i="1"/>
  <c r="E29" i="1"/>
  <c r="X59" i="1"/>
  <c r="P30" i="1"/>
  <c r="AD47" i="1"/>
  <c r="D29" i="1"/>
  <c r="G33" i="1"/>
  <c r="W57" i="1"/>
  <c r="AA29" i="1"/>
  <c r="AH57" i="1"/>
  <c r="Q4" i="1"/>
  <c r="E30" i="1"/>
  <c r="D25" i="1"/>
  <c r="AH61" i="1"/>
  <c r="AG47" i="1"/>
  <c r="J62" i="1"/>
  <c r="W25" i="1"/>
  <c r="AH30" i="1"/>
  <c r="P29" i="1"/>
  <c r="M30" i="1"/>
  <c r="X61" i="1"/>
  <c r="H29" i="1"/>
  <c r="K57" i="1"/>
  <c r="P47" i="1"/>
  <c r="AB62" i="1"/>
  <c r="R57" i="1"/>
  <c r="AB25" i="1"/>
  <c r="O59" i="1"/>
  <c r="Z47" i="1"/>
  <c r="G59" i="1"/>
  <c r="AF29" i="1"/>
  <c r="E62" i="1"/>
  <c r="C29" i="1"/>
  <c r="O30" i="1"/>
  <c r="N4" i="1"/>
  <c r="L47" i="1"/>
  <c r="M25" i="1"/>
  <c r="K25" i="1"/>
  <c r="X47" i="1"/>
  <c r="V62" i="1"/>
  <c r="P4" i="1"/>
  <c r="W33" i="1"/>
  <c r="X29" i="1"/>
  <c r="G4" i="1"/>
  <c r="AH62" i="1"/>
  <c r="L25" i="1"/>
  <c r="S47" i="1"/>
  <c r="N59" i="1"/>
  <c r="W62" i="1"/>
  <c r="AF33" i="1"/>
  <c r="AF4" i="1"/>
  <c r="W61" i="1"/>
  <c r="G57" i="1"/>
  <c r="N61" i="1"/>
  <c r="X57" i="1"/>
  <c r="O47" i="1"/>
  <c r="P57" i="1"/>
  <c r="H62" i="1"/>
  <c r="U4" i="1"/>
  <c r="L59" i="1"/>
  <c r="P61" i="1"/>
  <c r="U57" i="1"/>
  <c r="F4" i="1"/>
  <c r="P59" i="1"/>
  <c r="W4" i="1"/>
  <c r="AG61" i="1"/>
  <c r="C33" i="1"/>
  <c r="AB59" i="1"/>
  <c r="R62" i="1"/>
  <c r="AE33" i="1"/>
  <c r="D59" i="1"/>
  <c r="J47" i="1"/>
  <c r="AA62" i="1"/>
  <c r="L61" i="1"/>
  <c r="AF30" i="1"/>
  <c r="Z33" i="1"/>
  <c r="AG30" i="1"/>
  <c r="F33" i="1"/>
  <c r="X30" i="1"/>
  <c r="Z61" i="1"/>
  <c r="P62" i="1"/>
  <c r="K59" i="1"/>
  <c r="Q30" i="1"/>
  <c r="AA4" i="1"/>
  <c r="AC61" i="1"/>
  <c r="AB47" i="1"/>
  <c r="F30" i="1"/>
  <c r="I30" i="1"/>
  <c r="L4" i="1"/>
  <c r="R33" i="1"/>
  <c r="M57" i="1"/>
  <c r="AG29" i="1"/>
  <c r="T25" i="1"/>
  <c r="U29" i="1"/>
  <c r="AH4" i="1"/>
  <c r="E25" i="1"/>
  <c r="M61" i="1"/>
  <c r="AG25" i="1"/>
  <c r="V29" i="1"/>
  <c r="V33" i="1"/>
  <c r="AD4" i="1"/>
  <c r="AB61" i="1"/>
  <c r="AD62" i="1"/>
  <c r="H25" i="1"/>
  <c r="O61" i="1"/>
  <c r="K30" i="1"/>
  <c r="Z57" i="1"/>
  <c r="M47" i="1"/>
  <c r="AF59" i="1"/>
  <c r="AC47" i="1"/>
  <c r="V25" i="1"/>
  <c r="I33" i="1"/>
  <c r="Q25" i="1"/>
  <c r="R61" i="1"/>
  <c r="AH59" i="1"/>
  <c r="J29" i="1"/>
  <c r="AA47" i="1"/>
  <c r="W30" i="1"/>
  <c r="AA61" i="1"/>
  <c r="Q29" i="1"/>
  <c r="X62" i="1"/>
  <c r="U59" i="1"/>
  <c r="H47" i="1"/>
  <c r="AD61" i="1"/>
  <c r="E59" i="1"/>
  <c r="Q47" i="1"/>
  <c r="AE59" i="1"/>
  <c r="AB30" i="1"/>
  <c r="I61" i="1"/>
  <c r="AE30" i="1"/>
  <c r="S57" i="1"/>
  <c r="Q33" i="1"/>
  <c r="V59" i="1"/>
  <c r="I29" i="1"/>
  <c r="D61" i="1"/>
  <c r="D33" i="1"/>
  <c r="D47" i="1"/>
  <c r="AA57" i="1"/>
  <c r="AF47" i="1"/>
  <c r="X4" i="1"/>
  <c r="AG4" i="1"/>
  <c r="AC30" i="1"/>
  <c r="Q59" i="1"/>
  <c r="AG59" i="1"/>
  <c r="W47" i="1"/>
  <c r="O57" i="1"/>
  <c r="M59" i="1"/>
  <c r="Q61" i="1"/>
  <c r="R30" i="1"/>
  <c r="L57" i="1"/>
  <c r="N33" i="1"/>
  <c r="AE4" i="1"/>
  <c r="Y30" i="1"/>
  <c r="AA33" i="1"/>
  <c r="O4" i="1"/>
  <c r="T29" i="1"/>
  <c r="R4" i="1"/>
  <c r="AB33" i="1"/>
  <c r="C47" i="1"/>
  <c r="I47" i="1"/>
  <c r="AD59" i="1"/>
  <c r="AC25" i="1"/>
  <c r="C4" i="1"/>
  <c r="N62" i="1"/>
  <c r="E47" i="1"/>
  <c r="K33" i="1"/>
  <c r="H4" i="1"/>
  <c r="D57" i="1"/>
  <c r="R25" i="1"/>
  <c r="L62" i="1"/>
  <c r="I57" i="1"/>
  <c r="U62" i="1"/>
  <c r="Y57" i="1"/>
  <c r="AD33" i="1"/>
  <c r="Y47" i="1"/>
  <c r="U25" i="1"/>
  <c r="F61" i="1"/>
  <c r="D62" i="1"/>
  <c r="F25" i="1"/>
  <c r="AG57" i="1"/>
  <c r="J33" i="1"/>
  <c r="V61" i="1"/>
  <c r="AA59" i="1"/>
  <c r="R29" i="1"/>
  <c r="AK10" i="1"/>
  <c r="AK35" i="1"/>
  <c r="U23" i="1"/>
  <c r="R71" i="1"/>
  <c r="F56" i="1"/>
  <c r="Q52" i="1"/>
  <c r="N23" i="1"/>
  <c r="C55" i="1"/>
  <c r="AB44" i="1"/>
  <c r="AB3" i="1"/>
  <c r="C56" i="1"/>
  <c r="Z44" i="1"/>
  <c r="AB52" i="1"/>
  <c r="Q71" i="1"/>
  <c r="AA8" i="1"/>
  <c r="P52" i="1"/>
  <c r="AE26" i="1"/>
  <c r="K56" i="1"/>
  <c r="D56" i="1"/>
  <c r="Z10" i="1"/>
  <c r="V26" i="1"/>
  <c r="AC44" i="1"/>
  <c r="P44" i="1"/>
  <c r="M56" i="1"/>
  <c r="N55" i="1"/>
  <c r="AD44" i="1"/>
  <c r="O10" i="1"/>
  <c r="C44" i="1"/>
  <c r="Q26" i="1"/>
  <c r="O52" i="1"/>
  <c r="V71" i="1"/>
  <c r="G55" i="1"/>
  <c r="AF23" i="1"/>
  <c r="N26" i="1"/>
  <c r="V23" i="1"/>
  <c r="W56" i="1"/>
  <c r="J71" i="1"/>
  <c r="Y8" i="1"/>
  <c r="AD55" i="1"/>
  <c r="Y55" i="1"/>
  <c r="S56" i="1"/>
  <c r="AA26" i="1"/>
  <c r="AG8" i="1"/>
  <c r="J3" i="1"/>
  <c r="AG71" i="1"/>
  <c r="Z8" i="1"/>
  <c r="N56" i="1"/>
  <c r="AE8" i="1"/>
  <c r="D26" i="1"/>
  <c r="X8" i="1"/>
  <c r="AC55" i="1"/>
  <c r="J23" i="1"/>
  <c r="K10" i="1"/>
  <c r="D52" i="1"/>
  <c r="U52" i="1"/>
  <c r="Z23" i="1"/>
  <c r="R55" i="1"/>
  <c r="AG44" i="1"/>
  <c r="H8" i="1"/>
  <c r="L23" i="1"/>
  <c r="E8" i="1"/>
  <c r="C26" i="1"/>
  <c r="O56" i="1"/>
  <c r="Z71" i="1"/>
  <c r="AH44" i="1"/>
  <c r="AH23" i="1"/>
  <c r="S23" i="1"/>
  <c r="R8" i="1"/>
  <c r="S3" i="1"/>
  <c r="X56" i="1"/>
  <c r="M10" i="1"/>
  <c r="AG23" i="1"/>
  <c r="X44" i="1"/>
  <c r="Q10" i="1"/>
  <c r="E56" i="1"/>
  <c r="AF52" i="1"/>
  <c r="J56" i="1"/>
  <c r="X23" i="1"/>
  <c r="AB26" i="1"/>
  <c r="I10" i="1"/>
  <c r="C52" i="1"/>
  <c r="T26" i="1"/>
  <c r="E71" i="1"/>
  <c r="AE56" i="1"/>
  <c r="L3" i="1"/>
  <c r="Q3" i="1"/>
  <c r="C71" i="1"/>
  <c r="F3" i="1"/>
  <c r="AC10" i="1"/>
  <c r="AE23" i="1"/>
  <c r="Q44" i="1"/>
  <c r="P3" i="1"/>
  <c r="K3" i="1"/>
  <c r="AH71" i="1"/>
  <c r="N8" i="1"/>
  <c r="U3" i="1"/>
  <c r="F10" i="1"/>
  <c r="L55" i="1"/>
  <c r="D55" i="1"/>
  <c r="S8" i="1"/>
  <c r="G71" i="1"/>
  <c r="S55" i="1"/>
  <c r="V52" i="1"/>
  <c r="T8" i="1"/>
  <c r="Q55" i="1"/>
  <c r="F44" i="1"/>
  <c r="D71" i="1"/>
  <c r="AA71" i="1"/>
  <c r="I71" i="1"/>
  <c r="Y52" i="1"/>
  <c r="E3" i="1"/>
  <c r="R10" i="1"/>
  <c r="V3" i="1"/>
  <c r="AH52" i="1"/>
  <c r="H23" i="1"/>
  <c r="P71" i="1"/>
  <c r="W26" i="1"/>
  <c r="P23" i="1"/>
  <c r="AF3" i="1"/>
  <c r="L26" i="1"/>
  <c r="T56" i="1"/>
  <c r="AH26" i="1"/>
  <c r="Z55" i="1"/>
  <c r="R23" i="1"/>
  <c r="J26" i="1"/>
  <c r="R3" i="1"/>
  <c r="K44" i="1"/>
  <c r="P56" i="1"/>
  <c r="V55" i="1"/>
  <c r="P55" i="1"/>
  <c r="H55" i="1"/>
  <c r="W10" i="1"/>
  <c r="AF26" i="1"/>
  <c r="V8" i="1"/>
  <c r="AG26" i="1"/>
  <c r="O71" i="1"/>
  <c r="C3" i="1"/>
  <c r="N10" i="1"/>
  <c r="P10" i="1"/>
  <c r="O8" i="1"/>
  <c r="AA23" i="1"/>
  <c r="H71" i="1"/>
  <c r="I52" i="1"/>
  <c r="K71" i="1"/>
  <c r="Y3" i="1"/>
  <c r="Z56" i="1"/>
  <c r="N71" i="1"/>
  <c r="U44" i="1"/>
  <c r="AD52" i="1"/>
  <c r="F23" i="1"/>
  <c r="AC8" i="1"/>
  <c r="AD23" i="1"/>
  <c r="AA3" i="1"/>
  <c r="AA56" i="1"/>
  <c r="R56" i="1"/>
  <c r="AD3" i="1"/>
  <c r="E26" i="1"/>
  <c r="K55" i="1"/>
  <c r="S71" i="1"/>
  <c r="AH55" i="1"/>
  <c r="W3" i="1"/>
  <c r="AE55" i="1"/>
  <c r="AF44" i="1"/>
  <c r="V44" i="1"/>
  <c r="W71" i="1"/>
  <c r="U10" i="1"/>
  <c r="AH8" i="1"/>
  <c r="M23" i="1"/>
  <c r="AE52" i="1"/>
  <c r="I26" i="1"/>
  <c r="Z52" i="1"/>
  <c r="L44" i="1"/>
  <c r="J52" i="1"/>
  <c r="T3" i="1"/>
  <c r="H52" i="1"/>
  <c r="J55" i="1"/>
  <c r="H56" i="1"/>
  <c r="J10" i="1"/>
  <c r="H3" i="1"/>
  <c r="AF56" i="1"/>
  <c r="AD10" i="1"/>
  <c r="R52" i="1"/>
  <c r="T55" i="1"/>
  <c r="I44" i="1"/>
  <c r="AD56" i="1"/>
  <c r="X52" i="1"/>
  <c r="M8" i="1"/>
  <c r="L52" i="1"/>
  <c r="AD71" i="1"/>
  <c r="K26" i="1"/>
  <c r="U71" i="1"/>
  <c r="Z3" i="1"/>
  <c r="M44" i="1"/>
  <c r="AE10" i="1"/>
  <c r="AE3" i="1"/>
  <c r="M52" i="1"/>
  <c r="M71" i="1"/>
  <c r="S26" i="1"/>
  <c r="K23" i="1"/>
  <c r="P26" i="1"/>
  <c r="I23" i="1"/>
  <c r="AE44" i="1"/>
  <c r="U55" i="1"/>
  <c r="AG3" i="1"/>
  <c r="L56" i="1"/>
  <c r="G44" i="1"/>
  <c r="N3" i="1"/>
  <c r="C23" i="1"/>
  <c r="R26" i="1"/>
  <c r="AF71" i="1"/>
  <c r="X10" i="1"/>
  <c r="AA52" i="1"/>
  <c r="W55" i="1"/>
  <c r="AB10" i="1"/>
  <c r="J44" i="1"/>
  <c r="V56" i="1"/>
  <c r="F55" i="1"/>
  <c r="AD8" i="1"/>
  <c r="AB8" i="1"/>
  <c r="Y23" i="1"/>
  <c r="D44" i="1"/>
  <c r="AF10" i="1"/>
  <c r="W23" i="1"/>
  <c r="Y26" i="1"/>
  <c r="G8" i="1"/>
  <c r="L10" i="1"/>
  <c r="O55" i="1"/>
  <c r="O23" i="1"/>
  <c r="X3" i="1"/>
  <c r="G23" i="1"/>
  <c r="U26" i="1"/>
  <c r="Y44" i="1"/>
  <c r="S44" i="1"/>
  <c r="E10" i="1"/>
  <c r="T44" i="1"/>
  <c r="U8" i="1"/>
  <c r="T23" i="1"/>
  <c r="O26" i="1"/>
  <c r="O44" i="1"/>
  <c r="X26" i="1"/>
  <c r="AA55" i="1"/>
  <c r="D23" i="1"/>
  <c r="Z26" i="1"/>
  <c r="AB55" i="1"/>
  <c r="AC71" i="1"/>
  <c r="AC56" i="1"/>
  <c r="L71" i="1"/>
  <c r="AG52" i="1"/>
  <c r="W52" i="1"/>
  <c r="AE71" i="1"/>
  <c r="F71" i="1"/>
  <c r="Y56" i="1"/>
  <c r="Q23" i="1"/>
  <c r="AD26" i="1"/>
  <c r="Q8" i="1"/>
  <c r="K8" i="1"/>
  <c r="M3" i="1"/>
  <c r="G3" i="1"/>
  <c r="P8" i="1"/>
  <c r="I8" i="1"/>
  <c r="D8" i="1"/>
  <c r="AA10" i="1"/>
  <c r="AC52" i="1"/>
  <c r="C8" i="1"/>
  <c r="S10" i="1"/>
  <c r="E23" i="1"/>
  <c r="H10" i="1"/>
  <c r="M55" i="1"/>
  <c r="AA44" i="1"/>
  <c r="AF55" i="1"/>
  <c r="AC23" i="1"/>
  <c r="L8" i="1"/>
  <c r="U56" i="1"/>
  <c r="Q56" i="1"/>
  <c r="O3" i="1"/>
  <c r="Y10" i="1"/>
  <c r="C10" i="1"/>
  <c r="F26" i="1"/>
  <c r="T10" i="1"/>
  <c r="W44" i="1"/>
  <c r="G52" i="1"/>
  <c r="AC26" i="1"/>
  <c r="AH3" i="1"/>
  <c r="M26" i="1"/>
  <c r="K52" i="1"/>
  <c r="G26" i="1"/>
  <c r="R44" i="1"/>
  <c r="AB23" i="1"/>
  <c r="G56" i="1"/>
  <c r="AH10" i="1"/>
  <c r="X55" i="1"/>
  <c r="W8" i="1"/>
  <c r="Y71" i="1"/>
  <c r="I55" i="1"/>
  <c r="AB71" i="1"/>
  <c r="J8" i="1"/>
  <c r="AF8" i="1"/>
  <c r="X71" i="1"/>
  <c r="V10" i="1"/>
  <c r="T52" i="1"/>
  <c r="G10" i="1"/>
  <c r="AG55" i="1"/>
  <c r="E55" i="1"/>
  <c r="I3" i="1"/>
  <c r="D3" i="1"/>
  <c r="N44" i="1"/>
  <c r="E44" i="1"/>
  <c r="F8" i="1"/>
  <c r="D10" i="1"/>
  <c r="H26" i="1"/>
  <c r="AG56" i="1"/>
  <c r="E52" i="1"/>
  <c r="S52" i="1"/>
  <c r="F52" i="1"/>
  <c r="I56" i="1"/>
  <c r="AG10" i="1"/>
  <c r="AB56" i="1"/>
  <c r="N52" i="1"/>
  <c r="AC3" i="1"/>
  <c r="AH56" i="1"/>
  <c r="T71" i="1"/>
  <c r="H44" i="1"/>
  <c r="U54" i="1"/>
  <c r="AC54" i="1"/>
  <c r="T43" i="1"/>
  <c r="O73" i="1"/>
  <c r="AB73" i="1"/>
  <c r="K14" i="1"/>
  <c r="N35" i="1"/>
  <c r="X43" i="1"/>
  <c r="R73" i="1"/>
  <c r="AA15" i="1"/>
  <c r="Z73" i="1"/>
  <c r="C14" i="1"/>
  <c r="U72" i="1"/>
  <c r="Y43" i="1"/>
  <c r="AG24" i="1"/>
  <c r="H14" i="1"/>
  <c r="AA72" i="1"/>
  <c r="M63" i="1"/>
  <c r="S77" i="1"/>
  <c r="Y14" i="1"/>
  <c r="AH72" i="1"/>
  <c r="I35" i="1"/>
  <c r="E43" i="1"/>
  <c r="V63" i="1"/>
  <c r="G73" i="1"/>
  <c r="O72" i="1"/>
  <c r="T72" i="1"/>
  <c r="S72" i="1"/>
  <c r="Z14" i="1"/>
  <c r="H63" i="1"/>
  <c r="F14" i="1"/>
  <c r="J15" i="1"/>
  <c r="AF72" i="1"/>
  <c r="S14" i="1"/>
  <c r="K73" i="1"/>
  <c r="V14" i="1"/>
  <c r="H24" i="1"/>
  <c r="AD14" i="1"/>
  <c r="Z54" i="1"/>
  <c r="R15" i="1"/>
  <c r="U63" i="1"/>
  <c r="N72" i="1"/>
  <c r="M24" i="1"/>
  <c r="AF54" i="1"/>
  <c r="N14" i="1"/>
  <c r="M77" i="1"/>
  <c r="T35" i="1"/>
  <c r="E35" i="1"/>
  <c r="G54" i="1"/>
  <c r="P14" i="1"/>
  <c r="AH15" i="1"/>
  <c r="N77" i="1"/>
  <c r="F72" i="1"/>
  <c r="AA43" i="1"/>
  <c r="V24" i="1"/>
  <c r="AF63" i="1"/>
  <c r="AF73" i="1"/>
  <c r="M14" i="1"/>
  <c r="E54" i="1"/>
  <c r="N15" i="1"/>
  <c r="X73" i="1"/>
  <c r="G77" i="1"/>
  <c r="AB43" i="1"/>
  <c r="K24" i="1"/>
  <c r="K77" i="1"/>
  <c r="C35" i="1"/>
  <c r="D43" i="1"/>
  <c r="S73" i="1"/>
  <c r="AG54" i="1"/>
  <c r="K63" i="1"/>
  <c r="Y73" i="1"/>
  <c r="Q35" i="1"/>
  <c r="O35" i="1"/>
  <c r="P54" i="1"/>
  <c r="Y72" i="1"/>
  <c r="H43" i="1"/>
  <c r="AC73" i="1"/>
  <c r="L35" i="1"/>
  <c r="D15" i="1"/>
  <c r="AE63" i="1"/>
  <c r="K35" i="1"/>
  <c r="H15" i="1"/>
  <c r="P24" i="1"/>
  <c r="V15" i="1"/>
  <c r="AD54" i="1"/>
  <c r="O15" i="1"/>
  <c r="R72" i="1"/>
  <c r="L14" i="1"/>
  <c r="AB63" i="1"/>
  <c r="J77" i="1"/>
  <c r="R43" i="1"/>
  <c r="U14" i="1"/>
  <c r="I24" i="1"/>
  <c r="AG73" i="1"/>
  <c r="C72" i="1"/>
  <c r="L43" i="1"/>
  <c r="Q54" i="1"/>
  <c r="F54" i="1"/>
  <c r="S63" i="1"/>
  <c r="Y24" i="1"/>
  <c r="U15" i="1"/>
  <c r="M73" i="1"/>
  <c r="AH54" i="1"/>
  <c r="H77" i="1"/>
  <c r="D77" i="1"/>
  <c r="AD73" i="1"/>
  <c r="D72" i="1"/>
  <c r="F77" i="1"/>
  <c r="AH73" i="1"/>
  <c r="W73" i="1"/>
  <c r="C15" i="1"/>
  <c r="D14" i="1"/>
  <c r="T54" i="1"/>
  <c r="AC63" i="1"/>
  <c r="AB77" i="1"/>
  <c r="F15" i="1"/>
  <c r="AC35" i="1"/>
  <c r="AC24" i="1"/>
  <c r="P43" i="1"/>
  <c r="AG35" i="1"/>
  <c r="AA24" i="1"/>
  <c r="AA14" i="1"/>
  <c r="O43" i="1"/>
  <c r="W15" i="1"/>
  <c r="AE35" i="1"/>
  <c r="AA73" i="1"/>
  <c r="AB54" i="1"/>
  <c r="AE73" i="1"/>
  <c r="AA35" i="1"/>
  <c r="Z72" i="1"/>
  <c r="G15" i="1"/>
  <c r="AE72" i="1"/>
  <c r="T14" i="1"/>
  <c r="D73" i="1"/>
  <c r="AA77" i="1"/>
  <c r="AC72" i="1"/>
  <c r="Q43" i="1"/>
  <c r="E77" i="1"/>
  <c r="R63" i="1"/>
  <c r="Q72" i="1"/>
  <c r="AH24" i="1"/>
  <c r="M35" i="1"/>
  <c r="AH63" i="1"/>
  <c r="Z24" i="1"/>
  <c r="W14" i="1"/>
  <c r="V54" i="1"/>
  <c r="C24" i="1"/>
  <c r="T73" i="1"/>
  <c r="F24" i="1"/>
  <c r="AF35" i="1"/>
  <c r="L54" i="1"/>
  <c r="AE43" i="1"/>
  <c r="G14" i="1"/>
  <c r="AF15" i="1"/>
  <c r="P72" i="1"/>
  <c r="X63" i="1"/>
  <c r="L77" i="1"/>
  <c r="AH77" i="1"/>
  <c r="AD72" i="1"/>
  <c r="G43" i="1"/>
  <c r="U35" i="1"/>
  <c r="J43" i="1"/>
  <c r="AH43" i="1"/>
  <c r="C77" i="1"/>
  <c r="U24" i="1"/>
  <c r="D63" i="1"/>
  <c r="J63" i="1"/>
  <c r="M43" i="1"/>
  <c r="Q14" i="1"/>
  <c r="Y63" i="1"/>
  <c r="R14" i="1"/>
  <c r="G35" i="1"/>
  <c r="N43" i="1"/>
  <c r="Z43" i="1"/>
  <c r="O77" i="1"/>
  <c r="Q15" i="1"/>
  <c r="U77" i="1"/>
  <c r="I15" i="1"/>
  <c r="X24" i="1"/>
  <c r="AF14" i="1"/>
  <c r="V77" i="1"/>
  <c r="AA63" i="1"/>
  <c r="AH14" i="1"/>
  <c r="I43" i="1"/>
  <c r="AF77" i="1"/>
  <c r="J14" i="1"/>
  <c r="AD77" i="1"/>
  <c r="AC14" i="1"/>
  <c r="X77" i="1"/>
  <c r="H35" i="1"/>
  <c r="Z77" i="1"/>
  <c r="AB14" i="1"/>
  <c r="R24" i="1"/>
  <c r="F63" i="1"/>
  <c r="F73" i="1"/>
  <c r="W72" i="1"/>
  <c r="X72" i="1"/>
  <c r="L63" i="1"/>
  <c r="S54" i="1"/>
  <c r="E63" i="1"/>
  <c r="N63" i="1"/>
  <c r="P73" i="1"/>
  <c r="J35" i="1"/>
  <c r="Y54" i="1"/>
  <c r="AA54" i="1"/>
  <c r="S43" i="1"/>
  <c r="T63" i="1"/>
  <c r="AG15" i="1"/>
  <c r="I72" i="1"/>
  <c r="C73" i="1"/>
  <c r="J54" i="1"/>
  <c r="AD24" i="1"/>
  <c r="AG43" i="1"/>
  <c r="V43" i="1"/>
  <c r="P35" i="1"/>
  <c r="O14" i="1"/>
  <c r="M54" i="1"/>
  <c r="AE15" i="1"/>
  <c r="AB35" i="1"/>
  <c r="S15" i="1"/>
  <c r="D54" i="1"/>
  <c r="Q63" i="1"/>
  <c r="I14" i="1"/>
  <c r="C54" i="1"/>
  <c r="V73" i="1"/>
  <c r="S24" i="1"/>
  <c r="X35" i="1"/>
  <c r="L24" i="1"/>
  <c r="I73" i="1"/>
  <c r="E72" i="1"/>
  <c r="P15" i="1"/>
  <c r="N73" i="1"/>
  <c r="N24" i="1"/>
  <c r="G24" i="1"/>
  <c r="Q73" i="1"/>
  <c r="X15" i="1"/>
  <c r="X54" i="1"/>
  <c r="M72" i="1"/>
  <c r="I63" i="1"/>
  <c r="L72" i="1"/>
  <c r="O24" i="1"/>
  <c r="AE14" i="1"/>
  <c r="AB15" i="1"/>
  <c r="D24" i="1"/>
  <c r="T15" i="1"/>
  <c r="J73" i="1"/>
  <c r="K43" i="1"/>
  <c r="AG77" i="1"/>
  <c r="E14" i="1"/>
  <c r="AC77" i="1"/>
  <c r="W54" i="1"/>
  <c r="W35" i="1"/>
  <c r="W24" i="1"/>
  <c r="AG72" i="1"/>
  <c r="AG14" i="1"/>
  <c r="AC43" i="1"/>
  <c r="I54" i="1"/>
  <c r="H72" i="1"/>
  <c r="Z35" i="1"/>
  <c r="H54" i="1"/>
  <c r="AG63" i="1"/>
  <c r="Y77" i="1"/>
  <c r="O63" i="1"/>
  <c r="T77" i="1"/>
  <c r="Z15" i="1"/>
  <c r="D35" i="1"/>
  <c r="AE24" i="1"/>
  <c r="AB72" i="1"/>
  <c r="R35" i="1"/>
  <c r="U43" i="1"/>
  <c r="T24" i="1"/>
  <c r="G63" i="1"/>
  <c r="K15" i="1"/>
  <c r="Y15" i="1"/>
  <c r="Q24" i="1"/>
  <c r="L73" i="1"/>
  <c r="J72" i="1"/>
  <c r="O54" i="1"/>
  <c r="Q77" i="1"/>
  <c r="AD63" i="1"/>
  <c r="AF43" i="1"/>
  <c r="R54" i="1"/>
  <c r="C43" i="1"/>
  <c r="F35" i="1"/>
  <c r="AC15" i="1"/>
  <c r="AB24" i="1"/>
  <c r="F43" i="1"/>
  <c r="E73" i="1"/>
  <c r="AF24" i="1"/>
  <c r="AD35" i="1"/>
  <c r="S35" i="1"/>
  <c r="M15" i="1"/>
  <c r="X14" i="1"/>
  <c r="W63" i="1"/>
  <c r="AE54" i="1"/>
  <c r="L15" i="1"/>
  <c r="H73" i="1"/>
  <c r="V35" i="1"/>
  <c r="AD43" i="1"/>
  <c r="W43" i="1"/>
  <c r="W77" i="1"/>
  <c r="K72" i="1"/>
  <c r="AH35" i="1"/>
  <c r="Y35" i="1"/>
  <c r="V72" i="1"/>
  <c r="C63" i="1"/>
  <c r="I77" i="1"/>
  <c r="J24" i="1"/>
  <c r="E24" i="1"/>
  <c r="U73" i="1"/>
  <c r="N54" i="1"/>
  <c r="AD15" i="1"/>
  <c r="Z63" i="1"/>
  <c r="P63" i="1"/>
  <c r="K54" i="1"/>
  <c r="R77" i="1"/>
  <c r="E15" i="1"/>
  <c r="AE77" i="1"/>
  <c r="G72" i="1"/>
  <c r="P77" i="1"/>
  <c r="AI64" i="1"/>
  <c r="AJ64" i="1"/>
  <c r="AI37" i="1"/>
  <c r="AJ60" i="1"/>
  <c r="AI13" i="1"/>
  <c r="AJ13" i="1"/>
  <c r="AJ67" i="1"/>
  <c r="AI21" i="1"/>
  <c r="AJ45" i="1"/>
  <c r="AJ7" i="1"/>
  <c r="AJ74" i="1"/>
  <c r="AJ31" i="1"/>
  <c r="AI74" i="1"/>
  <c r="AI34" i="1"/>
  <c r="AI49" i="1"/>
  <c r="AJ36" i="1"/>
  <c r="AI6" i="1"/>
  <c r="AJ70" i="1"/>
  <c r="AJ18" i="1"/>
  <c r="AJ37" i="1"/>
  <c r="AJ75" i="1"/>
  <c r="AJ66" i="1"/>
  <c r="AI45" i="1"/>
  <c r="AI41" i="1"/>
  <c r="AJ11" i="1"/>
  <c r="AI42" i="1"/>
  <c r="AJ42" i="1"/>
  <c r="AJ69" i="1"/>
  <c r="AJ12" i="1"/>
  <c r="AI65" i="1"/>
  <c r="AI28" i="1"/>
  <c r="AI46" i="1"/>
  <c r="AJ39" i="1"/>
  <c r="AJ48" i="1"/>
  <c r="AJ58" i="1"/>
  <c r="AI18" i="1"/>
  <c r="AI38" i="1"/>
  <c r="AJ38" i="1"/>
  <c r="AJ28" i="1"/>
  <c r="AJ16" i="1"/>
  <c r="AI7" i="1"/>
  <c r="AI60" i="1"/>
  <c r="AI70" i="1"/>
  <c r="AI19" i="1"/>
  <c r="AI66" i="1"/>
  <c r="AJ19" i="1"/>
  <c r="AI75" i="1"/>
  <c r="AI2" i="1"/>
  <c r="AI67" i="1"/>
  <c r="AJ2" i="1"/>
  <c r="AJ41" i="1"/>
  <c r="AI48" i="1"/>
  <c r="AI69" i="1"/>
  <c r="AJ21" i="1"/>
  <c r="AJ46" i="1"/>
  <c r="AI39" i="1"/>
  <c r="AI78" i="1"/>
  <c r="AI31" i="1"/>
  <c r="AI5" i="1"/>
  <c r="AJ65" i="1"/>
  <c r="AJ5" i="1"/>
  <c r="AI11" i="1"/>
  <c r="AI79" i="1"/>
  <c r="AI51" i="1"/>
  <c r="AJ49" i="1"/>
  <c r="AJ78" i="1"/>
  <c r="AJ34" i="1"/>
  <c r="AJ51" i="1"/>
  <c r="AI12" i="1"/>
  <c r="AI16" i="1"/>
  <c r="AI36" i="1"/>
  <c r="AI58" i="1"/>
  <c r="AJ6" i="1"/>
  <c r="AJ79" i="1"/>
  <c r="AK13" i="1"/>
  <c r="AK45" i="1"/>
  <c r="AK48" i="1"/>
  <c r="AK65" i="1"/>
  <c r="AK78" i="1"/>
  <c r="AK79" i="1"/>
  <c r="AK64" i="1"/>
  <c r="Q12" i="1"/>
  <c r="D46" i="1"/>
  <c r="AH11" i="1"/>
  <c r="AF19" i="1"/>
  <c r="O16" i="1"/>
  <c r="R78" i="1"/>
  <c r="Y16" i="1"/>
  <c r="AE39" i="1"/>
  <c r="P19" i="1"/>
  <c r="AF16" i="1"/>
  <c r="T19" i="1"/>
  <c r="V45" i="1"/>
  <c r="I11" i="1"/>
  <c r="V16" i="1"/>
  <c r="D75" i="1"/>
  <c r="R75" i="1"/>
  <c r="C11" i="1"/>
  <c r="AD16" i="1"/>
  <c r="K19" i="1"/>
  <c r="I45" i="1"/>
  <c r="E75" i="1"/>
  <c r="T46" i="1"/>
  <c r="K78" i="1"/>
  <c r="Q36" i="1"/>
  <c r="AF46" i="1"/>
  <c r="AB39" i="1"/>
  <c r="AD36" i="1"/>
  <c r="P46" i="1"/>
  <c r="I78" i="1"/>
  <c r="C39" i="1"/>
  <c r="AB19" i="1"/>
  <c r="AD78" i="1"/>
  <c r="D39" i="1"/>
  <c r="N45" i="1"/>
  <c r="AD19" i="1"/>
  <c r="W16" i="1"/>
  <c r="S16" i="1"/>
  <c r="AA39" i="1"/>
  <c r="AB78" i="1"/>
  <c r="W36" i="1"/>
  <c r="C16" i="1"/>
  <c r="AK31" i="1"/>
  <c r="U75" i="1"/>
  <c r="G46" i="1"/>
  <c r="AH45" i="1"/>
  <c r="Q78" i="1"/>
  <c r="O78" i="1"/>
  <c r="AK34" i="1"/>
  <c r="O45" i="1"/>
  <c r="AK58" i="1"/>
  <c r="X39" i="1"/>
  <c r="AH36" i="1"/>
  <c r="F75" i="1"/>
  <c r="I46" i="1"/>
  <c r="Q46" i="1"/>
  <c r="G45" i="1"/>
  <c r="F12" i="1"/>
  <c r="Z11" i="1"/>
  <c r="L46" i="1"/>
  <c r="C36" i="1"/>
  <c r="AC16" i="1"/>
  <c r="W45" i="1"/>
  <c r="D19" i="1"/>
  <c r="Z46" i="1"/>
  <c r="P11" i="1"/>
  <c r="N39" i="1"/>
  <c r="Z36" i="1"/>
  <c r="G16" i="1"/>
  <c r="Y45" i="1"/>
  <c r="N16" i="1"/>
  <c r="X16" i="1"/>
  <c r="P12" i="1"/>
  <c r="M12" i="1"/>
  <c r="X78" i="1"/>
  <c r="P45" i="1"/>
  <c r="AD39" i="1"/>
  <c r="AH78" i="1"/>
  <c r="F39" i="1"/>
  <c r="L36" i="1"/>
  <c r="AD12" i="1"/>
  <c r="Z16" i="1"/>
  <c r="Y39" i="1"/>
  <c r="S12" i="1"/>
  <c r="AK60" i="1"/>
  <c r="F11" i="1"/>
  <c r="X11" i="1"/>
  <c r="AK49" i="1"/>
  <c r="AH12" i="1"/>
  <c r="H12" i="1"/>
  <c r="U45" i="1"/>
  <c r="Y19" i="1"/>
  <c r="AG11" i="1"/>
  <c r="D45" i="1"/>
  <c r="U16" i="1"/>
  <c r="AA11" i="1"/>
  <c r="AK5" i="1"/>
  <c r="AG16" i="1"/>
  <c r="F46" i="1"/>
  <c r="X46" i="1"/>
  <c r="AE12" i="1"/>
  <c r="AA46" i="1"/>
  <c r="N12" i="1"/>
  <c r="AE16" i="1"/>
  <c r="M46" i="1"/>
  <c r="J12" i="1"/>
  <c r="AE36" i="1"/>
  <c r="AE45" i="1"/>
  <c r="M39" i="1"/>
  <c r="R39" i="1"/>
  <c r="W12" i="1"/>
  <c r="M75" i="1"/>
  <c r="AA75" i="1"/>
  <c r="E12" i="1"/>
  <c r="J78" i="1"/>
  <c r="G11" i="1"/>
  <c r="P78" i="1"/>
  <c r="C12" i="1"/>
  <c r="Z45" i="1"/>
  <c r="AG78" i="1"/>
  <c r="AC11" i="1"/>
  <c r="Y12" i="1"/>
  <c r="T39" i="1"/>
  <c r="U19" i="1"/>
  <c r="J19" i="1"/>
  <c r="H45" i="1"/>
  <c r="AE46" i="1"/>
  <c r="AA36" i="1"/>
  <c r="AG46" i="1"/>
  <c r="AC39" i="1"/>
  <c r="W78" i="1"/>
  <c r="AB45" i="1"/>
  <c r="Y78" i="1"/>
  <c r="G75" i="1"/>
  <c r="E19" i="1"/>
  <c r="O12" i="1"/>
  <c r="AK28" i="1"/>
  <c r="AK51" i="1"/>
  <c r="O75" i="1"/>
  <c r="S39" i="1"/>
  <c r="M36" i="1"/>
  <c r="AK37" i="1"/>
  <c r="AK66" i="1"/>
  <c r="V78" i="1"/>
  <c r="M45" i="1"/>
  <c r="H75" i="1"/>
  <c r="S75" i="1"/>
  <c r="AG12" i="1"/>
  <c r="W39" i="1"/>
  <c r="R46" i="1"/>
  <c r="N46" i="1"/>
  <c r="L11" i="1"/>
  <c r="Q39" i="1"/>
  <c r="AF36" i="1"/>
  <c r="I12" i="1"/>
  <c r="AC45" i="1"/>
  <c r="L78" i="1"/>
  <c r="H16" i="1"/>
  <c r="AB46" i="1"/>
  <c r="K46" i="1"/>
  <c r="AG75" i="1"/>
  <c r="AF45" i="1"/>
  <c r="F16" i="1"/>
  <c r="L45" i="1"/>
  <c r="AE75" i="1"/>
  <c r="W11" i="1"/>
  <c r="AH19" i="1"/>
  <c r="H46" i="1"/>
  <c r="G19" i="1"/>
  <c r="R16" i="1"/>
  <c r="K75" i="1"/>
  <c r="V46" i="1"/>
  <c r="U78" i="1"/>
  <c r="M11" i="1"/>
  <c r="U11" i="1"/>
  <c r="J11" i="1"/>
  <c r="O19" i="1"/>
  <c r="AD11" i="1"/>
  <c r="AB11" i="1"/>
  <c r="AC12" i="1"/>
  <c r="V12" i="1"/>
  <c r="N11" i="1"/>
  <c r="U12" i="1"/>
  <c r="AD75" i="1"/>
  <c r="T45" i="1"/>
  <c r="N75" i="1"/>
  <c r="T75" i="1"/>
  <c r="I19" i="1"/>
  <c r="AK38" i="1"/>
  <c r="AK67" i="1"/>
  <c r="I75" i="1"/>
  <c r="AF12" i="1"/>
  <c r="E36" i="1"/>
  <c r="C46" i="1"/>
  <c r="R12" i="1"/>
  <c r="AG19" i="1"/>
  <c r="M19" i="1"/>
  <c r="E39" i="1"/>
  <c r="I36" i="1"/>
  <c r="AC75" i="1"/>
  <c r="AB75" i="1"/>
  <c r="E78" i="1"/>
  <c r="S36" i="1"/>
  <c r="AC36" i="1"/>
  <c r="D16" i="1"/>
  <c r="AA16" i="1"/>
  <c r="W19" i="1"/>
  <c r="Q16" i="1"/>
  <c r="Z78" i="1"/>
  <c r="Y46" i="1"/>
  <c r="F36" i="1"/>
  <c r="F19" i="1"/>
  <c r="AG39" i="1"/>
  <c r="Z75" i="1"/>
  <c r="R19" i="1"/>
  <c r="K16" i="1"/>
  <c r="N19" i="1"/>
  <c r="H11" i="1"/>
  <c r="V19" i="1"/>
  <c r="AB36" i="1"/>
  <c r="S46" i="1"/>
  <c r="U36" i="1"/>
  <c r="G36" i="1"/>
  <c r="Q45" i="1"/>
  <c r="L75" i="1"/>
  <c r="AK69" i="1"/>
  <c r="P16" i="1"/>
  <c r="S19" i="1"/>
  <c r="AK7" i="1"/>
  <c r="L19" i="1"/>
  <c r="Q19" i="1"/>
  <c r="AC46" i="1"/>
  <c r="T11" i="1"/>
  <c r="AH16" i="1"/>
  <c r="AF11" i="1"/>
  <c r="V39" i="1"/>
  <c r="Z19" i="1"/>
  <c r="P36" i="1"/>
  <c r="Y36" i="1"/>
  <c r="G78" i="1"/>
  <c r="AK18" i="1"/>
  <c r="AK41" i="1"/>
  <c r="G39" i="1"/>
  <c r="N36" i="1"/>
  <c r="AG36" i="1"/>
  <c r="C45" i="1"/>
  <c r="F45" i="1"/>
  <c r="E16" i="1"/>
  <c r="X19" i="1"/>
  <c r="X45" i="1"/>
  <c r="O11" i="1"/>
  <c r="J45" i="1"/>
  <c r="K11" i="1"/>
  <c r="Y75" i="1"/>
  <c r="AE78" i="1"/>
  <c r="U39" i="1"/>
  <c r="AB12" i="1"/>
  <c r="J46" i="1"/>
  <c r="E45" i="1"/>
  <c r="R45" i="1"/>
  <c r="C78" i="1"/>
  <c r="D11" i="1"/>
  <c r="G12" i="1"/>
  <c r="X75" i="1"/>
  <c r="AH75" i="1"/>
  <c r="K36" i="1"/>
  <c r="W75" i="1"/>
  <c r="K39" i="1"/>
  <c r="R11" i="1"/>
  <c r="D36" i="1"/>
  <c r="H19" i="1"/>
  <c r="AF78" i="1"/>
  <c r="C19" i="1"/>
  <c r="D78" i="1"/>
  <c r="X12" i="1"/>
  <c r="Q11" i="1"/>
  <c r="T36" i="1"/>
  <c r="AH46" i="1"/>
  <c r="AD46" i="1"/>
  <c r="H78" i="1"/>
  <c r="O46" i="1"/>
  <c r="J75" i="1"/>
  <c r="F78" i="1"/>
  <c r="Z39" i="1"/>
  <c r="M16" i="1"/>
  <c r="AA19" i="1"/>
  <c r="E11" i="1"/>
  <c r="AA45" i="1"/>
  <c r="AF75" i="1"/>
  <c r="L16" i="1"/>
  <c r="AA12" i="1"/>
  <c r="R36" i="1"/>
  <c r="AC19" i="1"/>
  <c r="L12" i="1"/>
  <c r="J16" i="1"/>
  <c r="C75" i="1"/>
  <c r="AK6" i="1"/>
  <c r="AE11" i="1"/>
  <c r="P75" i="1"/>
  <c r="T12" i="1"/>
  <c r="W46" i="1"/>
  <c r="AK2" i="1"/>
  <c r="L39" i="1"/>
  <c r="O39" i="1"/>
  <c r="J39" i="1"/>
  <c r="O36" i="1"/>
  <c r="P39" i="1"/>
  <c r="H36" i="1"/>
  <c r="T16" i="1"/>
  <c r="U46" i="1"/>
  <c r="AD45" i="1"/>
  <c r="AE19" i="1"/>
  <c r="AG45" i="1"/>
  <c r="J36" i="1"/>
  <c r="AK21" i="1"/>
  <c r="AK74" i="1"/>
  <c r="T78" i="1"/>
  <c r="I16" i="1"/>
  <c r="V36" i="1"/>
  <c r="K12" i="1"/>
  <c r="AB16" i="1"/>
  <c r="S45" i="1"/>
  <c r="H39" i="1"/>
  <c r="I39" i="1"/>
  <c r="S78" i="1"/>
  <c r="AH39" i="1"/>
  <c r="D12" i="1"/>
  <c r="Z12" i="1"/>
  <c r="X36" i="1"/>
  <c r="AK42" i="1"/>
  <c r="V11" i="1"/>
  <c r="K45" i="1"/>
  <c r="AA78" i="1"/>
  <c r="V75" i="1"/>
  <c r="S11" i="1"/>
  <c r="E46" i="1"/>
  <c r="Q75" i="1"/>
  <c r="AC78" i="1"/>
  <c r="Y11" i="1"/>
  <c r="AF39" i="1"/>
  <c r="M78" i="1"/>
  <c r="N78" i="1"/>
  <c r="AK70" i="1"/>
  <c r="D5" i="1"/>
  <c r="T38" i="1"/>
  <c r="P48" i="1"/>
  <c r="U5" i="1"/>
  <c r="N49" i="1"/>
  <c r="F2" i="1"/>
  <c r="M48" i="1"/>
  <c r="AD5" i="1"/>
  <c r="T64" i="1"/>
  <c r="Q49" i="1"/>
  <c r="AD64" i="1"/>
  <c r="AA79" i="1"/>
  <c r="I49" i="1"/>
  <c r="S5" i="1"/>
  <c r="U49" i="1"/>
  <c r="Z13" i="1"/>
  <c r="P79" i="1"/>
  <c r="E64" i="1"/>
  <c r="AH49" i="1"/>
  <c r="T79" i="1"/>
  <c r="H2" i="1"/>
  <c r="D48" i="1"/>
  <c r="R79" i="1"/>
  <c r="H64" i="1"/>
  <c r="Y2" i="1"/>
  <c r="G48" i="1"/>
  <c r="U31" i="1"/>
  <c r="R66" i="1"/>
  <c r="M38" i="1"/>
  <c r="AF2" i="1"/>
  <c r="H66" i="1"/>
  <c r="W38" i="1"/>
  <c r="P5" i="1"/>
  <c r="C38" i="1"/>
  <c r="C5" i="1"/>
  <c r="L31" i="1"/>
  <c r="AG31" i="1"/>
  <c r="L49" i="1"/>
  <c r="AE38" i="1"/>
  <c r="AG64" i="1"/>
  <c r="D66" i="1"/>
  <c r="L38" i="1"/>
  <c r="AA5" i="1"/>
  <c r="AD13" i="1"/>
  <c r="V31" i="1"/>
  <c r="D31" i="1"/>
  <c r="X49" i="1"/>
  <c r="Z2" i="1"/>
  <c r="G49" i="1"/>
  <c r="Y49" i="1"/>
  <c r="S66" i="1"/>
  <c r="I79" i="1"/>
  <c r="Y5" i="1"/>
  <c r="F5" i="1"/>
  <c r="AC13" i="1"/>
  <c r="AD79" i="1"/>
  <c r="O2" i="1"/>
  <c r="AB64" i="1"/>
  <c r="AF38" i="1"/>
  <c r="Y64" i="1"/>
  <c r="J66" i="1"/>
  <c r="C31" i="1"/>
  <c r="F49" i="1"/>
  <c r="F38" i="1"/>
  <c r="W48" i="1"/>
  <c r="U2" i="1"/>
  <c r="V2" i="1"/>
  <c r="AH48" i="1"/>
  <c r="AF49" i="1"/>
  <c r="N48" i="1"/>
  <c r="W31" i="1"/>
  <c r="C13" i="1"/>
  <c r="M49" i="1"/>
  <c r="AH2" i="1"/>
  <c r="O66" i="1"/>
  <c r="Q2" i="1"/>
  <c r="Z5" i="1"/>
  <c r="P31" i="1"/>
  <c r="AE49" i="1"/>
  <c r="AA48" i="1"/>
  <c r="AB31" i="1"/>
  <c r="W5" i="1"/>
  <c r="L66" i="1"/>
  <c r="Z38" i="1"/>
  <c r="V49" i="1"/>
  <c r="F48" i="1"/>
  <c r="M64" i="1"/>
  <c r="X2" i="1"/>
  <c r="V66" i="1"/>
  <c r="I64" i="1"/>
  <c r="K49" i="1"/>
  <c r="AC64" i="1"/>
  <c r="K79" i="1"/>
  <c r="O5" i="1"/>
  <c r="S31" i="1"/>
  <c r="G5" i="1"/>
  <c r="M13" i="1"/>
  <c r="AB49" i="1"/>
  <c r="M31" i="1"/>
  <c r="P64" i="1"/>
  <c r="X38" i="1"/>
  <c r="V38" i="1"/>
  <c r="Z49" i="1"/>
  <c r="X66" i="1"/>
  <c r="C48" i="1"/>
  <c r="E2" i="1"/>
  <c r="AE31" i="1"/>
  <c r="L2" i="1"/>
  <c r="W79" i="1"/>
  <c r="N13" i="1"/>
  <c r="G66" i="1"/>
  <c r="AB48" i="1"/>
  <c r="C49" i="1"/>
  <c r="N5" i="1"/>
  <c r="N79" i="1"/>
  <c r="U79" i="1"/>
  <c r="I2" i="1"/>
  <c r="L13" i="1"/>
  <c r="AD38" i="1"/>
  <c r="O48" i="1"/>
  <c r="D49" i="1"/>
  <c r="J79" i="1"/>
  <c r="Y48" i="1"/>
  <c r="AH64" i="1"/>
  <c r="AE5" i="1"/>
  <c r="AE64" i="1"/>
  <c r="R48" i="1"/>
  <c r="G13" i="1"/>
  <c r="E79" i="1"/>
  <c r="Q13" i="1"/>
  <c r="S64" i="1"/>
  <c r="R64" i="1"/>
  <c r="I38" i="1"/>
  <c r="D64" i="1"/>
  <c r="AH5" i="1"/>
  <c r="H49" i="1"/>
  <c r="T49" i="1"/>
  <c r="F66" i="1"/>
  <c r="S38" i="1"/>
  <c r="AC79" i="1"/>
  <c r="N2" i="1"/>
  <c r="AD66" i="1"/>
  <c r="J38" i="1"/>
  <c r="J5" i="1"/>
  <c r="AB2" i="1"/>
  <c r="AD48" i="1"/>
  <c r="AC2" i="1"/>
  <c r="AB79" i="1"/>
  <c r="Z48" i="1"/>
  <c r="K31" i="1"/>
  <c r="R13" i="1"/>
  <c r="Q5" i="1"/>
  <c r="AD2" i="1"/>
  <c r="AG13" i="1"/>
  <c r="S48" i="1"/>
  <c r="D2" i="1"/>
  <c r="T2" i="1"/>
  <c r="Q48" i="1"/>
  <c r="AE13" i="1"/>
  <c r="Z31" i="1"/>
  <c r="O49" i="1"/>
  <c r="AG38" i="1"/>
  <c r="F31" i="1"/>
  <c r="AF64" i="1"/>
  <c r="AB13" i="1"/>
  <c r="W64" i="1"/>
  <c r="L79" i="1"/>
  <c r="H79" i="1"/>
  <c r="L64" i="1"/>
  <c r="T13" i="1"/>
  <c r="I48" i="1"/>
  <c r="C64" i="1"/>
  <c r="AF48" i="1"/>
  <c r="Z64" i="1"/>
  <c r="X64" i="1"/>
  <c r="AG49" i="1"/>
  <c r="J49" i="1"/>
  <c r="K48" i="1"/>
  <c r="X5" i="1"/>
  <c r="F64" i="1"/>
  <c r="N38" i="1"/>
  <c r="V79" i="1"/>
  <c r="W2" i="1"/>
  <c r="S2" i="1"/>
  <c r="Z79" i="1"/>
  <c r="S79" i="1"/>
  <c r="D79" i="1"/>
  <c r="Q79" i="1"/>
  <c r="Y38" i="1"/>
  <c r="AH38" i="1"/>
  <c r="U48" i="1"/>
  <c r="C2" i="1"/>
  <c r="AE2" i="1"/>
  <c r="H13" i="1"/>
  <c r="J31" i="1"/>
  <c r="F13" i="1"/>
  <c r="K66" i="1"/>
  <c r="AA13" i="1"/>
  <c r="J13" i="1"/>
  <c r="C66" i="1"/>
  <c r="AC31" i="1"/>
  <c r="U66" i="1"/>
  <c r="AG48" i="1"/>
  <c r="AA31" i="1"/>
  <c r="Z66" i="1"/>
  <c r="AC49" i="1"/>
  <c r="H48" i="1"/>
  <c r="E48" i="1"/>
  <c r="C79" i="1"/>
  <c r="Y79" i="1"/>
  <c r="T48" i="1"/>
  <c r="K5" i="1"/>
  <c r="AC48" i="1"/>
  <c r="AB66" i="1"/>
  <c r="AE66" i="1"/>
  <c r="N66" i="1"/>
  <c r="E49" i="1"/>
  <c r="M5" i="1"/>
  <c r="M66" i="1"/>
  <c r="AD31" i="1"/>
  <c r="J48" i="1"/>
  <c r="AA64" i="1"/>
  <c r="E38" i="1"/>
  <c r="AH13" i="1"/>
  <c r="M79" i="1"/>
  <c r="X31" i="1"/>
  <c r="R31" i="1"/>
  <c r="V13" i="1"/>
  <c r="S49" i="1"/>
  <c r="AE79" i="1"/>
  <c r="G64" i="1"/>
  <c r="AF79" i="1"/>
  <c r="D38" i="1"/>
  <c r="AC66" i="1"/>
  <c r="N64" i="1"/>
  <c r="AF31" i="1"/>
  <c r="T5" i="1"/>
  <c r="R49" i="1"/>
  <c r="Q38" i="1"/>
  <c r="V5" i="1"/>
  <c r="J2" i="1"/>
  <c r="L48" i="1"/>
  <c r="O13" i="1"/>
  <c r="E13" i="1"/>
  <c r="P66" i="1"/>
  <c r="AE48" i="1"/>
  <c r="AA2" i="1"/>
  <c r="W13" i="1"/>
  <c r="P38" i="1"/>
  <c r="X13" i="1"/>
  <c r="Q31" i="1"/>
  <c r="O31" i="1"/>
  <c r="M2" i="1"/>
  <c r="X48" i="1"/>
  <c r="R38" i="1"/>
  <c r="I31" i="1"/>
  <c r="O79" i="1"/>
  <c r="F79" i="1"/>
  <c r="P2" i="1"/>
  <c r="K2" i="1"/>
  <c r="T66" i="1"/>
  <c r="AG2" i="1"/>
  <c r="AG5" i="1"/>
  <c r="U64" i="1"/>
  <c r="Q64" i="1"/>
  <c r="AC5" i="1"/>
  <c r="O64" i="1"/>
  <c r="AH79" i="1"/>
  <c r="R5" i="1"/>
  <c r="AA49" i="1"/>
  <c r="V64" i="1"/>
  <c r="L5" i="1"/>
  <c r="AC38" i="1"/>
  <c r="O38" i="1"/>
  <c r="G2" i="1"/>
  <c r="P49" i="1"/>
  <c r="G31" i="1"/>
  <c r="AF13" i="1"/>
  <c r="Y13" i="1"/>
  <c r="N31" i="1"/>
  <c r="H38" i="1"/>
  <c r="E31" i="1"/>
  <c r="U13" i="1"/>
  <c r="E5" i="1"/>
  <c r="AA38" i="1"/>
  <c r="X79" i="1"/>
  <c r="AD49" i="1"/>
  <c r="W66" i="1"/>
  <c r="T31" i="1"/>
  <c r="W49" i="1"/>
  <c r="K13" i="1"/>
  <c r="AH66" i="1"/>
  <c r="Q66" i="1"/>
  <c r="I66" i="1"/>
  <c r="I13" i="1"/>
  <c r="G79" i="1"/>
  <c r="Y66" i="1"/>
  <c r="G38" i="1"/>
  <c r="R2" i="1"/>
  <c r="P13" i="1"/>
  <c r="E66" i="1"/>
  <c r="D13" i="1"/>
  <c r="S13" i="1"/>
  <c r="AG66" i="1"/>
  <c r="U38" i="1"/>
  <c r="I5" i="1"/>
  <c r="J64" i="1"/>
  <c r="V48" i="1"/>
  <c r="AF5" i="1"/>
  <c r="H31" i="1"/>
  <c r="Y31" i="1"/>
  <c r="AF66" i="1"/>
  <c r="K38" i="1"/>
  <c r="AH31" i="1"/>
  <c r="AG79" i="1"/>
  <c r="AB38" i="1"/>
  <c r="H5" i="1"/>
  <c r="AA66" i="1"/>
  <c r="K64" i="1"/>
  <c r="AB5" i="1"/>
  <c r="W18" i="1"/>
  <c r="T18" i="1"/>
  <c r="C37" i="1"/>
  <c r="AD34" i="1"/>
  <c r="N37" i="1"/>
  <c r="T65" i="1"/>
  <c r="AC21" i="1"/>
  <c r="R70" i="1"/>
  <c r="Z42" i="1"/>
  <c r="C42" i="1"/>
  <c r="AH21" i="1"/>
  <c r="O34" i="1"/>
  <c r="M18" i="1"/>
  <c r="AC42" i="1"/>
  <c r="AE69" i="1"/>
  <c r="AF42" i="1"/>
  <c r="AC37" i="1"/>
  <c r="G76" i="1"/>
  <c r="U70" i="1"/>
  <c r="I6" i="1"/>
  <c r="T37" i="1"/>
  <c r="S18" i="1"/>
  <c r="AB21" i="1"/>
  <c r="T34" i="1"/>
  <c r="T21" i="1"/>
  <c r="AG76" i="1"/>
  <c r="Z6" i="1"/>
  <c r="AE42" i="1"/>
  <c r="AH76" i="1"/>
  <c r="H76" i="1"/>
  <c r="Y18" i="1"/>
  <c r="AF37" i="1"/>
  <c r="L18" i="1"/>
  <c r="D42" i="1"/>
  <c r="K37" i="1"/>
  <c r="G21" i="1"/>
  <c r="T42" i="1"/>
  <c r="AA21" i="1"/>
  <c r="J42" i="1"/>
  <c r="Z34" i="1"/>
  <c r="H37" i="1"/>
  <c r="L6" i="1"/>
  <c r="AD76" i="1"/>
  <c r="Y65" i="1"/>
  <c r="D70" i="1"/>
  <c r="I34" i="1"/>
  <c r="K76" i="1"/>
  <c r="N76" i="1"/>
  <c r="X18" i="1"/>
  <c r="F42" i="1"/>
  <c r="F6" i="1"/>
  <c r="N65" i="1"/>
  <c r="R6" i="1"/>
  <c r="P76" i="1"/>
  <c r="O70" i="1"/>
  <c r="M21" i="1"/>
  <c r="AB70" i="1"/>
  <c r="U18" i="1"/>
  <c r="H6" i="1"/>
  <c r="AD70" i="1"/>
  <c r="L34" i="1"/>
  <c r="Z69" i="1"/>
  <c r="O69" i="1"/>
  <c r="I76" i="1"/>
  <c r="U37" i="1"/>
  <c r="AE70" i="1"/>
  <c r="Q76" i="1"/>
  <c r="V76" i="1"/>
  <c r="W37" i="1"/>
  <c r="AC70" i="1"/>
  <c r="S34" i="1"/>
  <c r="K34" i="1"/>
  <c r="AF18" i="1"/>
  <c r="Q6" i="1"/>
  <c r="U6" i="1"/>
  <c r="AD18" i="1"/>
  <c r="Q34" i="1"/>
  <c r="C34" i="1"/>
  <c r="T6" i="1"/>
  <c r="K18" i="1"/>
  <c r="Z21" i="1"/>
  <c r="R37" i="1"/>
  <c r="M42" i="1"/>
  <c r="O76" i="1"/>
  <c r="M6" i="1"/>
  <c r="D21" i="1"/>
  <c r="C6" i="1"/>
  <c r="AG6" i="1"/>
  <c r="X65" i="1"/>
  <c r="AA18" i="1"/>
  <c r="W70" i="1"/>
  <c r="I42" i="1"/>
  <c r="J70" i="1"/>
  <c r="O21" i="1"/>
  <c r="K70" i="1"/>
  <c r="V42" i="1"/>
  <c r="AA69" i="1"/>
  <c r="H69" i="1"/>
  <c r="AA76" i="1"/>
  <c r="Z76" i="1"/>
  <c r="N69" i="1"/>
  <c r="AA34" i="1"/>
  <c r="S65" i="1"/>
  <c r="AH70" i="1"/>
  <c r="G42" i="1"/>
  <c r="Y42" i="1"/>
  <c r="AF70" i="1"/>
  <c r="W76" i="1"/>
  <c r="Q18" i="1"/>
  <c r="T76" i="1"/>
  <c r="AE76" i="1"/>
  <c r="AH37" i="1"/>
  <c r="L76" i="1"/>
  <c r="AB6" i="1"/>
  <c r="Q65" i="1"/>
  <c r="AG65" i="1"/>
  <c r="J6" i="1"/>
  <c r="R65" i="1"/>
  <c r="S76" i="1"/>
  <c r="V21" i="1"/>
  <c r="AG42" i="1"/>
  <c r="AH42" i="1"/>
  <c r="F34" i="1"/>
  <c r="AH6" i="1"/>
  <c r="O6" i="1"/>
  <c r="C76" i="1"/>
  <c r="S6" i="1"/>
  <c r="N70" i="1"/>
  <c r="X76" i="1"/>
  <c r="E69" i="1"/>
  <c r="O18" i="1"/>
  <c r="Z70" i="1"/>
  <c r="J65" i="1"/>
  <c r="P21" i="1"/>
  <c r="F21" i="1"/>
  <c r="E37" i="1"/>
  <c r="E76" i="1"/>
  <c r="AD42" i="1"/>
  <c r="P6" i="1"/>
  <c r="P34" i="1"/>
  <c r="C70" i="1"/>
  <c r="H70" i="1"/>
  <c r="P37" i="1"/>
  <c r="AE6" i="1"/>
  <c r="R34" i="1"/>
  <c r="Y69" i="1"/>
  <c r="N6" i="1"/>
  <c r="J37" i="1"/>
  <c r="AB42" i="1"/>
  <c r="Q69" i="1"/>
  <c r="I65" i="1"/>
  <c r="AH18" i="1"/>
  <c r="W42" i="1"/>
  <c r="X6" i="1"/>
  <c r="M37" i="1"/>
  <c r="K65" i="1"/>
  <c r="L65" i="1"/>
  <c r="G70" i="1"/>
  <c r="E34" i="1"/>
  <c r="S42" i="1"/>
  <c r="AE21" i="1"/>
  <c r="R42" i="1"/>
  <c r="G18" i="1"/>
  <c r="L42" i="1"/>
  <c r="V34" i="1"/>
  <c r="AC69" i="1"/>
  <c r="Z37" i="1"/>
  <c r="AF34" i="1"/>
  <c r="G69" i="1"/>
  <c r="T69" i="1"/>
  <c r="F18" i="1"/>
  <c r="J21" i="1"/>
  <c r="R76" i="1"/>
  <c r="J69" i="1"/>
  <c r="U65" i="1"/>
  <c r="V18" i="1"/>
  <c r="Q70" i="1"/>
  <c r="AF65" i="1"/>
  <c r="V70" i="1"/>
  <c r="H18" i="1"/>
  <c r="J34" i="1"/>
  <c r="W34" i="1"/>
  <c r="R69" i="1"/>
  <c r="E42" i="1"/>
  <c r="F70" i="1"/>
  <c r="AG21" i="1"/>
  <c r="O42" i="1"/>
  <c r="G34" i="1"/>
  <c r="AF21" i="1"/>
  <c r="K42" i="1"/>
  <c r="R18" i="1"/>
  <c r="Y70" i="1"/>
  <c r="Y37" i="1"/>
  <c r="M70" i="1"/>
  <c r="K6" i="1"/>
  <c r="H34" i="1"/>
  <c r="AA42" i="1"/>
  <c r="D6" i="1"/>
  <c r="G65" i="1"/>
  <c r="W69" i="1"/>
  <c r="AE65" i="1"/>
  <c r="AB34" i="1"/>
  <c r="D37" i="1"/>
  <c r="I21" i="1"/>
  <c r="AC76" i="1"/>
  <c r="AH34" i="1"/>
  <c r="W65" i="1"/>
  <c r="AA65" i="1"/>
  <c r="X21" i="1"/>
  <c r="E6" i="1"/>
  <c r="D69" i="1"/>
  <c r="N34" i="1"/>
  <c r="L69" i="1"/>
  <c r="AD37" i="1"/>
  <c r="AG18" i="1"/>
  <c r="E18" i="1"/>
  <c r="P65" i="1"/>
  <c r="F69" i="1"/>
  <c r="U69" i="1"/>
  <c r="G37" i="1"/>
  <c r="J18" i="1"/>
  <c r="H21" i="1"/>
  <c r="N18" i="1"/>
  <c r="C21" i="1"/>
  <c r="AB37" i="1"/>
  <c r="Y76" i="1"/>
  <c r="AB69" i="1"/>
  <c r="V69" i="1"/>
  <c r="F65" i="1"/>
  <c r="Q21" i="1"/>
  <c r="V65" i="1"/>
  <c r="M34" i="1"/>
  <c r="N42" i="1"/>
  <c r="D65" i="1"/>
  <c r="C18" i="1"/>
  <c r="Z65" i="1"/>
  <c r="U76" i="1"/>
  <c r="U21" i="1"/>
  <c r="AC65" i="1"/>
  <c r="O37" i="1"/>
  <c r="P69" i="1"/>
  <c r="X42" i="1"/>
  <c r="Y34" i="1"/>
  <c r="K69" i="1"/>
  <c r="V37" i="1"/>
  <c r="I18" i="1"/>
  <c r="Y21" i="1"/>
  <c r="AE18" i="1"/>
  <c r="R21" i="1"/>
  <c r="AH65" i="1"/>
  <c r="M76" i="1"/>
  <c r="AC6" i="1"/>
  <c r="X37" i="1"/>
  <c r="AG37" i="1"/>
  <c r="F76" i="1"/>
  <c r="U42" i="1"/>
  <c r="M65" i="1"/>
  <c r="C69" i="1"/>
  <c r="AD69" i="1"/>
  <c r="N21" i="1"/>
  <c r="AH69" i="1"/>
  <c r="Q37" i="1"/>
  <c r="S21" i="1"/>
  <c r="F37" i="1"/>
  <c r="AF6" i="1"/>
  <c r="V6" i="1"/>
  <c r="D18" i="1"/>
  <c r="H42" i="1"/>
  <c r="Y6" i="1"/>
  <c r="AD21" i="1"/>
  <c r="K21" i="1"/>
  <c r="AG70" i="1"/>
  <c r="AD65" i="1"/>
  <c r="D76" i="1"/>
  <c r="L37" i="1"/>
  <c r="AC18" i="1"/>
  <c r="Q42" i="1"/>
  <c r="I69" i="1"/>
  <c r="I70" i="1"/>
  <c r="E70" i="1"/>
  <c r="X70" i="1"/>
  <c r="P18" i="1"/>
  <c r="H65" i="1"/>
  <c r="W6" i="1"/>
  <c r="AG69" i="1"/>
  <c r="AB65" i="1"/>
  <c r="AE34" i="1"/>
  <c r="I37" i="1"/>
  <c r="S37" i="1"/>
  <c r="P70" i="1"/>
  <c r="E65" i="1"/>
  <c r="S70" i="1"/>
  <c r="AA70" i="1"/>
  <c r="X69" i="1"/>
  <c r="D34" i="1"/>
  <c r="AB76" i="1"/>
  <c r="S69" i="1"/>
  <c r="T70" i="1"/>
  <c r="AA37" i="1"/>
  <c r="P42" i="1"/>
  <c r="G6" i="1"/>
  <c r="AE37" i="1"/>
  <c r="U34" i="1"/>
  <c r="L70" i="1"/>
  <c r="AC34" i="1"/>
  <c r="AB18" i="1"/>
  <c r="AG34" i="1"/>
  <c r="L21" i="1"/>
  <c r="W21" i="1"/>
  <c r="O65" i="1"/>
  <c r="AF76" i="1"/>
  <c r="J76" i="1"/>
  <c r="E21" i="1"/>
  <c r="M69" i="1"/>
  <c r="AA6" i="1"/>
  <c r="C65" i="1"/>
  <c r="AD6" i="1"/>
  <c r="AF69" i="1"/>
  <c r="X34" i="1"/>
  <c r="Z18" i="1"/>
  <c r="T67" i="1"/>
  <c r="P7" i="1"/>
  <c r="AA67" i="1"/>
  <c r="R7" i="1"/>
  <c r="AC51" i="1"/>
  <c r="AC7" i="1"/>
  <c r="O60" i="1"/>
  <c r="AC60" i="1"/>
  <c r="AD28" i="1"/>
  <c r="R67" i="1"/>
  <c r="K58" i="1"/>
  <c r="E28" i="1"/>
  <c r="AF41" i="1"/>
  <c r="T7" i="1"/>
  <c r="S67" i="1"/>
  <c r="I7" i="1"/>
  <c r="AA7" i="1"/>
  <c r="H51" i="1"/>
  <c r="Z41" i="1"/>
  <c r="AD51" i="1"/>
  <c r="AH60" i="1"/>
  <c r="M60" i="1"/>
  <c r="AH74" i="1"/>
  <c r="H41" i="1"/>
  <c r="S7" i="1"/>
  <c r="K74" i="1"/>
  <c r="Z74" i="1"/>
  <c r="Z58" i="1"/>
  <c r="AC58" i="1"/>
  <c r="R74" i="1"/>
  <c r="AC28" i="1"/>
  <c r="AA58" i="1"/>
  <c r="J58" i="1"/>
  <c r="AF28" i="1"/>
  <c r="S58" i="1"/>
  <c r="V28" i="1"/>
  <c r="N41" i="1"/>
  <c r="AF67" i="1"/>
  <c r="L58" i="1"/>
  <c r="F74" i="1"/>
  <c r="AE41" i="1"/>
  <c r="R51" i="1"/>
  <c r="W7" i="1"/>
  <c r="E7" i="1"/>
  <c r="AB58" i="1"/>
  <c r="AH58" i="1"/>
  <c r="K60" i="1"/>
  <c r="G41" i="1"/>
  <c r="Z67" i="1"/>
  <c r="J51" i="1"/>
  <c r="Q58" i="1"/>
  <c r="AE60" i="1"/>
  <c r="M67" i="1"/>
  <c r="V74" i="1"/>
  <c r="U7" i="1"/>
  <c r="M51" i="1"/>
  <c r="L60" i="1"/>
  <c r="E67" i="1"/>
  <c r="D58" i="1"/>
  <c r="K67" i="1"/>
  <c r="C41" i="1"/>
  <c r="G67" i="1"/>
  <c r="X28" i="1"/>
  <c r="Q7" i="1"/>
  <c r="Z28" i="1"/>
  <c r="N74" i="1"/>
  <c r="G60" i="1"/>
  <c r="I58" i="1"/>
  <c r="D7" i="1"/>
  <c r="C67" i="1"/>
  <c r="AH51" i="1"/>
  <c r="P67" i="1"/>
  <c r="T74" i="1"/>
  <c r="I60" i="1"/>
  <c r="Y28" i="1"/>
  <c r="X7" i="1"/>
  <c r="M58" i="1"/>
  <c r="O41" i="1"/>
  <c r="G51" i="1"/>
  <c r="AD41" i="1"/>
  <c r="T28" i="1"/>
  <c r="Y41" i="1"/>
  <c r="J28" i="1"/>
  <c r="U41" i="1"/>
  <c r="AD60" i="1"/>
  <c r="F60" i="1"/>
  <c r="AF58" i="1"/>
  <c r="AB41" i="1"/>
  <c r="AE51" i="1"/>
  <c r="U58" i="1"/>
  <c r="W60" i="1"/>
  <c r="F7" i="1"/>
  <c r="J7" i="1"/>
  <c r="AG51" i="1"/>
  <c r="AC74" i="1"/>
  <c r="AH67" i="1"/>
  <c r="R60" i="1"/>
  <c r="F67" i="1"/>
  <c r="N51" i="1"/>
  <c r="O67" i="1"/>
  <c r="Y67" i="1"/>
  <c r="S28" i="1"/>
  <c r="C58" i="1"/>
  <c r="AC41" i="1"/>
  <c r="U67" i="1"/>
  <c r="X60" i="1"/>
  <c r="AA60" i="1"/>
  <c r="AA51" i="1"/>
  <c r="AG7" i="1"/>
  <c r="X41" i="1"/>
  <c r="AG74" i="1"/>
  <c r="AB7" i="1"/>
  <c r="C28" i="1"/>
  <c r="I67" i="1"/>
  <c r="E41" i="1"/>
  <c r="F28" i="1"/>
  <c r="M28" i="1"/>
  <c r="G58" i="1"/>
  <c r="T41" i="1"/>
  <c r="AD67" i="1"/>
  <c r="P58" i="1"/>
  <c r="V51" i="1"/>
  <c r="H67" i="1"/>
  <c r="L67" i="1"/>
  <c r="L28" i="1"/>
  <c r="AE67" i="1"/>
  <c r="AA41" i="1"/>
  <c r="AF51" i="1"/>
  <c r="K51" i="1"/>
  <c r="O74" i="1"/>
  <c r="AA74" i="1"/>
  <c r="X74" i="1"/>
  <c r="E60" i="1"/>
  <c r="I28" i="1"/>
  <c r="AC67" i="1"/>
  <c r="C60" i="1"/>
  <c r="O58" i="1"/>
  <c r="W51" i="1"/>
  <c r="AE28" i="1"/>
  <c r="S74" i="1"/>
  <c r="D67" i="1"/>
  <c r="Q60" i="1"/>
  <c r="F51" i="1"/>
  <c r="X51" i="1"/>
  <c r="Z51" i="1"/>
  <c r="D60" i="1"/>
  <c r="Q74" i="1"/>
  <c r="I51" i="1"/>
  <c r="W58" i="1"/>
  <c r="H28" i="1"/>
  <c r="AG60" i="1"/>
  <c r="AG67" i="1"/>
  <c r="Z7" i="1"/>
  <c r="AE7" i="1"/>
  <c r="Q67" i="1"/>
  <c r="N28" i="1"/>
  <c r="Q28" i="1"/>
  <c r="E74" i="1"/>
  <c r="N7" i="1"/>
  <c r="X58" i="1"/>
  <c r="J60" i="1"/>
  <c r="AH41" i="1"/>
  <c r="M41" i="1"/>
  <c r="S51" i="1"/>
  <c r="AA28" i="1"/>
  <c r="N58" i="1"/>
  <c r="Y7" i="1"/>
  <c r="T51" i="1"/>
  <c r="AG41" i="1"/>
  <c r="R28" i="1"/>
  <c r="F41" i="1"/>
  <c r="AE74" i="1"/>
  <c r="L7" i="1"/>
  <c r="E51" i="1"/>
  <c r="S41" i="1"/>
  <c r="H74" i="1"/>
  <c r="S60" i="1"/>
  <c r="C51" i="1"/>
  <c r="O7" i="1"/>
  <c r="V41" i="1"/>
  <c r="L74" i="1"/>
  <c r="M7" i="1"/>
  <c r="AE58" i="1"/>
  <c r="M74" i="1"/>
  <c r="Y60" i="1"/>
  <c r="U74" i="1"/>
  <c r="AG58" i="1"/>
  <c r="P74" i="1"/>
  <c r="U28" i="1"/>
  <c r="T58" i="1"/>
  <c r="W74" i="1"/>
  <c r="C74" i="1"/>
  <c r="AH7" i="1"/>
  <c r="R58" i="1"/>
  <c r="AF74" i="1"/>
  <c r="K7" i="1"/>
  <c r="E58" i="1"/>
  <c r="AH28" i="1"/>
  <c r="Q51" i="1"/>
  <c r="Y74" i="1"/>
  <c r="AF7" i="1"/>
  <c r="D28" i="1"/>
  <c r="P51" i="1"/>
  <c r="J41" i="1"/>
  <c r="AG28" i="1"/>
  <c r="G28" i="1"/>
  <c r="O28" i="1"/>
  <c r="AD58" i="1"/>
  <c r="AF60" i="1"/>
  <c r="D41" i="1"/>
  <c r="K28" i="1"/>
  <c r="W28" i="1"/>
  <c r="V60" i="1"/>
  <c r="Z60" i="1"/>
  <c r="G7" i="1"/>
  <c r="T60" i="1"/>
  <c r="F58" i="1"/>
  <c r="P60" i="1"/>
  <c r="N67" i="1"/>
  <c r="AD74" i="1"/>
  <c r="J67" i="1"/>
  <c r="D51" i="1"/>
  <c r="V7" i="1"/>
  <c r="V58" i="1"/>
  <c r="H60" i="1"/>
  <c r="Q41" i="1"/>
  <c r="R41" i="1"/>
  <c r="U60" i="1"/>
  <c r="D74" i="1"/>
  <c r="U51" i="1"/>
  <c r="Y58" i="1"/>
  <c r="AB74" i="1"/>
  <c r="I74" i="1"/>
  <c r="AB60" i="1"/>
  <c r="H58" i="1"/>
  <c r="C7" i="1"/>
  <c r="W41" i="1"/>
  <c r="AB51" i="1"/>
  <c r="G74" i="1"/>
  <c r="L41" i="1"/>
  <c r="P41" i="1"/>
  <c r="O51" i="1"/>
  <c r="K41" i="1"/>
  <c r="I41" i="1"/>
  <c r="W67" i="1"/>
  <c r="N60" i="1"/>
  <c r="V67" i="1"/>
  <c r="P28" i="1"/>
  <c r="H7" i="1"/>
  <c r="L51" i="1"/>
  <c r="AB28" i="1"/>
  <c r="AB67" i="1"/>
  <c r="J74" i="1"/>
  <c r="X67" i="1"/>
  <c r="Y51" i="1"/>
  <c r="AD7" i="1"/>
  <c r="AI76" i="1" a="1"/>
  <c r="AI76" i="1" l="1"/>
  <c r="AK30" i="1" a="1"/>
  <c r="AJ73" i="1" a="1"/>
  <c r="AK12" i="1" a="1"/>
  <c r="AI57" i="1" a="1"/>
  <c r="AI43" i="1" a="1"/>
  <c r="AK23" i="1" a="1"/>
  <c r="AK53" i="1" a="1"/>
  <c r="AI30" i="1" a="1"/>
  <c r="AI73" i="1" a="1"/>
  <c r="AI61" i="1" a="1"/>
  <c r="AJ22" i="1" a="1"/>
  <c r="AJ59" i="1" a="1"/>
  <c r="AK29" i="1" a="1"/>
  <c r="AJ57" i="1" a="1"/>
  <c r="AI23" i="1" a="1"/>
  <c r="AJ61" i="1" a="1"/>
  <c r="AJ55" i="1" a="1"/>
  <c r="AJ27" i="1" a="1"/>
  <c r="AK46" i="1" a="1"/>
  <c r="AK68" i="1" a="1"/>
  <c r="AK44" i="1" a="1"/>
  <c r="AI62" i="1" a="1"/>
  <c r="AK11" i="1" a="1"/>
  <c r="AK17" i="1" a="1"/>
  <c r="AJ71" i="1" a="1"/>
  <c r="AJ8" i="1" a="1"/>
  <c r="AK40" i="1" a="1"/>
  <c r="AJ62" i="1" a="1"/>
  <c r="AJ24" i="1" a="1"/>
  <c r="AK3" i="1" a="1"/>
  <c r="AK76" i="1" a="1"/>
  <c r="AI56" i="1" a="1"/>
  <c r="AI22" i="1" a="1"/>
  <c r="AK62" i="1" a="1"/>
  <c r="AK22" i="1" a="1"/>
  <c r="AI55" i="1" a="1"/>
  <c r="AK20" i="1" a="1"/>
  <c r="AJ32" i="1" a="1"/>
  <c r="AI26" i="1" a="1"/>
  <c r="AJ20" i="1" a="1"/>
  <c r="AJ68" i="1" a="1"/>
  <c r="AK36" i="1" a="1"/>
  <c r="AK61" i="1" a="1"/>
  <c r="AJ26" i="1" a="1"/>
  <c r="AK33" i="1" a="1"/>
  <c r="AK16" i="1" a="1"/>
  <c r="AI24" i="1" a="1"/>
  <c r="AJ33" i="1" a="1"/>
  <c r="AI54" i="1" a="1"/>
  <c r="AI3" i="1" a="1"/>
  <c r="AK32" i="1" a="1"/>
  <c r="AJ23" i="1" a="1"/>
  <c r="AK54" i="1" a="1"/>
  <c r="AK56" i="1" a="1"/>
  <c r="AI50" i="1" a="1"/>
  <c r="AK9" i="1" a="1"/>
  <c r="AI33" i="1" a="1"/>
  <c r="AJ77" i="1" a="1"/>
  <c r="AJ54" i="1" a="1"/>
  <c r="AI53" i="1" a="1"/>
  <c r="AI40" i="1" a="1"/>
  <c r="AJ52" i="1" a="1"/>
  <c r="AI27" i="1" a="1"/>
  <c r="AI9" i="1" a="1"/>
  <c r="AJ76" i="1" a="1"/>
  <c r="AJ29" i="1" a="1"/>
  <c r="AK8" i="1" a="1"/>
  <c r="AJ25" i="1" a="1"/>
  <c r="AI77" i="1" a="1"/>
  <c r="AI25" i="1" a="1"/>
  <c r="AK77" i="1" a="1"/>
  <c r="AI63" i="1" a="1"/>
  <c r="AI59" i="1" a="1"/>
  <c r="AK25" i="1" a="1"/>
  <c r="AJ72" i="1" a="1"/>
  <c r="AK63" i="1" a="1"/>
  <c r="AK15" i="1" a="1"/>
  <c r="AI29" i="1" a="1"/>
  <c r="AK59" i="1" a="1"/>
  <c r="AK52" i="1" a="1"/>
  <c r="AI8" i="1" a="1"/>
  <c r="AK50" i="1" a="1"/>
  <c r="AK47" i="1" a="1"/>
  <c r="AK19" i="1" a="1"/>
  <c r="AJ4" i="1" a="1"/>
  <c r="AI17" i="1" a="1"/>
  <c r="AJ3" i="1" a="1"/>
  <c r="AK55" i="1" a="1"/>
  <c r="AI71" i="1" a="1"/>
  <c r="AJ53" i="1" a="1"/>
  <c r="AJ40" i="1" a="1"/>
  <c r="AJ56" i="1" a="1"/>
  <c r="AJ47" i="1" a="1"/>
  <c r="AI72" i="1" a="1"/>
  <c r="AJ63" i="1" a="1"/>
  <c r="AK39" i="1" a="1"/>
  <c r="AI15" i="1" a="1"/>
  <c r="AK26" i="1" a="1"/>
  <c r="AK27" i="1" a="1"/>
  <c r="AI14" i="1" a="1"/>
  <c r="AK14" i="1" a="1"/>
  <c r="AI44" i="1" a="1"/>
  <c r="AJ44" i="1" a="1"/>
  <c r="AK71" i="1" a="1"/>
  <c r="AJ17" i="1" a="1"/>
  <c r="AK75" i="1" a="1"/>
  <c r="AI47" i="1" a="1"/>
  <c r="AJ43" i="1" a="1"/>
  <c r="AK4" i="1" a="1"/>
  <c r="AJ30" i="1" a="1"/>
  <c r="AJ14" i="1" a="1"/>
  <c r="AK57" i="1" a="1"/>
  <c r="AK43" i="1" a="1"/>
  <c r="AI4" i="1" a="1"/>
  <c r="AI20" i="1" a="1"/>
  <c r="AI68" i="1" a="1"/>
  <c r="AJ9" i="1" a="1"/>
  <c r="AK72" i="1" a="1"/>
  <c r="AJ50" i="1" a="1"/>
  <c r="AI32" i="1" a="1"/>
  <c r="AK24" i="1" a="1"/>
  <c r="AI52" i="1" a="1"/>
  <c r="AK73" i="1" a="1"/>
  <c r="AJ15" i="1" a="1"/>
  <c r="AJ15" i="1" l="1"/>
  <c r="AK24" i="1"/>
  <c r="AI4" i="1"/>
  <c r="AK43" i="1"/>
  <c r="AK57" i="1"/>
  <c r="AJ14" i="1"/>
  <c r="AJ30" i="1"/>
  <c r="AK4" i="1"/>
  <c r="AJ43" i="1"/>
  <c r="AI47" i="1"/>
  <c r="AK14" i="1"/>
  <c r="AI14" i="1"/>
  <c r="AI15" i="1"/>
  <c r="AK39" i="1"/>
  <c r="AJ63" i="1"/>
  <c r="AI72" i="1"/>
  <c r="AJ47" i="1"/>
  <c r="AJ4" i="1"/>
  <c r="AK19" i="1"/>
  <c r="AK47" i="1"/>
  <c r="AI29" i="1"/>
  <c r="AK15" i="1"/>
  <c r="AK63" i="1"/>
  <c r="AJ72" i="1"/>
  <c r="AK25" i="1"/>
  <c r="AI59" i="1"/>
  <c r="AI63" i="1"/>
  <c r="AK77" i="1"/>
  <c r="AI25" i="1"/>
  <c r="AI77" i="1"/>
  <c r="AJ25" i="1"/>
  <c r="AJ29" i="1"/>
  <c r="AJ54" i="1"/>
  <c r="AJ77" i="1"/>
  <c r="AI33" i="1"/>
  <c r="AI54" i="1"/>
  <c r="AJ33" i="1"/>
  <c r="AI24" i="1"/>
  <c r="AK16" i="1"/>
  <c r="AK33" i="1"/>
  <c r="AK61" i="1"/>
  <c r="AK36" i="1"/>
  <c r="AK62" i="1"/>
  <c r="AJ24" i="1"/>
  <c r="AJ62" i="1"/>
  <c r="AK11" i="1"/>
  <c r="AI62" i="1"/>
  <c r="AK46" i="1"/>
  <c r="AJ61" i="1"/>
  <c r="AJ57" i="1"/>
  <c r="AK29" i="1"/>
  <c r="AJ59" i="1"/>
  <c r="AI61" i="1"/>
  <c r="AI73" i="1"/>
  <c r="AI30" i="1"/>
  <c r="AI43" i="1"/>
  <c r="AI57" i="1"/>
  <c r="AK12" i="1"/>
  <c r="AJ73" i="1"/>
  <c r="AK30" i="1"/>
  <c r="AK71" i="1"/>
  <c r="AJ76" i="1"/>
  <c r="AK9" i="1"/>
  <c r="AI55" i="1"/>
  <c r="AK40" i="1"/>
  <c r="AK53" i="1"/>
  <c r="AJ50" i="1"/>
  <c r="AI44" i="1"/>
  <c r="AI8" i="1"/>
  <c r="AI56" i="1"/>
  <c r="AI53" i="1"/>
  <c r="AI50" i="1"/>
  <c r="AJ44" i="1"/>
  <c r="AJ8" i="1"/>
  <c r="AK72" i="1"/>
  <c r="AJ56" i="1"/>
  <c r="AJ53" i="1"/>
  <c r="AK50" i="1"/>
  <c r="AK8" i="1"/>
  <c r="AK56" i="1"/>
  <c r="AK76" i="1"/>
  <c r="AJ71" i="1"/>
  <c r="AJ9" i="1"/>
  <c r="AI71" i="1"/>
  <c r="AK52" i="1"/>
  <c r="AJ32" i="1"/>
  <c r="AI9" i="1"/>
  <c r="AK54" i="1"/>
  <c r="AK22" i="1"/>
  <c r="AI52" i="1"/>
  <c r="AI32" i="1"/>
  <c r="AI22" i="1"/>
  <c r="AK23" i="1"/>
  <c r="AI68" i="1"/>
  <c r="AK75" i="1"/>
  <c r="AK55" i="1"/>
  <c r="AK59" i="1"/>
  <c r="AJ17" i="1"/>
  <c r="AJ68" i="1"/>
  <c r="AI27" i="1"/>
  <c r="AJ23" i="1"/>
  <c r="AJ20" i="1"/>
  <c r="AK3" i="1"/>
  <c r="AJ27" i="1"/>
  <c r="AI20" i="1"/>
  <c r="AJ40" i="1"/>
  <c r="AJ3" i="1"/>
  <c r="AK27" i="1"/>
  <c r="AJ26" i="1"/>
  <c r="AJ52" i="1"/>
  <c r="AK32" i="1"/>
  <c r="AJ22" i="1"/>
  <c r="AK68" i="1"/>
  <c r="AJ55" i="1"/>
  <c r="AK17" i="1"/>
  <c r="AI23" i="1"/>
  <c r="AI17" i="1"/>
  <c r="AK26" i="1"/>
  <c r="AK20" i="1"/>
  <c r="AI40" i="1"/>
  <c r="AI3" i="1"/>
  <c r="AK73" i="1"/>
  <c r="AK44" i="1"/>
  <c r="AI2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<sst xmlns="http://schemas.openxmlformats.org/spreadsheetml/2006/main" count="2417" uniqueCount="513">
  <si>
    <t>ISSUER</t>
  </si>
  <si>
    <t>ID_BB_GLOBAL</t>
  </si>
  <si>
    <t>ID_ISIN</t>
  </si>
  <si>
    <t>ISSUE_DT</t>
  </si>
  <si>
    <t>MATURITY</t>
  </si>
  <si>
    <t>CRNCY</t>
  </si>
  <si>
    <t>CPN_TYP</t>
  </si>
  <si>
    <t>CPN</t>
  </si>
  <si>
    <t>AMT_ISSUED</t>
  </si>
  <si>
    <t>RTG_SP</t>
  </si>
  <si>
    <t>RTG_MOODY_LONG_ISSUE_LEVEL</t>
  </si>
  <si>
    <t>RTG_FITCH</t>
  </si>
  <si>
    <t>CPN_FREQ</t>
  </si>
  <si>
    <t>YAS_ISPREAD_TO_GOVT</t>
  </si>
  <si>
    <t>YAS_BOND_YLD</t>
  </si>
  <si>
    <t>LQA_EMPIRICAL_TRADE_COUNT</t>
  </si>
  <si>
    <t>LQA_EMPIRICAL_TOTAL_TRADE_VOLUME</t>
  </si>
  <si>
    <t>ULT_PARENT_TICKER_EXCHANGE</t>
  </si>
  <si>
    <t>CLASSIFICATION_LEVEL_4_NAME</t>
  </si>
  <si>
    <t>industry_sector</t>
  </si>
  <si>
    <t>industry_group</t>
  </si>
  <si>
    <t>MARKET_ISSUE</t>
  </si>
  <si>
    <t>CNTRY_OF_RISK</t>
  </si>
  <si>
    <t>CALC_TYP_DES</t>
  </si>
  <si>
    <t>FIRST_CPN_DT</t>
  </si>
  <si>
    <t>MTY_TYP</t>
  </si>
  <si>
    <t>MARKET_OF_DISTRIBUTION</t>
  </si>
  <si>
    <t>TOT_DEBT_TO_EBITDA</t>
  </si>
  <si>
    <t>EXCH_CODE</t>
  </si>
  <si>
    <t>CIE DES BULK</t>
  </si>
  <si>
    <t>id</t>
  </si>
  <si>
    <t>FIXED</t>
  </si>
  <si>
    <t>#N/A N/A</t>
  </si>
  <si>
    <t>Financial</t>
  </si>
  <si>
    <t>Banks</t>
  </si>
  <si>
    <t>STREET CONVENTION</t>
  </si>
  <si>
    <t>AT MATURITY</t>
  </si>
  <si>
    <t>#N/A Field Not Applicable</t>
  </si>
  <si>
    <t>NR</t>
  </si>
  <si>
    <t>CALLABLE</t>
  </si>
  <si>
    <t>US</t>
  </si>
  <si>
    <t>*NO CALCULATIONS*</t>
  </si>
  <si>
    <t>2/4/2021</t>
  </si>
  <si>
    <t>1/15/2021</t>
  </si>
  <si>
    <t>1/22/2021</t>
  </si>
  <si>
    <t>7/1/2026</t>
  </si>
  <si>
    <t>7/16/2021</t>
  </si>
  <si>
    <t>9/30/2021</t>
  </si>
  <si>
    <t>11/4/2021</t>
  </si>
  <si>
    <t>1/19/2022</t>
  </si>
  <si>
    <t>10/29/2021</t>
  </si>
  <si>
    <t>2/4/2022</t>
  </si>
  <si>
    <t>7/14/2022</t>
  </si>
  <si>
    <t>1/20/2022</t>
  </si>
  <si>
    <t>1/21/2022</t>
  </si>
  <si>
    <t>1/28/2022</t>
  </si>
  <si>
    <t>5/4/2022</t>
  </si>
  <si>
    <t>2/24/2022</t>
  </si>
  <si>
    <t>5/5/2022</t>
  </si>
  <si>
    <t>5/12/2022</t>
  </si>
  <si>
    <t>5/19/2022</t>
  </si>
  <si>
    <t>5/24/2022</t>
  </si>
  <si>
    <t>5/26/2022</t>
  </si>
  <si>
    <t>8/12/2022</t>
  </si>
  <si>
    <t>5/5/2027</t>
  </si>
  <si>
    <t>9/29/2022</t>
  </si>
  <si>
    <t>9/30/2022</t>
  </si>
  <si>
    <t>11/4/2025</t>
  </si>
  <si>
    <t>2/15/2028</t>
  </si>
  <si>
    <t>3/30/2026</t>
  </si>
  <si>
    <t>3/27/2025</t>
  </si>
  <si>
    <t>1/12/2026</t>
  </si>
  <si>
    <t>6/12/2025</t>
  </si>
  <si>
    <t>9/24/2025</t>
  </si>
  <si>
    <t>6/25/2025</t>
  </si>
  <si>
    <t>6/30/2025</t>
  </si>
  <si>
    <t>3/27/2026</t>
  </si>
  <si>
    <t>1/28/2027</t>
  </si>
  <si>
    <t>2/3/2027</t>
  </si>
  <si>
    <t>2/20/2025</t>
  </si>
  <si>
    <t>2/27/2025</t>
  </si>
  <si>
    <t>1/8/2025</t>
  </si>
  <si>
    <t>1/20/2026</t>
  </si>
  <si>
    <t>11/8/2024</t>
  </si>
  <si>
    <t>10/9/2024</t>
  </si>
  <si>
    <t>10/17/2025</t>
  </si>
  <si>
    <t>8/8/2024</t>
  </si>
  <si>
    <t>6/5/2024</t>
  </si>
  <si>
    <t>6/24/2024</t>
  </si>
  <si>
    <t>2/15/2024</t>
  </si>
  <si>
    <t>2/5/2026</t>
  </si>
  <si>
    <t>11/10/2023</t>
  </si>
  <si>
    <t>8/24/2023</t>
  </si>
  <si>
    <t>2/15/2023</t>
  </si>
  <si>
    <t>3/30/2023</t>
  </si>
  <si>
    <t>1/20/2023</t>
  </si>
  <si>
    <t>1/13/2023</t>
  </si>
  <si>
    <t>2/3/2023</t>
  </si>
  <si>
    <t>11/25/2022</t>
  </si>
  <si>
    <t>AMT_OUTSTANDING</t>
  </si>
  <si>
    <t>International</t>
  </si>
  <si>
    <t>Domestic</t>
  </si>
  <si>
    <t>1/8/2030</t>
  </si>
  <si>
    <t>FLT_SPREAD</t>
  </si>
  <si>
    <t>INFLATION_LINKED_INDICATOR</t>
  </si>
  <si>
    <t>CALC_TYP</t>
  </si>
  <si>
    <t>FLT_BENCH_MULTIPLIER</t>
  </si>
  <si>
    <t>BRL</t>
  </si>
  <si>
    <t>N</t>
  </si>
  <si>
    <t>FLOATING</t>
  </si>
  <si>
    <t>10/15/2027</t>
  </si>
  <si>
    <t>4/15/2019</t>
  </si>
  <si>
    <t>#N/A Field Not Applicable Equity</t>
  </si>
  <si>
    <t>LN</t>
  </si>
  <si>
    <t>11/18/2020</t>
  </si>
  <si>
    <t>9/28/2020</t>
  </si>
  <si>
    <t>2/25/2021</t>
  </si>
  <si>
    <t>3/23/2021</t>
  </si>
  <si>
    <t>4/7/2021</t>
  </si>
  <si>
    <t>4/1/2026</t>
  </si>
  <si>
    <t>6/7/2021</t>
  </si>
  <si>
    <t>6/7/2026</t>
  </si>
  <si>
    <t>8/12/2021</t>
  </si>
  <si>
    <t>8/25/2028</t>
  </si>
  <si>
    <t>11/26/2027</t>
  </si>
  <si>
    <t>1/21/2027</t>
  </si>
  <si>
    <t>5/25/2027</t>
  </si>
  <si>
    <t>ZERO COUPON</t>
  </si>
  <si>
    <t>3/16/2023</t>
  </si>
  <si>
    <t>7/29/2026</t>
  </si>
  <si>
    <t>3/8/2027</t>
  </si>
  <si>
    <t>6/24/2029</t>
  </si>
  <si>
    <t>11/9/2023</t>
  </si>
  <si>
    <t>3/17/2023</t>
  </si>
  <si>
    <t>1/28/2023</t>
  </si>
  <si>
    <t>9/24/2020</t>
  </si>
  <si>
    <t>11/26/2019</t>
  </si>
  <si>
    <t>3/27/2020</t>
  </si>
  <si>
    <t>9/14/2026</t>
  </si>
  <si>
    <t>Government</t>
  </si>
  <si>
    <t>4/1/2027</t>
  </si>
  <si>
    <t>BN496886 Corp</t>
  </si>
  <si>
    <t>ZM903300 Corp</t>
  </si>
  <si>
    <t>BT802365 Corp</t>
  </si>
  <si>
    <t>ZM819269 Corp</t>
  </si>
  <si>
    <t>BT735061 Corp</t>
  </si>
  <si>
    <t>BT642376 Corp</t>
  </si>
  <si>
    <t>YU254355 Corp</t>
  </si>
  <si>
    <t>BO165590 Corp</t>
  </si>
  <si>
    <t>BN756935 Corp</t>
  </si>
  <si>
    <t>BR588576 Corp</t>
  </si>
  <si>
    <t>BM044614 Corp</t>
  </si>
  <si>
    <t>BU614742 Corp</t>
  </si>
  <si>
    <t>YR474692 Corp</t>
  </si>
  <si>
    <t>BW577080 Corp</t>
  </si>
  <si>
    <t>BN411719 Corp</t>
  </si>
  <si>
    <t>BW499053 Corp</t>
  </si>
  <si>
    <t>BJ485726 Corp</t>
  </si>
  <si>
    <t>YS542553 Corp</t>
  </si>
  <si>
    <t>ZL353780 Corp</t>
  </si>
  <si>
    <t>YR732902 Corp</t>
  </si>
  <si>
    <t>YU416694 Corp</t>
  </si>
  <si>
    <t>ZL479769 Corp</t>
  </si>
  <si>
    <t>AX813975 Corp</t>
  </si>
  <si>
    <t>AN733165 Corp</t>
  </si>
  <si>
    <t>BJ768151 Corp</t>
  </si>
  <si>
    <t>AN703481 Corp</t>
  </si>
  <si>
    <t>ZM636659 Corp</t>
  </si>
  <si>
    <t>BT396062 Corp</t>
  </si>
  <si>
    <t>ZH961035 Corp</t>
  </si>
  <si>
    <t>BN718496 Corp</t>
  </si>
  <si>
    <t>YQ448515 Corp</t>
  </si>
  <si>
    <t>BK458282 Corp</t>
  </si>
  <si>
    <t>BT482185 Corp</t>
  </si>
  <si>
    <t>BQ799145 Corp</t>
  </si>
  <si>
    <t>YS509089 Corp</t>
  </si>
  <si>
    <t>ZR500008 Corp</t>
  </si>
  <si>
    <t>YU913074 Corp</t>
  </si>
  <si>
    <t>BO169050 Corp</t>
  </si>
  <si>
    <t>YW833064 Corp</t>
  </si>
  <si>
    <t>BT481997 Corp</t>
  </si>
  <si>
    <t>AZ257187 Corp</t>
  </si>
  <si>
    <t>YX800450 Corp</t>
  </si>
  <si>
    <t>ZM294074 Corp</t>
  </si>
  <si>
    <t>YX291422 Corp</t>
  </si>
  <si>
    <t>AP971344 Corp</t>
  </si>
  <si>
    <t>ZL641942 Corp</t>
  </si>
  <si>
    <t>AP550972 Corp</t>
  </si>
  <si>
    <t>ZL354478 Corp</t>
  </si>
  <si>
    <t>BO510428 Corp</t>
  </si>
  <si>
    <t>AN629808 Corp</t>
  </si>
  <si>
    <t>BQ799727 Corp</t>
  </si>
  <si>
    <t>BV443414 Corp</t>
  </si>
  <si>
    <t>AT637750 Corp</t>
  </si>
  <si>
    <t>BQ376842 Corp</t>
  </si>
  <si>
    <t>BS187660 Corp</t>
  </si>
  <si>
    <t>BP322887 Corp</t>
  </si>
  <si>
    <t>BQ721824 Corp</t>
  </si>
  <si>
    <t>BP780031 Corp</t>
  </si>
  <si>
    <t>BN542084 Corp</t>
  </si>
  <si>
    <t>BQ721132 Corp</t>
  </si>
  <si>
    <t>BQ722937 Corp</t>
  </si>
  <si>
    <t>BQ721820 Corp</t>
  </si>
  <si>
    <t>BP909148 Corp</t>
  </si>
  <si>
    <t>BW982245 Corp</t>
  </si>
  <si>
    <t>ZQ802560 Corp</t>
  </si>
  <si>
    <t>ZS021650 Corp</t>
  </si>
  <si>
    <t>ZO295365 Corp</t>
  </si>
  <si>
    <t>ZJ582077 Corp</t>
  </si>
  <si>
    <t>BW057488 Corp</t>
  </si>
  <si>
    <t>ZK956370 Corp</t>
  </si>
  <si>
    <t>ZH598780 Corp</t>
  </si>
  <si>
    <t>BQ706131 Corp</t>
  </si>
  <si>
    <t>BR425633 Corp</t>
  </si>
  <si>
    <t>BU793824 Corp</t>
  </si>
  <si>
    <t>PP590IOV M-Mkt</t>
  </si>
  <si>
    <t>BQ725281 Corp</t>
  </si>
  <si>
    <t>BV963634 Corp</t>
  </si>
  <si>
    <t>BQ747472 Corp</t>
  </si>
  <si>
    <t>INTL BK RECON &amp; DEVELOP</t>
  </si>
  <si>
    <t>BBG00YVHSJW6</t>
  </si>
  <si>
    <t>XS2288097640</t>
  </si>
  <si>
    <t>1/22/2026</t>
  </si>
  <si>
    <t>AAA</t>
  </si>
  <si>
    <t>Aaa</t>
  </si>
  <si>
    <t>8176888Z US</t>
  </si>
  <si>
    <t>Supranational</t>
  </si>
  <si>
    <t>Multi-National</t>
  </si>
  <si>
    <t>EURO MTN</t>
  </si>
  <si>
    <t>SNAT</t>
  </si>
  <si>
    <t>1/22/2022</t>
  </si>
  <si>
    <t>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t>
  </si>
  <si>
    <t>INTL FINANCE CORP</t>
  </si>
  <si>
    <t>BBG01F3NFDL3</t>
  </si>
  <si>
    <t>XS2586778115</t>
  </si>
  <si>
    <t>BBG014VSFH73</t>
  </si>
  <si>
    <t>XS2439224705</t>
  </si>
  <si>
    <t>2/9/2022</t>
  </si>
  <si>
    <t>2/9/2029</t>
  </si>
  <si>
    <t>2/9/2023</t>
  </si>
  <si>
    <t>BBG01DZ1HQG6</t>
  </si>
  <si>
    <t>XS2582388349</t>
  </si>
  <si>
    <t>2/8/2023</t>
  </si>
  <si>
    <t>2/8/2038</t>
  </si>
  <si>
    <t>EUROPEAN BK RECON &amp; DEV</t>
  </si>
  <si>
    <t>BBG014T1JB47</t>
  </si>
  <si>
    <t>XS2438631710</t>
  </si>
  <si>
    <t>2/2/2022</t>
  </si>
  <si>
    <t>2/2/2032</t>
  </si>
  <si>
    <t>6044Z LN</t>
  </si>
  <si>
    <t>European Bank for Reconstruction and Development operates as a Bank. The Bank offers loans and equity finance, direct financing, guarantees, and leasing facilities. European Bank for Reconstruction and Development invests in companies and projects worldwide.</t>
  </si>
  <si>
    <t>EUROPEAN INVESTMENT BANK</t>
  </si>
  <si>
    <t>BBG014MX0D59</t>
  </si>
  <si>
    <t>XS2436920321</t>
  </si>
  <si>
    <t>654429Z LX</t>
  </si>
  <si>
    <t>LX</t>
  </si>
  <si>
    <t>European Investment Bank operates as a financing institution. The Bank offers project loans, bonds, venture capital, transport infrastructure, project funding, guarantees, microfinance, equity investment, and urban development solutions. European Investment Bank serves clients worldwide.</t>
  </si>
  <si>
    <t>BBG01Q40QW52</t>
  </si>
  <si>
    <t>XS2913418377</t>
  </si>
  <si>
    <t>10/9/2031</t>
  </si>
  <si>
    <t>10/9/2025</t>
  </si>
  <si>
    <t>BBG00ZCLNCT9</t>
  </si>
  <si>
    <t>XS2306852828</t>
  </si>
  <si>
    <t>2/25/2041</t>
  </si>
  <si>
    <t>ASIAN DEVELOPMENT BANK</t>
  </si>
  <si>
    <t>BBG00Z1J94V7</t>
  </si>
  <si>
    <t>XS2294853697</t>
  </si>
  <si>
    <t>2/5/2021</t>
  </si>
  <si>
    <t>81074Z PM</t>
  </si>
  <si>
    <t>GLOBAL</t>
  </si>
  <si>
    <t>2/5/2022</t>
  </si>
  <si>
    <t>PM</t>
  </si>
  <si>
    <t>Asian Development Bank operates as a multilateral development financial institution. The Company provides economic development and cooperation, emphasizes agriculture, energy, capital market development, transportation, communications, and social infrastructure projects. Asian Development Bank conducts business in Philippines.</t>
  </si>
  <si>
    <t>BBG012NX1GV5</t>
  </si>
  <si>
    <t>XS2391850703</t>
  </si>
  <si>
    <t>9/30/2026</t>
  </si>
  <si>
    <t>BBG00XY88236</t>
  </si>
  <si>
    <t>XS2249882064</t>
  </si>
  <si>
    <t>10/29/2020</t>
  </si>
  <si>
    <t>10/29/2025</t>
  </si>
  <si>
    <t>AFRICAN DEVELOPMENT BANK</t>
  </si>
  <si>
    <t>BBG015DJKW53</t>
  </si>
  <si>
    <t>XS2447948824</t>
  </si>
  <si>
    <t>2/24/2042</t>
  </si>
  <si>
    <t>1598Z TU</t>
  </si>
  <si>
    <t>EURO NON-DOLLAR</t>
  </si>
  <si>
    <t>TU</t>
  </si>
  <si>
    <t>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t>
  </si>
  <si>
    <t>BBG01S8BF8X4</t>
  </si>
  <si>
    <t>EU000A3L6Q42</t>
  </si>
  <si>
    <t>2/20/2035</t>
  </si>
  <si>
    <t>BBG00YT63006</t>
  </si>
  <si>
    <t>XS2285181074</t>
  </si>
  <si>
    <t>1/14/2028</t>
  </si>
  <si>
    <t>1/14/2022</t>
  </si>
  <si>
    <t>BBG017GBLZ37</t>
  </si>
  <si>
    <t>XS2483844176</t>
  </si>
  <si>
    <t>5/26/2037</t>
  </si>
  <si>
    <t>BBG017CKB3D2</t>
  </si>
  <si>
    <t>XS2481558414</t>
  </si>
  <si>
    <t>5/19/2028</t>
  </si>
  <si>
    <t>BBG00TTFRDX7</t>
  </si>
  <si>
    <t>XS2177447179</t>
  </si>
  <si>
    <t>5/20/2020</t>
  </si>
  <si>
    <t>5/20/2030</t>
  </si>
  <si>
    <t>BBG01RPVSFX3</t>
  </si>
  <si>
    <t>XS2978923550</t>
  </si>
  <si>
    <t>1/16/2025</t>
  </si>
  <si>
    <t>1/16/2030</t>
  </si>
  <si>
    <t>1/16/2026</t>
  </si>
  <si>
    <t>BBG01FP67Z09</t>
  </si>
  <si>
    <t>XS2595780946</t>
  </si>
  <si>
    <t>3/17/2033</t>
  </si>
  <si>
    <t>3/17/2024</t>
  </si>
  <si>
    <t>BBG01SGMMMH0</t>
  </si>
  <si>
    <t>XS3013977395</t>
  </si>
  <si>
    <t>8/27/2029</t>
  </si>
  <si>
    <t>8/27/2025</t>
  </si>
  <si>
    <t>BBG01Q792JW5</t>
  </si>
  <si>
    <t>XS2920414112</t>
  </si>
  <si>
    <t>10/17/2024</t>
  </si>
  <si>
    <t>10/17/2029</t>
  </si>
  <si>
    <t>BBG01FRQ5VG7</t>
  </si>
  <si>
    <t>XS2598069503</t>
  </si>
  <si>
    <t>3/16/2038</t>
  </si>
  <si>
    <t>BBG00NPJW013</t>
  </si>
  <si>
    <t>XS1969787396</t>
  </si>
  <si>
    <t>3/27/2019</t>
  </si>
  <si>
    <t>BBG00GSNR3Q9</t>
  </si>
  <si>
    <t>XS1623002703</t>
  </si>
  <si>
    <t>5/31/2017</t>
  </si>
  <si>
    <t>BBG00GQVJKW7</t>
  </si>
  <si>
    <t>XS1621760302</t>
  </si>
  <si>
    <t>5/26/2017</t>
  </si>
  <si>
    <t>5/26/2027</t>
  </si>
  <si>
    <t>BBG00V4VDW67</t>
  </si>
  <si>
    <t>XS2183142798</t>
  </si>
  <si>
    <t>6/12/2020</t>
  </si>
  <si>
    <t>BBG01D2X37V2</t>
  </si>
  <si>
    <t>XS2582194143</t>
  </si>
  <si>
    <t>2/3/2024</t>
  </si>
  <si>
    <t>BBG014G31013</t>
  </si>
  <si>
    <t>XS2431032403</t>
  </si>
  <si>
    <t>1/21/2023</t>
  </si>
  <si>
    <t>BBG01K1FK5J5</t>
  </si>
  <si>
    <t>XS2716750547</t>
  </si>
  <si>
    <t>11/10/2038</t>
  </si>
  <si>
    <t>BBG00Z160PG4</t>
  </si>
  <si>
    <t>XS2293889759</t>
  </si>
  <si>
    <t>2/4/2028</t>
  </si>
  <si>
    <t>BBG01SW1CQS8</t>
  </si>
  <si>
    <t>XS3032031687</t>
  </si>
  <si>
    <t>3/27/2033</t>
  </si>
  <si>
    <t>BBG00VZQLDW8</t>
  </si>
  <si>
    <t>XS2206548260</t>
  </si>
  <si>
    <t>7/16/2020</t>
  </si>
  <si>
    <t>7/16/2025</t>
  </si>
  <si>
    <t>BBG014HVLYY8</t>
  </si>
  <si>
    <t>XS2433833071</t>
  </si>
  <si>
    <t>1/19/2029</t>
  </si>
  <si>
    <t>BBG011ZTHNQ7</t>
  </si>
  <si>
    <t>XS2373163711</t>
  </si>
  <si>
    <t>8/12/2031</t>
  </si>
  <si>
    <t>BBG01RP3PPC9</t>
  </si>
  <si>
    <t>XS2977993471</t>
  </si>
  <si>
    <t>BBG00Q6DBQ34</t>
  </si>
  <si>
    <t>XS2051894322</t>
  </si>
  <si>
    <t>9/12/2019</t>
  </si>
  <si>
    <t>9/14/2020</t>
  </si>
  <si>
    <t>BBG01QLH9XZ0</t>
  </si>
  <si>
    <t>XS2934329967</t>
  </si>
  <si>
    <t>11/8/2027</t>
  </si>
  <si>
    <t>11/8/2025</t>
  </si>
  <si>
    <t>INTER-AMERICAN DEVEL BK</t>
  </si>
  <si>
    <t>BBG00ZCMCVW3</t>
  </si>
  <si>
    <t>XS2307046354</t>
  </si>
  <si>
    <t>3/4/2021</t>
  </si>
  <si>
    <t>3/4/2031</t>
  </si>
  <si>
    <t>1814Z US</t>
  </si>
  <si>
    <t>3/4/2022</t>
  </si>
  <si>
    <t>Inter-American Development Bank operates as a multilateral development institution. The Bank conducts lending operations emphasizes agricultural, energy, and transportation industries, as well as focuses on poverty reduction, social equity, modernization, integration, and the environmental development. Inter-American Development conducts its business worldwide.</t>
  </si>
  <si>
    <t>BBG01P2W76H1</t>
  </si>
  <si>
    <t>XS2875795945</t>
  </si>
  <si>
    <t>BBG00PH0DC95</t>
  </si>
  <si>
    <t>XS2019238679</t>
  </si>
  <si>
    <t>7/1/2019</t>
  </si>
  <si>
    <t>BBG014HVLFW1</t>
  </si>
  <si>
    <t>XS2433833238</t>
  </si>
  <si>
    <t>INTER-AMERICAN INVEST CO</t>
  </si>
  <si>
    <t>BBG01NC0LQP6</t>
  </si>
  <si>
    <t>XS2848649138</t>
  </si>
  <si>
    <t>6/24/2025</t>
  </si>
  <si>
    <t>BBG01N0QGG98</t>
  </si>
  <si>
    <t>XS2831196535</t>
  </si>
  <si>
    <t>6/5/2034</t>
  </si>
  <si>
    <t>BBG01C8QHRB6</t>
  </si>
  <si>
    <t>XS2575682450</t>
  </si>
  <si>
    <t>1/13/2026</t>
  </si>
  <si>
    <t>1/13/2024</t>
  </si>
  <si>
    <t>BBG00J6HDYG8</t>
  </si>
  <si>
    <t>XS1719268317</t>
  </si>
  <si>
    <t>11/17/2017</t>
  </si>
  <si>
    <t>11/17/2027</t>
  </si>
  <si>
    <t>11/17/2018</t>
  </si>
  <si>
    <t>BBG00HY8B0W9</t>
  </si>
  <si>
    <t>XS1261825381</t>
  </si>
  <si>
    <t>7/22/2015</t>
  </si>
  <si>
    <t>7/22/2030</t>
  </si>
  <si>
    <t>BBG01FXVLQT8</t>
  </si>
  <si>
    <t>XS2602450749</t>
  </si>
  <si>
    <t>3/30/2024</t>
  </si>
  <si>
    <t>BBG01FP6J986</t>
  </si>
  <si>
    <t>XS2595836755</t>
  </si>
  <si>
    <t>3/7/2023</t>
  </si>
  <si>
    <t>3/7/2028</t>
  </si>
  <si>
    <t>BBG00ZL7ZJG6</t>
  </si>
  <si>
    <t>XS2317499692</t>
  </si>
  <si>
    <t>4/7/2026</t>
  </si>
  <si>
    <t>BBG00GQ937C4</t>
  </si>
  <si>
    <t>XS1280871259</t>
  </si>
  <si>
    <t>7/19/2016</t>
  </si>
  <si>
    <t>8/27/2030</t>
  </si>
  <si>
    <t>BBG011ZTKSH2</t>
  </si>
  <si>
    <t>XS2373172381</t>
  </si>
  <si>
    <t>BBG0168R3JF6</t>
  </si>
  <si>
    <t>XS2462323424</t>
  </si>
  <si>
    <t>4/1/2022</t>
  </si>
  <si>
    <t>BBG00LG5RVD2</t>
  </si>
  <si>
    <t>XS1388868322</t>
  </si>
  <si>
    <t>4/1/2016</t>
  </si>
  <si>
    <t>BBG011PC05B8</t>
  </si>
  <si>
    <t>XS2362913837</t>
  </si>
  <si>
    <t>7/14/2021</t>
  </si>
  <si>
    <t>7/14/2031</t>
  </si>
  <si>
    <t>BBG0137QC2G2</t>
  </si>
  <si>
    <t>XS2404727161</t>
  </si>
  <si>
    <t>BBG010K56T95</t>
  </si>
  <si>
    <t>XS2339515525</t>
  </si>
  <si>
    <t>5/12/2021</t>
  </si>
  <si>
    <t>5/12/2031</t>
  </si>
  <si>
    <t>BBG00YXRQ0N5</t>
  </si>
  <si>
    <t>XS2289821568</t>
  </si>
  <si>
    <t>AAAp</t>
  </si>
  <si>
    <t>1/13/2022</t>
  </si>
  <si>
    <t>CORP ANDINA DE FOMENTO</t>
  </si>
  <si>
    <t>BBG011995PD2</t>
  </si>
  <si>
    <t>6/7/2033</t>
  </si>
  <si>
    <t>190458Z VC</t>
  </si>
  <si>
    <t>VC</t>
  </si>
  <si>
    <t>Corporacion Andina de Fomento (CAF) operates as a development bank for Latin Americans and the Caribbeans. The Bank provides loans, credit operations, and non-refundable funds for development of water and sanitation, energy, road infrastructure, productive transformation, and urban mobility infrastructure. CAF serves customers in Latin America, the Caribbean, Spain, and Portugal.</t>
  </si>
  <si>
    <t>BBG011Y5S2X6</t>
  </si>
  <si>
    <t>XS2311579218</t>
  </si>
  <si>
    <t>3/23/2033</t>
  </si>
  <si>
    <t>BBG011Y5S4W3</t>
  </si>
  <si>
    <t>XS2312157600</t>
  </si>
  <si>
    <t>3/23/2026</t>
  </si>
  <si>
    <t>BBG011Y60638</t>
  </si>
  <si>
    <t>XS2251370131</t>
  </si>
  <si>
    <t>11/18/2032</t>
  </si>
  <si>
    <t>BBG011Y5N4C0</t>
  </si>
  <si>
    <t>XS2251370727</t>
  </si>
  <si>
    <t>11/10/2020</t>
  </si>
  <si>
    <t>11/10/2025</t>
  </si>
  <si>
    <t>BBG0116Z35F1</t>
  </si>
  <si>
    <t>BBG00NSC77K7</t>
  </si>
  <si>
    <t>XS1979276232</t>
  </si>
  <si>
    <t>BBG01JS8VZ34</t>
  </si>
  <si>
    <t>XS2708673327</t>
  </si>
  <si>
    <t>11/9/2033</t>
  </si>
  <si>
    <t>5/9/2024</t>
  </si>
  <si>
    <t>BBG00QZ8RQP2</t>
  </si>
  <si>
    <t>XS2080214518</t>
  </si>
  <si>
    <t>BBG00X3FXZF0</t>
  </si>
  <si>
    <t>XS2228256280</t>
  </si>
  <si>
    <t>BBG017Y45BD3</t>
  </si>
  <si>
    <t>XS2489967575</t>
  </si>
  <si>
    <t>7/7/2022</t>
  </si>
  <si>
    <t>7/8/2026</t>
  </si>
  <si>
    <t>1/8/2023</t>
  </si>
  <si>
    <t>BBG01H9VDNS8</t>
  </si>
  <si>
    <t>XS2647252167</t>
  </si>
  <si>
    <t>2/25/2024</t>
  </si>
  <si>
    <t>BBG01GZVW8T2</t>
  </si>
  <si>
    <t>XS1247879049</t>
  </si>
  <si>
    <t>6/25/2015</t>
  </si>
  <si>
    <t>12/25/2015</t>
  </si>
  <si>
    <t>BBG016Z6SB35</t>
  </si>
  <si>
    <t>XS2473691553</t>
  </si>
  <si>
    <t>BBG011XWZVD8</t>
  </si>
  <si>
    <t>XS2369569624</t>
  </si>
  <si>
    <t>7/29/2021</t>
  </si>
  <si>
    <t>BBG012J11474</t>
  </si>
  <si>
    <t>XS2388204138</t>
  </si>
  <si>
    <t>9/27/2021</t>
  </si>
  <si>
    <t>9/29/2031</t>
  </si>
  <si>
    <t>BBG015MXY5W6</t>
  </si>
  <si>
    <t>XS2451449891</t>
  </si>
  <si>
    <t>3/8/2022</t>
  </si>
  <si>
    <t>CASH PGM FOR BRL</t>
  </si>
  <si>
    <t>BBG003GVPDQ3</t>
  </si>
  <si>
    <t>3/2/2007</t>
  </si>
  <si>
    <t>12/29/2049</t>
  </si>
  <si>
    <t>FLOAT RATE NOTE</t>
  </si>
  <si>
    <t>4/2/2007</t>
  </si>
  <si>
    <t>BBG011Y6LCR6</t>
  </si>
  <si>
    <t>XS2233228670</t>
  </si>
  <si>
    <t>9/28/2032</t>
  </si>
  <si>
    <t>BBG011YPJPK5</t>
  </si>
  <si>
    <t>XS2368589441</t>
  </si>
  <si>
    <t>8/26/2021</t>
  </si>
  <si>
    <t>8/29/2028</t>
  </si>
  <si>
    <t>BBG016V94KP5</t>
  </si>
  <si>
    <t>XS2474225013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</si>
</sst>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applyAlignment="1">
      <alignment horizontal="left" vertical="center"/>
    </xf>
    <xf numFmtId="0" fontId="0" fillId="2"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Data...2751312617</v>
        <stp/>
        <stp>BDP|17048106568823332922</stp>
        <tr r="M48" s="1"/>
      </tp>
      <tp t="s">
        <v>#N/A Requesting Data...1797897748</v>
        <stp/>
        <stp>BDP|17392733116232650996</stp>
        <tr r="J57" s="1"/>
      </tp>
      <tp t="s">
        <v>#N/A Requesting Data...689069716</v>
        <stp/>
        <stp>BDP|13719616490250998665</stp>
        <tr r="P23" s="1"/>
      </tp>
      <tp t="s">
        <v>#N/A Requesting Data...796254299</v>
        <stp/>
        <stp>BDP|13930391218602548941</stp>
        <tr r="T52" s="1"/>
      </tp>
      <tp t="s">
        <v>#N/A Requesting Data...4267896688</v>
        <stp/>
        <stp>BDP|12582733249672338958</stp>
        <tr r="W26" s="1"/>
      </tp>
      <tp t="s">
        <v>#N/A Requesting Data...1250048458</v>
        <stp/>
        <stp>BDP|16432960419670156429</stp>
        <tr r="AD10" s="1"/>
      </tp>
      <tp t="s">
        <v>#N/A Requesting Data...833982237</v>
        <stp/>
        <stp>BDP|11579101549948417606</stp>
        <tr r="T11" s="1"/>
      </tp>
      <tp t="s">
        <v>#N/A Requesting Data...3960232093</v>
        <stp/>
        <stp>BDP|14243433451819108697</stp>
        <tr r="M41" s="1"/>
      </tp>
      <tp t="s">
        <v>#N/A Requesting Data...2999018442</v>
        <stp/>
        <stp>BDP|18431129339660624013</stp>
        <tr r="O28" s="1"/>
      </tp>
      <tp t="s">
        <v>#N/A Requesting Data...2970891628</v>
        <stp/>
        <stp>BDP|14819835322241821593</stp>
        <tr r="X76" s="1"/>
      </tp>
      <tp t="s">
        <v>#N/A Requesting Data...1937223429</v>
        <stp/>
        <stp>BDP|11835816904485261672</stp>
        <tr r="R72" s="1"/>
      </tp>
      <tp t="s">
        <v>#N/A Requesting Data...692924916</v>
        <stp/>
        <stp>BDP|17303386544329231352</stp>
        <tr r="W46" s="1"/>
      </tp>
      <tp t="s">
        <v>#N/A Requesting Data...978552702</v>
        <stp/>
        <stp>BDP|18080596460168546975</stp>
        <tr r="AE14" s="1"/>
      </tp>
      <tp t="s">
        <v>#N/A Requesting Data...2823554526</v>
        <stp/>
        <stp>BDP|13097047211950619881</stp>
        <tr r="X15" s="1"/>
      </tp>
      <tp t="s">
        <v>#N/A Requesting Data...741209073</v>
        <stp/>
        <stp>BDP|12581961807866646791</stp>
        <tr r="R76" s="1"/>
      </tp>
      <tp t="s">
        <v>#N/A Requesting Data...1557126827</v>
        <stp/>
        <stp>BDP|13655038029842117977</stp>
        <tr r="V39" s="1"/>
      </tp>
      <tp t="s">
        <v>#N/A Requesting Data...1543084480</v>
        <stp/>
        <stp>BDP|18267062561365759183</stp>
        <tr r="AH59" s="1"/>
      </tp>
      <tp t="s">
        <v>#N/A Requesting Data...2319556537</v>
        <stp/>
        <stp>BDP|12107207993497827406</stp>
        <tr r="R63" s="1"/>
      </tp>
      <tp t="s">
        <v>#N/A Requesting Data...3698346612</v>
        <stp/>
        <stp>BDP|12351721664399665097</stp>
        <tr r="R64" s="1"/>
      </tp>
      <tp t="s">
        <v>#N/A Requesting Data...786142561</v>
        <stp/>
        <stp>BDP|16256856057511261085</stp>
        <tr r="J66" s="1"/>
      </tp>
      <tp t="s">
        <v>#N/A Requesting Data...2707358615</v>
        <stp/>
        <stp>BDP|11691443368311057873</stp>
        <tr r="AD46" s="1"/>
      </tp>
      <tp t="s">
        <v>#N/A Requesting Data...4068157589</v>
        <stp/>
        <stp>BDP|15736749149315613915</stp>
        <tr r="Y64" s="1"/>
      </tp>
      <tp t="s">
        <v>#N/A Requesting Data...1035670695</v>
        <stp/>
        <stp>BDP|12270867614279870858</stp>
        <tr r="U19" s="1"/>
      </tp>
      <tp t="s">
        <v>#N/A Requesting Data...1616348176</v>
        <stp/>
        <stp>BDP|10702968323997744683</stp>
        <tr r="AF52" s="1"/>
      </tp>
      <tp t="s">
        <v>#N/A Requesting Data...3064148599</v>
        <stp/>
        <stp>BDP|15838344904645798932</stp>
        <tr r="F66" s="1"/>
      </tp>
      <tp t="s">
        <v>#N/A Requesting Data...3538121211</v>
        <stp/>
        <stp>BDP|12559997658414075081</stp>
        <tr r="C33" s="1"/>
      </tp>
      <tp t="s">
        <v>#N/A Requesting Data...2138016788</v>
        <stp/>
        <stp>BDP|14284753689818206904</stp>
        <tr r="M72" s="1"/>
      </tp>
      <tp t="s">
        <v>#N/A Requesting Data...3597300116</v>
        <stp/>
        <stp>BDP|14460377381607441298</stp>
        <tr r="AB71" s="1"/>
      </tp>
      <tp t="s">
        <v>#N/A Requesting Data...2453778987</v>
        <stp/>
        <stp>BDP|15505727795842466396</stp>
        <tr r="Q38" s="1"/>
      </tp>
      <tp t="s">
        <v>#N/A Requesting Data...2069070243</v>
        <stp/>
        <stp>BDP|18264684503200397455</stp>
        <tr r="AG29" s="1"/>
      </tp>
      <tp t="s">
        <v>#N/A Requesting Data...4278502384</v>
        <stp/>
        <stp>BDP|11038384261106208845</stp>
        <tr r="F5" s="1"/>
      </tp>
      <tp t="s">
        <v>#N/A Requesting Data...3598479666</v>
        <stp/>
        <stp>BDP|14745180831449425552</stp>
        <tr r="AA36" s="1"/>
      </tp>
      <tp t="s">
        <v>#N/A Requesting Data...4062268783</v>
        <stp/>
        <stp>BDP|16017107458988387047</stp>
        <tr r="N11" s="1"/>
      </tp>
      <tp t="s">
        <v>#N/A Requesting Data...1316307039</v>
        <stp/>
        <stp>BDP|10587619191104989129</stp>
        <tr r="V42" s="1"/>
      </tp>
      <tp t="s">
        <v>#N/A Requesting Data...2801404750</v>
        <stp/>
        <stp>BDP|11569294477669275777</stp>
        <tr r="U78" s="1"/>
      </tp>
      <tp t="s">
        <v>#N/A Requesting Data...3441701683</v>
        <stp/>
        <stp>BDP|17885352184315923313</stp>
        <tr r="P46" s="1"/>
      </tp>
      <tp t="s">
        <v>#N/A Requesting Data...4023149556</v>
        <stp/>
        <stp>BDP|13996076653634561893</stp>
        <tr r="N21" s="1"/>
      </tp>
      <tp t="s">
        <v>#N/A Requesting Data...3627878559</v>
        <stp/>
        <stp>BDP|13452403953090429821</stp>
        <tr r="D62" s="1"/>
      </tp>
      <tp t="s">
        <v>#N/A Requesting Data...2172881024</v>
        <stp/>
        <stp>BDP|16173326360898497172</stp>
        <tr r="L72" s="1"/>
      </tp>
      <tp t="s">
        <v>#N/A Requesting Data...2638419216</v>
        <stp/>
        <stp>BDP|11055827932898400848</stp>
        <tr r="M60" s="1"/>
      </tp>
      <tp t="s">
        <v>#N/A Requesting Data...2460739008</v>
        <stp/>
        <stp>BDP|11420586658262450903</stp>
        <tr r="I52" s="1"/>
      </tp>
      <tp t="s">
        <v>#N/A Requesting Data...2504887290</v>
        <stp/>
        <stp>BDP|15430414348798444793</stp>
        <tr r="O77" s="1"/>
      </tp>
    </main>
    <main first="bofaddin.rtdserver">
      <tp t="s">
        <v>#N/A Requesting Data...937694603</v>
        <stp/>
        <stp>BDP|10339210012249087035</stp>
        <tr r="F6" s="1"/>
      </tp>
      <tp t="s">
        <v>#N/A Requesting Data...3036837739</v>
        <stp/>
        <stp>BDP|14478870880597954994</stp>
        <tr r="Z5" s="1"/>
      </tp>
      <tp t="s">
        <v>#N/A Requesting Data...2921268295</v>
        <stp/>
        <stp>BDP|12327802430806483541</stp>
        <tr r="Q76" s="1"/>
      </tp>
      <tp t="s">
        <v>#N/A Requesting Data...2819838508</v>
        <stp/>
        <stp>BDP|10934737095460971456</stp>
        <tr r="O30" s="1"/>
      </tp>
      <tp t="s">
        <v>#N/A Requesting Data...1574117437</v>
        <stp/>
        <stp>BDP|16655710715043157900</stp>
        <tr r="AC79" s="1"/>
      </tp>
      <tp t="s">
        <v>#N/A Requesting Data...1646032012</v>
        <stp/>
        <stp>BDP|14575016584095603343</stp>
        <tr r="J54" s="1"/>
      </tp>
      <tp t="s">
        <v>#N/A Requesting Data...3784587939</v>
        <stp/>
        <stp>BDP|12885525039256888896</stp>
        <tr r="I27" s="1"/>
      </tp>
      <tp t="s">
        <v>#N/A Requesting Data...3836164992</v>
        <stp/>
        <stp>BDP|10669523471309619112</stp>
        <tr r="U24" s="1"/>
      </tp>
      <tp t="s">
        <v>#N/A Requesting Data...2724094700</v>
        <stp/>
        <stp>BDP|15642454415052723842</stp>
        <tr r="AH20" s="1"/>
      </tp>
      <tp t="s">
        <v>#N/A Requesting Data...3919739616</v>
        <stp/>
        <stp>BDP|17427063591672520633</stp>
        <tr r="Y13" s="1"/>
      </tp>
    </main>
    <main first="bofaddin.rtdserver">
      <tp t="s">
        <v>#N/A Requesting Data...3874996000</v>
        <stp/>
        <stp>BDP|15498069496735982396</stp>
        <tr r="AH24" s="1"/>
      </tp>
      <tp t="s">
        <v>#N/A Requesting Data...731923916</v>
        <stp/>
        <stp>BDP|15022412731268123059</stp>
        <tr r="W42" s="1"/>
      </tp>
      <tp t="s">
        <v>#N/A Requesting Data...3304226922</v>
        <stp/>
        <stp>BDP|13669849695759334108</stp>
        <tr r="F25" s="1"/>
      </tp>
      <tp t="s">
        <v>#N/A Requesting Data...2233114045</v>
        <stp/>
        <stp>BDP|14236873770782572340</stp>
        <tr r="H61" s="1"/>
      </tp>
      <tp t="s">
        <v>#N/A Requesting Data...1811307483</v>
        <stp/>
        <stp>BDP|10480590871729270197</stp>
        <tr r="T17" s="1"/>
      </tp>
      <tp t="s">
        <v>#N/A Requesting Data...708186249</v>
        <stp/>
        <stp>BDP|14441722131993707971</stp>
        <tr r="P48" s="1"/>
      </tp>
      <tp t="s">
        <v>#N/A Requesting Data...1803767696</v>
        <stp/>
        <stp>BDP|12982335390821909346</stp>
        <tr r="Y19" s="1"/>
      </tp>
      <tp t="s">
        <v>#N/A Requesting Data...4288137455</v>
        <stp/>
        <stp>BDP|15710310386487738307</stp>
        <tr r="AB38" s="1"/>
      </tp>
      <tp t="s">
        <v>#N/A Requesting Data...2896752001</v>
        <stp/>
        <stp>BDP|10410161231691053945</stp>
        <tr r="W77" s="1"/>
      </tp>
      <tp t="s">
        <v>#N/A Requesting Data...948995748</v>
        <stp/>
        <stp>BDP|10611099337771741891</stp>
        <tr r="AH39" s="1"/>
      </tp>
      <tp t="s">
        <v>#N/A Requesting Data...796534796</v>
        <stp/>
        <stp>BDP|16388542914470111840</stp>
        <tr r="AG60" s="1"/>
      </tp>
      <tp t="s">
        <v>#N/A Requesting Data...3728303056</v>
        <stp/>
        <stp>BDP|12281961861170332707</stp>
        <tr r="T37" s="1"/>
      </tp>
      <tp t="s">
        <v>#N/A Requesting Data...1765619734</v>
        <stp/>
        <stp>BDP|17479907380174662844</stp>
        <tr r="M62" s="1"/>
      </tp>
      <tp t="s">
        <v>#N/A Requesting Data...3983639347</v>
        <stp/>
        <stp>BDP|11773927770180223512</stp>
        <tr r="AE26" s="1"/>
      </tp>
      <tp t="s">
        <v>#N/A Requesting Data...4291200250</v>
        <stp/>
        <stp>BDP|15084356963948413247</stp>
        <tr r="K9" s="1"/>
      </tp>
      <tp t="s">
        <v>#N/A Requesting Data...1172023091</v>
        <stp/>
        <stp>BDP|13196344233028404149</stp>
        <tr r="O19" s="1"/>
      </tp>
    </main>
    <main first="bofaddin.rtdserver">
      <tp t="s">
        <v>#N/A Requesting Data...912770611</v>
        <stp/>
        <stp>BDP|10416079174015601986</stp>
        <tr r="AA8" s="1"/>
      </tp>
      <tp t="s">
        <v>#N/A Requesting Data...2101029982</v>
        <stp/>
        <stp>BDP|12921021295016669610</stp>
        <tr r="U71" s="1"/>
      </tp>
      <tp t="s">
        <v>#N/A Requesting Data...1621169714</v>
        <stp/>
        <stp>BDP|12504365091534942721</stp>
        <tr r="Q44" s="1"/>
      </tp>
      <tp t="s">
        <v>#N/A Requesting Data...3256460759</v>
        <stp/>
        <stp>BDP|15791489693360225374</stp>
        <tr r="G70" s="1"/>
      </tp>
      <tp t="s">
        <v>#N/A Requesting Data...1933905419</v>
        <stp/>
        <stp>BDP|12111242923649968078</stp>
        <tr r="AF59" s="1"/>
      </tp>
      <tp t="s">
        <v>#N/A Requesting Data...2203274286</v>
        <stp/>
        <stp>BDP|13585292881783481115</stp>
        <tr r="AD11" s="1"/>
      </tp>
      <tp t="s">
        <v>#N/A Requesting Data...4269568992</v>
        <stp/>
        <stp>BDP|10675850339068621845</stp>
        <tr r="H10" s="1"/>
      </tp>
      <tp t="s">
        <v>#N/A Requesting Data...1329841085</v>
        <stp/>
        <stp>BDP|10351535890281153691</stp>
        <tr r="AA12" s="1"/>
      </tp>
      <tp t="s">
        <v>#N/A Requesting Data...3430486306</v>
        <stp/>
        <stp>BDP|11578503300177988877</stp>
        <tr r="I37" s="1"/>
      </tp>
      <tp t="s">
        <v>#N/A Requesting Data...2985364005</v>
        <stp/>
        <stp>BDP|15970036385734276261</stp>
        <tr r="J41" s="1"/>
      </tp>
      <tp t="s">
        <v>#N/A Requesting Data...776427449</v>
        <stp/>
        <stp>BDP|10432249909618522179</stp>
        <tr r="K75" s="1"/>
      </tp>
      <tp t="s">
        <v>#N/A Requesting Data...3480187320</v>
        <stp/>
        <stp>BDP|13687000718738601138</stp>
        <tr r="O2" s="1"/>
      </tp>
      <tp t="s">
        <v>#N/A Requesting Data...1787970180</v>
        <stp/>
        <stp>BDP|14434842713142998406</stp>
        <tr r="Z24" s="1"/>
      </tp>
      <tp t="s">
        <v>#N/A Requesting Data...3011051349</v>
        <stp/>
        <stp>BDP|18005448330633833762</stp>
        <tr r="G72" s="1"/>
      </tp>
      <tp t="s">
        <v>#N/A Requesting Data...2760038102</v>
        <stp/>
        <stp>BDP|12028343934959876021</stp>
        <tr r="O47" s="1"/>
      </tp>
      <tp t="s">
        <v>#N/A Requesting Data...2500985703</v>
        <stp/>
        <stp>BDP|14961367747058441069</stp>
        <tr r="H53" s="1"/>
      </tp>
      <tp t="s">
        <v>#N/A Requesting Data...4041654875</v>
        <stp/>
        <stp>BDP|12986305795776397551</stp>
        <tr r="G27" s="1"/>
      </tp>
      <tp t="s">
        <v>#N/A Requesting Data...3984209380</v>
        <stp/>
        <stp>BDP|10345754701668939441</stp>
        <tr r="F63" s="1"/>
      </tp>
      <tp t="s">
        <v>#N/A Requesting Data...2692248754</v>
        <stp/>
        <stp>BDP|16438137167359954348</stp>
        <tr r="M79" s="1"/>
      </tp>
      <tp t="s">
        <v>#N/A Requesting Data...911640450</v>
        <stp/>
        <stp>BDP|14461890466694275548</stp>
        <tr r="G10" s="1"/>
      </tp>
      <tp t="s">
        <v>#N/A Requesting Data...1588607320</v>
        <stp/>
        <stp>BDP|13988114689787914655</stp>
        <tr r="K71" s="1"/>
      </tp>
      <tp t="s">
        <v>#N/A Requesting Data...1893810275</v>
        <stp/>
        <stp>BDP|15333152583737980013</stp>
        <tr r="W17" s="1"/>
      </tp>
      <tp t="s">
        <v>#N/A Requesting Data...3267466887</v>
        <stp/>
        <stp>BDP|12039598129447546987</stp>
        <tr r="H31" s="1"/>
      </tp>
      <tp t="s">
        <v>#N/A Requesting Data...2986505681</v>
        <stp/>
        <stp>BDP|11426731939929788743</stp>
        <tr r="V69" s="1"/>
      </tp>
      <tp t="s">
        <v>#N/A Requesting Data...926765452</v>
        <stp/>
        <stp>BDP|15563234024736732882</stp>
        <tr r="AC39" s="1"/>
      </tp>
      <tp t="s">
        <v>#N/A Requesting Data...2635248742</v>
        <stp/>
        <stp>BDP|14618238719549271525</stp>
        <tr r="H56" s="1"/>
      </tp>
      <tp t="s">
        <v>#N/A Requesting Data...2422544875</v>
        <stp/>
        <stp>BDP|10370545455679860262</stp>
        <tr r="T67" s="1"/>
      </tp>
      <tp t="s">
        <v>#N/A Requesting Data...2466146023</v>
        <stp/>
        <stp>BDP|16768068442369901069</stp>
        <tr r="D44" s="1"/>
      </tp>
      <tp t="s">
        <v>#N/A Requesting Data...1170547582</v>
        <stp/>
        <stp>BDP|10116775786903779788</stp>
        <tr r="Y56" s="1"/>
      </tp>
      <tp t="s">
        <v>#N/A Requesting Data...2775628162</v>
        <stp/>
        <stp>BDP|10770895394738075256</stp>
        <tr r="AC16" s="1"/>
      </tp>
      <tp t="s">
        <v>#N/A Requesting Data...3737338312</v>
        <stp/>
        <stp>BDP|17394740896401836374</stp>
        <tr r="I78" s="1"/>
      </tp>
      <tp t="s">
        <v>#N/A Requesting Data...1397398254</v>
        <stp/>
        <stp>BDP|17352071988646672247</stp>
        <tr r="J27" s="1"/>
      </tp>
      <tp t="s">
        <v>#N/A Requesting Data...1305883264</v>
        <stp/>
        <stp>BDP|11725508874899907146</stp>
        <tr r="I6" s="1"/>
      </tp>
      <tp t="s">
        <v>#N/A Requesting Data...3141940209</v>
        <stp/>
        <stp>BDP|14264976453684381745</stp>
        <tr r="X43" s="1"/>
      </tp>
      <tp t="s">
        <v>#N/A Requesting Data...3207877099</v>
        <stp/>
        <stp>BDP|16002448115608715071</stp>
        <tr r="M36" s="1"/>
      </tp>
      <tp t="s">
        <v>#N/A Requesting Data...2653618604</v>
        <stp/>
        <stp>BDP|16094015831147392929</stp>
        <tr r="K60" s="1"/>
      </tp>
      <tp t="s">
        <v>#N/A Requesting Data...2578431990</v>
        <stp/>
        <stp>BDP|11362040222491702933</stp>
        <tr r="S41" s="1"/>
      </tp>
      <tp t="s">
        <v>#N/A Requesting Data...1552305238</v>
        <stp/>
        <stp>BDP|12746906561367061171</stp>
        <tr r="AA15" s="1"/>
      </tp>
      <tp t="s">
        <v>#N/A Requesting Data...2238899587</v>
        <stp/>
        <stp>BDP|12535564684953000773</stp>
        <tr r="Y8" s="1"/>
      </tp>
      <tp t="s">
        <v>#N/A Requesting Data...2551186193</v>
        <stp/>
        <stp>BDP|17905895533514740344</stp>
        <tr r="K33" s="1"/>
      </tp>
    </main>
    <main first="bofaddin.rtdserver">
      <tp t="s">
        <v>#N/A Requesting Data...937668575</v>
        <stp/>
        <stp>BDP|15188073399501401686</stp>
        <tr r="AG46" s="1"/>
      </tp>
      <tp t="s">
        <v>#N/A Requesting Data...3255530231</v>
        <stp/>
        <stp>BDP|10514678131767713970</stp>
        <tr r="E79" s="1"/>
      </tp>
      <tp t="s">
        <v>#N/A Requesting Data...922925645</v>
        <stp/>
        <stp>BDP|16788414770057723920</stp>
        <tr r="AE21" s="1"/>
      </tp>
      <tp t="s">
        <v>#N/A Requesting Data...860028325</v>
        <stp/>
        <stp>BDP|10921174029610378879</stp>
        <tr r="Z48" s="1"/>
      </tp>
      <tp t="s">
        <v>#N/A Requesting Data...3080620326</v>
        <stp/>
        <stp>BDP|16180569485929839998</stp>
        <tr r="M69" s="1"/>
      </tp>
      <tp t="s">
        <v>#N/A Requesting Data...1118445857</v>
        <stp/>
        <stp>BDP|10639381689463642323</stp>
        <tr r="S49" s="1"/>
      </tp>
      <tp t="s">
        <v>#N/A Requesting Data...949451596</v>
        <stp/>
        <stp>BDP|10064447485962603553</stp>
        <tr r="G69" s="1"/>
      </tp>
      <tp t="s">
        <v>#N/A Requesting Data...1248545590</v>
        <stp/>
        <stp>BDP|15047854635871591479</stp>
        <tr r="L65" s="1"/>
      </tp>
      <tp t="s">
        <v>#N/A Requesting Data...3177646219</v>
        <stp/>
        <stp>BDP|13467223861319187543</stp>
        <tr r="W34" s="1"/>
      </tp>
      <tp t="s">
        <v>#N/A Requesting Data...685961266</v>
        <stp/>
        <stp>BDP|10302835669977898237</stp>
        <tr r="M5" s="1"/>
      </tp>
      <tp t="s">
        <v>#N/A Requesting Data...1811114126</v>
        <stp/>
        <stp>BDP|14327285004374811957</stp>
        <tr r="AC60" s="1"/>
      </tp>
      <tp t="s">
        <v>#N/A Requesting Data...928327118</v>
        <stp/>
        <stp>BDP|18423669144517082647</stp>
        <tr r="AB15" s="1"/>
      </tp>
      <tp t="s">
        <v>#N/A Requesting Data...1718027611</v>
        <stp/>
        <stp>BDP|14768298110109945529</stp>
        <tr r="AG63" s="1"/>
      </tp>
      <tp t="s">
        <v>#N/A Requesting Data...2514133995</v>
        <stp/>
        <stp>BDP|15038002575349191019</stp>
        <tr r="R30" s="1"/>
      </tp>
      <tp t="s">
        <v>#N/A Requesting Data...4136867946</v>
        <stp/>
        <stp>BDP|16490059024456268927</stp>
        <tr r="O24" s="1"/>
      </tp>
    </main>
    <main first="bofaddin.rtdserver">
      <tp t="s">
        <v>#N/A Requesting Data...3142075170</v>
        <stp/>
        <stp>BDP|17521149585046268312</stp>
        <tr r="C18" s="1"/>
      </tp>
      <tp t="s">
        <v>#N/A Requesting Data...3397201663</v>
        <stp/>
        <stp>BDP|10943336958205636830</stp>
        <tr r="AG61" s="1"/>
      </tp>
      <tp t="s">
        <v>#N/A Requesting Data...3750129094</v>
        <stp/>
        <stp>BDP|17799429956084608922</stp>
        <tr r="X71" s="1"/>
      </tp>
      <tp t="s">
        <v>#N/A Requesting Data...1492915431</v>
        <stp/>
        <stp>BDP|10350393404579034190</stp>
        <tr r="AE17" s="1"/>
      </tp>
      <tp t="s">
        <v>#N/A Requesting Data...1720984292</v>
        <stp/>
        <stp>BDP|11230165515609254342</stp>
        <tr r="Q75" s="1"/>
      </tp>
      <tp t="s">
        <v>#N/A Requesting Data...3167762229</v>
        <stp/>
        <stp>BDP|12274657765190453912</stp>
        <tr r="M49" s="1"/>
      </tp>
      <tp t="s">
        <v>#N/A Requesting Data...3438702860</v>
        <stp/>
        <stp>BDP|13739071816980657967</stp>
        <tr r="T53" s="1"/>
      </tp>
      <tp t="s">
        <v>#N/A Requesting Data...2829653782</v>
        <stp/>
        <stp>BDP|13288697487215864324</stp>
        <tr r="M40" s="1"/>
      </tp>
      <tp t="s">
        <v>#N/A Requesting Data...3397287579</v>
        <stp/>
        <stp>BDP|13439120287039494836</stp>
        <tr r="AG11" s="1"/>
      </tp>
      <tp t="s">
        <v>#N/A Requesting Data...4201900490</v>
        <stp/>
        <stp>BDP|14048100344369735351</stp>
        <tr r="X54" s="1"/>
      </tp>
      <tp t="s">
        <v>#N/A Requesting Data...2218010145</v>
        <stp/>
        <stp>BDP|11044452459683942830</stp>
        <tr r="E2" s="1"/>
      </tp>
    </main>
    <main first="bofaddin.rtdserver">
      <tp t="s">
        <v>#N/A Requesting Data...2431456242</v>
        <stp/>
        <stp>BDP|13897005123540649947</stp>
        <tr r="M12" s="1"/>
      </tp>
      <tp t="s">
        <v>#N/A Requesting Data...2764216182</v>
        <stp/>
        <stp>BDP|15109986509062881617</stp>
        <tr r="C17" s="1"/>
      </tp>
      <tp t="s">
        <v>#N/A Requesting Data...950172233</v>
        <stp/>
        <stp>BDP|12109348882415627489</stp>
        <tr r="AE40" s="1"/>
      </tp>
      <tp t="s">
        <v>#N/A Requesting Data...3032932118</v>
        <stp/>
        <stp>BDP|16505001768568798038</stp>
        <tr r="J47" s="1"/>
      </tp>
      <tp t="s">
        <v>#N/A Requesting Data...1782172486</v>
        <stp/>
        <stp>BDP|17943036710087306906</stp>
        <tr r="AF12" s="1"/>
      </tp>
      <tp t="s">
        <v>#N/A Requesting Data...763726276</v>
        <stp/>
        <stp>BDP|14899444553609053476</stp>
        <tr r="AG76" s="1"/>
      </tp>
      <tp t="s">
        <v>#N/A Requesting Data...968869597</v>
        <stp/>
        <stp>BDP|14930757869165588880</stp>
        <tr r="L59" s="1"/>
      </tp>
      <tp t="s">
        <v>#N/A Requesting Data...1168457112</v>
        <stp/>
        <stp>BDP|18154604737954977172</stp>
        <tr r="Q58" s="1"/>
      </tp>
      <tp t="s">
        <v>#N/A Requesting Data...2882533862</v>
        <stp/>
        <stp>BDP|13618034089033143052</stp>
        <tr r="F43" s="1"/>
      </tp>
      <tp t="s">
        <v>#N/A Requesting Data...1917698941</v>
        <stp/>
        <stp>BDP|18442895301351649924</stp>
        <tr r="P77" s="1"/>
      </tp>
      <tp t="s">
        <v>#N/A Requesting Data...1112303335</v>
        <stp/>
        <stp>BDP|13703524941833616996</stp>
        <tr r="AC70" s="1"/>
      </tp>
      <tp t="s">
        <v>#N/A Requesting Data...1112954106</v>
        <stp/>
        <stp>BDP|12370998583319141236</stp>
        <tr r="Q54" s="1"/>
      </tp>
      <tp t="s">
        <v>#N/A Requesting Data...1112197485</v>
        <stp/>
        <stp>BDP|10249221197712508197</stp>
        <tr r="C77" s="1"/>
      </tp>
      <tp t="s">
        <v>#N/A Requesting Data...2550179236</v>
        <stp/>
        <stp>BDP|13598162164169945544</stp>
        <tr r="P57" s="1"/>
      </tp>
      <tp t="s">
        <v>#N/A Requesting Data...3066917246</v>
        <stp/>
        <stp>BDP|15561605471848662487</stp>
        <tr r="AA59" s="1"/>
      </tp>
      <tp t="s">
        <v>#N/A Requesting Data...1059976480</v>
        <stp/>
        <stp>BDP|15199840470230808274</stp>
        <tr r="I22" s="1"/>
      </tp>
      <tp t="s">
        <v>#N/A Requesting Data...975738310</v>
        <stp/>
        <stp>BDP|12919616862159838381</stp>
        <tr r="T60" s="1"/>
      </tp>
      <tp t="s">
        <v>#N/A Requesting Data...1794452398</v>
        <stp/>
        <stp>BDP|10108888979097258089</stp>
        <tr r="AB19" s="1"/>
      </tp>
      <tp t="s">
        <v>#N/A Requesting Data...1297551894</v>
        <stp/>
        <stp>BDP|17560247421709552688</stp>
        <tr r="L61" s="1"/>
      </tp>
      <tp t="s">
        <v>#N/A Requesting Data...847759940</v>
        <stp/>
        <stp>BDP|17580581397846197560</stp>
        <tr r="S25" s="1"/>
      </tp>
      <tp t="s">
        <v>#N/A Requesting Data...4119610753</v>
        <stp/>
        <stp>BDP|18402562328784487332</stp>
        <tr r="AH14" s="1"/>
      </tp>
      <tp t="s">
        <v>#N/A Requesting Data...3010897515</v>
        <stp/>
        <stp>BDP|11149232825921310890</stp>
        <tr r="F61" s="1"/>
      </tp>
      <tp t="s">
        <v>#N/A Requesting Data...2742552002</v>
        <stp/>
        <stp>BDP|14785838748839806995</stp>
        <tr r="Z58" s="1"/>
      </tp>
      <tp t="s">
        <v>#N/A Requesting Data...4062698435</v>
        <stp/>
        <stp>BDP|15154494991014670426</stp>
        <tr r="T49" s="1"/>
      </tp>
      <tp t="s">
        <v>#N/A Requesting Data...3172685765</v>
        <stp/>
        <stp>BDP|14976275087991789733</stp>
        <tr r="V26" s="1"/>
      </tp>
      <tp t="s">
        <v>#N/A Requesting Data...3318142642</v>
        <stp/>
        <stp>BDP|13983559261910783870</stp>
        <tr r="AH31" s="1"/>
      </tp>
      <tp t="s">
        <v>#N/A Requesting Data...3506114970</v>
        <stp/>
        <stp>BDP|17211740117251477881</stp>
        <tr r="J58" s="1"/>
      </tp>
      <tp t="s">
        <v>#N/A Requesting Data...2354863152</v>
        <stp/>
        <stp>BDP|14740033649479565144</stp>
        <tr r="L51" s="1"/>
      </tp>
      <tp t="s">
        <v>#N/A Requesting Data...3639884733</v>
        <stp/>
        <stp>BDP|16915673198013970233</stp>
        <tr r="AA37" s="1"/>
      </tp>
      <tp t="s">
        <v>#N/A Requesting Data...2670983414</v>
        <stp/>
        <stp>BDP|10456550638248422628</stp>
        <tr r="AG2" s="1"/>
      </tp>
      <tp t="s">
        <v>#N/A Requesting Data...1747150511</v>
        <stp/>
        <stp>BDP|12743250614360975902</stp>
        <tr r="Y41" s="1"/>
      </tp>
      <tp t="s">
        <v>#N/A Requesting Data...3152428742</v>
        <stp/>
        <stp>BDP|17753282789637896218</stp>
        <tr r="R65" s="1"/>
      </tp>
      <tp t="s">
        <v>#N/A Requesting Data...2009036368</v>
        <stp/>
        <stp>BDP|10813904145723141633</stp>
        <tr r="G24" s="1"/>
      </tp>
      <tp t="s">
        <v>#N/A Requesting Data...2518053597</v>
        <stp/>
        <stp>BDP|10255550968392080910</stp>
        <tr r="E77" s="1"/>
      </tp>
      <tp t="s">
        <v>#N/A Requesting Data...2077469474</v>
        <stp/>
        <stp>BDP|15759121952091129887</stp>
        <tr r="U66" s="1"/>
      </tp>
      <tp t="s">
        <v>#N/A Requesting Data...4064773934</v>
        <stp/>
        <stp>BDP|10723704220198379559</stp>
        <tr r="F48" s="1"/>
      </tp>
      <tp t="s">
        <v>#N/A Requesting Data...2922203954</v>
        <stp/>
        <stp>BDP|11346940825092461071</stp>
        <tr r="Y12" s="1"/>
      </tp>
      <tp t="s">
        <v>#N/A Requesting Data...3776825404</v>
        <stp/>
        <stp>BDP|17690938979516924741</stp>
        <tr r="E4" s="1"/>
      </tp>
      <tp t="s">
        <v>#N/A Requesting Data...785800698</v>
        <stp/>
        <stp>BDP|17668681190884885472</stp>
        <tr r="AE67" s="1"/>
      </tp>
      <tp t="s">
        <v>#N/A Requesting Data...2077081587</v>
        <stp/>
        <stp>BDP|10469327366958772574</stp>
        <tr r="Y5" s="1"/>
      </tp>
      <tp t="s">
        <v>#N/A Requesting Data...1445690130</v>
        <stp/>
        <stp>BDP|13591895509933166048</stp>
        <tr r="I10" s="1"/>
      </tp>
      <tp t="s">
        <v>#N/A Requesting Data...1490298346</v>
        <stp/>
        <stp>BDP|14996836207244453097</stp>
        <tr r="AG55" s="1"/>
      </tp>
      <tp t="s">
        <v>#N/A Requesting Data...2002151655</v>
        <stp/>
        <stp>BDP|15946197379438911308</stp>
        <tr r="U6" s="1"/>
      </tp>
      <tp t="s">
        <v>#N/A Requesting Data...4236515792</v>
        <stp/>
        <stp>BDP|17945770051629934463</stp>
        <tr r="X60" s="1"/>
      </tp>
    </main>
    <main first="bofaddin.rtdserver">
      <tp t="s">
        <v>#N/A Requesting Data...3066887806</v>
        <stp/>
        <stp>BDP|15854030559969474151</stp>
        <tr r="AG25" s="1"/>
      </tp>
      <tp t="s">
        <v>#N/A Requesting Data...2719988745</v>
        <stp/>
        <stp>BDP|13637133608888937273</stp>
        <tr r="U65" s="1"/>
      </tp>
      <tp t="s">
        <v>#N/A Requesting Data...2982445573</v>
        <stp/>
        <stp>BDP|10391786312248322690</stp>
        <tr r="AD78" s="1"/>
      </tp>
      <tp t="s">
        <v>#N/A Requesting Data...1812461575</v>
        <stp/>
        <stp>BDP|17340837173988280821</stp>
        <tr r="I23" s="1"/>
      </tp>
      <tp t="s">
        <v>#N/A N/A</v>
        <stp/>
        <stp>BDS|13625705668608627283</stp>
        <tr r="AK27" s="1"/>
        <tr r="AK50" s="1"/>
        <tr r="AK9" s="1"/>
        <tr r="AK22" s="1"/>
        <tr r="AK68" s="1"/>
        <tr r="AK4" s="1"/>
        <tr r="AK25" s="1"/>
        <tr r="AK33" s="1"/>
        <tr r="AK61" s="1"/>
        <tr r="AK62" s="1"/>
        <tr r="AK29" s="1"/>
        <tr r="AK30" s="1"/>
        <tr r="AK71" s="1"/>
        <tr r="AK55" s="1"/>
        <tr r="AK8" s="1"/>
        <tr r="AK3" s="1"/>
        <tr r="AK44" s="1"/>
        <tr r="AK23" s="1"/>
        <tr r="AK24" s="1"/>
        <tr r="AK15" s="1"/>
        <tr r="AK63" s="1"/>
        <tr r="AK77" s="1"/>
        <tr r="AK19" s="1"/>
        <tr r="AK16" s="1"/>
        <tr r="AK36" s="1"/>
        <tr r="AK46" s="1"/>
        <tr r="AK31" s="1"/>
        <tr r="AK34" s="1"/>
        <tr r="AK58" s="1"/>
        <tr r="AK60" s="1"/>
        <tr r="AK5" s="1"/>
        <tr r="AK28" s="1"/>
        <tr r="AK51" s="1"/>
        <tr r="AK37" s="1"/>
        <tr r="AK66" s="1"/>
        <tr r="AK38" s="1"/>
        <tr r="AK67" s="1"/>
        <tr r="AK69" s="1"/>
        <tr r="AK18" s="1"/>
        <tr r="AK41" s="1"/>
        <tr r="AK2" s="1"/>
        <tr r="AK21" s="1"/>
        <tr r="AK42" s="1"/>
      </tp>
      <tp t="s">
        <v>#N/A Requesting Data...891153306</v>
        <stp/>
        <stp>BDP|14497286688145595321</stp>
        <tr r="AH37" s="1"/>
      </tp>
      <tp t="s">
        <v>#N/A Requesting Data...4194060395</v>
        <stp/>
        <stp>BDP|14634026205704434879</stp>
        <tr r="X28" s="1"/>
      </tp>
      <tp t="s">
        <v>#N/A Requesting Data...1340624828</v>
        <stp/>
        <stp>BDP|13890022433929844138</stp>
        <tr r="Q21" s="1"/>
      </tp>
      <tp t="s">
        <v>#N/A Requesting Data...2489770523</v>
        <stp/>
        <stp>BDP|15746521270139577622</stp>
        <tr r="L76" s="1"/>
      </tp>
      <tp t="s">
        <v>#N/A Requesting Data...1361690401</v>
        <stp/>
        <stp>BDP|14795667632859459054</stp>
        <tr r="M51" s="1"/>
      </tp>
      <tp t="s">
        <v>#N/A Requesting Data...4267175477</v>
        <stp/>
        <stp>BDP|11800511363688883277</stp>
        <tr r="J60" s="1"/>
      </tp>
      <tp t="s">
        <v>#N/A Requesting Data...4080518491</v>
        <stp/>
        <stp>BDP|13341464790460697660</stp>
        <tr r="AF11" s="1"/>
      </tp>
      <tp t="s">
        <v>#N/A Requesting Data...1035887189</v>
        <stp/>
        <stp>BDP|14093790033888894079</stp>
        <tr r="S34" s="1"/>
      </tp>
      <tp t="s">
        <v>#N/A Requesting Data...2948176180</v>
        <stp/>
        <stp>BDP|11831716081252820452</stp>
        <tr r="Q69" s="1"/>
      </tp>
      <tp t="s">
        <v>#N/A Requesting Data...2959192402</v>
        <stp/>
        <stp>BDP|17033800957900255209</stp>
        <tr r="F7" s="1"/>
      </tp>
    </main>
    <main first="bofaddin.rtdserver">
      <tp t="s">
        <v>#N/A Requesting Data...2882303120</v>
        <stp/>
        <stp>BDP|13782114186481676325</stp>
        <tr r="AF51" s="1"/>
      </tp>
      <tp t="s">
        <v>#N/A Requesting Data...2110315598</v>
        <stp/>
        <stp>BDP|15158328445268019224</stp>
        <tr r="Y53" s="1"/>
      </tp>
      <tp t="s">
        <v>#N/A Requesting Data...3653789873</v>
        <stp/>
        <stp>BDP|16170719428199479289</stp>
        <tr r="Y54" s="1"/>
      </tp>
      <tp t="s">
        <v>#N/A Requesting Data...2578642597</v>
        <stp/>
        <stp>BDP|16051910412576443035</stp>
        <tr r="H5" s="1"/>
      </tp>
      <tp t="s">
        <v>#N/A Requesting Data...2278916170</v>
        <stp/>
        <stp>BDP|10275913072006439010</stp>
        <tr r="M52" s="1"/>
      </tp>
      <tp t="s">
        <v>#N/A Requesting Data...3371564240</v>
        <stp/>
        <stp>BDP|10723820300179317926</stp>
        <tr r="E54" s="1"/>
      </tp>
      <tp t="s">
        <v>#N/A Requesting Data...945409890</v>
        <stp/>
        <stp>BDP|14603555386110305118</stp>
        <tr r="AF65" s="1"/>
      </tp>
      <tp t="s">
        <v>#N/A Requesting Data...1797668382</v>
        <stp/>
        <stp>BDP|15682597198230771176</stp>
        <tr r="Q53" s="1"/>
      </tp>
      <tp t="s">
        <v>#N/A Requesting Data...4237282256</v>
        <stp/>
        <stp>BDP|16620112290712246424</stp>
        <tr r="X55" s="1"/>
      </tp>
      <tp t="s">
        <v>#N/A Requesting Data...3947577538</v>
        <stp/>
        <stp>BDP|17627618614388122041</stp>
        <tr r="W8" s="1"/>
      </tp>
      <tp t="s">
        <v>#N/A Requesting Data...2659867727</v>
        <stp/>
        <stp>BDP|13088016788903745084</stp>
        <tr r="AA64" s="1"/>
      </tp>
      <tp t="s">
        <v>#N/A Requesting Data...3498673617</v>
        <stp/>
        <stp>BDP|18317044505579122954</stp>
        <tr r="AF14" s="1"/>
      </tp>
    </main>
    <main first="bofaddin.rtdserver">
      <tp t="s">
        <v>#N/A Requesting Data...2903004726</v>
        <stp/>
        <stp>BDP|16283597622461958991</stp>
        <tr r="L32" s="1"/>
      </tp>
      <tp t="s">
        <v>#N/A Requesting Data...2997170447</v>
        <stp/>
        <stp>BDP|16772008993656433099</stp>
        <tr r="I74" s="1"/>
      </tp>
      <tp t="s">
        <v>#N/A Requesting Data...4058988582</v>
        <stp/>
        <stp>BDP|13066848648157456118</stp>
        <tr r="AA22" s="1"/>
      </tp>
      <tp t="s">
        <v>#N/A Requesting Data...1866634106</v>
        <stp/>
        <stp>BDP|13664308781199997867</stp>
        <tr r="S70" s="1"/>
      </tp>
      <tp t="s">
        <v>#N/A Requesting Data...2434058412</v>
        <stp/>
        <stp>BDP|13697022279808231571</stp>
        <tr r="AB21" s="1"/>
      </tp>
      <tp t="s">
        <v>#N/A Requesting Data...4000332821</v>
        <stp/>
        <stp>BDP|17563169799404097224</stp>
        <tr r="S21" s="1"/>
      </tp>
      <tp t="s">
        <v>#N/A Requesting Data...2828581416</v>
        <stp/>
        <stp>BDP|16930785104699794197</stp>
        <tr r="C65" s="1"/>
      </tp>
      <tp t="s">
        <v>#N/A Requesting Data...3034377403</v>
        <stp/>
        <stp>BDP|17043785592524151403</stp>
        <tr r="N32" s="1"/>
      </tp>
      <tp t="s">
        <v>#N/A Requesting Data...1035193219</v>
        <stp/>
        <stp>BDP|12613433619538645608</stp>
        <tr r="AG59" s="1"/>
      </tp>
      <tp t="s">
        <v>#N/A Requesting Data...2840405005</v>
        <stp/>
        <stp>BDP|16484951756780431397</stp>
        <tr r="G36" s="1"/>
      </tp>
      <tp t="s">
        <v>#N/A Requesting Data...3010672823</v>
        <stp/>
        <stp>BDP|16125187660818769044</stp>
        <tr r="F78" s="1"/>
      </tp>
      <tp t="s">
        <v>#N/A Requesting Data...1673724223</v>
        <stp/>
        <stp>BDP|18411094344580376574</stp>
        <tr r="AG15" s="1"/>
      </tp>
      <tp t="s">
        <v>#N/A Requesting Data...1120080637</v>
        <stp/>
        <stp>BDP|13636780779439945337</stp>
        <tr r="P51" s="1"/>
      </tp>
      <tp t="s">
        <v>#N/A Requesting Data...3832278740</v>
        <stp/>
        <stp>BDP|15008021000184887867</stp>
        <tr r="S8" s="1"/>
      </tp>
      <tp t="s">
        <v>#N/A Requesting Data...2514436888</v>
        <stp/>
        <stp>BDP|12325999457990349725</stp>
        <tr r="AB73" s="1"/>
      </tp>
      <tp t="s">
        <v>#N/A Requesting Data...3022707524</v>
        <stp/>
        <stp>BDP|12790767789056313278</stp>
        <tr r="Z42" s="1"/>
      </tp>
      <tp t="s">
        <v>#N/A Requesting Data...2050434774</v>
        <stp/>
        <stp>BDP|17199012812476906956</stp>
        <tr r="AG28" s="1"/>
      </tp>
      <tp t="s">
        <v>#N/A Requesting Data...3537745652</v>
        <stp/>
        <stp>BDP|18375755417271882670</stp>
        <tr r="AD7" s="1"/>
      </tp>
      <tp t="s">
        <v>#N/A Requesting Data...2863110513</v>
        <stp/>
        <stp>BDP|11577585255951367951</stp>
        <tr r="I21" s="1"/>
      </tp>
      <tp t="s">
        <v>#N/A Requesting Data...3696002082</v>
        <stp/>
        <stp>BDP|14353964156753915244</stp>
        <tr r="R44" s="1"/>
      </tp>
      <tp t="s">
        <v>#N/A Requesting Data...2335761614</v>
        <stp/>
        <stp>BDP|11393680792234870307</stp>
        <tr r="G64" s="1"/>
      </tp>
      <tp t="s">
        <v>#N/A Requesting Data...3655873168</v>
        <stp/>
        <stp>BDP|16189531655637471822</stp>
        <tr r="L12" s="1"/>
      </tp>
      <tp t="s">
        <v>#N/A Requesting Data...3443752600</v>
        <stp/>
        <stp>BDP|10790138082898553826</stp>
        <tr r="AC11" s="1"/>
      </tp>
      <tp t="s">
        <v>#N/A Requesting Data...3303330149</v>
        <stp/>
        <stp>BDP|15214511141044287916</stp>
        <tr r="Z11" s="1"/>
      </tp>
      <tp t="s">
        <v>#N/A Requesting Data...1457752650</v>
        <stp/>
        <stp>BDP|10500442773523747945</stp>
        <tr r="N19" s="1"/>
      </tp>
      <tp t="s">
        <v>#N/A Requesting Data...1923416314</v>
        <stp/>
        <stp>BDP|10351893057683886752</stp>
        <tr r="N24" s="1"/>
      </tp>
      <tp t="s">
        <v>#N/A Requesting Data...3711661462</v>
        <stp/>
        <stp>BDP|17395566435310034801</stp>
        <tr r="L46" s="1"/>
      </tp>
      <tp t="s">
        <v>#N/A Requesting Data...2844100342</v>
        <stp/>
        <stp>BDP|16623897076744103485</stp>
        <tr r="N62" s="1"/>
      </tp>
      <tp t="s">
        <v>#N/A Requesting Data...4196027685</v>
        <stp/>
        <stp>BDP|16947195901757015912</stp>
        <tr r="R15" s="1"/>
      </tp>
      <tp t="s">
        <v>#N/A Requesting Data...3555712303</v>
        <stp/>
        <stp>BDP|15121591684644414581</stp>
        <tr r="D69" s="1"/>
      </tp>
    </main>
    <main first="bofaddin.rtdserver">
      <tp t="s">
        <v>#N/A Requesting Data...1018441049</v>
        <stp/>
        <stp>BDP|14553442499996375682</stp>
        <tr r="D32" s="1"/>
      </tp>
      <tp t="s">
        <v>#N/A Requesting Data...2099193608</v>
        <stp/>
        <stp>BDP|14248447495780867088</stp>
        <tr r="U63" s="1"/>
      </tp>
      <tp t="s">
        <v>#N/A Requesting Data...1363269990</v>
        <stp/>
        <stp>BDP|10829402583942825706</stp>
        <tr r="X33" s="1"/>
      </tp>
      <tp t="s">
        <v>#N/A Requesting Data...3109076799</v>
        <stp/>
        <stp>BDP|13852789305648177571</stp>
        <tr r="AE76" s="1"/>
      </tp>
      <tp t="s">
        <v>#N/A Requesting Data...1869741552</v>
        <stp/>
        <stp>BDP|18106550762407238576</stp>
        <tr r="P61" s="1"/>
      </tp>
      <tp t="s">
        <v>#N/A Requesting Data...983156247</v>
        <stp/>
        <stp>BDP|18001093949346128322</stp>
        <tr r="F38" s="1"/>
      </tp>
      <tp t="s">
        <v>#N/A Requesting Data...3184875071</v>
        <stp/>
        <stp>BDP|17210725791096244607</stp>
        <tr r="Q45" s="1"/>
      </tp>
      <tp t="s">
        <v>#N/A Requesting Data...3688487157</v>
        <stp/>
        <stp>BDP|16660892910566875043</stp>
        <tr r="Q25" s="1"/>
      </tp>
      <tp t="s">
        <v>#N/A Requesting Data...2826964972</v>
        <stp/>
        <stp>BDP|15465384724419276488</stp>
        <tr r="T56" s="1"/>
      </tp>
      <tp t="s">
        <v>#N/A Requesting Data...3489289350</v>
        <stp/>
        <stp>BDP|16317407391863374131</stp>
        <tr r="S57" s="1"/>
      </tp>
      <tp t="s">
        <v>#N/A Requesting Data...1870143145</v>
        <stp/>
        <stp>BDP|14117819156581421100</stp>
        <tr r="R69" s="1"/>
      </tp>
      <tp t="s">
        <v>#N/A Requesting Data...2867220906</v>
        <stp/>
        <stp>BDP|13401416670478237151</stp>
        <tr r="R14" s="1"/>
      </tp>
      <tp t="s">
        <v>#N/A Requesting Data...3973201083</v>
        <stp/>
        <stp>BDP|17018335994963482712</stp>
        <tr r="J26" s="1"/>
      </tp>
      <tp t="s">
        <v>#N/A Requesting Data...1266385427</v>
        <stp/>
        <stp>BDP|14126285505119764696</stp>
        <tr r="AA49" s="1"/>
      </tp>
      <tp t="s">
        <v>#N/A Requesting Data...3533661021</v>
        <stp/>
        <stp>BDP|11553971811557735767</stp>
        <tr r="O60" s="1"/>
      </tp>
      <tp t="s">
        <v>#N/A Requesting Data...1297134744</v>
        <stp/>
        <stp>BDP|15492367398814895270</stp>
        <tr r="AD50" s="1"/>
      </tp>
      <tp t="s">
        <v>#N/A Requesting Data...3510067874</v>
        <stp/>
        <stp>BDP|16224808831203010768</stp>
        <tr r="C4" s="1"/>
      </tp>
      <tp t="s">
        <v>#N/A Requesting Data...2941627959</v>
        <stp/>
        <stp>BDP|11490820350005491071</stp>
        <tr r="Z28" s="1"/>
      </tp>
      <tp t="s">
        <v>#N/A Requesting Data...4275975825</v>
        <stp/>
        <stp>BDP|13105640891347321224</stp>
        <tr r="C76" s="1"/>
      </tp>
      <tp t="s">
        <v>#N/A Requesting Data...3922287827</v>
        <stp/>
        <stp>BDP|17625531194022531014</stp>
        <tr r="R61" s="1"/>
      </tp>
    </main>
    <main first="bofaddin.rtdserver">
      <tp t="s">
        <v>#N/A Requesting Data...3770837981</v>
        <stp/>
        <stp>BDP|10741753276121953898</stp>
        <tr r="AD61" s="1"/>
      </tp>
      <tp t="s">
        <v>#N/A Requesting Data...911013834</v>
        <stp/>
        <stp>BDP|13920847438583320221</stp>
        <tr r="AE27" s="1"/>
      </tp>
      <tp t="s">
        <v>#N/A Requesting Data...3151849551</v>
        <stp/>
        <stp>BDP|17400542582306123570</stp>
        <tr r="P42" s="1"/>
      </tp>
      <tp t="s">
        <v>#N/A Requesting Data...1330478319</v>
        <stp/>
        <stp>BDP|10436970557777365230</stp>
        <tr r="P72" s="1"/>
      </tp>
      <tp t="s">
        <v>#N/A Requesting Data...1187055880</v>
        <stp/>
        <stp>BDP|13367260246148247455</stp>
        <tr r="V63" s="1"/>
      </tp>
      <tp t="s">
        <v>#N/A Requesting Data...971517707</v>
        <stp/>
        <stp>BDP|13415449095551818699</stp>
        <tr r="W47" s="1"/>
      </tp>
      <tp t="s">
        <v>#N/A Requesting Data...2838380954</v>
        <stp/>
        <stp>BDP|15957434350634896952</stp>
        <tr r="AD19" s="1"/>
      </tp>
      <tp t="s">
        <v>#N/A Requesting Data...3989791727</v>
        <stp/>
        <stp>BDP|12516300093668878997</stp>
        <tr r="AH2" s="1"/>
      </tp>
      <tp t="s">
        <v>#N/A Requesting Data...3703542383</v>
        <stp/>
        <stp>BDP|10706434937287504910</stp>
        <tr r="AF68" s="1"/>
      </tp>
      <tp t="s">
        <v>#N/A Requesting Data...3163068351</v>
        <stp/>
        <stp>BDP|11172679896065622204</stp>
        <tr r="AD32" s="1"/>
      </tp>
      <tp t="s">
        <v>#N/A Requesting Data...1674254357</v>
        <stp/>
        <stp>BDP|12630079098152725084</stp>
        <tr r="AH16" s="1"/>
      </tp>
      <tp t="s">
        <v>#N/A Requesting Data...4229021679</v>
        <stp/>
        <stp>BDP|17727664565987669945</stp>
        <tr r="J25" s="1"/>
      </tp>
      <tp t="s">
        <v>#N/A Requesting Data...1732535504</v>
        <stp/>
        <stp>BDP|18292307555903463452</stp>
        <tr r="M35" s="1"/>
      </tp>
      <tp t="s">
        <v>#N/A Requesting Data...2847706918</v>
        <stp/>
        <stp>BDP|17385431533228392166</stp>
        <tr r="O13" s="1"/>
      </tp>
    </main>
    <main first="bofaddin.rtdserver">
      <tp t="s">
        <v>#N/A Requesting Data...4274840968</v>
        <stp/>
        <stp>BDP|11219234662968378398</stp>
        <tr r="AH22" s="1"/>
      </tp>
      <tp t="s">
        <v>#N/A Requesting Data...2110303603</v>
        <stp/>
        <stp>BDP|13058686675995021949</stp>
        <tr r="AD36" s="1"/>
      </tp>
      <tp t="s">
        <v>#N/A Requesting Data...1258016616</v>
        <stp/>
        <stp>BDP|17710981951442422736</stp>
        <tr r="G28" s="1"/>
      </tp>
      <tp t="s">
        <v>#N/A Requesting Data...3372198590</v>
        <stp/>
        <stp>BDP|18258235756940958178</stp>
        <tr r="V34" s="1"/>
      </tp>
      <tp t="s">
        <v>#N/A Requesting Data...1668592559</v>
        <stp/>
        <stp>BDP|11571387913149366458</stp>
        <tr r="Y17" s="1"/>
      </tp>
      <tp t="s">
        <v>#N/A Requesting Data...2350900941</v>
        <stp/>
        <stp>BDP|13058172182241544583</stp>
        <tr r="H79" s="1"/>
      </tp>
      <tp t="s">
        <v>#N/A Requesting Data...1835504579</v>
        <stp/>
        <stp>BDP|15184064384440951314</stp>
        <tr r="P73" s="1"/>
      </tp>
      <tp t="s">
        <v>#N/A Requesting Data...3202974839</v>
        <stp/>
        <stp>BDP|14628448461470053891</stp>
        <tr r="Z10" s="1"/>
      </tp>
      <tp t="s">
        <v>#N/A Requesting Data...1186955801</v>
        <stp/>
        <stp>BDP|13969708273414910995</stp>
        <tr r="V18" s="1"/>
      </tp>
      <tp t="s">
        <v>#N/A Requesting Data...1394723722</v>
        <stp/>
        <stp>BDP|12787868344170876071</stp>
        <tr r="AH11" s="1"/>
      </tp>
      <tp t="s">
        <v>#N/A Requesting Data...1335357673</v>
        <stp/>
        <stp>BDP|10945032841708670272</stp>
        <tr r="Z61" s="1"/>
      </tp>
      <tp t="s">
        <v>#N/A Requesting Data...3285553511</v>
        <stp/>
        <stp>BDP|11807921014860741744</stp>
        <tr r="S59" s="1"/>
      </tp>
      <tp t="s">
        <v>#N/A Requesting Data...3172077621</v>
        <stp/>
        <stp>BDP|16878847935462454108</stp>
        <tr r="AD60" s="1"/>
      </tp>
      <tp t="s">
        <v>#N/A Requesting Data...3756590597</v>
        <stp/>
        <stp>BDP|18380455387368889244</stp>
        <tr r="R29" s="1"/>
      </tp>
      <tp t="s">
        <v>#N/A Requesting Data...2160612060</v>
        <stp/>
        <stp>BDP|10304045086807590196</stp>
        <tr r="E56" s="1"/>
      </tp>
      <tp t="s">
        <v>#N/A Requesting Data...2313935812</v>
        <stp/>
        <stp>BDP|14151906849521734625</stp>
        <tr r="P50" s="1"/>
      </tp>
      <tp t="s">
        <v>#N/A Requesting Data...3350439621</v>
        <stp/>
        <stp>BDP|10799038567441605998</stp>
        <tr r="O32" s="1"/>
      </tp>
      <tp t="s">
        <v>#N/A Requesting Data...2499201756</v>
        <stp/>
        <stp>BDP|17521564527207124991</stp>
        <tr r="F49" s="1"/>
      </tp>
      <tp t="s">
        <v>#N/A Requesting Data...3959399248</v>
        <stp/>
        <stp>BDP|13661279092613648598</stp>
        <tr r="D40" s="1"/>
      </tp>
      <tp t="s">
        <v>#N/A Requesting Data...2829524071</v>
        <stp/>
        <stp>BDP|14585333928039144205</stp>
        <tr r="G53" s="1"/>
      </tp>
      <tp t="s">
        <v>#N/A N/A</v>
        <stp/>
        <stp>BDS|12612468895213942206</stp>
        <tr r="AK57" s="1"/>
        <tr r="AK52" s="1"/>
        <tr r="AK43" s="1"/>
        <tr r="AK39" s="1"/>
        <tr r="AK74" s="1"/>
      </tp>
      <tp t="s">
        <v>#N/A Requesting Data...2514062307</v>
        <stp/>
        <stp>BDP|12372655403373279989</stp>
        <tr r="AC3" s="1"/>
      </tp>
      <tp t="s">
        <v>#N/A Requesting Data...3838517403</v>
        <stp/>
        <stp>BDP|13419391054029199276</stp>
        <tr r="K77" s="1"/>
      </tp>
      <tp t="s">
        <v>#N/A Requesting Data...3628759983</v>
        <stp/>
        <stp>BDP|17177891460020393742</stp>
        <tr r="C34" s="1"/>
      </tp>
      <tp t="s">
        <v>#N/A Requesting Data...1408489709</v>
        <stp/>
        <stp>BDP|16156644028184363814</stp>
        <tr r="F2" s="1"/>
      </tp>
      <tp t="s">
        <v>#N/A Requesting Data...2551667607</v>
        <stp/>
        <stp>BDP|14689848079730308572</stp>
        <tr r="R60" s="1"/>
      </tp>
      <tp t="s">
        <v>#N/A Requesting Data...2059155403</v>
        <stp/>
        <stp>BDP|10291543095184804658</stp>
        <tr r="AC22" s="1"/>
      </tp>
      <tp t="s">
        <v>#N/A Requesting Data...3309464856</v>
        <stp/>
        <stp>BDP|15243621211568967462</stp>
        <tr r="O74" s="1"/>
      </tp>
      <tp t="s">
        <v>#N/A Requesting Data...1644641728</v>
        <stp/>
        <stp>BDP|15914869135591247182</stp>
        <tr r="AF50" s="1"/>
      </tp>
      <tp t="s">
        <v>#N/A Requesting Data...1538864303</v>
        <stp/>
        <stp>BDP|13554920634272783544</stp>
        <tr r="Z62" s="1"/>
      </tp>
      <tp t="s">
        <v>#N/A Requesting Data...1312823426</v>
        <stp/>
        <stp>BDP|10139851548800478287</stp>
        <tr r="P16" s="1"/>
      </tp>
      <tp t="s">
        <v>#N/A Requesting Data...4202897752</v>
        <stp/>
        <stp>BDP|11739043200707039838</stp>
        <tr r="R58" s="1"/>
      </tp>
      <tp t="s">
        <v>#N/A Requesting Data...2854555095</v>
        <stp/>
        <stp>BDP|12359880549488434866</stp>
        <tr r="Q14" s="1"/>
      </tp>
    </main>
    <main first="bofaddin.rtdserver">
      <tp t="s">
        <v>#N/A Requesting Data...3256716121</v>
        <stp/>
        <stp>BDP|16383750979899800147</stp>
        <tr r="AB77" s="1"/>
      </tp>
    </main>
    <main first="bofaddin.rtdserver">
      <tp t="s">
        <v>#N/A Requesting Data...4211486575</v>
        <stp/>
        <stp>BDP|17196232513513325907</stp>
        <tr r="D65" s="1"/>
      </tp>
      <tp t="s">
        <v>#N/A Requesting Data...1280262973</v>
        <stp/>
        <stp>BDP|14300350535313221938</stp>
        <tr r="R77" s="1"/>
      </tp>
      <tp t="s">
        <v>#N/A Requesting Data...2930320864</v>
        <stp/>
        <stp>BDP|13397965531822133579</stp>
        <tr r="W7" s="1"/>
      </tp>
      <tp t="s">
        <v>#N/A Requesting Data...3351481481</v>
        <stp/>
        <stp>BDP|12963539087146689795</stp>
        <tr r="H67" s="1"/>
      </tp>
      <tp t="s">
        <v>#N/A Requesting Data...2999713951</v>
        <stp/>
        <stp>BDP|18298006144177783534</stp>
        <tr r="L71" s="1"/>
      </tp>
      <tp t="s">
        <v>#N/A Requesting Data...4126739522</v>
        <stp/>
        <stp>BDP|11623842703536377102</stp>
        <tr r="X57" s="1"/>
      </tp>
      <tp t="s">
        <v>#N/A Requesting Data...2164376646</v>
        <stp/>
        <stp>BDP|10804021848733199919</stp>
        <tr r="N39" s="1"/>
      </tp>
      <tp t="s">
        <v>#N/A N/A</v>
        <stp/>
        <stp>BDP|15791613137169267767</stp>
        <tr r="AI56" s="1"/>
        <tr r="AI72" s="1"/>
        <tr r="AI54" s="1"/>
        <tr r="AI13" s="1"/>
        <tr r="AI45" s="1"/>
        <tr r="AI65" s="1"/>
        <tr r="AI48" s="1"/>
        <tr r="AI78" s="1"/>
        <tr r="AI79" s="1"/>
      </tp>
      <tp t="s">
        <v>#N/A Requesting Data...1496779645</v>
        <stp/>
        <stp>BDP|10273740034638797207</stp>
        <tr r="AB79" s="1"/>
      </tp>
      <tp t="s">
        <v>#N/A Requesting Data...3391063454</v>
        <stp/>
        <stp>BDP|17110662798317986137</stp>
        <tr r="AC56" s="1"/>
      </tp>
      <tp t="s">
        <v>#N/A Requesting Data...4184740116</v>
        <stp/>
        <stp>BDP|16963288667654403876</stp>
        <tr r="AF13" s="1"/>
      </tp>
      <tp t="s">
        <v>#N/A Requesting Data...2452109853</v>
        <stp/>
        <stp>BDP|17420202411083145919</stp>
        <tr r="R3" s="1"/>
      </tp>
      <tp t="s">
        <v>#N/A Requesting Data...3789946499</v>
        <stp/>
        <stp>BDP|10278818379579897875</stp>
        <tr r="AB65" s="1"/>
      </tp>
      <tp t="s">
        <v>#N/A Requesting Data...1300600393</v>
        <stp/>
        <stp>BDP|10224128236778145433</stp>
        <tr r="N48" s="1"/>
      </tp>
      <tp t="s">
        <v>#N/A Requesting Data...2187999981</v>
        <stp/>
        <stp>BDP|15613723878022055989</stp>
        <tr r="AC38" s="1"/>
      </tp>
      <tp t="s">
        <v>#N/A Requesting Data...4028157263</v>
        <stp/>
        <stp>BDP|16375975350024912093</stp>
        <tr r="Y45" s="1"/>
      </tp>
      <tp t="s">
        <v>#N/A Requesting Data...1088225586</v>
        <stp/>
        <stp>BDP|17270162990046612763</stp>
        <tr r="AD44" s="1"/>
      </tp>
      <tp t="s">
        <v>#N/A Requesting Data...2917548161</v>
        <stp/>
        <stp>BDP|11254063831965690971</stp>
        <tr r="U70" s="1"/>
      </tp>
      <tp t="s">
        <v>#N/A Requesting Data...2657234316</v>
        <stp/>
        <stp>BDP|14190217931412643900</stp>
        <tr r="L77" s="1"/>
      </tp>
      <tp t="s">
        <v>#N/A Requesting Data...1062477216</v>
        <stp/>
        <stp>BDP|16525742480655556230</stp>
        <tr r="U52" s="1"/>
      </tp>
      <tp t="s">
        <v>#N/A Requesting Data...3008580104</v>
        <stp/>
        <stp>BDP|14093773443078694151</stp>
        <tr r="S9" s="1"/>
      </tp>
      <tp t="s">
        <v>#N/A Requesting Data...1720963782</v>
        <stp/>
        <stp>BDP|11112682240495651883</stp>
        <tr r="Q13" s="1"/>
      </tp>
      <tp t="s">
        <v>#N/A N/A</v>
        <stp/>
        <stp>BDP|17602095879768205628</stp>
        <tr r="AJ57" s="1"/>
        <tr r="AJ52" s="1"/>
        <tr r="AJ43" s="1"/>
        <tr r="AJ74" s="1"/>
        <tr r="AJ39" s="1"/>
      </tp>
      <tp t="s">
        <v>#N/A Requesting Data...1309343511</v>
        <stp/>
        <stp>BDP|13816572733229889227</stp>
        <tr r="R17" s="1"/>
      </tp>
      <tp t="s">
        <v>#N/A Requesting Data...2346007716</v>
        <stp/>
        <stp>BDP|16379671908008833627</stp>
        <tr r="T61" s="1"/>
      </tp>
      <tp t="s">
        <v>#N/A Requesting Data...1926604179</v>
        <stp/>
        <stp>BDP|11661632454534314841</stp>
        <tr r="N65" s="1"/>
      </tp>
      <tp t="s">
        <v>#N/A Requesting Data...3445324871</v>
        <stp/>
        <stp>BDP|11541909255983636001</stp>
        <tr r="R46" s="1"/>
      </tp>
    </main>
    <main first="bofaddin.rtdserver">
      <tp t="s">
        <v>#N/A Requesting Data...4225664809</v>
        <stp/>
        <stp>BDP|12356955476650096394</stp>
        <tr r="AG68" s="1"/>
      </tp>
      <tp t="s">
        <v>#N/A Requesting Data...1242906430</v>
        <stp/>
        <stp>BDP|14867335143815658977</stp>
        <tr r="AC20" s="1"/>
      </tp>
      <tp t="s">
        <v>#N/A Requesting Data...2090059847</v>
        <stp/>
        <stp>BDP|14124407496752922479</stp>
        <tr r="Q70" s="1"/>
      </tp>
      <tp t="s">
        <v>#N/A Requesting Data...4118389877</v>
        <stp/>
        <stp>BDP|12806333135275091879</stp>
        <tr r="Y63" s="1"/>
      </tp>
      <tp t="s">
        <v>#N/A Requesting Data...2647593595</v>
        <stp/>
        <stp>BDP|16206684543459578253</stp>
        <tr r="AC41" s="1"/>
      </tp>
      <tp t="s">
        <v>#N/A Requesting Data...2173573228</v>
        <stp/>
        <stp>BDP|10930848059321835341</stp>
        <tr r="M66" s="1"/>
      </tp>
      <tp t="s">
        <v>#N/A Requesting Data...2545390825</v>
        <stp/>
        <stp>BDP|17775171420189355284</stp>
        <tr r="AF28" s="1"/>
      </tp>
      <tp t="s">
        <v>#N/A Requesting Data...3650620062</v>
        <stp/>
        <stp>BDP|16158907379112145521</stp>
        <tr r="P44" s="1"/>
      </tp>
      <tp t="s">
        <v>#N/A Requesting Data...1791629256</v>
        <stp/>
        <stp>BDP|16661891293049233149</stp>
        <tr r="N55" s="1"/>
      </tp>
      <tp t="s">
        <v>#N/A Requesting Data...3002982051</v>
        <stp/>
        <stp>BDP|12849524261668290633</stp>
        <tr r="E45" s="1"/>
      </tp>
      <tp t="s">
        <v>#N/A Requesting Data...2179922931</v>
        <stp/>
        <stp>BDP|13080814416193490690</stp>
        <tr r="Z17" s="1"/>
      </tp>
      <tp t="s">
        <v>#N/A Requesting Data...1256028475</v>
        <stp/>
        <stp>BDP|14855007834220164872</stp>
        <tr r="J3" s="1"/>
      </tp>
      <tp t="s">
        <v>#N/A Requesting Data...2417624097</v>
        <stp/>
        <stp>BDP|12371443689602188327</stp>
        <tr r="AE31" s="1"/>
      </tp>
      <tp t="s">
        <v>#N/A Requesting Data...2970851048</v>
        <stp/>
        <stp>BDP|14601084344088033777</stp>
        <tr r="H49" s="1"/>
      </tp>
      <tp t="s">
        <v>#N/A Requesting Data...2793643790</v>
        <stp/>
        <stp>BDP|13764880680464292811</stp>
        <tr r="G26" s="1"/>
      </tp>
      <tp t="s">
        <v>#N/A Requesting Data...2110646774</v>
        <stp/>
        <stp>BDP|14872568987176325062</stp>
        <tr r="AC12" s="1"/>
      </tp>
      <tp t="s">
        <v>#N/A Requesting Data...3098256824</v>
        <stp/>
        <stp>BDP|16817034549489922448</stp>
        <tr r="Y25" s="1"/>
      </tp>
      <tp t="s">
        <v>#N/A Requesting Data...1338997655</v>
        <stp/>
        <stp>BDP|12607218037328635490</stp>
        <tr r="T32" s="1"/>
      </tp>
      <tp t="s">
        <v>#N/A Requesting Data...3164707164</v>
        <stp/>
        <stp>BDP|15586609744050769892</stp>
        <tr r="R74" s="1"/>
      </tp>
      <tp t="s">
        <v>#N/A Requesting Data...1438381963</v>
        <stp/>
        <stp>BDP|16730726847833887951</stp>
        <tr r="X6" s="1"/>
      </tp>
      <tp t="s">
        <v>#N/A Requesting Data...1719336166</v>
        <stp/>
        <stp>BDP|13882652282340168200</stp>
        <tr r="AD26" s="1"/>
      </tp>
      <tp t="s">
        <v>#N/A Requesting Data...4039942794</v>
        <stp/>
        <stp>BDP|15960695964193842925</stp>
        <tr r="Z25" s="1"/>
      </tp>
      <tp t="s">
        <v>#N/A Requesting Data...2638896792</v>
        <stp/>
        <stp>BDP|15926932462532691709</stp>
        <tr r="H28" s="1"/>
      </tp>
      <tp t="s">
        <v>#N/A Requesting Data...4046907797</v>
        <stp/>
        <stp>BDP|15368273146224668852</stp>
        <tr r="W79" s="1"/>
      </tp>
      <tp t="s">
        <v>#N/A Requesting Data...1135899715</v>
        <stp/>
        <stp>BDP|12408025881963270652</stp>
        <tr r="Q23" s="1"/>
      </tp>
      <tp t="s">
        <v>#N/A N/A</v>
        <stp/>
        <stp>BDP|17070076024303464976</stp>
        <tr r="AJ56" s="1"/>
        <tr r="AJ72" s="1"/>
        <tr r="AJ54" s="1"/>
        <tr r="AJ13" s="1"/>
        <tr r="AJ45" s="1"/>
        <tr r="AJ48" s="1"/>
        <tr r="AJ65" s="1"/>
        <tr r="AJ78" s="1"/>
        <tr r="AJ79" s="1"/>
      </tp>
      <tp t="s">
        <v>#N/A Requesting Data...1982248024</v>
        <stp/>
        <stp>BDP|12853953973604987778</stp>
        <tr r="J11" s="1"/>
      </tp>
      <tp t="s">
        <v>#N/A Requesting Data...2832271030</v>
        <stp/>
        <stp>BDP|15254354666686633974</stp>
        <tr r="R45" s="1"/>
      </tp>
      <tp t="s">
        <v>#N/A Requesting Data...3122294287</v>
        <stp/>
        <stp>BDP|18175452105363389028</stp>
        <tr r="P67" s="1"/>
      </tp>
    </main>
    <main first="bofaddin.rtdserver">
      <tp t="s">
        <v>#N/A Requesting Data...3577974034</v>
        <stp/>
        <stp>BDP|10904636299202075209</stp>
        <tr r="AH9" s="1"/>
      </tp>
      <tp t="s">
        <v>#N/A Requesting Data...1110635099</v>
        <stp/>
        <stp>BDP|16868064953578796496</stp>
        <tr r="M16" s="1"/>
      </tp>
      <tp t="s">
        <v>#N/A Requesting Data...2268326609</v>
        <stp/>
        <stp>BDP|12997585294387374655</stp>
        <tr r="S71" s="1"/>
      </tp>
      <tp t="s">
        <v>#N/A Requesting Data...3718769319</v>
        <stp/>
        <stp>BDP|14253136902972662860</stp>
        <tr r="N9" s="1"/>
      </tp>
      <tp t="s">
        <v>#N/A Requesting Data...2424849122</v>
        <stp/>
        <stp>BDP|17546236612268367345</stp>
        <tr r="G18" s="1"/>
      </tp>
      <tp t="s">
        <v>#N/A Requesting Data...3184633822</v>
        <stp/>
        <stp>BDP|16698707636848620553</stp>
        <tr r="AH69" s="1"/>
      </tp>
      <tp t="s">
        <v>#N/A Requesting Data...4184954721</v>
        <stp/>
        <stp>BDP|10616624870817595922</stp>
        <tr r="AH60" s="1"/>
      </tp>
      <tp t="s">
        <v>#N/A Requesting Data...3857165330</v>
        <stp/>
        <stp>BDP|16086076409880516983</stp>
        <tr r="R28" s="1"/>
      </tp>
    </main>
    <main first="bofaddin.rtdserver">
      <tp t="s">
        <v>#N/A Requesting Data...1797161651</v>
        <stp/>
        <stp>BDP|17511877335574118741</stp>
        <tr r="J7" s="1"/>
      </tp>
      <tp t="s">
        <v>#N/A Requesting Data...1646919199</v>
        <stp/>
        <stp>BDP|10486038995225727372</stp>
        <tr r="I32" s="1"/>
      </tp>
      <tp t="s">
        <v>#N/A Requesting Data...1984038127</v>
        <stp/>
        <stp>BDP|14406844132782637265</stp>
        <tr r="V64" s="1"/>
      </tp>
      <tp t="s">
        <v>#N/A Requesting Data...3367507009</v>
        <stp/>
        <stp>BDP|10185253220166315923</stp>
        <tr r="Z60" s="1"/>
      </tp>
      <tp t="s">
        <v>#N/A Requesting Data...3378459989</v>
        <stp/>
        <stp>BDP|18069218091058786425</stp>
        <tr r="D74" s="1"/>
      </tp>
      <tp t="s">
        <v>#N/A Requesting Data...1030776102</v>
        <stp/>
        <stp>BDP|13094314232019185577</stp>
        <tr r="E65" s="1"/>
      </tp>
      <tp t="s">
        <v>#N/A Requesting Data...2370282635</v>
        <stp/>
        <stp>BDP|17756300844667421825</stp>
        <tr r="L42" s="1"/>
      </tp>
      <tp t="s">
        <v>#N/A Requesting Data...1774617495</v>
        <stp/>
        <stp>BDP|17057682292693916464</stp>
        <tr r="I46" s="1"/>
      </tp>
    </main>
    <main first="bofaddin.rtdserver">
      <tp t="s">
        <v>#N/A Requesting Data...3712310498</v>
        <stp/>
        <stp>BDP|18406298895274800843</stp>
        <tr r="H44" s="1"/>
      </tp>
      <tp t="s">
        <v>#N/A Requesting Data...1790277207</v>
        <stp/>
        <stp>BDP|17023873885768150070</stp>
        <tr r="Y18" s="1"/>
      </tp>
      <tp t="s">
        <v>#N/A Requesting Data...3648465090</v>
        <stp/>
        <stp>BDP|14083037406513005819</stp>
        <tr r="S6" s="1"/>
      </tp>
      <tp t="s">
        <v>#N/A Requesting Data...3615888388</v>
        <stp/>
        <stp>BDP|14995999308487928557</stp>
        <tr r="S51" s="1"/>
      </tp>
      <tp t="s">
        <v>#N/A Requesting Data...1491167015</v>
        <stp/>
        <stp>BDP|12315589696915959403</stp>
        <tr r="X63" s="1"/>
      </tp>
      <tp t="s">
        <v>#N/A Requesting Data...3143400323</v>
        <stp/>
        <stp>BDP|15653816277403106651</stp>
        <tr r="Q6" s="1"/>
      </tp>
      <tp t="s">
        <v>#N/A Requesting Data...1287809618</v>
        <stp/>
        <stp>BDP|16955062226972889952</stp>
        <tr r="L48" s="1"/>
      </tp>
      <tp t="s">
        <v>#N/A Requesting Data...3992907308</v>
        <stp/>
        <stp>BDP|14728018235191246967</stp>
        <tr r="I51" s="1"/>
      </tp>
      <tp t="s">
        <v>#N/A Requesting Data...2407929784</v>
        <stp/>
        <stp>BDP|10700439172115456951</stp>
        <tr r="U9" s="1"/>
      </tp>
      <tp t="s">
        <v>#N/A Requesting Data...1956978637</v>
        <stp/>
        <stp>BDP|14409143158716725980</stp>
        <tr r="X47" s="1"/>
      </tp>
      <tp t="s">
        <v>#N/A Requesting Data...2969708513</v>
        <stp/>
        <stp>BDP|18086089619035363352</stp>
        <tr r="M33" s="1"/>
      </tp>
      <tp t="s">
        <v>#N/A Requesting Data...1204328710</v>
        <stp/>
        <stp>BDP|12404854120273431420</stp>
        <tr r="P22" s="1"/>
      </tp>
      <tp t="s">
        <v>#N/A Requesting Data...1312577399</v>
        <stp/>
        <stp>BDP|16561109049594895829</stp>
        <tr r="R23" s="1"/>
      </tp>
      <tp t="s">
        <v>#N/A Requesting Data...3542743556</v>
        <stp/>
        <stp>BDP|15561374796918675842</stp>
        <tr r="U16" s="1"/>
      </tp>
      <tp t="s">
        <v>#N/A Requesting Data...1813867185</v>
        <stp/>
        <stp>BDP|15906905006952918101</stp>
        <tr r="AD40" s="1"/>
      </tp>
      <tp t="s">
        <v>#N/A Requesting Data...3932387239</v>
        <stp/>
        <stp>BDP|14715796187376653293</stp>
        <tr r="Y67" s="1"/>
      </tp>
      <tp t="s">
        <v>#N/A Requesting Data...2799021642</v>
        <stp/>
        <stp>BDP|14570004156114907932</stp>
        <tr r="V65" s="1"/>
      </tp>
      <tp t="s">
        <v>#N/A Requesting Data...3982602444</v>
        <stp/>
        <stp>BDP|17798963701527996501</stp>
        <tr r="E19" s="1"/>
      </tp>
      <tp t="s">
        <v>#N/A Requesting Data...2314862618</v>
        <stp/>
        <stp>BDP|11650446902169002094</stp>
        <tr r="AC67" s="1"/>
      </tp>
      <tp t="s">
        <v>#N/A Requesting Data...3516452884</v>
        <stp/>
        <stp>BDP|11811355471291500802</stp>
        <tr r="AF79" s="1"/>
      </tp>
      <tp t="s">
        <v>#N/A Requesting Data...3379875874</v>
        <stp/>
        <stp>BDP|18039113687158776599</stp>
        <tr r="S76" s="1"/>
      </tp>
      <tp t="s">
        <v>#N/A Requesting Data...2442143584</v>
        <stp/>
        <stp>BDP|18020156781968755580</stp>
        <tr r="L75" s="1"/>
      </tp>
      <tp t="s">
        <v>#N/A Requesting Data...1384011571</v>
        <stp/>
        <stp>BDP|11941557559675635885</stp>
        <tr r="N68" s="1"/>
      </tp>
      <tp t="s">
        <v>#N/A Requesting Data...1584630200</v>
        <stp/>
        <stp>BDP|10904934854966048659</stp>
        <tr r="O68" s="1"/>
      </tp>
      <tp t="s">
        <v>#N/A Requesting Data...2677644753</v>
        <stp/>
        <stp>BDP|18286999680602397724</stp>
        <tr r="AA60" s="1"/>
      </tp>
      <tp t="s">
        <v>#N/A Requesting Data...1102377644</v>
        <stp/>
        <stp>BDP|14136332991341898312</stp>
        <tr r="AB9" s="1"/>
      </tp>
      <tp t="s">
        <v>#N/A Requesting Data...2886950470</v>
        <stp/>
        <stp>BDP|18405682352533361409</stp>
        <tr r="W63" s="1"/>
      </tp>
      <tp t="s">
        <v>#N/A Requesting Data...2725266855</v>
        <stp/>
        <stp>BDP|17376866462187879224</stp>
        <tr r="M15" s="1"/>
      </tp>
      <tp t="s">
        <v>#N/A Requesting Data...2311374024</v>
        <stp/>
        <stp>BDP|13529983277017552626</stp>
        <tr r="O25" s="1"/>
      </tp>
      <tp t="s">
        <v>#N/A Requesting Data...3833365846</v>
        <stp/>
        <stp>BDP|13402109608669802799</stp>
        <tr r="D52" s="1"/>
      </tp>
      <tp t="s">
        <v>#N/A Requesting Data...2087519382</v>
        <stp/>
        <stp>BDP|10996931150065044579</stp>
        <tr r="Z72" s="1"/>
      </tp>
      <tp t="s">
        <v>#N/A Requesting Data...3952148712</v>
        <stp/>
        <stp>BDP|10371296965639153136</stp>
        <tr r="AG78" s="1"/>
      </tp>
      <tp t="s">
        <v>#N/A Requesting Data...2214970538</v>
        <stp/>
        <stp>BDP|10413329831098347498</stp>
        <tr r="AF69" s="1"/>
      </tp>
      <tp t="s">
        <v>#N/A Requesting Data...3129592599</v>
        <stp/>
        <stp>BDP|15761520999817563252</stp>
        <tr r="AH58" s="1"/>
      </tp>
      <tp t="s">
        <v>#N/A Requesting Data...2513082749</v>
        <stp/>
        <stp>BDP|12607778258029493513</stp>
        <tr r="AC47" s="1"/>
      </tp>
      <tp t="s">
        <v>#N/A Requesting Data...1574858133</v>
        <stp/>
        <stp>BDP|18017738518850249254</stp>
        <tr r="AD22" s="1"/>
      </tp>
      <tp t="s">
        <v>#N/A Requesting Data...3357736776</v>
        <stp/>
        <stp>BDP|10069061061653243995</stp>
        <tr r="S29" s="1"/>
      </tp>
      <tp t="s">
        <v>#N/A Requesting Data...2533491057</v>
        <stp/>
        <stp>BDP|14248688275199547069</stp>
        <tr r="N70" s="1"/>
      </tp>
      <tp t="s">
        <v>#N/A Requesting Data...3442324890</v>
        <stp/>
        <stp>BDP|12210451620598915022</stp>
        <tr r="X72" s="1"/>
      </tp>
      <tp t="s">
        <v>#N/A Requesting Data...2623665679</v>
        <stp/>
        <stp>BDP|18090311059066584428</stp>
        <tr r="L60" s="1"/>
      </tp>
      <tp t="s">
        <v>#N/A Requesting Data...1099580337</v>
        <stp/>
        <stp>BDP|10897034552418514136</stp>
        <tr r="V46" s="1"/>
      </tp>
      <tp t="s">
        <v>#N/A Requesting Data...1159118994</v>
        <stp/>
        <stp>BDP|13937296797821986519</stp>
        <tr r="AF31" s="1"/>
      </tp>
      <tp t="s">
        <v>#N/A Requesting Data...2505254769</v>
        <stp/>
        <stp>BDP|10759001128138511657</stp>
        <tr r="I72" s="1"/>
      </tp>
      <tp t="s">
        <v>#N/A Requesting Data...3632371962</v>
        <stp/>
        <stp>BDP|16559216342518072495</stp>
        <tr r="S35" s="1"/>
      </tp>
      <tp t="s">
        <v>#N/A Requesting Data...3847590771</v>
        <stp/>
        <stp>BDP|12031274188255303131</stp>
        <tr r="O58" s="1"/>
      </tp>
      <tp t="s">
        <v>#N/A Requesting Data...3919923101</v>
        <stp/>
        <stp>BDP|15497695042188046313</stp>
        <tr r="AH10" s="1"/>
      </tp>
      <tp t="s">
        <v>#N/A Requesting Data...1893040595</v>
        <stp/>
        <stp>BDP|13691924452290034383</stp>
        <tr r="J75" s="1"/>
      </tp>
      <tp t="s">
        <v>#N/A Requesting Data...2109508322</v>
        <stp/>
        <stp>BDP|10408861306302945631</stp>
        <tr r="AD63" s="1"/>
      </tp>
      <tp t="s">
        <v>#N/A Requesting Data...2541628746</v>
        <stp/>
        <stp>BDP|17234335496786929706</stp>
        <tr r="Q33" s="1"/>
      </tp>
      <tp t="s">
        <v>#N/A Requesting Data...4072245224</v>
        <stp/>
        <stp>BDP|16252226893455453469</stp>
        <tr r="W78" s="1"/>
      </tp>
      <tp t="s">
        <v>#N/A Requesting Data...1793672417</v>
        <stp/>
        <stp>BDP|14091411136627430825</stp>
        <tr r="T34" s="1"/>
      </tp>
      <tp t="s">
        <v>#N/A Requesting Data...4055398653</v>
        <stp/>
        <stp>BDP|10103475915140758952</stp>
        <tr r="R31" s="1"/>
      </tp>
      <tp t="s">
        <v>#N/A Requesting Data...1837730293</v>
        <stp/>
        <stp>BDP|14434975240733224600</stp>
        <tr r="AF22" s="1"/>
      </tp>
      <tp t="s">
        <v>#N/A Requesting Data...2422233099</v>
        <stp/>
        <stp>BDP|18313313125114748110</stp>
        <tr r="AF6" s="1"/>
      </tp>
      <tp t="s">
        <v>#N/A Requesting Data...2655271188</v>
        <stp/>
        <stp>BDP|15483453089057152289</stp>
        <tr r="H3" s="1"/>
      </tp>
      <tp t="s">
        <v>#N/A Requesting Data...2641906160</v>
        <stp/>
        <stp>BDP|18240109443866860785</stp>
        <tr r="Z53" s="1"/>
      </tp>
      <tp t="s">
        <v>#N/A Requesting Data...1553265582</v>
        <stp/>
        <stp>BDP|16937826275815659087</stp>
        <tr r="AA11" s="1"/>
      </tp>
      <tp t="s">
        <v>#N/A Requesting Data...1224904516</v>
        <stp/>
        <stp>BDP|12112209422226044831</stp>
        <tr r="Q59" s="1"/>
      </tp>
      <tp t="s">
        <v>#N/A Requesting Data...2750643949</v>
        <stp/>
        <stp>BDP|16922301887992663383</stp>
        <tr r="S2" s="1"/>
      </tp>
      <tp t="s">
        <v>#N/A Requesting Data...3185441539</v>
        <stp/>
        <stp>BDP|15243352490096426539</stp>
        <tr r="AC44" s="1"/>
      </tp>
      <tp t="s">
        <v>#N/A Requesting Data...1534208077</v>
        <stp/>
        <stp>BDP|11546537972516551917</stp>
        <tr r="Z51" s="1"/>
      </tp>
    </main>
    <main first="bofaddin.rtdserver">
      <tp t="s">
        <v>#N/A Requesting Data...3533463972</v>
        <stp/>
        <stp>BDP|12604199191371989749</stp>
        <tr r="C66" s="1"/>
      </tp>
      <tp t="s">
        <v>#N/A Requesting Data...3178309472</v>
        <stp/>
        <stp>BDP|11685029767812000902</stp>
        <tr r="X50" s="1"/>
      </tp>
      <tp t="s">
        <v>#N/A Requesting Data...2921550763</v>
        <stp/>
        <stp>BDP|11843128908309058513</stp>
        <tr r="Y59" s="1"/>
      </tp>
      <tp t="s">
        <v>#N/A Requesting Data...3405801202</v>
        <stp/>
        <stp>BDP|15833915532841043287</stp>
        <tr r="AH77" s="1"/>
      </tp>
      <tp t="s">
        <v>#N/A Requesting Data...3206984503</v>
        <stp/>
        <stp>BDP|10186832947161008170</stp>
        <tr r="R16" s="1"/>
      </tp>
      <tp t="s">
        <v>#N/A Requesting Data...1177272084</v>
        <stp/>
        <stp>BDP|16715367487836368770</stp>
        <tr r="X45" s="1"/>
      </tp>
      <tp t="s">
        <v>#N/A Requesting Data...2107998384</v>
        <stp/>
        <stp>BDP|10721777395943450131</stp>
        <tr r="J64" s="1"/>
      </tp>
      <tp t="s">
        <v>#N/A Requesting Data...3615921290</v>
        <stp/>
        <stp>BDP|16486031027161130933</stp>
        <tr r="AC27" s="1"/>
      </tp>
      <tp t="s">
        <v>#N/A Requesting Data...3679181851</v>
        <stp/>
        <stp>BDP|15075073647444488967</stp>
        <tr r="AA63" s="1"/>
      </tp>
      <tp t="s">
        <v>#N/A Requesting Data...3206108490</v>
        <stp/>
        <stp>BDP|13630998032517635293</stp>
        <tr r="F17" s="1"/>
      </tp>
      <tp t="s">
        <v>#N/A Requesting Data...3605828302</v>
        <stp/>
        <stp>BDP|13370103342488484275</stp>
        <tr r="F50" s="1"/>
      </tp>
      <tp t="s">
        <v>#N/A Requesting Data...1718533511</v>
        <stp/>
        <stp>BDP|14988788867259353074</stp>
        <tr r="AF8" s="1"/>
      </tp>
      <tp t="s">
        <v>#N/A Requesting Data...2346368694</v>
        <stp/>
        <stp>BDP|14007031457205170876</stp>
        <tr r="AA70" s="1"/>
      </tp>
      <tp t="s">
        <v>#N/A Requesting Data...3633433985</v>
        <stp/>
        <stp>BDP|17327856123039365843</stp>
        <tr r="AC55" s="1"/>
      </tp>
      <tp t="s">
        <v>#N/A Requesting Data...2995128124</v>
        <stp/>
        <stp>BDP|10933874396758979544</stp>
        <tr r="U64" s="1"/>
      </tp>
      <tp t="s">
        <v>#N/A Requesting Data...1902353312</v>
        <stp/>
        <stp>BDP|18068689410682528189</stp>
        <tr r="S62" s="1"/>
      </tp>
      <tp t="s">
        <v>#N/A Requesting Data...3133942352</v>
        <stp/>
        <stp>BDP|15181826143922120744</stp>
        <tr r="L30" s="1"/>
      </tp>
    </main>
    <main first="bofaddin.rtdserver">
      <tp t="s">
        <v>#N/A Requesting Data...3920079411</v>
        <stp/>
        <stp>BDP|13759895811944313284</stp>
        <tr r="H52" s="1"/>
      </tp>
      <tp t="s">
        <v>#N/A Requesting Data...3545378044</v>
        <stp/>
        <stp>BDP|13710346273302008941</stp>
        <tr r="AC29" s="1"/>
      </tp>
      <tp t="s">
        <v>#N/A Requesting Data...2010140235</v>
        <stp/>
        <stp>BDP|14520923592878363015</stp>
        <tr r="AB17" s="1"/>
      </tp>
      <tp t="s">
        <v>#N/A Requesting Data...2039312840</v>
        <stp/>
        <stp>BDP|18081689158593393442</stp>
        <tr r="S58" s="1"/>
      </tp>
      <tp t="s">
        <v>#N/A Requesting Data...4039962898</v>
        <stp/>
        <stp>BDP|18127903807458467553</stp>
        <tr r="O12" s="1"/>
      </tp>
      <tp t="s">
        <v>#N/A Requesting Data...1684924958</v>
        <stp/>
        <stp>BDP|12057905342363038050</stp>
        <tr r="V51" s="1"/>
      </tp>
      <tp t="s">
        <v>#N/A Requesting Data...3980181715</v>
        <stp/>
        <stp>BDP|12702265142270157854</stp>
        <tr r="D23" s="1"/>
      </tp>
      <tp t="s">
        <v>#N/A Requesting Data...3778702243</v>
        <stp/>
        <stp>BDP|18389484387808963027</stp>
        <tr r="Q67" s="1"/>
      </tp>
      <tp t="s">
        <v>#N/A Requesting Data...4229261065</v>
        <stp/>
        <stp>BDP|10042309864928155125</stp>
        <tr r="AE20" s="1"/>
      </tp>
      <tp t="s">
        <v>#N/A Requesting Data...3016021800</v>
        <stp/>
        <stp>BDP|15819977306533721388</stp>
        <tr r="W2" s="1"/>
      </tp>
      <tp t="s">
        <v>#N/A Requesting Data...1207108048</v>
        <stp/>
        <stp>BDP|11363606025618086101</stp>
        <tr r="J56" s="1"/>
      </tp>
      <tp t="s">
        <v>#N/A Requesting Data...1252844366</v>
        <stp/>
        <stp>BDP|13663231983810885589</stp>
        <tr r="AC19" s="1"/>
      </tp>
      <tp t="s">
        <v>#N/A Requesting Data...3648946218</v>
        <stp/>
        <stp>BDP|14960935258700554416</stp>
        <tr r="AG79" s="1"/>
      </tp>
      <tp t="s">
        <v>#N/A Requesting Data...3682837694</v>
        <stp/>
        <stp>BDP|18145510515541166120</stp>
        <tr r="K44" s="1"/>
      </tp>
      <tp t="s">
        <v>#N/A Requesting Data...3101132965</v>
        <stp/>
        <stp>BDP|17932887660714610117</stp>
        <tr r="Z21" s="1"/>
      </tp>
      <tp t="s">
        <v>#N/A Requesting Data...2760180025</v>
        <stp/>
        <stp>BDP|12594175830885616920</stp>
        <tr r="AH34" s="1"/>
      </tp>
      <tp t="s">
        <v>#N/A Requesting Data...1734991512</v>
        <stp/>
        <stp>BDP|12820506993321979345</stp>
        <tr r="Q17" s="1"/>
      </tp>
      <tp t="s">
        <v>#N/A Requesting Data...3424215334</v>
        <stp/>
        <stp>BDP|12072842910795416398</stp>
        <tr r="D60" s="1"/>
      </tp>
      <tp t="s">
        <v>#N/A Requesting Data...3131499434</v>
        <stp/>
        <stp>BDP|15505474732907968801</stp>
        <tr r="I61" s="1"/>
      </tp>
      <tp t="s">
        <v>#N/A Requesting Data...2087678191</v>
        <stp/>
        <stp>BDP|17326060278294545915</stp>
        <tr r="N2" s="1"/>
      </tp>
      <tp t="s">
        <v>#N/A Requesting Data...2080343095</v>
        <stp/>
        <stp>BDP|14857747435364735972</stp>
        <tr r="N29" s="1"/>
      </tp>
      <tp t="s">
        <v>#N/A Requesting Data...2008814463</v>
        <stp/>
        <stp>BDP|14218904277017473084</stp>
        <tr r="AC9" s="1"/>
      </tp>
      <tp t="s">
        <v>#N/A Requesting Data...3479314848</v>
        <stp/>
        <stp>BDP|12775627709308514107</stp>
        <tr r="AA4" s="1"/>
      </tp>
      <tp t="s">
        <v>#N/A Requesting Data...2782270986</v>
        <stp/>
        <stp>BDP|13970570774255527963</stp>
        <tr r="L11" s="1"/>
      </tp>
      <tp t="s">
        <v>#N/A Requesting Data...1497769358</v>
        <stp/>
        <stp>BDP|12198164976170932904</stp>
        <tr r="D12" s="1"/>
      </tp>
      <tp t="s">
        <v>#N/A Requesting Data...1596276431</v>
        <stp/>
        <stp>BDP|11421896933691724618</stp>
        <tr r="E43" s="1"/>
      </tp>
      <tp t="s">
        <v>#N/A Requesting Data...3557377680</v>
        <stp/>
        <stp>BDP|18435796775580510552</stp>
        <tr r="Z63" s="1"/>
      </tp>
      <tp t="s">
        <v>#N/A Requesting Data...4150291965</v>
        <stp/>
        <stp>BDP|17534640996962983766</stp>
        <tr r="G78" s="1"/>
      </tp>
      <tp t="s">
        <v>#N/A Requesting Data...1566485465</v>
        <stp/>
        <stp>BDP|17756849799562427954</stp>
        <tr r="AA19" s="1"/>
      </tp>
      <tp t="s">
        <v>#N/A Requesting Data...2282894942</v>
        <stp/>
        <stp>BDP|17125295123313279920</stp>
        <tr r="K49" s="1"/>
      </tp>
      <tp t="s">
        <v>#N/A Requesting Data...1460647938</v>
        <stp/>
        <stp>BDP|16338075078945117975</stp>
        <tr r="AE8" s="1"/>
      </tp>
      <tp t="s">
        <v>#N/A Requesting Data...3723590594</v>
        <stp/>
        <stp>BDP|10489102356441959812</stp>
        <tr r="V24" s="1"/>
      </tp>
      <tp t="s">
        <v>#N/A Requesting Data...2981719372</v>
        <stp/>
        <stp>BDP|10849017523328406742</stp>
        <tr r="X75" s="1"/>
      </tp>
      <tp t="s">
        <v>#N/A Requesting Data...1378803189</v>
        <stp/>
        <stp>BDP|14251639315788789691</stp>
        <tr r="N43" s="1"/>
      </tp>
      <tp t="s">
        <v>#N/A Requesting Data...2793325953</v>
        <stp/>
        <stp>BDP|10331884966382662113</stp>
        <tr r="AF17" s="1"/>
      </tp>
      <tp t="s">
        <v>#N/A Requesting Data...4137555589</v>
        <stp/>
        <stp>BDP|16624997925639419938</stp>
        <tr r="N13" s="1"/>
      </tp>
      <tp t="s">
        <v>#N/A Requesting Data...2355548877</v>
        <stp/>
        <stp>BDP|15080019890565936458</stp>
        <tr r="I30" s="1"/>
      </tp>
      <tp t="s">
        <v>#N/A Requesting Data...1813280108</v>
        <stp/>
        <stp>BDP|10997846914855169151</stp>
        <tr r="H32" s="1"/>
      </tp>
      <tp t="s">
        <v>#N/A Requesting Data...3493009038</v>
        <stp/>
        <stp>BDP|16018058178359095504</stp>
        <tr r="M34" s="1"/>
      </tp>
      <tp t="s">
        <v>#N/A Requesting Data...3144778533</v>
        <stp/>
        <stp>BDP|15677390461485618855</stp>
        <tr r="N56" s="1"/>
      </tp>
      <tp t="s">
        <v>#N/A Requesting Data...3372129772</v>
        <stp/>
        <stp>BDP|17744924804626823541</stp>
        <tr r="M37" s="1"/>
      </tp>
      <tp t="s">
        <v>#N/A Requesting Data...3180586783</v>
        <stp/>
        <stp>BDP|10618494339579216394</stp>
        <tr r="Y58" s="1"/>
      </tp>
      <tp t="s">
        <v>#N/A Requesting Data...2591232825</v>
        <stp/>
        <stp>BDP|18225183446676873686</stp>
        <tr r="G2" s="1"/>
      </tp>
      <tp t="s">
        <v>#N/A Requesting Data...4217999053</v>
        <stp/>
        <stp>BDP|16497945200541781388</stp>
        <tr r="Q50" s="1"/>
      </tp>
      <tp t="s">
        <v>#N/A Requesting Data...4214999318</v>
        <stp/>
        <stp>BDP|14850850292160860881</stp>
        <tr r="D55" s="1"/>
      </tp>
      <tp t="s">
        <v>#N/A Requesting Data...2451815295</v>
        <stp/>
        <stp>BDP|18063821394501144586</stp>
        <tr r="T63" s="1"/>
      </tp>
      <tp t="s">
        <v>#N/A Requesting Data...1642518461</v>
        <stp/>
        <stp>BDP|14119883377004863290</stp>
        <tr r="O67" s="1"/>
      </tp>
      <tp t="s">
        <v>#N/A Requesting Data...2810185397</v>
        <stp/>
        <stp>BDP|12756909715432548588</stp>
        <tr r="K31" s="1"/>
      </tp>
      <tp t="s">
        <v>#N/A Requesting Data...4229808293</v>
        <stp/>
        <stp>BDP|12078905170196895769</stp>
        <tr r="E44" s="1"/>
      </tp>
      <tp t="s">
        <v>#N/A Requesting Data...1583631141</v>
        <stp/>
        <stp>BDP|15505902279577527176</stp>
        <tr r="W58" s="1"/>
      </tp>
      <tp t="s">
        <v>#N/A Requesting Data...3989906092</v>
        <stp/>
        <stp>BDP|10948851685618251550</stp>
        <tr r="AE34" s="1"/>
      </tp>
      <tp t="s">
        <v>#N/A Requesting Data...2155397685</v>
        <stp/>
        <stp>BDP|13690892379046236757</stp>
        <tr r="Y51" s="1"/>
      </tp>
      <tp t="s">
        <v>#N/A Requesting Data...3750900358</v>
        <stp/>
        <stp>BDP|17359223230099824283</stp>
        <tr r="Z67" s="1"/>
      </tp>
      <tp t="s">
        <v>#N/A Requesting Data...1532095493</v>
        <stp/>
        <stp>BDP|15712983327934180785</stp>
        <tr r="P31" s="1"/>
      </tp>
      <tp t="s">
        <v>#N/A Requesting Data...2946028618</v>
        <stp/>
        <stp>BDP|11692003682433246767</stp>
        <tr r="AC30" s="1"/>
      </tp>
      <tp t="s">
        <v>#N/A Requesting Data...3676680719</v>
        <stp/>
        <stp>BDP|16208340163138309662</stp>
        <tr r="AH76" s="1"/>
      </tp>
      <tp t="s">
        <v>#N/A Requesting Data...3190217099</v>
        <stp/>
        <stp>BDP|18110249062815628412</stp>
        <tr r="K65" s="1"/>
      </tp>
      <tp t="s">
        <v>#N/A Requesting Data...1524085289</v>
        <stp/>
        <stp>BDP|16646874137262652201</stp>
        <tr r="AB45" s="1"/>
      </tp>
    </main>
    <main first="bofaddin.rtdserver">
      <tp t="s">
        <v>#N/A Requesting Data...3442729770</v>
        <stp/>
        <stp>BDP|18050411458831969531</stp>
        <tr r="X24" s="1"/>
      </tp>
      <tp t="s">
        <v>#N/A Requesting Data...1523331054</v>
        <stp/>
        <stp>BDP|10792925056201550058</stp>
        <tr r="AD69" s="1"/>
      </tp>
      <tp t="s">
        <v>#N/A Requesting Data...2678299153</v>
        <stp/>
        <stp>BDP|10480385299333612408</stp>
        <tr r="L79" s="1"/>
      </tp>
      <tp t="s">
        <v>#N/A Requesting Data...4130079638</v>
        <stp/>
        <stp>BDP|10720902931335319267</stp>
        <tr r="AG45" s="1"/>
      </tp>
      <tp t="s">
        <v>#N/A Requesting Data...3735864993</v>
        <stp/>
        <stp>BDP|14509926559881455480</stp>
        <tr r="U4" s="1"/>
      </tp>
      <tp t="s">
        <v>#N/A Requesting Data...1688069359</v>
        <stp/>
        <stp>BDP|10466981767964176683</stp>
        <tr r="AB20" s="1"/>
      </tp>
      <tp t="s">
        <v>#N/A Requesting Data...3302364453</v>
        <stp/>
        <stp>BDP|14860877287869951034</stp>
        <tr r="J24" s="1"/>
      </tp>
      <tp t="s">
        <v>#N/A Requesting Data...2827351808</v>
        <stp/>
        <stp>BDP|10133287999827625141</stp>
        <tr r="U38" s="1"/>
      </tp>
      <tp t="s">
        <v>#N/A Requesting Data...3664301767</v>
        <stp/>
        <stp>BDP|14641602266120300918</stp>
        <tr r="AE59" s="1"/>
      </tp>
      <tp t="s">
        <v>#N/A Requesting Data...2872200173</v>
        <stp/>
        <stp>BDP|14424729680993530514</stp>
        <tr r="T21" s="1"/>
      </tp>
      <tp t="s">
        <v>#N/A Requesting Data...2000897160</v>
        <stp/>
        <stp>BDP|18266908309919112583</stp>
        <tr r="V32" s="1"/>
      </tp>
      <tp t="s">
        <v>#N/A Requesting Data...3998491614</v>
        <stp/>
        <stp>BDP|17099584421509817440</stp>
        <tr r="V16" s="1"/>
      </tp>
      <tp t="s">
        <v>#N/A Requesting Data...4061201434</v>
        <stp/>
        <stp>BDP|14229269304593678831</stp>
        <tr r="J55" s="1"/>
      </tp>
      <tp t="s">
        <v>#N/A Requesting Data...2118667900</v>
        <stp/>
        <stp>BDP|12809786721228712236</stp>
        <tr r="V76" s="1"/>
      </tp>
      <tp t="s">
        <v>#N/A Requesting Data...1585948929</v>
        <stp/>
        <stp>BDP|16230443632685823996</stp>
        <tr r="H73" s="1"/>
      </tp>
    </main>
    <main first="bofaddin.rtdserver">
      <tp t="s">
        <v>#N/A Requesting Data...3377678528</v>
        <stp/>
        <stp>BDP|11413234630734522968</stp>
        <tr r="AH35" s="1"/>
      </tp>
      <tp t="s">
        <v>#N/A Requesting Data...2302444420</v>
        <stp/>
        <stp>BDP|13779938592159427761</stp>
        <tr r="AB47" s="1"/>
      </tp>
      <tp t="s">
        <v>#N/A Requesting Data...1422164792</v>
        <stp/>
        <stp>BDP|13569608171948834786</stp>
        <tr r="AB78" s="1"/>
      </tp>
      <tp t="s">
        <v>#N/A Requesting Data...3148531461</v>
        <stp/>
        <stp>BDP|10452820516407753331</stp>
        <tr r="E16" s="1"/>
      </tp>
      <tp t="s">
        <v>#N/A Requesting Data...3233859949</v>
        <stp/>
        <stp>BDP|14988819541330819569</stp>
        <tr r="Y11" s="1"/>
      </tp>
      <tp t="s">
        <v>#N/A Requesting Data...1966613636</v>
        <stp/>
        <stp>BDP|13647948240386523504</stp>
        <tr r="AH45" s="1"/>
      </tp>
      <tp t="s">
        <v>#N/A Requesting Data...2543160315</v>
        <stp/>
        <stp>BDP|15494553261122751909</stp>
        <tr r="E69" s="1"/>
      </tp>
      <tp t="s">
        <v>#N/A Requesting Data...1751903315</v>
        <stp/>
        <stp>BDP|12672176788291644798</stp>
        <tr r="AC15" s="1"/>
      </tp>
      <tp t="s">
        <v>#N/A Requesting Data...3991694689</v>
        <stp/>
        <stp>BDP|18103099740143788293</stp>
        <tr r="J38" s="1"/>
      </tp>
      <tp t="s">
        <v>#N/A Requesting Data...1521110787</v>
        <stp/>
        <stp>BDP|16610966337747574644</stp>
        <tr r="Z39" s="1"/>
      </tp>
      <tp t="s">
        <v>#N/A Requesting Data...1500242798</v>
        <stp/>
        <stp>BDP|13680122852719089304</stp>
        <tr r="Z30" s="1"/>
      </tp>
      <tp t="s">
        <v>#N/A Requesting Data...3957673240</v>
        <stp/>
        <stp>BDP|16045585983740851655</stp>
        <tr r="T70" s="1"/>
      </tp>
    </main>
    <main first="bofaddin.rtdserver">
      <tp t="s">
        <v>#N/A Requesting Data...1405420954</v>
        <stp/>
        <stp>BDP|10026149928130194149</stp>
        <tr r="AC2" s="1"/>
      </tp>
      <tp t="s">
        <v>#N/A Requesting Data...1941839606</v>
        <stp/>
        <stp>BDP|17849725246941032754</stp>
        <tr r="J51" s="1"/>
      </tp>
      <tp t="s">
        <v>#N/A N/A</v>
        <stp/>
        <stp>BDP|12615361814544410693</stp>
        <tr r="AI68" s="1"/>
        <tr r="AI9" s="1"/>
        <tr r="AI27" s="1"/>
        <tr r="AI50" s="1"/>
        <tr r="AI22" s="1"/>
        <tr r="AI4" s="1"/>
        <tr r="AI29" s="1"/>
        <tr r="AI25" s="1"/>
        <tr r="AI33" s="1"/>
        <tr r="AI62" s="1"/>
        <tr r="AI61" s="1"/>
        <tr r="AI30" s="1"/>
        <tr r="AI44" s="1"/>
        <tr r="AI71" s="1"/>
        <tr r="AI8" s="1"/>
        <tr r="AI3" s="1"/>
        <tr r="AI55" s="1"/>
        <tr r="AI23" s="1"/>
        <tr r="AI15" s="1"/>
        <tr r="AI63" s="1"/>
        <tr r="AI77" s="1"/>
        <tr r="AI24" s="1"/>
        <tr r="AI37" s="1"/>
        <tr r="AI21" s="1"/>
        <tr r="AI34" s="1"/>
        <tr r="AI41" s="1"/>
        <tr r="AI42" s="1"/>
        <tr r="AI28" s="1"/>
        <tr r="AI46" s="1"/>
        <tr r="AI18" s="1"/>
        <tr r="AI38" s="1"/>
        <tr r="AI60" s="1"/>
        <tr r="AI19" s="1"/>
        <tr r="AI66" s="1"/>
        <tr r="AI2" s="1"/>
        <tr r="AI67" s="1"/>
        <tr r="AI69" s="1"/>
        <tr r="AI31" s="1"/>
        <tr r="AI5" s="1"/>
        <tr r="AI51" s="1"/>
        <tr r="AI16" s="1"/>
        <tr r="AI36" s="1"/>
        <tr r="AI58" s="1"/>
      </tp>
      <tp t="s">
        <v>#N/A Requesting Data...2001258362</v>
        <stp/>
        <stp>BDP|10144910963568868523</stp>
        <tr r="C28" s="1"/>
      </tp>
      <tp t="s">
        <v>#N/A Requesting Data...3161989158</v>
        <stp/>
        <stp>BDP|14474526674521903520</stp>
        <tr r="K34" s="1"/>
      </tp>
      <tp t="s">
        <v>#N/A Requesting Data...2225058282</v>
        <stp/>
        <stp>BDP|18117965112603847158</stp>
        <tr r="S79" s="1"/>
      </tp>
      <tp t="s">
        <v>#N/A Requesting Data...2725952469</v>
        <stp/>
        <stp>BDP|13994760930753548624</stp>
        <tr r="M59" s="1"/>
      </tp>
      <tp t="s">
        <v>#N/A Requesting Data...1516430961</v>
        <stp/>
        <stp>BDP|16504736735743380385</stp>
        <tr r="AA30" s="1"/>
      </tp>
      <tp t="s">
        <v>#N/A Requesting Data...2687793750</v>
        <stp/>
        <stp>BDP|10807956559146846841</stp>
        <tr r="F67" s="1"/>
      </tp>
      <tp t="s">
        <v>#N/A Requesting Data...2017731753</v>
        <stp/>
        <stp>BDP|16604979310268884412</stp>
        <tr r="V33" s="1"/>
      </tp>
      <tp t="s">
        <v>#N/A Requesting Data...3893679064</v>
        <stp/>
        <stp>BDP|14154585723979750865</stp>
        <tr r="X69" s="1"/>
      </tp>
      <tp t="s">
        <v>#N/A Requesting Data...3463619121</v>
        <stp/>
        <stp>BDP|17170363139112240779</stp>
        <tr r="AD4" s="1"/>
      </tp>
      <tp t="s">
        <v>#N/A Requesting Data...3244942320</v>
        <stp/>
        <stp>BDP|10994129920714545551</stp>
        <tr r="AE68" s="1"/>
      </tp>
      <tp t="s">
        <v>#N/A Requesting Data...3045441728</v>
        <stp/>
        <stp>BDP|11913265480019607025</stp>
        <tr r="F68" s="1"/>
      </tp>
      <tp t="s">
        <v>#N/A Requesting Data...1524127498</v>
        <stp/>
        <stp>BDP|12917253007364048602</stp>
        <tr r="H14" s="1"/>
      </tp>
      <tp t="s">
        <v>#N/A Requesting Data...2102259029</v>
        <stp/>
        <stp>BDP|15642060542842980100</stp>
        <tr r="E55" s="1"/>
      </tp>
      <tp t="s">
        <v>#N/A Requesting Data...2597135662</v>
        <stp/>
        <stp>BDP|15373219518987716379</stp>
        <tr r="R62" s="1"/>
      </tp>
      <tp t="s">
        <v>#N/A Requesting Data...1915233845</v>
        <stp/>
        <stp>BDP|13806954784593437371</stp>
        <tr r="C60" s="1"/>
      </tp>
      <tp t="s">
        <v>#N/A Requesting Data...3474729585</v>
        <stp/>
        <stp>BDP|11621107548165516312</stp>
        <tr r="AD58" s="1"/>
      </tp>
      <tp t="s">
        <v>#N/A Requesting Data...1457325033</v>
        <stp/>
        <stp>BDP|10522275554050879545</stp>
        <tr r="D25" s="1"/>
      </tp>
      <tp t="s">
        <v>#N/A Requesting Data...1820548019</v>
        <stp/>
        <stp>BDP|15991534841397153171</stp>
        <tr r="AA40" s="1"/>
      </tp>
      <tp t="s">
        <v>#N/A Requesting Data...3146004393</v>
        <stp/>
        <stp>BDP|17848118713555226056</stp>
        <tr r="D42" s="1"/>
      </tp>
      <tp t="s">
        <v>#N/A Requesting Data...3635570748</v>
        <stp/>
        <stp>BDP|10466293020846867488</stp>
        <tr r="AF32" s="1"/>
      </tp>
      <tp t="s">
        <v>#N/A Requesting Data...2298745605</v>
        <stp/>
        <stp>BDP|16541274019095221243</stp>
        <tr r="I50" s="1"/>
      </tp>
      <tp t="s">
        <v>#N/A Requesting Data...1583748145</v>
        <stp/>
        <stp>BDP|10347014583613478981</stp>
        <tr r="AH52" s="1"/>
      </tp>
      <tp t="s">
        <v>#N/A Requesting Data...4173912063</v>
        <stp/>
        <stp>BDP|17602089407043297667</stp>
        <tr r="M78" s="1"/>
      </tp>
      <tp t="s">
        <v>#N/A Requesting Data...2466970496</v>
        <stp/>
        <stp>BDP|10965850629760918814</stp>
        <tr r="V40" s="1"/>
      </tp>
      <tp t="s">
        <v>#N/A Requesting Data...3596010903</v>
        <stp/>
        <stp>BDP|14996292089098467416</stp>
        <tr r="Z54" s="1"/>
      </tp>
      <tp t="s">
        <v>#N/A Requesting Data...2125506879</v>
        <stp/>
        <stp>BDP|15081067018633455561</stp>
        <tr r="AG71" s="1"/>
      </tp>
      <tp t="s">
        <v>#N/A Requesting Data...3561555060</v>
        <stp/>
        <stp>BDP|10390723052271656191</stp>
        <tr r="M26" s="1"/>
      </tp>
      <tp t="s">
        <v>#N/A Requesting Data...1323707536</v>
        <stp/>
        <stp>BDP|15912079157724011658</stp>
        <tr r="N34" s="1"/>
      </tp>
      <tp t="s">
        <v>#N/A Requesting Data...2932300929</v>
        <stp/>
        <stp>BDP|12266399834038689869</stp>
        <tr r="AC78" s="1"/>
      </tp>
      <tp t="s">
        <v>#N/A Requesting Data...2975015597</v>
        <stp/>
        <stp>BDP|16036990324966767951</stp>
        <tr r="AC28" s="1"/>
      </tp>
      <tp t="s">
        <v>#N/A Requesting Data...2547772820</v>
        <stp/>
        <stp>BDP|15890418857475917383</stp>
        <tr r="U58" s="1"/>
      </tp>
      <tp t="s">
        <v>#N/A Requesting Data...4133971172</v>
        <stp/>
        <stp>BDP|14837460466170607415</stp>
        <tr r="I75" s="1"/>
      </tp>
      <tp t="s">
        <v>#N/A Requesting Data...1865597183</v>
        <stp/>
        <stp>BDP|17050370225410510486</stp>
        <tr r="Y78" s="1"/>
      </tp>
    </main>
    <main first="bofaddin.rtdserver">
      <tp t="s">
        <v>#N/A Requesting Data...2614982460</v>
        <stp/>
        <stp>BDP|14938100563792496307</stp>
        <tr r="G73" s="1"/>
      </tp>
      <tp t="s">
        <v>#N/A Requesting Data...2782772765</v>
        <stp/>
        <stp>BDP|13166245014904604697</stp>
        <tr r="N64" s="1"/>
      </tp>
      <tp t="s">
        <v>#N/A Requesting Data...1925032960</v>
        <stp/>
        <stp>BDP|12364612245795923703</stp>
        <tr r="Q18" s="1"/>
      </tp>
      <tp t="s">
        <v>#N/A Requesting Data...2968844770</v>
        <stp/>
        <stp>BDP|16377287064000761066</stp>
        <tr r="M55" s="1"/>
      </tp>
      <tp t="s">
        <v>#N/A Requesting Data...2475827204</v>
        <stp/>
        <stp>BDP|13212569277277482497</stp>
        <tr r="AB68" s="1"/>
      </tp>
      <tp t="s">
        <v>#N/A Requesting Data...1849329945</v>
        <stp/>
        <stp>BDP|12314275261323847737</stp>
        <tr r="V72" s="1"/>
      </tp>
      <tp t="s">
        <v>#N/A Requesting Data...2513724065</v>
        <stp/>
        <stp>BDP|13636015182338936122</stp>
        <tr r="O57" s="1"/>
      </tp>
      <tp t="s">
        <v>#N/A Requesting Data...2797702308</v>
        <stp/>
        <stp>BDP|11967486740953707070</stp>
        <tr r="AC5" s="1"/>
      </tp>
      <tp t="s">
        <v>#N/A Requesting Data...3524080499</v>
        <stp/>
        <stp>BDP|13775901309701899977</stp>
        <tr r="AE46" s="1"/>
      </tp>
      <tp t="s">
        <v>#N/A Requesting Data...2737009710</v>
        <stp/>
        <stp>BDP|10750995409962776910</stp>
        <tr r="W31" s="1"/>
      </tp>
      <tp t="s">
        <v>#N/A Requesting Data...4185945575</v>
        <stp/>
        <stp>BDP|10634282022074485697</stp>
        <tr r="AH33" s="1"/>
      </tp>
      <tp t="s">
        <v>#N/A Requesting Data...2933581646</v>
        <stp/>
        <stp>BDP|10407278467726613033</stp>
        <tr r="H47" s="1"/>
      </tp>
      <tp t="s">
        <v>#N/A Requesting Data...1600588258</v>
        <stp/>
        <stp>BDP|15763123663806281650</stp>
        <tr r="F70" s="1"/>
      </tp>
      <tp t="s">
        <v>#N/A Requesting Data...2759293474</v>
        <stp/>
        <stp>BDP|16188925574742617810</stp>
        <tr r="W60" s="1"/>
      </tp>
      <tp t="s">
        <v>#N/A Requesting Data...2981570565</v>
        <stp/>
        <stp>BDP|12937542968540791320</stp>
        <tr r="F65" s="1"/>
      </tp>
      <tp t="s">
        <v>#N/A Requesting Data...2852259252</v>
        <stp/>
        <stp>BDP|16388664014042729162</stp>
        <tr r="U77" s="1"/>
      </tp>
      <tp t="s">
        <v>#N/A Requesting Data...2658881050</v>
        <stp/>
        <stp>BDP|10782716062715021647</stp>
        <tr r="M27" s="1"/>
      </tp>
      <tp t="s">
        <v>#N/A Requesting Data...2381680434</v>
        <stp/>
        <stp>BDP|18110800576747301245</stp>
        <tr r="X14" s="1"/>
      </tp>
      <tp t="s">
        <v>#N/A Requesting Data...1453857865</v>
        <stp/>
        <stp>BDP|12568690722126827267</stp>
        <tr r="U11" s="1"/>
      </tp>
      <tp t="s">
        <v>#N/A Requesting Data...3173584022</v>
        <stp/>
        <stp>BDP|11095434416360224645</stp>
        <tr r="L58" s="1"/>
      </tp>
      <tp t="s">
        <v>#N/A Requesting Data...1951171493</v>
        <stp/>
        <stp>BDP|17867028467294979773</stp>
        <tr r="M57" s="1"/>
      </tp>
      <tp t="s">
        <v>#N/A Requesting Data...2286331509</v>
        <stp/>
        <stp>BDP|11381045435073479357</stp>
        <tr r="AA69" s="1"/>
      </tp>
      <tp t="s">
        <v>#N/A Requesting Data...4141693355</v>
        <stp/>
        <stp>BDP|11538907010513357855</stp>
        <tr r="S33" s="1"/>
      </tp>
      <tp t="s">
        <v>#N/A Requesting Data...3497555313</v>
        <stp/>
        <stp>BDP|13035211451374128222</stp>
        <tr r="W65" s="1"/>
      </tp>
      <tp t="s">
        <v>#N/A Requesting Data...2002356076</v>
        <stp/>
        <stp>BDP|17970995181214577071</stp>
        <tr r="T75" s="1"/>
      </tp>
      <tp t="s">
        <v>#N/A Requesting Data...2519356116</v>
        <stp/>
        <stp>BDP|15905616998548315007</stp>
        <tr r="U54" s="1"/>
      </tp>
      <tp t="s">
        <v>#N/A Requesting Data...1756432921</v>
        <stp/>
        <stp>BDP|12008556825582013529</stp>
        <tr r="Y23" s="1"/>
      </tp>
      <tp t="s">
        <v>#N/A Requesting Data...2378499276</v>
        <stp/>
        <stp>BDP|17317544771954537315</stp>
        <tr r="J16" s="1"/>
      </tp>
      <tp t="s">
        <v>#N/A Requesting Data...3618080635</v>
        <stp/>
        <stp>BDP|16099253933514422104</stp>
        <tr r="U41" s="1"/>
      </tp>
      <tp t="s">
        <v>#N/A Requesting Data...4273206556</v>
        <stp/>
        <stp>BDP|18398497216368819762</stp>
        <tr r="Z18" s="1"/>
      </tp>
      <tp t="s">
        <v>#N/A Requesting Data...3942595302</v>
        <stp/>
        <stp>BDP|15713459292198497260</stp>
        <tr r="J35" s="1"/>
      </tp>
      <tp t="s">
        <v>#N/A Requesting Data...1656255568</v>
        <stp/>
        <stp>BDP|17692272134377025300</stp>
        <tr r="N31" s="1"/>
      </tp>
      <tp t="s">
        <v>#N/A Requesting Data...4286635569</v>
        <stp/>
        <stp>BDP|11597883975454545888</stp>
        <tr r="C13" s="1"/>
      </tp>
      <tp t="s">
        <v>#N/A Requesting Data...3055776072</v>
        <stp/>
        <stp>BDP|15302601450113502731</stp>
        <tr r="AB76" s="1"/>
      </tp>
      <tp t="s">
        <v>#N/A Requesting Data...2406589214</v>
        <stp/>
        <stp>BDP|11885685087835519869</stp>
        <tr r="L47" s="1"/>
      </tp>
      <tp t="s">
        <v>#N/A Requesting Data...1854339808</v>
        <stp/>
        <stp>BDP|13315377076203248640</stp>
        <tr r="K38" s="1"/>
      </tp>
      <tp t="s">
        <v>#N/A Requesting Data...1774437058</v>
        <stp/>
        <stp>BDP|15347545391182080910</stp>
        <tr r="F57" s="1"/>
      </tp>
      <tp t="s">
        <v>#N/A Requesting Data...1893282015</v>
        <stp/>
        <stp>BDP|14666422670523711648</stp>
        <tr r="AD53" s="1"/>
      </tp>
      <tp t="s">
        <v>#N/A Requesting Data...3664579685</v>
        <stp/>
        <stp>BDP|10622676401833029772</stp>
        <tr r="G61" s="1"/>
      </tp>
      <tp t="s">
        <v>#N/A Requesting Data...3752475528</v>
        <stp/>
        <stp>BDP|18003917333184340460</stp>
        <tr r="K79" s="1"/>
      </tp>
      <tp t="s">
        <v>#N/A Requesting Data...2284954726</v>
        <stp/>
        <stp>BDP|17736562624006519471</stp>
        <tr r="O10" s="1"/>
      </tp>
      <tp t="s">
        <v>#N/A N/A</v>
        <stp/>
        <stp>BDP|18022388688925767404</stp>
        <tr r="AJ17" s="1"/>
        <tr r="AJ40" s="1"/>
        <tr r="AJ53" s="1"/>
        <tr r="AJ32" s="1"/>
        <tr r="AJ70" s="1"/>
        <tr r="AJ75" s="1"/>
        <tr r="AJ49" s="1"/>
        <tr r="AJ6" s="1"/>
      </tp>
      <tp t="s">
        <v>#N/A Requesting Data...4079302112</v>
        <stp/>
        <stp>BDP|15727824351899292311</stp>
        <tr r="AE61" s="1"/>
      </tp>
      <tp t="s">
        <v>#N/A Requesting Data...3181140070</v>
        <stp/>
        <stp>BDP|15070870660061673866</stp>
        <tr r="V66" s="1"/>
      </tp>
      <tp t="s">
        <v>#N/A Requesting Data...3216182357</v>
        <stp/>
        <stp>BDP|10629568062635133456</stp>
        <tr r="I28" s="1"/>
      </tp>
      <tp t="s">
        <v>#N/A Requesting Data...2574544769</v>
        <stp/>
        <stp>BDP|17543468854862483652</stp>
        <tr r="Z79" s="1"/>
      </tp>
      <tp t="s">
        <v>#N/A Requesting Data...1444790708</v>
        <stp/>
        <stp>BDP|17297342024293255760</stp>
        <tr r="F74" s="1"/>
      </tp>
      <tp t="s">
        <v>#N/A Requesting Data...3059477954</v>
        <stp/>
        <stp>BDP|11504232093020567868</stp>
        <tr r="W72" s="1"/>
      </tp>
      <tp t="s">
        <v>#N/A Requesting Data...1761874873</v>
        <stp/>
        <stp>BDP|13757034471552047433</stp>
        <tr r="D14" s="1"/>
      </tp>
      <tp t="s">
        <v>#N/A Requesting Data...1574252373</v>
        <stp/>
        <stp>BDP|16369007962254102664</stp>
        <tr r="G77" s="1"/>
      </tp>
      <tp t="s">
        <v>#N/A Requesting Data...3436249892</v>
        <stp/>
        <stp>BDP|12076260646773039567</stp>
        <tr r="K59" s="1"/>
      </tp>
      <tp t="s">
        <v>#N/A Requesting Data...2911435321</v>
        <stp/>
        <stp>BDP|16833858787562548769</stp>
        <tr r="W23" s="1"/>
      </tp>
      <tp t="s">
        <v>#N/A Requesting Data...2975654255</v>
        <stp/>
        <stp>BDP|10613782727393647564</stp>
        <tr r="H60" s="1"/>
      </tp>
      <tp t="s">
        <v>#N/A Requesting Data...2963740916</v>
        <stp/>
        <stp>BDP|12225980111708267104</stp>
        <tr r="Q73" s="1"/>
      </tp>
      <tp t="s">
        <v>#N/A Requesting Data...3785755391</v>
        <stp/>
        <stp>BDP|15846879563051797921</stp>
        <tr r="C67" s="1"/>
      </tp>
      <tp t="s">
        <v>#N/A Requesting Data...3566806772</v>
        <stp/>
        <stp>BDP|11582768600550901531</stp>
        <tr r="AH74" s="1"/>
      </tp>
      <tp t="s">
        <v>#N/A Requesting Data...2990909496</v>
        <stp/>
        <stp>BDP|12004129984631951973</stp>
        <tr r="J21" s="1"/>
      </tp>
      <tp t="s">
        <v>#N/A Requesting Data...3869493320</v>
        <stp/>
        <stp>BDP|18038374299254380553</stp>
        <tr r="AF20" s="1"/>
      </tp>
      <tp t="s">
        <v>#N/A Requesting Data...2694117562</v>
        <stp/>
        <stp>BDP|13440470519995349017</stp>
        <tr r="J32" s="1"/>
      </tp>
      <tp t="s">
        <v>#N/A Requesting Data...1621640096</v>
        <stp/>
        <stp>BDP|10437440419072066418</stp>
        <tr r="K50" s="1"/>
      </tp>
      <tp t="s">
        <v>#N/A Requesting Data...2877510903</v>
        <stp/>
        <stp>BDP|10909609571103109114</stp>
        <tr r="X26" s="1"/>
      </tp>
      <tp t="s">
        <v>#N/A Requesting Data...2643355971</v>
        <stp/>
        <stp>BDP|16575878053638136089</stp>
        <tr r="AD37" s="1"/>
      </tp>
      <tp t="s">
        <v>#N/A Requesting Data...1397386639</v>
        <stp/>
        <stp>BDP|16792501302156590680</stp>
        <tr r="Y36" s="1"/>
      </tp>
      <tp t="s">
        <v>#N/A Requesting Data...3138629943</v>
        <stp/>
        <stp>BDP|12527570892655024883</stp>
        <tr r="X2" s="1"/>
      </tp>
      <tp t="s">
        <v>#N/A Requesting Data...3224503404</v>
        <stp/>
        <stp>BDP|12944227532387284703</stp>
        <tr r="AD79" s="1"/>
      </tp>
      <tp t="s">
        <v>#N/A Requesting Data...4078086536</v>
        <stp/>
        <stp>BDP|15922551420120013174</stp>
        <tr r="V5" s="1"/>
      </tp>
      <tp t="s">
        <v>#N/A Requesting Data...1998993376</v>
        <stp/>
        <stp>BDP|13302570648348749903</stp>
        <tr r="AG41" s="1"/>
      </tp>
      <tp t="s">
        <v>#N/A Requesting Data...1783683377</v>
        <stp/>
        <stp>BDP|16903342265330050028</stp>
        <tr r="X8" s="1"/>
      </tp>
      <tp t="s">
        <v>#N/A Requesting Data...2375970338</v>
        <stp/>
        <stp>BDP|13407183069005732283</stp>
        <tr r="AB40" s="1"/>
      </tp>
      <tp t="s">
        <v>#N/A Requesting Data...3365268816</v>
        <stp/>
        <stp>BDP|14844964489480963640</stp>
        <tr r="E7" s="1"/>
      </tp>
      <tp t="s">
        <v>#N/A Requesting Data...2966802973</v>
        <stp/>
        <stp>BDP|13444841104788923071</stp>
        <tr r="T76" s="1"/>
      </tp>
      <tp t="s">
        <v>#N/A Requesting Data...2294305329</v>
        <stp/>
        <stp>BDP|14801122151126948580</stp>
        <tr r="AE54" s="1"/>
      </tp>
      <tp t="s">
        <v>#N/A Requesting Data...2477747195</v>
        <stp/>
        <stp>BDP|11167722249320340135</stp>
        <tr r="F73" s="1"/>
      </tp>
      <tp t="s">
        <v>#N/A Requesting Data...3330500854</v>
        <stp/>
        <stp>BDP|16846051851186177609</stp>
        <tr r="AG18" s="1"/>
      </tp>
      <tp t="s">
        <v>#N/A Requesting Data...2028306788</v>
        <stp/>
        <stp>BDP|17738710157750562693</stp>
        <tr r="W59" s="1"/>
      </tp>
      <tp t="s">
        <v>#N/A Requesting Data...2752120832</v>
        <stp/>
        <stp>BDP|12570597360071970386</stp>
        <tr r="AB26" s="1"/>
      </tp>
      <tp t="s">
        <v>#N/A Requesting Data...1843259680</v>
        <stp/>
        <stp>BDP|15565828669509398105</stp>
        <tr r="AB22" s="1"/>
      </tp>
      <tp t="s">
        <v>#N/A Requesting Data...1632941855</v>
        <stp/>
        <stp>BDP|10902675048248937920</stp>
        <tr r="Y61" s="1"/>
      </tp>
      <tp t="s">
        <v>#N/A Requesting Data...2977893115</v>
        <stp/>
        <stp>BDP|10497074204907288497</stp>
        <tr r="AF47" s="1"/>
      </tp>
      <tp t="s">
        <v>#N/A Requesting Data...3285538232</v>
        <stp/>
        <stp>BDP|12431337878551777448</stp>
        <tr r="D38" s="1"/>
      </tp>
      <tp t="s">
        <v>#N/A Requesting Data...1599067252</v>
        <stp/>
        <stp>BDP|15433048648532322070</stp>
        <tr r="AH13" s="1"/>
      </tp>
      <tp t="s">
        <v>#N/A Requesting Data...1850419549</v>
        <stp/>
        <stp>BDP|12686783704705393356</stp>
        <tr r="H30" s="1"/>
      </tp>
      <tp t="s">
        <v>#N/A Requesting Data...2475792566</v>
        <stp/>
        <stp>BDP|17664191841052449366</stp>
        <tr r="AE4" s="1"/>
      </tp>
      <tp t="s">
        <v>#N/A Requesting Data...2542073054</v>
        <stp/>
        <stp>BDP|12084290871422541620</stp>
        <tr r="AC13" s="1"/>
      </tp>
      <tp t="s">
        <v>#N/A Requesting Data...2287613927</v>
        <stp/>
        <stp>BDP|10286506791156961955</stp>
        <tr r="J53" s="1"/>
      </tp>
      <tp t="s">
        <v>#N/A Requesting Data...3742079220</v>
        <stp/>
        <stp>BDP|13072534168286526510</stp>
        <tr r="S16" s="1"/>
      </tp>
      <tp t="s">
        <v>#N/A Requesting Data...2216642745</v>
        <stp/>
        <stp>BDP|14646716973080862736</stp>
        <tr r="J8" s="1"/>
      </tp>
      <tp t="s">
        <v>#N/A Requesting Data...3267462588</v>
        <stp/>
        <stp>BDP|10353891714363923984</stp>
        <tr r="L44" s="1"/>
      </tp>
      <tp t="s">
        <v>#N/A Requesting Data...3958235330</v>
        <stp/>
        <stp>BDP|14669262239764026261</stp>
        <tr r="G60" s="1"/>
      </tp>
      <tp t="s">
        <v>#N/A Requesting Data...1544198697</v>
        <stp/>
        <stp>BDP|11964743217320755427</stp>
        <tr r="C15" s="1"/>
      </tp>
      <tp t="s">
        <v>#N/A Requesting Data...2745839152</v>
        <stp/>
        <stp>BDP|10844712753303487202</stp>
        <tr r="Q41" s="1"/>
      </tp>
      <tp t="s">
        <v>#N/A Requesting Data...4149025172</v>
        <stp/>
        <stp>BDP|16038526173570846773</stp>
        <tr r="I59" s="1"/>
      </tp>
      <tp t="s">
        <v>#N/A Requesting Data...4158524241</v>
        <stp/>
        <stp>BDP|12838656178822241263</stp>
        <tr r="T46" s="1"/>
      </tp>
      <tp t="s">
        <v>#N/A Requesting Data...2466346401</v>
        <stp/>
        <stp>BDP|12298931150565831883</stp>
        <tr r="P71" s="1"/>
      </tp>
      <tp t="s">
        <v>#N/A Requesting Data...2637485408</v>
        <stp/>
        <stp>BDP|16755356973560686162</stp>
        <tr r="AG21" s="1"/>
      </tp>
      <tp t="s">
        <v>#N/A Requesting Data...3916084888</v>
        <stp/>
        <stp>BDP|11067531708275280281</stp>
        <tr r="H11" s="1"/>
      </tp>
      <tp t="s">
        <v>#N/A Requesting Data...3141978197</v>
        <stp/>
        <stp>BDP|14771032455480040204</stp>
        <tr r="L5" s="1"/>
      </tp>
      <tp t="s">
        <v>#N/A Requesting Data...2838689281</v>
        <stp/>
        <stp>BDP|14881562238510088170</stp>
        <tr r="Z19" s="1"/>
      </tp>
      <tp t="s">
        <v>#N/A Requesting Data...2428287633</v>
        <stp/>
        <stp>BDP|12627254362190206522</stp>
        <tr r="T4" s="1"/>
      </tp>
      <tp t="s">
        <v>#N/A Requesting Data...4282092864</v>
        <stp/>
        <stp>BDP|15391312245431727018</stp>
        <tr r="AE51" s="1"/>
      </tp>
      <tp t="s">
        <v>#N/A Requesting Data...2757654455</v>
        <stp/>
        <stp>BDP|12862682686547000874</stp>
        <tr r="AB36" s="1"/>
      </tp>
      <tp t="s">
        <v>#N/A Requesting Data...3491489314</v>
        <stp/>
        <stp>BDP|14629706108196846668</stp>
        <tr r="V79" s="1"/>
      </tp>
      <tp t="s">
        <v>#N/A Requesting Data...1461132206</v>
        <stp/>
        <stp>BDP|13525684879564228569</stp>
        <tr r="O40" s="1"/>
      </tp>
      <tp t="s">
        <v>#N/A Requesting Data...3528794800</v>
        <stp/>
        <stp>BDP|17680634331589644821</stp>
        <tr r="AH32" s="1"/>
      </tp>
      <tp t="s">
        <v>#N/A Requesting Data...1691816463</v>
        <stp/>
        <stp>BDP|16040574620756441430</stp>
        <tr r="L69" s="1"/>
      </tp>
      <tp t="s">
        <v>#N/A Requesting Data...2494623987</v>
        <stp/>
        <stp>BDP|16405633972864686032</stp>
        <tr r="Z55" s="1"/>
      </tp>
      <tp t="s">
        <v>#N/A Requesting Data...1855938303</v>
        <stp/>
        <stp>BDP|16689190902835825153</stp>
        <tr r="D9" s="1"/>
      </tp>
      <tp t="s">
        <v>#N/A Requesting Data...2252394456</v>
        <stp/>
        <stp>BDP|13880181051991280538</stp>
        <tr r="N38" s="1"/>
      </tp>
      <tp t="s">
        <v>#N/A Requesting Data...3697476489</v>
        <stp/>
        <stp>BDP|17511242791167002805</stp>
        <tr r="X25" s="1"/>
      </tp>
      <tp t="s">
        <v>#N/A Requesting Data...2069946100</v>
        <stp/>
        <stp>BDP|12111587339836517160</stp>
        <tr r="AB50" s="1"/>
      </tp>
      <tp t="s">
        <v>#N/A Requesting Data...1877164455</v>
        <stp/>
        <stp>BDP|10276120455967248044</stp>
        <tr r="K16" s="1"/>
      </tp>
      <tp t="s">
        <v>#N/A Requesting Data...1651669583</v>
        <stp/>
        <stp>BDP|10047504404187794105</stp>
        <tr r="U51" s="1"/>
      </tp>
      <tp t="s">
        <v>#N/A Requesting Data...2359983685</v>
        <stp/>
        <stp>BDP|14296477942931361671</stp>
        <tr r="AF24" s="1"/>
      </tp>
      <tp t="s">
        <v>#N/A Requesting Data...1958222463</v>
        <stp/>
        <stp>BDP|17901477613753756291</stp>
        <tr r="V59" s="1"/>
      </tp>
      <tp t="s">
        <v>#N/A Requesting Data...2193385366</v>
        <stp/>
        <stp>BDP|13082561507356272316</stp>
        <tr r="H16" s="1"/>
      </tp>
      <tp t="s">
        <v>#N/A Requesting Data...4223606094</v>
        <stp/>
        <stp>BDP|14918274456862904234</stp>
        <tr r="AB41" s="1"/>
      </tp>
      <tp t="s">
        <v>#N/A Requesting Data...1656058298</v>
        <stp/>
        <stp>BDP|11427634031877671021</stp>
        <tr r="H23" s="1"/>
      </tp>
      <tp t="s">
        <v>#N/A Requesting Data...2413409246</v>
        <stp/>
        <stp>BDP|11483824005339352326</stp>
        <tr r="AF5" s="1"/>
      </tp>
      <tp t="s">
        <v>#N/A Requesting Data...1748494317</v>
        <stp/>
        <stp>BDP|15643552911462577055</stp>
        <tr r="N47" s="1"/>
      </tp>
      <tp t="s">
        <v>#N/A Requesting Data...3590367481</v>
        <stp/>
        <stp>BDP|15155470322316159674</stp>
        <tr r="W29" s="1"/>
      </tp>
      <tp t="s">
        <v>#N/A Requesting Data...2059483500</v>
        <stp/>
        <stp>BDP|11033717252302776265</stp>
        <tr r="V48" s="1"/>
      </tp>
      <tp t="s">
        <v>#N/A Requesting Data...4216198485</v>
        <stp/>
        <stp>BDP|12512208362605680048</stp>
        <tr r="N46" s="1"/>
      </tp>
      <tp t="s">
        <v>#N/A Requesting Data...2785054597</v>
        <stp/>
        <stp>BDP|17744871662089784303</stp>
        <tr r="N49" s="1"/>
      </tp>
      <tp t="s">
        <v>#N/A Requesting Data...2328285810</v>
        <stp/>
        <stp>BDP|16104296175899965916</stp>
        <tr r="L29" s="1"/>
      </tp>
      <tp t="s">
        <v>#N/A Requesting Data...2671731028</v>
        <stp/>
        <stp>BDP|12105983654975927819</stp>
        <tr r="V19" s="1"/>
      </tp>
      <tp t="s">
        <v>#N/A Requesting Data...3554976200</v>
        <stp/>
        <stp>BDP|13569881480044053485</stp>
        <tr r="H54" s="1"/>
      </tp>
      <tp t="s">
        <v>#N/A Requesting Data...3144549825</v>
        <stp/>
        <stp>BDP|12159558474446473500</stp>
        <tr r="V57" s="1"/>
      </tp>
      <tp t="s">
        <v>#N/A Requesting Data...2934111414</v>
        <stp/>
        <stp>BDP|15499777727771730276</stp>
        <tr r="X36" s="1"/>
      </tp>
      <tp t="s">
        <v>#N/A Requesting Data...2034300952</v>
        <stp/>
        <stp>BDP|10311144714127110466</stp>
        <tr r="V13" s="1"/>
      </tp>
      <tp t="s">
        <v>#N/A Requesting Data...3166520212</v>
        <stp/>
        <stp>BDP|18222172170528316526</stp>
        <tr r="AD15" s="1"/>
      </tp>
      <tp t="s">
        <v>#N/A Requesting Data...3530874724</v>
        <stp/>
        <stp>BDP|14002340027905464301</stp>
        <tr r="J28" s="1"/>
      </tp>
      <tp t="s">
        <v>#N/A Requesting Data...2348473399</v>
        <stp/>
        <stp>BDP|13056715332515389170</stp>
        <tr r="AH41" s="1"/>
      </tp>
      <tp t="s">
        <v>#N/A Requesting Data...4247181459</v>
        <stp/>
        <stp>BDP|16023166365574218663</stp>
        <tr r="E34" s="1"/>
      </tp>
      <tp t="s">
        <v>#N/A Requesting Data...3650062782</v>
        <stp/>
        <stp>BDP|11989658812733924606</stp>
        <tr r="Y39" s="1"/>
      </tp>
      <tp t="s">
        <v>#N/A Requesting Data...2191074945</v>
        <stp/>
        <stp>BDP|13646100320786470553</stp>
        <tr r="L14" s="1"/>
      </tp>
      <tp t="s">
        <v>#N/A Requesting Data...3569839991</v>
        <stp/>
        <stp>BDP|14085273317043040778</stp>
        <tr r="W68" s="1"/>
      </tp>
      <tp t="s">
        <v>#N/A Requesting Data...3502620780</v>
        <stp/>
        <stp>BDP|10637260322186262572</stp>
        <tr r="G51" s="1"/>
      </tp>
      <tp t="s">
        <v>#N/A Requesting Data...2746814806</v>
        <stp/>
        <stp>BDP|11969763850000188084</stp>
        <tr r="G50" s="1"/>
      </tp>
      <tp t="s">
        <v>#N/A Requesting Data...3673323371</v>
        <stp/>
        <stp>BDP|14131525671621174458</stp>
        <tr r="K22" s="1"/>
      </tp>
      <tp t="s">
        <v>#N/A Requesting Data...2842997600</v>
        <stp/>
        <stp>BDP|15863811574633103959</stp>
        <tr r="AE30" s="1"/>
      </tp>
      <tp t="s">
        <v>#N/A Requesting Data...2597716269</v>
        <stp/>
        <stp>BDP|17487315154458066982</stp>
        <tr r="AB46" s="1"/>
      </tp>
      <tp t="s">
        <v>#N/A Requesting Data...3410867405</v>
        <stp/>
        <stp>BDP|17278767614609044894</stp>
        <tr r="Z3" s="1"/>
      </tp>
      <tp t="s">
        <v>#N/A Requesting Data...3807290487</v>
        <stp/>
        <stp>BDP|13517079738940234014</stp>
        <tr r="H45" s="1"/>
      </tp>
      <tp t="s">
        <v>#N/A Requesting Data...1919294290</v>
        <stp/>
        <stp>BDP|15981048063226737518</stp>
        <tr r="W45" s="1"/>
      </tp>
      <tp t="s">
        <v>#N/A Requesting Data...3540666450</v>
        <stp/>
        <stp>BDP|12748404131944907171</stp>
        <tr r="R36" s="1"/>
      </tp>
      <tp t="s">
        <v>#N/A Requesting Data...3288518433</v>
        <stp/>
        <stp>BDP|12764625035145160298</stp>
        <tr r="J19" s="1"/>
      </tp>
      <tp t="s">
        <v>#N/A Requesting Data...3902145785</v>
        <stp/>
        <stp>BDP|17754117916842147599</stp>
        <tr r="Q20" s="1"/>
      </tp>
      <tp t="s">
        <v>#N/A Requesting Data...4010295061</v>
        <stp/>
        <stp>BDP|14915537742531358433</stp>
        <tr r="I58" s="1"/>
      </tp>
      <tp t="s">
        <v>#N/A Requesting Data...3969925661</v>
        <stp/>
        <stp>BDP|17879438465791282445</stp>
        <tr r="D39" s="1"/>
      </tp>
      <tp t="s">
        <v>#N/A Requesting Data...2305428004</v>
        <stp/>
        <stp>BDP|12882789344157420686</stp>
        <tr r="I40" s="1"/>
      </tp>
      <tp t="s">
        <v>#N/A Requesting Data...1746958633</v>
        <stp/>
        <stp>BDP|11655743764012408299</stp>
        <tr r="AD41" s="1"/>
      </tp>
      <tp t="s">
        <v>#N/A Requesting Data...2059468854</v>
        <stp/>
        <stp>BDP|18386805578560020708</stp>
        <tr r="G40" s="1"/>
      </tp>
      <tp t="s">
        <v>#N/A Requesting Data...2165206796</v>
        <stp/>
        <stp>BDP|16024449602707564590</stp>
        <tr r="AE73" s="1"/>
      </tp>
      <tp t="s">
        <v>#N/A Requesting Data...3434304646</v>
        <stp/>
        <stp>BDP|12639977784530701389</stp>
        <tr r="P70" s="1"/>
      </tp>
      <tp t="s">
        <v>#N/A Requesting Data...2450304099</v>
        <stp/>
        <stp>BDP|10412502634615233388</stp>
        <tr r="AB39" s="1"/>
      </tp>
      <tp t="s">
        <v>#N/A Requesting Data...2081618152</v>
        <stp/>
        <stp>BDP|18324885043211719558</stp>
        <tr r="U34" s="1"/>
      </tp>
      <tp t="s">
        <v>#N/A Requesting Data...3744789352</v>
        <stp/>
        <stp>BDP|16710582626708792941</stp>
        <tr r="Q34" s="1"/>
      </tp>
      <tp t="s">
        <v>#N/A Requesting Data...3369307877</v>
        <stp/>
        <stp>BDP|13311665310411765585</stp>
        <tr r="R5" s="1"/>
      </tp>
      <tp t="s">
        <v>#N/A Requesting Data...2977234789</v>
        <stp/>
        <stp>BDP|16928233424717669125</stp>
        <tr r="AA62" s="1"/>
      </tp>
      <tp t="s">
        <v>#N/A Requesting Data...3258956338</v>
        <stp/>
        <stp>BDP|18264950502920896172</stp>
        <tr r="AD56" s="1"/>
      </tp>
      <tp t="s">
        <v>#N/A Requesting Data...3405948397</v>
        <stp/>
        <stp>BDP|17091868095030937679</stp>
        <tr r="Y27" s="1"/>
      </tp>
      <tp t="s">
        <v>#N/A Requesting Data...2113100091</v>
        <stp/>
        <stp>BDP|15871072135442787408</stp>
        <tr r="N33" s="1"/>
      </tp>
      <tp t="s">
        <v>#N/A Requesting Data...4095748731</v>
        <stp/>
        <stp>BDP|12093036777356880314</stp>
        <tr r="M43" s="1"/>
      </tp>
      <tp t="s">
        <v>#N/A Requesting Data...3657760368</v>
        <stp/>
        <stp>BDP|14330894427919214728</stp>
        <tr r="AH5" s="1"/>
      </tp>
      <tp t="s">
        <v>#N/A Requesting Data...1511785716</v>
        <stp/>
        <stp>BDP|15849572376102106553</stp>
        <tr r="AH26" s="1"/>
      </tp>
      <tp t="s">
        <v>#N/A Requesting Data...1929548557</v>
        <stp/>
        <stp>BDP|14818789264377938212</stp>
        <tr r="S12" s="1"/>
      </tp>
      <tp t="s">
        <v>#N/A Requesting Data...2883690366</v>
        <stp/>
        <stp>BDP|11310973936243639889</stp>
        <tr r="AD31" s="1"/>
      </tp>
      <tp t="s">
        <v>#N/A Requesting Data...1786060919</v>
        <stp/>
        <stp>BDP|13730273102744795592</stp>
        <tr r="L2" s="1"/>
      </tp>
      <tp t="s">
        <v>#N/A Requesting Data...3297941626</v>
        <stp/>
        <stp>BDP|16421075015222210583</stp>
        <tr r="M63" s="1"/>
      </tp>
      <tp t="s">
        <v>#N/A Requesting Data...4114392938</v>
        <stp/>
        <stp>BDP|10074027849553190755</stp>
        <tr r="Z52" s="1"/>
      </tp>
      <tp t="s">
        <v>#N/A Requesting Data...3950100995</v>
        <stp/>
        <stp>BDP|10146293847681041709</stp>
        <tr r="T66" s="1"/>
      </tp>
      <tp t="s">
        <v>#N/A Requesting Data...4015821359</v>
        <stp/>
        <stp>BDP|16653160776991162188</stp>
        <tr r="R52" s="1"/>
      </tp>
      <tp t="s">
        <v>#N/A Requesting Data...2177117124</v>
        <stp/>
        <stp>BDP|15433163344581090199</stp>
        <tr r="U36" s="1"/>
      </tp>
      <tp t="s">
        <v>#N/A Requesting Data...3499074657</v>
        <stp/>
        <stp>BDP|16020884432455276870</stp>
        <tr r="Q15" s="1"/>
      </tp>
      <tp t="s">
        <v>#N/A Requesting Data...3341113314</v>
        <stp/>
        <stp>BDP|12794611478747748470</stp>
        <tr r="Y24" s="1"/>
      </tp>
      <tp t="s">
        <v>#N/A Requesting Data...1771615693</v>
        <stp/>
        <stp>BDP|15826429036164663643</stp>
        <tr r="AE33" s="1"/>
      </tp>
      <tp t="s">
        <v>#N/A Requesting Data...1672528543</v>
        <stp/>
        <stp>BDP|12609747818773441707</stp>
        <tr r="C23" s="1"/>
      </tp>
      <tp t="s">
        <v>#N/A Requesting Data...1975704645</v>
        <stp/>
        <stp>BDP|15183923733389963678</stp>
        <tr r="J10" s="1"/>
      </tp>
      <tp t="s">
        <v>#N/A Requesting Data...3970139881</v>
        <stp/>
        <stp>BDP|17232259626966755180</stp>
        <tr r="R42" s="1"/>
      </tp>
      <tp t="s">
        <v>#N/A Requesting Data...1783199289</v>
        <stp/>
        <stp>BDP|11832734437421489490</stp>
        <tr r="AB74" s="1"/>
      </tp>
      <tp t="s">
        <v>#N/A Requesting Data...1872532072</v>
        <stp/>
        <stp>BDP|16091437891849252210</stp>
        <tr r="AB55" s="1"/>
      </tp>
      <tp t="s">
        <v>#N/A Requesting Data...2245417052</v>
        <stp/>
        <stp>BDP|14054561148233666692</stp>
        <tr r="AB11" s="1"/>
      </tp>
      <tp t="s">
        <v>#N/A Requesting Data...2174369522</v>
        <stp/>
        <stp>BDP|15895516443985941123</stp>
        <tr r="C58" s="1"/>
      </tp>
      <tp t="s">
        <v>#N/A Requesting Data...2511520713</v>
        <stp/>
        <stp>BDP|10474075795420242952</stp>
        <tr r="P5" s="1"/>
      </tp>
      <tp t="s">
        <v>#N/A Requesting Data...3328971671</v>
        <stp/>
        <stp>BDP|13603020916713106120</stp>
        <tr r="AC61" s="1"/>
      </tp>
      <tp t="s">
        <v>#N/A Requesting Data...3941831918</v>
        <stp/>
        <stp>BDP|14301469606183190334</stp>
        <tr r="AC31" s="1"/>
      </tp>
      <tp t="s">
        <v>#N/A Requesting Data...2051546498</v>
        <stp/>
        <stp>BDP|16082155572240037068</stp>
        <tr r="K53" s="1"/>
      </tp>
      <tp t="s">
        <v>#N/A Requesting Data...2214212259</v>
        <stp/>
        <stp>BDP|14121417010300736176</stp>
        <tr r="Z4" s="1"/>
      </tp>
      <tp t="s">
        <v>#N/A Requesting Data...3295201396</v>
        <stp/>
        <stp>BDP|14640544929963998023</stp>
        <tr r="D45" s="1"/>
      </tp>
      <tp t="s">
        <v>#N/A Requesting Data...3527915995</v>
        <stp/>
        <stp>BDP|12500533346045671667</stp>
        <tr r="Y31" s="1"/>
      </tp>
      <tp t="s">
        <v>#N/A Requesting Data...3391772489</v>
        <stp/>
        <stp>BDP|17559697982388626184</stp>
        <tr r="P65" s="1"/>
      </tp>
      <tp t="s">
        <v>#N/A Requesting Data...3052389652</v>
        <stp/>
        <stp>BDP|13017157865526006204</stp>
        <tr r="Q68" s="1"/>
      </tp>
      <tp t="s">
        <v>#N/A Requesting Data...4011184375</v>
        <stp/>
        <stp>BDP|11570354007492489038</stp>
        <tr r="N4" s="1"/>
      </tp>
      <tp t="s">
        <v>#N/A Requesting Data...2171097756</v>
        <stp/>
        <stp>BDP|17251667676451702753</stp>
        <tr r="T45" s="1"/>
      </tp>
      <tp t="s">
        <v>#N/A Requesting Data...3350382401</v>
        <stp/>
        <stp>BDP|12911163952082906446</stp>
        <tr r="F11" s="1"/>
      </tp>
      <tp t="s">
        <v>#N/A Requesting Data...3064613168</v>
        <stp/>
        <stp>BDP|14271839587334218076</stp>
        <tr r="D50" s="1"/>
      </tp>
      <tp t="s">
        <v>#N/A Requesting Data...4183791215</v>
        <stp/>
        <stp>BDP|16638708624310937383</stp>
        <tr r="AF39" s="1"/>
      </tp>
      <tp t="s">
        <v>#N/A Requesting Data...2960608460</v>
        <stp/>
        <stp>BDP|16213017025163688730</stp>
        <tr r="D59" s="1"/>
      </tp>
      <tp t="s">
        <v>#N/A Requesting Data...2288562806</v>
        <stp/>
        <stp>BDP|17104305243169092913</stp>
        <tr r="D43" s="1"/>
      </tp>
      <tp t="s">
        <v>#N/A Requesting Data...1963835494</v>
        <stp/>
        <stp>BDP|15299179925033726547</stp>
        <tr r="Y3" s="1"/>
      </tp>
      <tp t="s">
        <v>#N/A Requesting Data...2141407643</v>
        <stp/>
        <stp>BDP|14669531174931255712</stp>
        <tr r="E6" s="1"/>
      </tp>
      <tp t="s">
        <v>#N/A Requesting Data...3252581328</v>
        <stp/>
        <stp>BDP|11838041882670593994</stp>
        <tr r="G67" s="1"/>
      </tp>
      <tp t="s">
        <v>#N/A Requesting Data...2493120161</v>
        <stp/>
        <stp>BDP|13856286466716113158</stp>
        <tr r="AF58" s="1"/>
      </tp>
      <tp t="s">
        <v>#N/A Requesting Data...2717999197</v>
        <stp/>
        <stp>BDP|16020121424825002047</stp>
        <tr r="P36" s="1"/>
      </tp>
      <tp t="s">
        <v>#N/A Requesting Data...2695777168</v>
        <stp/>
        <stp>BDP|16331106900634757364</stp>
        <tr r="D8" s="1"/>
      </tp>
      <tp t="s">
        <v>#N/A Requesting Data...3919866101</v>
        <stp/>
        <stp>BDP|16435447003984694674</stp>
        <tr r="AH75" s="1"/>
      </tp>
      <tp t="s">
        <v>#N/A Requesting Data...1867938095</v>
        <stp/>
        <stp>BDP|13818214587691424881</stp>
        <tr r="Q72" s="1"/>
      </tp>
      <tp t="s">
        <v>#N/A Requesting Data...2208933764</v>
        <stp/>
        <stp>BDP|12744760940410744142</stp>
        <tr r="R50" s="1"/>
      </tp>
      <tp t="s">
        <v>#N/A Requesting Data...2699620952</v>
        <stp/>
        <stp>BDP|12425482450097752490</stp>
        <tr r="H74" s="1"/>
      </tp>
      <tp t="s">
        <v>#N/A Requesting Data...2146152453</v>
        <stp/>
        <stp>BDP|13392509208965717393</stp>
        <tr r="L68" s="1"/>
      </tp>
      <tp t="s">
        <v>#N/A Requesting Data...1601051666</v>
        <stp/>
        <stp>BDP|10551886278769303639</stp>
        <tr r="AA9" s="1"/>
      </tp>
      <tp t="s">
        <v>#N/A Requesting Data...1782012934</v>
        <stp/>
        <stp>BDP|14631215754493794018</stp>
        <tr r="R49" s="1"/>
      </tp>
      <tp t="s">
        <v>#N/A Requesting Data...4000963121</v>
        <stp/>
        <stp>BDP|16279053127167702323</stp>
        <tr r="Z46" s="1"/>
      </tp>
      <tp t="s">
        <v>#N/A Requesting Data...3233109349</v>
        <stp/>
        <stp>BDP|14623657564050301411</stp>
        <tr r="AB23" s="1"/>
      </tp>
      <tp t="s">
        <v>#N/A Requesting Data...1949775637</v>
        <stp/>
        <stp>BDP|15285056727081229661</stp>
        <tr r="I63" s="1"/>
      </tp>
      <tp t="s">
        <v>#N/A Requesting Data...4136585179</v>
        <stp/>
        <stp>BDP|17156257358789995910</stp>
        <tr r="X68" s="1"/>
      </tp>
      <tp t="s">
        <v>#N/A Requesting Data...2433526185</v>
        <stp/>
        <stp>BDP|11175429170273078179</stp>
        <tr r="V53" s="1"/>
      </tp>
      <tp t="s">
        <v>#N/A Requesting Data...3283742318</v>
        <stp/>
        <stp>BDP|12214048452736789174</stp>
        <tr r="U7" s="1"/>
      </tp>
      <tp t="s">
        <v>#N/A Requesting Data...2509359489</v>
        <stp/>
        <stp>BDP|15301578338186997516</stp>
        <tr r="L15" s="1"/>
      </tp>
      <tp t="s">
        <v>#N/A Requesting Data...3682530649</v>
        <stp/>
        <stp>BDP|17002556398029052295</stp>
        <tr r="K64" s="1"/>
      </tp>
      <tp t="s">
        <v>#N/A Requesting Data...2896285995</v>
        <stp/>
        <stp>BDP|11840691144925403659</stp>
        <tr r="C25" s="1"/>
      </tp>
      <tp t="s">
        <v>#N/A Requesting Data...4167055982</v>
        <stp/>
        <stp>BDP|16338797100741987042</stp>
        <tr r="T13" s="1"/>
      </tp>
      <tp t="s">
        <v>#N/A Requesting Data...3767854076</v>
        <stp/>
        <stp>BDP|12386036374903758641</stp>
        <tr r="J48" s="1"/>
      </tp>
      <tp t="s">
        <v>#N/A Requesting Data...4217983488</v>
        <stp/>
        <stp>BDP|11309205660145565015</stp>
        <tr r="AH46" s="1"/>
      </tp>
      <tp t="s">
        <v>#N/A Requesting Data...3045911500</v>
        <stp/>
        <stp>BDP|13551803807402015955</stp>
        <tr r="L67" s="1"/>
      </tp>
      <tp t="s">
        <v>#N/A Requesting Data...1978661198</v>
        <stp/>
        <stp>BDP|17812360467867745599</stp>
        <tr r="AF30" s="1"/>
      </tp>
      <tp t="s">
        <v>#N/A Requesting Data...2702668257</v>
        <stp/>
        <stp>BDP|11606002622483441066</stp>
        <tr r="H72" s="1"/>
      </tp>
      <tp t="s">
        <v>#N/A Requesting Data...1730824349</v>
        <stp/>
        <stp>BDP|16769396259518704997</stp>
        <tr r="AH17" s="1"/>
      </tp>
      <tp t="s">
        <v>#N/A Requesting Data...3523456389</v>
        <stp/>
        <stp>BDP|17931700779011021793</stp>
        <tr r="Z56" s="1"/>
      </tp>
      <tp t="s">
        <v>#N/A Requesting Data...3549258245</v>
        <stp/>
        <stp>BDP|15551237554141360285</stp>
        <tr r="R41" s="1"/>
      </tp>
      <tp t="s">
        <v>#N/A Requesting Data...4063717647</v>
        <stp/>
        <stp>BDP|10491847874039439784</stp>
        <tr r="C44" s="1"/>
      </tp>
      <tp t="s">
        <v>#N/A Requesting Data...3181106673</v>
        <stp/>
        <stp>BDP|15930992268292495942</stp>
        <tr r="E21" s="1"/>
      </tp>
      <tp t="s">
        <v>#N/A Requesting Data...2519864737</v>
        <stp/>
        <stp>BDP|18174904559680941599</stp>
        <tr r="Y16" s="1"/>
      </tp>
      <tp t="s">
        <v>#N/A Requesting Data...1656840184</v>
        <stp/>
        <stp>BDP|15935448708101837151</stp>
        <tr r="AE42" s="1"/>
      </tp>
      <tp t="s">
        <v>#N/A Requesting Data...3349636414</v>
        <stp/>
        <stp>BDP|10844405355442343262</stp>
        <tr r="J52" s="1"/>
      </tp>
      <tp t="s">
        <v>#N/A Requesting Data...1759496534</v>
        <stp/>
        <stp>BDP|14153557594069837003</stp>
        <tr r="X21" s="1"/>
      </tp>
      <tp t="s">
        <v>#N/A Requesting Data...3311366156</v>
        <stp/>
        <stp>BDP|16555407268662501705</stp>
        <tr r="S42" s="1"/>
      </tp>
      <tp t="s">
        <v>#N/A Requesting Data...3316035855</v>
        <stp/>
        <stp>BDP|16140200988998342513</stp>
        <tr r="G68" s="1"/>
      </tp>
      <tp t="s">
        <v>#N/A Requesting Data...2399278635</v>
        <stp/>
        <stp>BDP|14773245176290815068</stp>
        <tr r="D34" s="1"/>
      </tp>
      <tp t="s">
        <v>#N/A Requesting Data...3679991135</v>
        <stp/>
        <stp>BDP|17490039339715072059</stp>
        <tr r="N75" s="1"/>
      </tp>
      <tp t="s">
        <v>#N/A Requesting Data...3853996246</v>
        <stp/>
        <stp>BDP|11973937953768113439</stp>
        <tr r="AD8" s="1"/>
      </tp>
      <tp t="s">
        <v>#N/A Requesting Data...2413912770</v>
        <stp/>
        <stp>BDP|15066121917857681384</stp>
        <tr r="C35" s="1"/>
      </tp>
      <tp t="s">
        <v>#N/A Requesting Data...3167536260</v>
        <stp/>
        <stp>BDP|16751491164744738160</stp>
        <tr r="AD75" s="1"/>
      </tp>
      <tp t="s">
        <v>#N/A Requesting Data...2141339323</v>
        <stp/>
        <stp>BDP|10609047368505616275</stp>
        <tr r="AB42" s="1"/>
      </tp>
      <tp t="s">
        <v>#N/A Requesting Data...4250433787</v>
        <stp/>
        <stp>BDP|10096396137735687435</stp>
        <tr r="AH3" s="1"/>
      </tp>
      <tp t="s">
        <v>#N/A Requesting Data...3946381584</v>
        <stp/>
        <stp>BDP|12592100469246356255</stp>
        <tr r="Q30" s="1"/>
      </tp>
      <tp t="s">
        <v>#N/A Requesting Data...1745322910</v>
        <stp/>
        <stp>BDP|16489539030557952649</stp>
        <tr r="AA54" s="1"/>
      </tp>
      <tp t="s">
        <v>#N/A Requesting Data...3032570090</v>
        <stp/>
        <stp>BDP|16689483949165800255</stp>
        <tr r="Q26" s="1"/>
      </tp>
      <tp t="s">
        <v>#N/A Requesting Data...2780785619</v>
        <stp/>
        <stp>BDP|16486420929686036759</stp>
        <tr r="J2" s="1"/>
      </tp>
      <tp t="s">
        <v>#N/A Requesting Data...1624121526</v>
        <stp/>
        <stp>BDP|15599275676456919702</stp>
        <tr r="T74" s="1"/>
      </tp>
      <tp t="s">
        <v>#N/A Requesting Data...2791991295</v>
        <stp/>
        <stp>BDP|18232369377704969974</stp>
        <tr r="AA27" s="1"/>
      </tp>
      <tp t="s">
        <v>#N/A Requesting Data...1678767719</v>
        <stp/>
        <stp>BDP|11312770406190678790</stp>
        <tr r="P32" s="1"/>
      </tp>
      <tp t="s">
        <v>#N/A Requesting Data...3556240093</v>
        <stp/>
        <stp>BDP|16624744149934196070</stp>
        <tr r="Q49" s="1"/>
      </tp>
      <tp t="s">
        <v>#N/A Requesting Data...3145194324</v>
        <stp/>
        <stp>BDP|14603265143546916574</stp>
        <tr r="AG8" s="1"/>
      </tp>
      <tp t="s">
        <v>#N/A Requesting Data...3063148092</v>
        <stp/>
        <stp>BDP|15086176023491129695</stp>
        <tr r="AC58" s="1"/>
      </tp>
      <tp t="s">
        <v>#N/A Requesting Data...2791737202</v>
        <stp/>
        <stp>BDP|10239563837760855774</stp>
        <tr r="P26" s="1"/>
      </tp>
      <tp t="s">
        <v>#N/A Requesting Data...2490164985</v>
        <stp/>
        <stp>BDP|14255551248784404049</stp>
        <tr r="AB64" s="1"/>
      </tp>
      <tp t="s">
        <v>#N/A Requesting Data...2778387873</v>
        <stp/>
        <stp>BDP|17504159802586500184</stp>
        <tr r="J6" s="1"/>
      </tp>
      <tp t="s">
        <v>#N/A Requesting Data...2703304803</v>
        <stp/>
        <stp>BDP|14015414130071600385</stp>
        <tr r="AA26" s="1"/>
      </tp>
      <tp t="s">
        <v>#N/A Requesting Data...3954688421</v>
        <stp/>
        <stp>BDP|18045597290432169776</stp>
        <tr r="C75" s="1"/>
      </tp>
      <tp t="s">
        <v>#N/A Requesting Data...2167530848</v>
        <stp/>
        <stp>BDP|12495744904967806332</stp>
        <tr r="O64" s="1"/>
      </tp>
      <tp t="s">
        <v>#N/A Requesting Data...1832800434</v>
        <stp/>
        <stp>BDP|17148796152455596115</stp>
        <tr r="AG67" s="1"/>
      </tp>
      <tp t="s">
        <v>#N/A Requesting Data...3433355207</v>
        <stp/>
        <stp>BDP|11454541311615625199</stp>
        <tr r="Q40" s="1"/>
      </tp>
      <tp t="s">
        <v>#N/A Requesting Data...3497464717</v>
        <stp/>
        <stp>BDP|17857403352942390574</stp>
        <tr r="F60" s="1"/>
      </tp>
      <tp t="s">
        <v>#N/A Requesting Data...3437553317</v>
        <stp/>
        <stp>BDP|15864994772188475290</stp>
        <tr r="P53" s="1"/>
      </tp>
      <tp t="s">
        <v>#N/A Requesting Data...4200136984</v>
        <stp/>
        <stp>BDP|13861993076474223848</stp>
        <tr r="N22" s="1"/>
      </tp>
      <tp t="s">
        <v>#N/A Requesting Data...2501251931</v>
        <stp/>
        <stp>BDP|11860604738654834199</stp>
        <tr r="H18" s="1"/>
      </tp>
      <tp t="s">
        <v>#N/A Requesting Data...2369150344</v>
        <stp/>
        <stp>BDP|15315162694144467849</stp>
        <tr r="E24" s="1"/>
      </tp>
      <tp t="s">
        <v>#N/A Requesting Data...3698187500</v>
        <stp/>
        <stp>BDP|11633427231786075143</stp>
        <tr r="M64" s="1"/>
      </tp>
      <tp t="s">
        <v>#N/A Requesting Data...1875140729</v>
        <stp/>
        <stp>BDP|12332121526252705214</stp>
        <tr r="I11" s="1"/>
      </tp>
      <tp t="s">
        <v>#N/A Requesting Data...4028812599</v>
        <stp/>
        <stp>BDP|16472075716667762136</stp>
        <tr r="M56" s="1"/>
      </tp>
      <tp t="s">
        <v>#N/A Requesting Data...3073300041</v>
        <stp/>
        <stp>BDP|13691105155434246217</stp>
        <tr r="J76" s="1"/>
      </tp>
      <tp t="s">
        <v>#N/A Requesting Data...3675801869</v>
        <stp/>
        <stp>BDP|17490374024705016277</stp>
        <tr r="T6" s="1"/>
      </tp>
      <tp t="s">
        <v>#N/A Requesting Data...2166124648</v>
        <stp/>
        <stp>BDP|17183724877537478109</stp>
        <tr r="AG65" s="1"/>
      </tp>
      <tp t="s">
        <v>#N/A Requesting Data...3711557251</v>
        <stp/>
        <stp>BDP|15086410633876234538</stp>
        <tr r="AB30" s="1"/>
      </tp>
      <tp t="s">
        <v>#N/A Requesting Data...1998316266</v>
        <stp/>
        <stp>BDP|14552709009402803077</stp>
        <tr r="AA72" s="1"/>
      </tp>
      <tp t="s">
        <v>#N/A Requesting Data...1962138058</v>
        <stp/>
        <stp>BDP|10237431217914015057</stp>
        <tr r="I79" s="1"/>
      </tp>
      <tp t="s">
        <v>#N/A Requesting Data...2136323809</v>
        <stp/>
        <stp>BDP|17271705455117696328</stp>
        <tr r="I64" s="1"/>
      </tp>
      <tp t="s">
        <v>#N/A Requesting Data...4144428658</v>
        <stp/>
        <stp>BDP|15159632766732548637</stp>
        <tr r="V61" s="1"/>
      </tp>
      <tp t="s">
        <v>#N/A Requesting Data...3347850912</v>
        <stp/>
        <stp>BDP|17622445532122227307</stp>
        <tr r="E13" s="1"/>
      </tp>
      <tp t="s">
        <v>#N/A Requesting Data...2135389695</v>
        <stp/>
        <stp>BDP|14322465711595479522</stp>
        <tr r="S46" s="1"/>
      </tp>
      <tp t="s">
        <v>#N/A Requesting Data...4271343519</v>
        <stp/>
        <stp>BDP|10696561787739615545</stp>
        <tr r="AG5" s="1"/>
      </tp>
      <tp t="s">
        <v>#N/A Requesting Data...3475346900</v>
        <stp/>
        <stp>BDP|15427296600346094084</stp>
        <tr r="AB63" s="1"/>
      </tp>
      <tp t="s">
        <v>#N/A Requesting Data...3906575066</v>
        <stp/>
        <stp>BDP|16454849703527551836</stp>
        <tr r="S30" s="1"/>
      </tp>
      <tp t="s">
        <v>#N/A Requesting Data...2578573008</v>
        <stp/>
        <stp>BDP|13849383211639763931</stp>
        <tr r="Q47" s="1"/>
      </tp>
      <tp t="s">
        <v>#N/A Requesting Data...2059142903</v>
        <stp/>
        <stp>BDP|13948452939576084313</stp>
        <tr r="F75" s="1"/>
      </tp>
      <tp t="s">
        <v>#N/A Requesting Data...3599476903</v>
        <stp/>
        <stp>BDP|16812256659695893585</stp>
        <tr r="M20" s="1"/>
      </tp>
      <tp t="s">
        <v>#N/A Requesting Data...3395408334</v>
        <stp/>
        <stp>BDP|16717685940824885130</stp>
        <tr r="AF62" s="1"/>
      </tp>
      <tp t="s">
        <v>#N/A Requesting Data...4282307160</v>
        <stp/>
        <stp>BDP|18035591688247652331</stp>
        <tr r="J77" s="1"/>
      </tp>
      <tp t="s">
        <v>#N/A Requesting Data...2962650494</v>
        <stp/>
        <stp>BDP|16709032941494140739</stp>
        <tr r="H76" s="1"/>
      </tp>
      <tp t="s">
        <v>#N/A Requesting Data...3655685078</v>
        <stp/>
        <stp>BDP|15233444440410981482</stp>
        <tr r="E75" s="1"/>
      </tp>
      <tp t="s">
        <v>#N/A Requesting Data...1850715249</v>
        <stp/>
        <stp>BDP|11638845181123409308</stp>
        <tr r="J13" s="1"/>
      </tp>
      <tp t="s">
        <v>#N/A Requesting Data...2581938962</v>
        <stp/>
        <stp>BDP|12255665024744799302</stp>
        <tr r="F35" s="1"/>
      </tp>
      <tp t="s">
        <v>#N/A Requesting Data...2505247297</v>
        <stp/>
        <stp>BDP|12359082148057228064</stp>
        <tr r="AC32" s="1"/>
      </tp>
      <tp t="s">
        <v>#N/A Requesting Data...1796501426</v>
        <stp/>
        <stp>BDP|15003762054783197556</stp>
        <tr r="V62" s="1"/>
      </tp>
      <tp t="s">
        <v>#N/A Requesting Data...3990977112</v>
        <stp/>
        <stp>BDP|15012749422123970297</stp>
        <tr r="L31" s="1"/>
      </tp>
      <tp t="s">
        <v>#N/A Requesting Data...3208365190</v>
        <stp/>
        <stp>BDP|13613511136846631217</stp>
        <tr r="I33" s="1"/>
      </tp>
      <tp t="s">
        <v>#N/A Requesting Data...2504261626</v>
        <stp/>
        <stp>BDP|15396708967264679143</stp>
        <tr r="L28" s="1"/>
      </tp>
      <tp t="s">
        <v>#N/A Requesting Data...3173873364</v>
        <stp/>
        <stp>BDP|13823857452699086164</stp>
        <tr r="C73" s="1"/>
      </tp>
      <tp t="s">
        <v>#N/A Requesting Data...3355010260</v>
        <stp/>
        <stp>BDP|15648097586278974397</stp>
        <tr r="G71" s="1"/>
      </tp>
      <tp t="s">
        <v>#N/A Requesting Data...1803147699</v>
        <stp/>
        <stp>BDP|11363927894562518595</stp>
        <tr r="G16" s="1"/>
      </tp>
      <tp t="s">
        <v>#N/A Requesting Data...2821710993</v>
        <stp/>
        <stp>BDP|13642791586382118817</stp>
        <tr r="S39" s="1"/>
      </tp>
      <tp t="s">
        <v>#N/A Requesting Data...3907853692</v>
        <stp/>
        <stp>BDP|14202597114783624504</stp>
        <tr r="M50" s="1"/>
      </tp>
      <tp t="s">
        <v>#N/A Requesting Data...1885567181</v>
        <stp/>
        <stp>BDP|16136738674494887472</stp>
        <tr r="V29" s="1"/>
      </tp>
      <tp t="s">
        <v>#N/A Requesting Data...3233265550</v>
        <stp/>
        <stp>BDP|14492435931943792691</stp>
        <tr r="L55" s="1"/>
      </tp>
      <tp t="s">
        <v>#N/A Requesting Data...3433168414</v>
        <stp/>
        <stp>BDP|18026786003569190012</stp>
        <tr r="AC57" s="1"/>
      </tp>
      <tp t="s">
        <v>#N/A Requesting Data...2382248924</v>
        <stp/>
        <stp>BDP|15734011507142210187</stp>
        <tr r="T59" s="1"/>
      </tp>
      <tp t="s">
        <v>#N/A Requesting Data...3847013866</v>
        <stp/>
        <stp>BDP|10947475722199279952</stp>
        <tr r="AB32" s="1"/>
      </tp>
      <tp t="s">
        <v>#N/A Requesting Data...1946811461</v>
        <stp/>
        <stp>BDP|15844250407050678177</stp>
        <tr r="E15" s="1"/>
      </tp>
      <tp t="s">
        <v>#N/A Requesting Data...3596100398</v>
        <stp/>
        <stp>BDP|13861233862946265712</stp>
        <tr r="AH56" s="1"/>
      </tp>
      <tp t="s">
        <v>#N/A Requesting Data...2993388471</v>
        <stp/>
        <stp>BDP|18262053033615649884</stp>
        <tr r="U69" s="1"/>
      </tp>
      <tp t="s">
        <v>#N/A Requesting Data...3721329657</v>
        <stp/>
        <stp>BDP|17837576117652302711</stp>
        <tr r="AE37" s="1"/>
      </tp>
      <tp t="s">
        <v>#N/A Requesting Data...3097455697</v>
        <stp/>
        <stp>BDP|18023605365196905867</stp>
        <tr r="E11" s="1"/>
      </tp>
      <tp t="s">
        <v>#N/A Requesting Data...2898341670</v>
        <stp/>
        <stp>BDP|15600361354034886110</stp>
        <tr r="P56" s="1"/>
      </tp>
      <tp t="s">
        <v>#N/A Requesting Data...2596741266</v>
        <stp/>
        <stp>BDP|11395124808936413008</stp>
        <tr r="Q64" s="1"/>
      </tp>
      <tp t="s">
        <v>#N/A Requesting Data...2510996921</v>
        <stp/>
        <stp>BDP|12619694903796595450</stp>
        <tr r="Z35" s="1"/>
      </tp>
      <tp t="s">
        <v>#N/A Requesting Data...3518348478</v>
        <stp/>
        <stp>BDP|13668711504507899574</stp>
        <tr r="O66" s="1"/>
      </tp>
      <tp t="s">
        <v>#N/A Requesting Data...3416113444</v>
        <stp/>
        <stp>BDP|13069139079716079560</stp>
        <tr r="AG26" s="1"/>
      </tp>
      <tp t="s">
        <v>#N/A Requesting Data...3319468144</v>
        <stp/>
        <stp>BDP|12913322862673712225</stp>
        <tr r="AC66" s="1"/>
      </tp>
      <tp t="s">
        <v>#N/A Requesting Data...2608371356</v>
        <stp/>
        <stp>BDP|16375926508551209874</stp>
        <tr r="Q65" s="1"/>
      </tp>
      <tp t="s">
        <v>#N/A Requesting Data...2015343453</v>
        <stp/>
        <stp>BDP|12058395782436461905</stp>
        <tr r="S37" s="1"/>
      </tp>
      <tp t="s">
        <v>#N/A Requesting Data...2976518230</v>
        <stp/>
        <stp>BDP|14024441829231738556</stp>
        <tr r="AF3" s="1"/>
      </tp>
      <tp t="s">
        <v>#N/A Requesting Data...2198375309</v>
        <stp/>
        <stp>BDP|15860308705195603556</stp>
        <tr r="AG22" s="1"/>
      </tp>
      <tp t="s">
        <v>#N/A Requesting Data...2060161198</v>
        <stp/>
        <stp>BDP|13516232890707093985</stp>
        <tr r="AH67" s="1"/>
      </tp>
      <tp t="s">
        <v>#N/A Requesting Data...3039076979</v>
        <stp/>
        <stp>BDP|16565089423040070205</stp>
        <tr r="AA66" s="1"/>
      </tp>
      <tp t="s">
        <v>#N/A Requesting Data...1924242475</v>
        <stp/>
        <stp>BDP|17715966073866525991</stp>
        <tr r="G6" s="1"/>
      </tp>
      <tp t="s">
        <v>#N/A Requesting Data...2931745126</v>
        <stp/>
        <stp>BDP|13015538453900882564</stp>
        <tr r="S54" s="1"/>
      </tp>
      <tp t="s">
        <v>#N/A Requesting Data...1783310088</v>
        <stp/>
        <stp>BDP|16556261009962365078</stp>
        <tr r="G31" s="1"/>
      </tp>
      <tp t="s">
        <v>#N/A Requesting Data...1798132360</v>
        <stp/>
        <stp>BDP|15594447473415494581</stp>
        <tr r="Z6" s="1"/>
      </tp>
      <tp t="s">
        <v>#N/A Requesting Data...2417424001</v>
        <stp/>
        <stp>BDP|12948295360276254638</stp>
        <tr r="J69" s="1"/>
      </tp>
      <tp t="s">
        <v>#N/A Requesting Data...3147209304</v>
        <stp/>
        <stp>BDP|10109343891219009550</stp>
        <tr r="Q71" s="1"/>
      </tp>
      <tp t="s">
        <v>#N/A Requesting Data...2624791979</v>
        <stp/>
        <stp>BDP|10184303949019827818</stp>
        <tr r="O15" s="1"/>
      </tp>
      <tp t="s">
        <v>#N/A Requesting Data...2111688789</v>
        <stp/>
        <stp>BDP|13182251083808368757</stp>
        <tr r="V25" s="1"/>
      </tp>
      <tp t="s">
        <v>#N/A Requesting Data...3534205454</v>
        <stp/>
        <stp>BDP|14540021371705667014</stp>
        <tr r="L64" s="1"/>
      </tp>
      <tp t="s">
        <v>#N/A Requesting Data...3847798247</v>
        <stp/>
        <stp>BDP|13263170541359772925</stp>
        <tr r="AB24" s="1"/>
      </tp>
      <tp t="s">
        <v>#N/A Requesting Data...3735613280</v>
        <stp/>
        <stp>BDP|10967386940054754573</stp>
        <tr r="C38" s="1"/>
      </tp>
      <tp t="s">
        <v>#N/A Requesting Data...3041284476</v>
        <stp/>
        <stp>BDP|13018802824657256869</stp>
        <tr r="X32" s="1"/>
      </tp>
      <tp t="s">
        <v>#N/A Requesting Data...3033305245</v>
        <stp/>
        <stp>BDP|14987584574385736521</stp>
        <tr r="AF18" s="1"/>
      </tp>
      <tp t="s">
        <v>#N/A Requesting Data...2734148197</v>
        <stp/>
        <stp>BDP|15922342249435407108</stp>
        <tr r="S69" s="1"/>
      </tp>
      <tp t="s">
        <v>#N/A Requesting Data...2789665737</v>
        <stp/>
        <stp>BDP|16433946225548507302</stp>
        <tr r="AC71" s="1"/>
      </tp>
      <tp t="s">
        <v>#N/A Requesting Data...2800903781</v>
        <stp/>
        <stp>BDP|12374081906662969640</stp>
        <tr r="K52" s="1"/>
      </tp>
      <tp t="s">
        <v>#N/A Requesting Data...3594286144</v>
        <stp/>
        <stp>BDP|13585968174998645319</stp>
        <tr r="S50" s="1"/>
      </tp>
    </main>
    <main first="bofaddin.rtdserver">
      <tp t="s">
        <v>#N/A Requesting Data...3976845744</v>
        <stp/>
        <stp>BDP|11697521176610738561</stp>
        <tr r="G7" s="1"/>
      </tp>
      <tp t="s">
        <v>#N/A Requesting Data...2762274256</v>
        <stp/>
        <stp>BDP|17400692029516384349</stp>
        <tr r="Z22" s="1"/>
      </tp>
      <tp t="s">
        <v>#N/A Requesting Data...3126067421</v>
        <stp/>
        <stp>BDP|11911392190094715959</stp>
        <tr r="AD39" s="1"/>
      </tp>
      <tp t="s">
        <v>#N/A Requesting Data...4037285861</v>
        <stp/>
        <stp>BDP|18291994127187947272</stp>
        <tr r="X9" s="1"/>
      </tp>
      <tp t="s">
        <v>#N/A Requesting Data...2169147139</v>
        <stp/>
        <stp>BDP|10782205626614002231</stp>
        <tr r="N14" s="1"/>
      </tp>
      <tp t="s">
        <v>#N/A Requesting Data...3563576122</v>
        <stp/>
        <stp>BDP|14047309469602960523</stp>
        <tr r="AG57" s="1"/>
      </tp>
      <tp t="s">
        <v>#N/A Requesting Data...3884789621</v>
        <stp/>
        <stp>BDP|12092463004826545657</stp>
        <tr r="S7" s="1"/>
      </tp>
      <tp t="s">
        <v>#N/A Requesting Data...3857865343</v>
        <stp/>
        <stp>BDP|10649259820435295348</stp>
        <tr r="W41" s="1"/>
      </tp>
      <tp t="s">
        <v>#N/A Requesting Data...3734886935</v>
        <stp/>
        <stp>BDP|11033952174049731030</stp>
        <tr r="P52" s="1"/>
      </tp>
      <tp t="s">
        <v>#N/A Requesting Data...3671521836</v>
        <stp/>
        <stp>BDP|10144570352551274734</stp>
        <tr r="AF57" s="1"/>
      </tp>
      <tp t="s">
        <v>#N/A Requesting Data...2265738404</v>
        <stp/>
        <stp>BDP|16674494165256949460</stp>
        <tr r="Q78" s="1"/>
      </tp>
      <tp t="s">
        <v>#N/A Requesting Data...3079345276</v>
        <stp/>
        <stp>BDP|16270943045425715814</stp>
        <tr r="Q8" s="1"/>
      </tp>
      <tp t="s">
        <v>#N/A Requesting Data...2323094924</v>
        <stp/>
        <stp>BDP|18124324337647654971</stp>
        <tr r="J23" s="1"/>
      </tp>
      <tp t="s">
        <v>#N/A Requesting Data...4025706454</v>
        <stp/>
        <stp>BDP|13471122267581269362</stp>
        <tr r="K61" s="1"/>
      </tp>
    </main>
    <main first="bofaddin.rtdserver">
      <tp t="s">
        <v>#N/A Requesting Data...2774360652</v>
        <stp/>
        <stp>BDP|17385867220482114901</stp>
        <tr r="G75" s="1"/>
      </tp>
      <tp t="s">
        <v>#N/A Requesting Data...3111681289</v>
        <stp/>
        <stp>BDP|14185130157622349424</stp>
        <tr r="K54" s="1"/>
      </tp>
      <tp t="s">
        <v>#N/A Requesting Data...2951363376</v>
        <stp/>
        <stp>BDP|16578424902245303121</stp>
        <tr r="C31" s="1"/>
      </tp>
      <tp t="s">
        <v>#N/A Requesting Data...3760502363</v>
        <stp/>
        <stp>BDP|10343374811324163001</stp>
        <tr r="I5" s="1"/>
      </tp>
      <tp t="s">
        <v>#N/A Requesting Data...2718540886</v>
        <stp/>
        <stp>BDP|15309214071372288465</stp>
        <tr r="O71" s="1"/>
      </tp>
      <tp t="s">
        <v>#N/A Requesting Data...3561508840</v>
        <stp/>
        <stp>BDP|17529696413382871409</stp>
        <tr r="AC64" s="1"/>
      </tp>
      <tp t="s">
        <v>#N/A Requesting Data...2956814078</v>
        <stp/>
        <stp>BDP|16620109277427324151</stp>
        <tr r="U60" s="1"/>
      </tp>
      <tp t="s">
        <v>#N/A Requesting Data...3062856174</v>
        <stp/>
        <stp>BDP|11694917597633288451</stp>
        <tr r="J36" s="1"/>
      </tp>
      <tp t="s">
        <v>#N/A Requesting Data...4159483791</v>
        <stp/>
        <stp>BDP|11044987613068424781</stp>
        <tr r="K26" s="1"/>
      </tp>
      <tp t="s">
        <v>#N/A Requesting Data...4273820901</v>
        <stp/>
        <stp>BDP|16450260522182287244</stp>
        <tr r="U12" s="1"/>
      </tp>
      <tp t="s">
        <v>#N/A Requesting Data...2594181142</v>
        <stp/>
        <stp>BDP|14561042821685373558</stp>
        <tr r="K51" s="1"/>
      </tp>
      <tp t="s">
        <v>#N/A Requesting Data...1877980225</v>
        <stp/>
        <stp>BDP|11652591253521923633</stp>
        <tr r="P62" s="1"/>
      </tp>
      <tp t="s">
        <v>#N/A Requesting Data...3728860899</v>
        <stp/>
        <stp>BDP|16405371621730734130</stp>
        <tr r="R9" s="1"/>
      </tp>
    </main>
    <main first="bofaddin.rtdserver">
      <tp t="s">
        <v>#N/A Requesting Data...3414003292</v>
        <stp/>
        <stp>BDP|12437872859100796846</stp>
        <tr r="U17" s="1"/>
      </tp>
      <tp t="s">
        <v>#N/A Requesting Data...3306888292</v>
        <stp/>
        <stp>BDP|15159333898439187124</stp>
        <tr r="AH55" s="1"/>
      </tp>
      <tp t="s">
        <v>#N/A Requesting Data...2321084552</v>
        <stp/>
        <stp>BDP|11815535975583343749</stp>
        <tr r="H41" s="1"/>
      </tp>
      <tp t="s">
        <v>#N/A Requesting Data...3344640769</v>
        <stp/>
        <stp>BDP|12127997316239737405</stp>
        <tr r="X23" s="1"/>
      </tp>
      <tp t="s">
        <v>#N/A Requesting Data...2875889046</v>
        <stp/>
        <stp>BDP|13294641631217640688</stp>
        <tr r="I77" s="1"/>
      </tp>
      <tp t="s">
        <v>#N/A Requesting Data...4043928646</v>
        <stp/>
        <stp>BDP|17272571942243694295</stp>
        <tr r="W22" s="1"/>
      </tp>
      <tp t="s">
        <v>#N/A Requesting Data...4092152817</v>
        <stp/>
        <stp>BDP|17943978017851745962</stp>
        <tr r="O33" s="1"/>
      </tp>
      <tp t="s">
        <v>#N/A Requesting Data...2447488480</v>
        <stp/>
        <stp>BDP|14820315203140251002</stp>
        <tr r="G45" s="1"/>
      </tp>
      <tp t="s">
        <v>#N/A Requesting Data...2630552134</v>
        <stp/>
        <stp>BDP|17350747259474509633</stp>
        <tr r="Q37" s="1"/>
      </tp>
      <tp t="s">
        <v>#N/A Requesting Data...2954070877</v>
        <stp/>
        <stp>BDP|17448910603679528089</stp>
        <tr r="Z27" s="1"/>
      </tp>
      <tp t="s">
        <v>#N/A Requesting Data...3072475911</v>
        <stp/>
        <stp>BDP|11089359539001495730</stp>
        <tr r="N26" s="1"/>
      </tp>
      <tp t="s">
        <v>#N/A Requesting Data...4103970063</v>
        <stp/>
        <stp>BDP|10284691796551460922</stp>
        <tr r="T36" s="1"/>
      </tp>
      <tp t="s">
        <v>#N/A Requesting Data...2398791977</v>
        <stp/>
        <stp>BDP|15965409557836163541</stp>
        <tr r="T57" s="1"/>
      </tp>
      <tp t="s">
        <v>#N/A Requesting Data...3865735124</v>
        <stp/>
        <stp>BDP|12016164046367319781</stp>
        <tr r="AC76" s="1"/>
      </tp>
      <tp t="s">
        <v>#N/A Requesting Data...2291910310</v>
        <stp/>
        <stp>BDP|10038244521381690688</stp>
        <tr r="V3" s="1"/>
      </tp>
      <tp t="s">
        <v>#N/A Requesting Data...3954564208</v>
        <stp/>
        <stp>BDP|10163614951484991027</stp>
        <tr r="AD68" s="1"/>
      </tp>
      <tp t="s">
        <v>#N/A Requesting Data...4005831353</v>
        <stp/>
        <stp>BDP|18298099386077090078</stp>
        <tr r="I19" s="1"/>
      </tp>
      <tp t="s">
        <v>#N/A Requesting Data...4000822208</v>
        <stp/>
        <stp>BDP|15411661419970780567</stp>
        <tr r="L4" s="1"/>
      </tp>
      <tp t="s">
        <v>#N/A Requesting Data...2593075489</v>
        <stp/>
        <stp>BDP|14160131938444798508</stp>
        <tr r="Q2" s="1"/>
      </tp>
      <tp t="s">
        <v>#N/A Requesting Data...3204559242</v>
        <stp/>
        <stp>BDP|17792984617391278966</stp>
        <tr r="F37" s="1"/>
      </tp>
      <tp t="s">
        <v>#N/A Requesting Data...2373223114</v>
        <stp/>
        <stp>BDP|16407490365273655029</stp>
        <tr r="M9" s="1"/>
      </tp>
      <tp t="s">
        <v>#N/A Requesting Data...1880901358</v>
        <stp/>
        <stp>BDP|14845159730486160702</stp>
        <tr r="AB27" s="1"/>
      </tp>
      <tp t="s">
        <v>#N/A Requesting Data...2449548476</v>
        <stp/>
        <stp>BDP|17722913386637530697</stp>
        <tr r="L18" s="1"/>
      </tp>
      <tp t="s">
        <v>#N/A Requesting Data...4288142325</v>
        <stp/>
        <stp>BDP|10271523163421669597</stp>
        <tr r="F33" s="1"/>
      </tp>
      <tp t="s">
        <v>#N/A Requesting Data...3533600126</v>
        <stp/>
        <stp>BDP|12656391744006643411</stp>
        <tr r="H78" s="1"/>
      </tp>
      <tp t="s">
        <v>#N/A Requesting Data...4208194151</v>
        <stp/>
        <stp>BDP|10729986036419749423</stp>
        <tr r="X30" s="1"/>
      </tp>
      <tp t="s">
        <v>#N/A Requesting Data...1888086358</v>
        <stp/>
        <stp>BDP|13519289921555705141</stp>
        <tr r="AA65" s="1"/>
      </tp>
      <tp t="s">
        <v>#N/A Requesting Data...3847980528</v>
        <stp/>
        <stp>BDP|10241830235889367588</stp>
        <tr r="W73" s="1"/>
      </tp>
      <tp t="s">
        <v>#N/A Requesting Data...2768927735</v>
        <stp/>
        <stp>BDP|16459318981979206396</stp>
        <tr r="K47" s="1"/>
      </tp>
      <tp t="s">
        <v>#N/A Requesting Data...2241277236</v>
        <stp/>
        <stp>BDP|16678311084128967250</stp>
        <tr r="AH78" s="1"/>
      </tp>
      <tp t="s">
        <v>#N/A Requesting Data...3256621080</v>
        <stp/>
        <stp>BDP|11806505311021647319</stp>
        <tr r="AA55" s="1"/>
      </tp>
      <tp t="s">
        <v>#N/A Requesting Data...3101093982</v>
        <stp/>
        <stp>BDP|10951079001674616375</stp>
        <tr r="M47" s="1"/>
      </tp>
      <tp t="s">
        <v>#N/A Requesting Data...1978791090</v>
        <stp/>
        <stp>BDP|11771704572634594215</stp>
        <tr r="X5" s="1"/>
      </tp>
      <tp t="s">
        <v>#N/A Requesting Data...1922332816</v>
        <stp/>
        <stp>BDP|14283255361676174165</stp>
        <tr r="N63" s="1"/>
      </tp>
      <tp t="s">
        <v>#N/A Requesting Data...2008274740</v>
        <stp/>
        <stp>BDP|18428684808088600135</stp>
        <tr r="N40" s="1"/>
      </tp>
      <tp t="s">
        <v>#N/A Requesting Data...2388899243</v>
        <stp/>
        <stp>BDP|13409797462315747093</stp>
        <tr r="N74" s="1"/>
      </tp>
      <tp t="s">
        <v>#N/A Requesting Data...3504845225</v>
        <stp/>
        <stp>BDP|11058721427594546716</stp>
        <tr r="Z9" s="1"/>
      </tp>
      <tp t="s">
        <v>#N/A Requesting Data...2101873585</v>
        <stp/>
        <stp>BDP|17116628048084277689</stp>
        <tr r="U67" s="1"/>
      </tp>
      <tp t="s">
        <v>#N/A Requesting Data...2098879584</v>
        <stp/>
        <stp>BDP|18061182796732708585</stp>
        <tr r="AB54" s="1"/>
      </tp>
      <tp t="s">
        <v>#N/A Requesting Data...4230300256</v>
        <stp/>
        <stp>BDP|11462542910280198209</stp>
        <tr r="K24" s="1"/>
      </tp>
      <tp t="s">
        <v>#N/A Requesting Data...2860515344</v>
        <stp/>
        <stp>BDP|13283445892410523910</stp>
        <tr r="K74" s="1"/>
      </tp>
      <tp t="s">
        <v>#N/A Requesting Data...3347953739</v>
        <stp/>
        <stp>BDP|10244709169622884438</stp>
        <tr r="C69" s="1"/>
      </tp>
      <tp t="s">
        <v>#N/A Requesting Data...3068775929</v>
        <stp/>
        <stp>BDP|11504674762342758478</stp>
        <tr r="P12" s="1"/>
      </tp>
      <tp t="s">
        <v>#N/A Requesting Data...3797051667</v>
        <stp/>
        <stp>BDP|16845329359003364406</stp>
        <tr r="G41" s="1"/>
      </tp>
      <tp t="s">
        <v>#N/A Requesting Data...2604152372</v>
        <stp/>
        <stp>BDP|17341327830311035116</stp>
        <tr r="T9" s="1"/>
      </tp>
    </main>
    <main first="bofaddin.rtdserver">
      <tp t="s">
        <v>#N/A Requesting Data...3842812950</v>
        <stp/>
        <stp>BDP|13747230620993303744</stp>
        <tr r="D64" s="1"/>
      </tp>
      <tp t="s">
        <v>#N/A Requesting Data...2777592474</v>
        <stp/>
        <stp>BDP|10852962289437040149</stp>
        <tr r="K72" s="1"/>
      </tp>
      <tp t="s">
        <v>#N/A Requesting Data...3692829171</v>
        <stp/>
        <stp>BDP|12232391718151638661</stp>
        <tr r="O6" s="1"/>
      </tp>
      <tp t="s">
        <v>#N/A Requesting Data...2898344215</v>
        <stp/>
        <stp>BDP|10613480619427552511</stp>
        <tr r="V70" s="1"/>
      </tp>
      <tp t="s">
        <v>#N/A Requesting Data...3725353841</v>
        <stp/>
        <stp>BDP|16625767690888155728</stp>
        <tr r="AA6" s="1"/>
      </tp>
      <tp t="s">
        <v>#N/A Requesting Data...2714377858</v>
        <stp/>
        <stp>BDP|13070055513634554106</stp>
        <tr r="H7" s="1"/>
      </tp>
      <tp t="s">
        <v>#N/A Requesting Data...3760109086</v>
        <stp/>
        <stp>BDP|14395849786231624246</stp>
        <tr r="T5" s="1"/>
      </tp>
      <tp t="s">
        <v>#N/A Requesting Data...4072339416</v>
        <stp/>
        <stp>BDP|16453056081651413872</stp>
        <tr r="AB8" s="1"/>
      </tp>
      <tp t="s">
        <v>#N/A Requesting Data...2551261270</v>
        <stp/>
        <stp>BDP|10807404358287305102</stp>
        <tr r="K55" s="1"/>
      </tp>
      <tp t="s">
        <v>#N/A Requesting Data...3170787920</v>
        <stp/>
        <stp>BDP|11543645452887347225</stp>
        <tr r="F18" s="1"/>
      </tp>
      <tp t="s">
        <v>#N/A Requesting Data...3288799026</v>
        <stp/>
        <stp>BDP|14561374600828149813</stp>
        <tr r="S32" s="1"/>
      </tp>
      <tp t="s">
        <v>#N/A Requesting Data...3181902134</v>
        <stp/>
        <stp>BDP|17786816410799318074</stp>
        <tr r="AB7" s="1"/>
      </tp>
      <tp t="s">
        <v>#N/A Requesting Data...4074289844</v>
        <stp/>
        <stp>BDP|17783759057017457536</stp>
        <tr r="F69" s="1"/>
      </tp>
      <tp t="s">
        <v>#N/A Requesting Data...2713428551</v>
        <stp/>
        <stp>BDP|13397164602226497311</stp>
        <tr r="AD14" s="1"/>
      </tp>
      <tp t="s">
        <v>#N/A Requesting Data...3734740783</v>
        <stp/>
        <stp>BDP|14729194348255421303</stp>
        <tr r="W50" s="1"/>
      </tp>
      <tp t="s">
        <v>#N/A Requesting Data...3436307157</v>
        <stp/>
        <stp>BDP|15216924352046067879</stp>
        <tr r="P40" s="1"/>
      </tp>
      <tp t="s">
        <v>#N/A Requesting Data...3935670114</v>
        <stp/>
        <stp>BDP|10754762363772004479</stp>
        <tr r="T69" s="1"/>
      </tp>
      <tp t="s">
        <v>#N/A Requesting Data...3597421609</v>
        <stp/>
        <stp>BDP|12092715719010816351</stp>
        <tr r="D28" s="1"/>
      </tp>
      <tp t="s">
        <v>#N/A Requesting Data...2180428552</v>
        <stp/>
        <stp>BDP|13306931385265946096</stp>
        <tr r="W37" s="1"/>
      </tp>
      <tp t="s">
        <v>#N/A Requesting Data...2485653923</v>
        <stp/>
        <stp>BDP|11460277229416832077</stp>
        <tr r="J63" s="1"/>
      </tp>
      <tp t="s">
        <v>#N/A Requesting Data...2040656818</v>
        <stp/>
        <stp>BDP|13676554874061546773</stp>
        <tr r="AC33" s="1"/>
      </tp>
      <tp t="s">
        <v>#N/A Requesting Data...2135854974</v>
        <stp/>
        <stp>BDP|12773652705542222106</stp>
        <tr r="F64" s="1"/>
      </tp>
    </main>
    <main first="bofaddin.rtdserver">
      <tp t="s">
        <v>#N/A Requesting Data...4217354897</v>
        <stp/>
        <stp>BDP|10262629601753310262</stp>
        <tr r="W64" s="1"/>
      </tp>
      <tp t="s">
        <v>#N/A Requesting Data...3100867707</v>
        <stp/>
        <stp>BDP|10655153506016987084</stp>
        <tr r="N61" s="1"/>
      </tp>
      <tp t="s">
        <v>#N/A Requesting Data...2923606257</v>
        <stp/>
        <stp>BDP|14418558562820645019</stp>
        <tr r="D56" s="1"/>
      </tp>
      <tp t="s">
        <v>#N/A Requesting Data...3001479582</v>
        <stp/>
        <stp>BDP|12127628572864060058</stp>
        <tr r="AH25" s="1"/>
      </tp>
      <tp t="s">
        <v>#N/A Requesting Data...4154441887</v>
        <stp/>
        <stp>BDP|14868307435895902609</stp>
        <tr r="R26" s="1"/>
      </tp>
      <tp t="s">
        <v>#N/A Requesting Data...2910747748</v>
        <stp/>
        <stp>BDP|17287614171848663938</stp>
        <tr r="E47" s="1"/>
      </tp>
      <tp t="s">
        <v>#N/A Requesting Data...3189268108</v>
        <stp/>
        <stp>BDP|10600486948974338323</stp>
        <tr r="Q9" s="1"/>
      </tp>
      <tp t="s">
        <v>#N/A Requesting Data...2132346782</v>
        <stp/>
        <stp>BDP|17624676331950764506</stp>
        <tr r="R33" s="1"/>
      </tp>
      <tp t="s">
        <v>#N/A Requesting Data...3873387451</v>
        <stp/>
        <stp>BDP|11694075864745690543</stp>
        <tr r="C43" s="1"/>
      </tp>
      <tp t="s">
        <v>#N/A Requesting Data...3144315950</v>
        <stp/>
        <stp>BDP|14347047005236126544</stp>
        <tr r="E38" s="1"/>
      </tp>
      <tp t="s">
        <v>#N/A Requesting Data...2062890591</v>
        <stp/>
        <stp>BDP|13552608651824377304</stp>
        <tr r="Q74" s="1"/>
      </tp>
      <tp t="s">
        <v>#N/A Requesting Data...3494826390</v>
        <stp/>
        <stp>BDP|17173176116188404835</stp>
        <tr r="S43" s="1"/>
      </tp>
      <tp t="s">
        <v>#N/A Requesting Data...2938344704</v>
        <stp/>
        <stp>BDP|13047030491715260869</stp>
        <tr r="I38" s="1"/>
      </tp>
      <tp t="s">
        <v>#N/A Requesting Data...3099005101</v>
        <stp/>
        <stp>BDP|12011592889731080969</stp>
        <tr r="M11" s="1"/>
      </tp>
      <tp t="s">
        <v>#N/A Requesting Data...2004631237</v>
        <stp/>
        <stp>BDP|15430371557374056020</stp>
        <tr r="T54" s="1"/>
      </tp>
    </main>
    <main first="bofaddin.rtdserver">
      <tp t="s">
        <v>#N/A Requesting Data...2920435023</v>
        <stp/>
        <stp>BDP|17130053732627893775</stp>
        <tr r="P4" s="1"/>
      </tp>
      <tp t="s">
        <v>#N/A Requesting Data...3499346848</v>
        <stp/>
        <stp>BDP|10008043637702366591</stp>
        <tr r="G62" s="1"/>
      </tp>
      <tp t="s">
        <v>#N/A Requesting Data...2820067847</v>
        <stp/>
        <stp>BDP|17740379943861318594</stp>
        <tr r="K18" s="1"/>
      </tp>
      <tp t="s">
        <v>#N/A Requesting Data...3880047792</v>
        <stp/>
        <stp>BDP|11273063378962080052</stp>
        <tr r="U33" s="1"/>
      </tp>
      <tp t="s">
        <v>#N/A Requesting Data...2351304406</v>
        <stp/>
        <stp>BDP|11534322818696467126</stp>
        <tr r="N51" s="1"/>
      </tp>
      <tp t="s">
        <v>#N/A Requesting Data...3883647782</v>
        <stp/>
        <stp>BDP|11169953406299853537</stp>
        <tr r="I54" s="1"/>
      </tp>
      <tp t="s">
        <v>#N/A Requesting Data...2160795846</v>
        <stp/>
        <stp>BDP|10214328792156948837</stp>
        <tr r="G57" s="1"/>
      </tp>
      <tp t="s">
        <v>#N/A Requesting Data...1988812727</v>
        <stp/>
        <stp>BDP|18223622555509476699</stp>
        <tr r="C9" s="1"/>
      </tp>
      <tp t="s">
        <v>#N/A Requesting Data...3787346129</v>
        <stp/>
        <stp>BDP|10013977128877247851</stp>
        <tr r="Q77" s="1"/>
      </tp>
      <tp t="s">
        <v>#N/A Requesting Data...2454571845</v>
        <stp/>
        <stp>BDP|12933309462434461776</stp>
        <tr r="AF66" s="1"/>
      </tp>
      <tp t="s">
        <v>#N/A Requesting Data...3418560814</v>
        <stp/>
        <stp>BDP|10259027134227595095</stp>
        <tr r="N50" s="1"/>
      </tp>
      <tp t="s">
        <v>#N/A Requesting Data...1936664579</v>
        <stp/>
        <stp>BDP|13214079829855693018</stp>
        <tr r="S18" s="1"/>
      </tp>
      <tp t="s">
        <v>#N/A Requesting Data...3505954273</v>
        <stp/>
        <stp>BDP|18375917763213838039</stp>
        <tr r="Y30" s="1"/>
      </tp>
      <tp t="s">
        <v>#N/A Requesting Data...4002071132</v>
        <stp/>
        <stp>BDP|17858104230643085220</stp>
        <tr r="I3" s="1"/>
      </tp>
      <tp t="s">
        <v>#N/A Requesting Data...3117944025</v>
        <stp/>
        <stp>BDP|10201523940976918335</stp>
        <tr r="O41" s="1"/>
      </tp>
      <tp t="s">
        <v>#N/A Requesting Data...3203405073</v>
        <stp/>
        <stp>BDP|12296563159802491436</stp>
        <tr r="M25" s="1"/>
      </tp>
      <tp t="s">
        <v>#N/A Requesting Data...3530822391</v>
        <stp/>
        <stp>BDP|15373863165046807929</stp>
        <tr r="D7" s="1"/>
      </tp>
      <tp t="s">
        <v>#N/A Requesting Data...3150470523</v>
        <stp/>
        <stp>BDP|14340572055079258991</stp>
        <tr r="Z74" s="1"/>
      </tp>
      <tp t="s">
        <v>#N/A Requesting Data...3924382836</v>
        <stp/>
        <stp>BDP|11646087471593436115</stp>
        <tr r="S64" s="1"/>
      </tp>
      <tp t="s">
        <v>#N/A Requesting Data...4098609721</v>
        <stp/>
        <stp>BDP|11745750885709569382</stp>
        <tr r="E9" s="1"/>
      </tp>
      <tp t="s">
        <v>#N/A Requesting Data...3885145258</v>
        <stp/>
        <stp>BDP|18255245793183736484</stp>
        <tr r="AC74" s="1"/>
      </tp>
      <tp t="s">
        <v>#N/A Requesting Data...3568745332</v>
        <stp/>
        <stp>BDP|11084479713733890369</stp>
        <tr r="AH6" s="1"/>
      </tp>
      <tp t="s">
        <v>#N/A Requesting Data...3373120753</v>
        <stp/>
        <stp>BDP|12726303309607471204</stp>
        <tr r="AB59" s="1"/>
      </tp>
      <tp t="s">
        <v>#N/A Requesting Data...3622925530</v>
        <stp/>
        <stp>BDP|16378270954551569488</stp>
        <tr r="S38" s="1"/>
      </tp>
      <tp t="s">
        <v>#N/A Requesting Data...4181324124</v>
        <stp/>
        <stp>BDP|14103911891264943454</stp>
        <tr r="AH18" s="1"/>
      </tp>
      <tp t="s">
        <v>#N/A Requesting Data...3448116839</v>
        <stp/>
        <stp>BDP|11678413913564990410</stp>
        <tr r="E59" s="1"/>
      </tp>
      <tp t="s">
        <v>#N/A Requesting Data...2254447832</v>
        <stp/>
        <stp>BDP|14360767457025976777</stp>
        <tr r="M77" s="1"/>
      </tp>
      <tp t="s">
        <v>#N/A Requesting Data...3526451855</v>
        <stp/>
        <stp>BDP|17857710671767711433</stp>
        <tr r="AG51" s="1"/>
      </tp>
      <tp t="s">
        <v>#N/A Requesting Data...4241408933</v>
        <stp/>
        <stp>BDP|17741237824707681491</stp>
        <tr r="M4" s="1"/>
      </tp>
      <tp t="s">
        <v>#N/A Requesting Data...3662343761</v>
        <stp/>
        <stp>BDP|18327502225178080395</stp>
        <tr r="W36" s="1"/>
      </tp>
      <tp t="s">
        <v>#N/A Requesting Data...2214837815</v>
        <stp/>
        <stp>BDP|15375415212710811475</stp>
        <tr r="Z8" s="1"/>
      </tp>
      <tp t="s">
        <v>#N/A Requesting Data...2482337909</v>
        <stp/>
        <stp>BDP|14757085206038595822</stp>
        <tr r="Q61" s="1"/>
      </tp>
      <tp t="s">
        <v>#N/A Requesting Data...3389050418</v>
        <stp/>
        <stp>BDP|17315405563997686688</stp>
        <tr r="AG40" s="1"/>
      </tp>
      <tp t="s">
        <v>#N/A Requesting Data...4124842792</v>
        <stp/>
        <stp>BDP|11708185053566694745</stp>
        <tr r="N3" s="1"/>
      </tp>
      <tp t="s">
        <v>#N/A Requesting Data...3982934378</v>
        <stp/>
        <stp>BDP|17678681655348403813</stp>
        <tr r="Z7" s="1"/>
      </tp>
      <tp t="s">
        <v>#N/A Requesting Data...2867903516</v>
        <stp/>
        <stp>BDP|18367379314077618988</stp>
        <tr r="C78" s="1"/>
      </tp>
      <tp t="s">
        <v>#N/A Requesting Data...3872923970</v>
        <stp/>
        <stp>BDP|17281898920490372966</stp>
        <tr r="O63" s="1"/>
      </tp>
      <tp t="s">
        <v>#N/A Requesting Data...2214821444</v>
        <stp/>
        <stp>BDP|17301201430936121438</stp>
        <tr r="M71" s="1"/>
      </tp>
      <tp t="s">
        <v>#N/A Requesting Data...2158389222</v>
        <stp/>
        <stp>BDP|10823187650300466051</stp>
        <tr r="Y33" s="1"/>
      </tp>
      <tp t="s">
        <v>#N/A Requesting Data...3215378754</v>
        <stp/>
        <stp>BDP|17482528151596401521</stp>
        <tr r="AF37" s="1"/>
      </tp>
      <tp t="s">
        <v>#N/A Requesting Data...2524287781</v>
        <stp/>
        <stp>BDP|12546792338886239479</stp>
        <tr r="L63" s="1"/>
      </tp>
      <tp t="s">
        <v>#N/A Requesting Data...2853785894</v>
        <stp/>
        <stp>BDP|10841527648635076029</stp>
        <tr r="X58" s="1"/>
      </tp>
      <tp t="s">
        <v>#N/A Requesting Data...2142766404</v>
        <stp/>
        <stp>BDP|16446748190414646866</stp>
        <tr r="N42" s="1"/>
      </tp>
      <tp t="s">
        <v>#N/A Requesting Data...3938814029</v>
        <stp/>
        <stp>BDP|10830099401652160617</stp>
        <tr r="AF43" s="1"/>
      </tp>
      <tp t="s">
        <v>#N/A Requesting Data...2990341957</v>
        <stp/>
        <stp>BDP|10608077786394100865</stp>
        <tr r="K48" s="1"/>
      </tp>
      <tp t="s">
        <v>#N/A Requesting Data...4120815132</v>
        <stp/>
        <stp>BDP|17501333365460225614</stp>
        <tr r="AD5" s="1"/>
      </tp>
      <tp t="s">
        <v>#N/A Requesting Data...3590193576</v>
        <stp/>
        <stp>BDP|15347260731176434606</stp>
        <tr r="AB58" s="1"/>
      </tp>
      <tp t="s">
        <v>#N/A Requesting Data...4227064651</v>
        <stp/>
        <stp>BDP|15987624054313928156</stp>
        <tr r="AB6" s="1"/>
      </tp>
      <tp t="s">
        <v>#N/A Requesting Data...4071033097</v>
        <stp/>
        <stp>BDP|16086023150387055015</stp>
        <tr r="AF56" s="1"/>
      </tp>
      <tp t="s">
        <v>#N/A Requesting Data...2927447348</v>
        <stp/>
        <stp>BDP|11128549171647366044</stp>
        <tr r="AG24" s="1"/>
      </tp>
      <tp t="s">
        <v>#N/A Requesting Data...2561767349</v>
        <stp/>
        <stp>BDP|15378725505244642217</stp>
        <tr r="V12" s="1"/>
      </tp>
      <tp t="s">
        <v>#N/A Requesting Data...2167343060</v>
        <stp/>
        <stp>BDP|15597179513582175333</stp>
        <tr r="Z50" s="1"/>
      </tp>
      <tp t="s">
        <v>#N/A Requesting Data...2235507281</v>
        <stp/>
        <stp>BDP|15046639245432589107</stp>
        <tr r="E42" s="1"/>
      </tp>
      <tp t="s">
        <v>#N/A Requesting Data...4279859379</v>
        <stp/>
        <stp>BDP|15799791984829105786</stp>
        <tr r="AD35" s="1"/>
      </tp>
      <tp t="s">
        <v>#N/A Requesting Data...2597613769</v>
        <stp/>
        <stp>BDP|12848021017893700487</stp>
        <tr r="AH79" s="1"/>
      </tp>
      <tp t="s">
        <v>#N/A Requesting Data...3018433211</v>
        <stp/>
        <stp>BDP|14503276940000689664</stp>
        <tr r="AF38" s="1"/>
      </tp>
      <tp t="s">
        <v>#N/A Requesting Data...3443663163</v>
        <stp/>
        <stp>BDP|17031871772604595825</stp>
        <tr r="T55" s="1"/>
      </tp>
      <tp t="s">
        <v>#N/A Requesting Data...4048081622</v>
        <stp/>
        <stp>BDP|16560044779243249688</stp>
        <tr r="D26" s="1"/>
      </tp>
      <tp t="s">
        <v>#N/A Requesting Data...3443777085</v>
        <stp/>
        <stp>BDP|16506790155125800532</stp>
        <tr r="P3" s="1"/>
      </tp>
      <tp t="s">
        <v>#N/A Requesting Data...4066971364</v>
        <stp/>
        <stp>BDP|11536994949329752100</stp>
        <tr r="S27" s="1"/>
      </tp>
      <tp t="s">
        <v>#N/A Requesting Data...3853571666</v>
        <stp/>
        <stp>BDP|11007770164292024611</stp>
        <tr r="D63" s="1"/>
      </tp>
      <tp t="s">
        <v>#N/A Requesting Data...4026663920</v>
        <stp/>
        <stp>BDP|13884130989827324933</stp>
        <tr r="T68" s="1"/>
      </tp>
      <tp t="s">
        <v>#N/A Requesting Data...3942990447</v>
        <stp/>
        <stp>BDP|15241405144687241664</stp>
        <tr r="Z26" s="1"/>
      </tp>
      <tp t="s">
        <v>#N/A Requesting Data...4040950602</v>
        <stp/>
        <stp>BDP|15268350737050263178</stp>
        <tr r="L3" s="1"/>
      </tp>
      <tp t="s">
        <v>#N/A Requesting Data...3600992518</v>
        <stp/>
        <stp>BDP|17352119996788767361</stp>
        <tr r="O53" s="1"/>
      </tp>
      <tp t="s">
        <v>#N/A Requesting Data...3895938411</v>
        <stp/>
        <stp>BDP|16048455569677124786</stp>
        <tr r="O38" s="1"/>
      </tp>
      <tp t="s">
        <v>#N/A Requesting Data...2997297615</v>
        <stp/>
        <stp>BDP|18237583337612865802</stp>
        <tr r="AB5" s="1"/>
      </tp>
      <tp t="s">
        <v>#N/A Requesting Data...2450301571</v>
        <stp/>
        <stp>BDP|14071348525171115059</stp>
        <tr r="F22" s="1"/>
      </tp>
      <tp t="s">
        <v>#N/A Requesting Data...3646035185</v>
        <stp/>
        <stp>BDP|10781102895888468431</stp>
        <tr r="X4" s="1"/>
      </tp>
      <tp t="s">
        <v>#N/A Requesting Data...2795594200</v>
        <stp/>
        <stp>BDP|14109945156945504921</stp>
        <tr r="E73" s="1"/>
      </tp>
      <tp t="s">
        <v>#N/A Requesting Data...2971833541</v>
        <stp/>
        <stp>BDP|12316676311366680771</stp>
        <tr r="T3" s="1"/>
      </tp>
      <tp t="s">
        <v>#N/A Requesting Data...3813259183</v>
        <stp/>
        <stp>BDP|11424224233595877196</stp>
        <tr r="H24" s="1"/>
      </tp>
      <tp t="s">
        <v>#N/A Requesting Data...3073790892</v>
        <stp/>
        <stp>BDP|17951622610525756187</stp>
        <tr r="AA20" s="1"/>
      </tp>
      <tp t="s">
        <v>#N/A Requesting Data...3087086083</v>
        <stp/>
        <stp>BDP|12431768502913708235</stp>
        <tr r="C11" s="1"/>
      </tp>
      <tp t="s">
        <v>#N/A Requesting Data...3693189870</v>
        <stp/>
        <stp>BDP|15560342773294074159</stp>
        <tr r="L57" s="1"/>
      </tp>
      <tp t="s">
        <v>#N/A Requesting Data...2112108542</v>
        <stp/>
        <stp>BDP|14484413337103775425</stp>
        <tr r="AA53" s="1"/>
      </tp>
      <tp t="s">
        <v>#N/A Requesting Data...2269576850</v>
        <stp/>
        <stp>BDP|13718644567646411173</stp>
        <tr r="H62" s="1"/>
      </tp>
      <tp t="s">
        <v>#N/A Requesting Data...2872827777</v>
        <stp/>
        <stp>BDP|12779931095013106570</stp>
        <tr r="R32" s="1"/>
      </tp>
      <tp t="s">
        <v>#N/A Requesting Data...3689688991</v>
        <stp/>
        <stp>BDP|17567509263230208027</stp>
        <tr r="C22" s="1"/>
      </tp>
      <tp t="s">
        <v>#N/A Requesting Data...2737044243</v>
        <stp/>
        <stp>BDP|15777590717146965368</stp>
        <tr r="Y77" s="1"/>
      </tp>
      <tp t="s">
        <v>#N/A Requesting Data...2350546750</v>
        <stp/>
        <stp>BDP|12997517338568220846</stp>
        <tr r="N78" s="1"/>
      </tp>
      <tp t="s">
        <v>#N/A Requesting Data...3838702307</v>
        <stp/>
        <stp>BDP|14930559367117957440</stp>
        <tr r="Z12" s="1"/>
      </tp>
      <tp t="s">
        <v>#N/A Requesting Data...3790869434</v>
        <stp/>
        <stp>BDP|11328467460123114424</stp>
        <tr r="R53" s="1"/>
      </tp>
      <tp t="s">
        <v>#N/A Requesting Data...4253889942</v>
        <stp/>
        <stp>BDP|17505719567151183340</stp>
        <tr r="I44" s="1"/>
      </tp>
      <tp t="s">
        <v>#N/A Requesting Data...3733268501</v>
        <stp/>
        <stp>BDP|12786656164976219021</stp>
        <tr r="X34" s="1"/>
      </tp>
    </main>
    <main first="bofaddin.rtdserver">
      <tp t="s">
        <v>#N/A Requesting Data...3574123756</v>
        <stp/>
        <stp>BDP|13015592576681385555</stp>
        <tr r="C5" s="1"/>
      </tp>
      <tp t="s">
        <v>#N/A Requesting Data...2480832391</v>
        <stp/>
        <stp>BDP|17996018953275393216</stp>
        <tr r="AE7" s="1"/>
      </tp>
      <tp t="s">
        <v>#N/A Requesting Data...2024195350</v>
        <stp/>
        <stp>BDP|11755443564793889565</stp>
        <tr r="E37" s="1"/>
      </tp>
      <tp t="s">
        <v>#N/A Requesting Data...2231833213</v>
        <stp/>
        <stp>BDP|14513084204673260222</stp>
        <tr r="Z43" s="1"/>
      </tp>
      <tp t="s">
        <v>#N/A Requesting Data...2813388818</v>
        <stp/>
        <stp>BDP|12117601303385872431</stp>
        <tr r="AH61" s="1"/>
      </tp>
      <tp t="s">
        <v>#N/A Requesting Data...3654401777</v>
        <stp/>
        <stp>BDP|11808342186298366702</stp>
        <tr r="P28" s="1"/>
      </tp>
      <tp t="s">
        <v>#N/A Requesting Data...2634458794</v>
        <stp/>
        <stp>BDP|16692212915042307291</stp>
        <tr r="O72" s="1"/>
      </tp>
      <tp t="s">
        <v>#N/A Requesting Data...2287022069</v>
        <stp/>
        <stp>BDP|14631596275805059626</stp>
        <tr r="F30" s="1"/>
      </tp>
      <tp t="s">
        <v>#N/A Requesting Data...3642204127</v>
        <stp/>
        <stp>BDP|16747440572360048092</stp>
        <tr r="O62" s="1"/>
      </tp>
      <tp t="s">
        <v>#N/A Requesting Data...2337659103</v>
        <stp/>
        <stp>BDP|11491779961742337795</stp>
        <tr r="T41" s="1"/>
      </tp>
      <tp t="s">
        <v>#N/A Requesting Data...2282193236</v>
        <stp/>
        <stp>BDP|12663034906514985311</stp>
        <tr r="G30" s="1"/>
      </tp>
      <tp t="s">
        <v>#N/A Requesting Data...2023789982</v>
        <stp/>
        <stp>BDP|11786230801010654683</stp>
        <tr r="Y35" s="1"/>
      </tp>
      <tp t="s">
        <v>#N/A Requesting Data...2688884065</v>
        <stp/>
        <stp>BDP|15385576146461825016</stp>
        <tr r="AF40" s="1"/>
      </tp>
      <tp t="s">
        <v>#N/A Requesting Data...2883844535</v>
        <stp/>
        <stp>BDP|14929501882155461945</stp>
        <tr r="S28" s="1"/>
      </tp>
      <tp t="s">
        <v>#N/A Requesting Data...2101761045</v>
        <stp/>
        <stp>BDP|13622451719966486555</stp>
        <tr r="P63" s="1"/>
      </tp>
      <tp t="s">
        <v>#N/A Requesting Data...2532842360</v>
        <stp/>
        <stp>BDP|17542431742170750293</stp>
        <tr r="AD66" s="1"/>
      </tp>
      <tp t="s">
        <v>#N/A Requesting Data...4007188491</v>
        <stp/>
        <stp>BDP|14866094747381571492</stp>
        <tr r="L26" s="1"/>
      </tp>
      <tp t="s">
        <v>#N/A Requesting Data...2261095288</v>
        <stp/>
        <stp>BDP|10637454693610903835</stp>
        <tr r="V8" s="1"/>
      </tp>
      <tp t="s">
        <v>#N/A Requesting Data...2906901760</v>
        <stp/>
        <stp>BDP|12757999974038380148</stp>
        <tr r="K56" s="1"/>
      </tp>
      <tp t="s">
        <v>#N/A Requesting Data...2356313479</v>
        <stp/>
        <stp>BDP|13623698624113092161</stp>
        <tr r="R40" s="1"/>
      </tp>
      <tp t="s">
        <v>#N/A Requesting Data...3189350003</v>
        <stp/>
        <stp>BDP|14671784523220627467</stp>
        <tr r="J68" s="1"/>
      </tp>
      <tp t="s">
        <v>#N/A Requesting Data...4091598778</v>
        <stp/>
        <stp>BDP|18274518497218837905</stp>
        <tr r="AD72" s="1"/>
      </tp>
      <tp t="s">
        <v>#N/A Requesting Data...2211115969</v>
        <stp/>
        <stp>BDP|12399404349361644605</stp>
        <tr r="J34" s="1"/>
      </tp>
      <tp t="s">
        <v>#N/A Requesting Data...3457791364</v>
        <stp/>
        <stp>BDP|13778843918269333644</stp>
        <tr r="G35" s="1"/>
      </tp>
      <tp t="s">
        <v>#N/A Requesting Data...4241803555</v>
        <stp/>
        <stp>BDP|14828112672937385047</stp>
        <tr r="I25" s="1"/>
      </tp>
      <tp t="s">
        <v>#N/A Requesting Data...2361694884</v>
        <stp/>
        <stp>BDP|11364860738576907987</stp>
        <tr r="R54" s="1"/>
      </tp>
      <tp t="s">
        <v>#N/A Requesting Data...3616673442</v>
        <stp/>
        <stp>BDP|16589083007527326464</stp>
        <tr r="AE77" s="1"/>
      </tp>
      <tp t="s">
        <v>#N/A Requesting Data...3059278556</v>
        <stp/>
        <stp>BDP|14607685160006630769</stp>
        <tr r="L53" s="1"/>
      </tp>
      <tp t="s">
        <v>#N/A Requesting Data...3474331113</v>
        <stp/>
        <stp>BDP|10895636267466084324</stp>
        <tr r="C48" s="1"/>
      </tp>
      <tp t="s">
        <v>#N/A Requesting Data...2221910628</v>
        <stp/>
        <stp>BDP|11400063120866563065</stp>
        <tr r="W76" s="1"/>
      </tp>
      <tp t="s">
        <v>#N/A Requesting Data...3902227708</v>
        <stp/>
        <stp>BDP|10445346566323484334</stp>
        <tr r="N7" s="1"/>
      </tp>
      <tp t="s">
        <v>#N/A Requesting Data...2212018897</v>
        <stp/>
        <stp>BDP|14794011324271631254</stp>
        <tr r="J33" s="1"/>
      </tp>
      <tp t="s">
        <v>#N/A Requesting Data...3633608346</v>
        <stp/>
        <stp>BDP|11102417308011878112</stp>
        <tr r="AG4" s="1"/>
      </tp>
      <tp t="s">
        <v>#N/A Requesting Data...2468092820</v>
        <stp/>
        <stp>BDP|12676271416056652201</stp>
        <tr r="C63" s="1"/>
      </tp>
      <tp t="s">
        <v>#N/A Requesting Data...2839161437</v>
        <stp/>
        <stp>BDP|12542147034903183650</stp>
        <tr r="E53" s="1"/>
      </tp>
      <tp t="s">
        <v>#N/A Requesting Data...2312792666</v>
        <stp/>
        <stp>BDP|10932687140752968590</stp>
        <tr r="AE79" s="1"/>
      </tp>
      <tp t="s">
        <v>#N/A Requesting Data...3915632535</v>
        <stp/>
        <stp>BDP|12006412927289145879</stp>
        <tr r="X19" s="1"/>
      </tp>
      <tp t="s">
        <v>#N/A Requesting Data...2877414561</v>
        <stp/>
        <stp>BDP|13489560983983272835</stp>
        <tr r="E63" s="1"/>
      </tp>
      <tp t="s">
        <v>#N/A Requesting Data...3459922890</v>
        <stp/>
        <stp>BDP|10125435325174046773</stp>
        <tr r="W43" s="1"/>
      </tp>
      <tp t="s">
        <v>#N/A Requesting Data...3294571220</v>
        <stp/>
        <stp>BDP|17010358455954959092</stp>
        <tr r="I15" s="1"/>
      </tp>
      <tp t="s">
        <v>#N/A Requesting Data...3524530047</v>
        <stp/>
        <stp>BDP|10342050945953394202</stp>
        <tr r="G32" s="1"/>
      </tp>
      <tp t="s">
        <v>#N/A Requesting Data...3362007231</v>
        <stp/>
        <stp>BDP|14185027708629394886</stp>
        <tr r="I17" s="1"/>
      </tp>
      <tp t="s">
        <v>#N/A Requesting Data...4049409872</v>
        <stp/>
        <stp>BDP|14797970395588404919</stp>
        <tr r="V23" s="1"/>
      </tp>
      <tp t="s">
        <v>#N/A Requesting Data...4255459597</v>
        <stp/>
        <stp>BDP|13767727173380243676</stp>
        <tr r="M68" s="1"/>
      </tp>
      <tp t="s">
        <v>#N/A Requesting Data...4248641877</v>
        <stp/>
        <stp>BDP|17268203208591853110</stp>
        <tr r="E18" s="1"/>
      </tp>
      <tp t="s">
        <v>#N/A Requesting Data...2541899799</v>
        <stp/>
        <stp>BDP|10557452407512186343</stp>
        <tr r="T33" s="1"/>
      </tp>
      <tp t="s">
        <v>#N/A Requesting Data...2266078262</v>
        <stp/>
        <stp>BDP|17147413468299842924</stp>
        <tr r="S19" s="1"/>
      </tp>
      <tp t="s">
        <v>#N/A Requesting Data...2927924572</v>
        <stp/>
        <stp>BDP|17781769975182819090</stp>
        <tr r="N54" s="1"/>
      </tp>
      <tp t="s">
        <v>#N/A Requesting Data...2835867782</v>
        <stp/>
        <stp>BDP|11957253002723925522</stp>
        <tr r="T28" s="1"/>
      </tp>
      <tp t="s">
        <v>#N/A Requesting Data...3030649678</v>
        <stp/>
        <stp>BDP|16661770952236568736</stp>
        <tr r="AA58" s="1"/>
      </tp>
      <tp t="s">
        <v>#N/A Requesting Data...3239075490</v>
        <stp/>
        <stp>BDP|13361525589623596897</stp>
        <tr r="O46" s="1"/>
      </tp>
      <tp t="s">
        <v>#N/A Requesting Data...2779331454</v>
        <stp/>
        <stp>BDP|16233143665880560427</stp>
        <tr r="U73" s="1"/>
      </tp>
      <tp t="s">
        <v>#N/A Requesting Data...3426178668</v>
        <stp/>
        <stp>BDP|14919058245914983146</stp>
        <tr r="G56" s="1"/>
      </tp>
      <tp t="s">
        <v>#N/A Requesting Data...3977323816</v>
        <stp/>
        <stp>BDP|17385580178946160669</stp>
        <tr r="U5" s="1"/>
      </tp>
      <tp t="s">
        <v>#N/A Requesting Data...2277427031</v>
        <stp/>
        <stp>BDP|16335014130884406423</stp>
        <tr r="AD18" s="1"/>
      </tp>
      <tp t="s">
        <v>#N/A Requesting Data...2389888334</v>
        <stp/>
        <stp>BDP|17339061034072213373</stp>
        <tr r="X31" s="1"/>
      </tp>
      <tp t="s">
        <v>#N/A Requesting Data...3042124546</v>
        <stp/>
        <stp>BDP|14473115341603933792</stp>
        <tr r="X11" s="1"/>
      </tp>
      <tp t="s">
        <v>#N/A Requesting Data...4273999219</v>
        <stp/>
        <stp>BDP|18217104167342399815</stp>
        <tr r="P66" s="1"/>
      </tp>
      <tp t="s">
        <v>#N/A Requesting Data...2284014228</v>
        <stp/>
        <stp>BDP|17928032808752386065</stp>
        <tr r="T64" s="1"/>
      </tp>
      <tp t="s">
        <v>#N/A Requesting Data...4164373195</v>
        <stp/>
        <stp>BDP|17369166524798194971</stp>
        <tr r="AH51" s="1"/>
      </tp>
      <tp t="s">
        <v>#N/A Requesting Data...2820258622</v>
        <stp/>
        <stp>BDP|15061936929819479292</stp>
        <tr r="AD28" s="1"/>
      </tp>
      <tp t="s">
        <v>#N/A Requesting Data...3585635533</v>
        <stp/>
        <stp>BDP|14434729045873079147</stp>
        <tr r="E22" s="1"/>
      </tp>
      <tp t="s">
        <v>#N/A Requesting Data...3024449842</v>
        <stp/>
        <stp>BDP|12860550971103332684</stp>
        <tr r="I65" s="1"/>
      </tp>
      <tp t="s">
        <v>#N/A Requesting Data...3105526156</v>
        <stp/>
        <stp>BDP|11751642079447862250</stp>
        <tr r="T39" s="1"/>
      </tp>
      <tp t="s">
        <v>#N/A Requesting Data...2490813408</v>
        <stp/>
        <stp>BDP|12707747921486289460</stp>
        <tr r="K25" s="1"/>
      </tp>
      <tp t="s">
        <v>#N/A Requesting Data...3167810064</v>
        <stp/>
        <stp>BDP|15581115256994512011</stp>
        <tr r="T71" s="1"/>
      </tp>
    </main>
    <main first="bofaddin.rtdserver">
      <tp t="s">
        <v>#N/A Requesting Data...2792224636</v>
        <stp/>
        <stp>BDP|2015565478282151</stp>
        <tr r="F15" s="1"/>
      </tp>
    </main>
    <main first="bofaddin.rtdserver">
      <tp t="s">
        <v>#N/A N/A</v>
        <stp/>
        <stp>BDP|2391104628335969883</stp>
        <tr r="AI59" s="1"/>
        <tr r="AI73" s="1"/>
        <tr r="AI64" s="1"/>
      </tp>
      <tp t="s">
        <v>#N/A Requesting Data...2922806883</v>
        <stp/>
        <stp>BDP|6103990402684806789</stp>
        <tr r="AE55" s="1"/>
      </tp>
      <tp t="s">
        <v>#N/A Requesting Data...4029723858</v>
        <stp/>
        <stp>BDP|4143811409095500560</stp>
        <tr r="Y38" s="1"/>
      </tp>
      <tp t="s">
        <v>#N/A Requesting Data...3441515187</v>
        <stp/>
        <stp>BDP|4826986418123208302</stp>
        <tr r="AE3" s="1"/>
      </tp>
      <tp t="s">
        <v>#N/A Requesting Data...4036205888</v>
        <stp/>
        <stp>BDP|7596227572787663999</stp>
        <tr r="E12" s="1"/>
      </tp>
      <tp t="s">
        <v>#N/A Requesting Data...3587868831</v>
        <stp/>
        <stp>BDP|1554819013387946356</stp>
        <tr r="U48" s="1"/>
      </tp>
      <tp t="s">
        <v>#N/A Requesting Data...2530189403</v>
        <stp/>
        <stp>BDP|5674652453098950220</stp>
        <tr r="Y2" s="1"/>
      </tp>
      <tp t="s">
        <v>#N/A Requesting Data...3030295080</v>
        <stp/>
        <stp>BDP|1874698296206936459</stp>
        <tr r="W66" s="1"/>
      </tp>
      <tp t="s">
        <v>#N/A Requesting Data...3098204288</v>
        <stp/>
        <stp>BDP|8225467285741331996</stp>
        <tr r="AA73" s="1"/>
      </tp>
      <tp t="s">
        <v>#N/A Requesting Data...2865930778</v>
        <stp/>
        <stp>BDP|9753956396991878440</stp>
        <tr r="K2" s="1"/>
      </tp>
      <tp t="s">
        <v>#N/A Requesting Data...2676181845</v>
        <stp/>
        <stp>BDP|5482945659477021216</stp>
        <tr r="P7" s="1"/>
      </tp>
      <tp t="s">
        <v>#N/A Requesting Data...3675242616</v>
        <stp/>
        <stp>BDP|9187504682870835833</stp>
        <tr r="L40" s="1"/>
      </tp>
      <tp t="s">
        <v>#N/A Requesting Data...4015129431</v>
        <stp/>
        <stp>BDP|6224331793485813522</stp>
        <tr r="AE65" s="1"/>
      </tp>
      <tp t="s">
        <v>#N/A Requesting Data...3857885309</v>
        <stp/>
        <stp>BDP|4454398396097086524</stp>
        <tr r="T65" s="1"/>
      </tp>
      <tp t="s">
        <v>#N/A Requesting Data...3146074612</v>
        <stp/>
        <stp>BDP|1180531428582498808</stp>
        <tr r="I45" s="1"/>
      </tp>
      <tp t="s">
        <v>#N/A N/A</v>
        <stp/>
        <stp>BDP|9932446357893653731</stp>
        <tr r="AJ59" s="1"/>
        <tr r="AJ73" s="1"/>
        <tr r="AJ64" s="1"/>
      </tp>
      <tp t="s">
        <v>#N/A Requesting Data...2533105876</v>
        <stp/>
        <stp>BDP|9193794936421184000</stp>
        <tr r="S22" s="1"/>
      </tp>
      <tp t="s">
        <v>#N/A Requesting Data...3821189181</v>
        <stp/>
        <stp>BDP|8846802395074016124</stp>
        <tr r="AH19" s="1"/>
      </tp>
      <tp t="s">
        <v>#N/A Requesting Data...2674021226</v>
        <stp/>
        <stp>BDP|6347381182223456220</stp>
        <tr r="AH64" s="1"/>
      </tp>
      <tp t="s">
        <v>#N/A Requesting Data...2674718205</v>
        <stp/>
        <stp>BDP|4004306458928724608</stp>
        <tr r="M76" s="1"/>
      </tp>
      <tp t="s">
        <v>#N/A Requesting Data...3166188352</v>
        <stp/>
        <stp>BDP|2417881307931244756</stp>
        <tr r="V54" s="1"/>
      </tp>
      <tp t="s">
        <v>#N/A Requesting Data...3513405511</v>
        <stp/>
        <stp>BDP|1012666622591990816</stp>
        <tr r="V37" s="1"/>
      </tp>
      <tp t="s">
        <v>#N/A Requesting Data...2934191496</v>
        <stp/>
        <stp>BDP|4287067338988685361</stp>
        <tr r="G5" s="1"/>
      </tp>
      <tp t="s">
        <v>#N/A Requesting Data...2225789131</v>
        <stp/>
        <stp>BDP|7197909568052084648</stp>
        <tr r="G38" s="1"/>
      </tp>
      <tp t="s">
        <v>#N/A Requesting Data...4191268810</v>
        <stp/>
        <stp>BDP|3107902160285855545</stp>
        <tr r="R7" s="1"/>
      </tp>
      <tp t="s">
        <v>#N/A Requesting Data...3145925113</v>
        <stp/>
        <stp>BDP|1495788196552205156</stp>
        <tr r="AG34" s="1"/>
      </tp>
      <tp t="s">
        <v>#N/A Requesting Data...3523374708</v>
        <stp/>
        <stp>BDP|8684343838910558420</stp>
        <tr r="X7" s="1"/>
      </tp>
      <tp t="s">
        <v>#N/A Requesting Data...2690745128</v>
        <stp/>
        <stp>BDP|2418132069190051930</stp>
        <tr r="F27" s="1"/>
      </tp>
      <tp t="s">
        <v>#N/A Requesting Data...2569997264</v>
        <stp/>
        <stp>BDP|8060206335505154069</stp>
        <tr r="U13" s="1"/>
      </tp>
      <tp t="s">
        <v>#N/A Requesting Data...3420593058</v>
        <stp/>
        <stp>BDP|4892558941148618189</stp>
        <tr r="I76" s="1"/>
      </tp>
      <tp t="s">
        <v>#N/A Requesting Data...2296124615</v>
        <stp/>
        <stp>BDP|5734863501154590572</stp>
        <tr r="AH70" s="1"/>
      </tp>
      <tp t="s">
        <v>#N/A N/A</v>
        <stp/>
        <stp>BDS|8266748568130589592</stp>
        <tr r="AK32" s="1"/>
        <tr r="AK40" s="1"/>
        <tr r="AK17" s="1"/>
        <tr r="AK53" s="1"/>
        <tr r="AK75" s="1"/>
        <tr r="AK49" s="1"/>
        <tr r="AK6" s="1"/>
        <tr r="AK70" s="1"/>
      </tp>
      <tp t="s">
        <v>#N/A Requesting Data...3227700155</v>
        <stp/>
        <stp>BDP|7635434127724789960</stp>
        <tr r="F71" s="1"/>
      </tp>
      <tp t="s">
        <v>#N/A Requesting Data...2431006942</v>
        <stp/>
        <stp>BDP|5569618616038057611</stp>
        <tr r="J74" s="1"/>
      </tp>
      <tp t="s">
        <v>#N/A Requesting Data...2293312667</v>
        <stp/>
        <stp>BDP|2788772093452904292</stp>
        <tr r="T73" s="1"/>
      </tp>
      <tp t="s">
        <v>#N/A Requesting Data...2952436765</v>
        <stp/>
        <stp>BDP|2644944913334106231</stp>
        <tr r="AE2" s="1"/>
      </tp>
      <tp t="s">
        <v>#N/A Requesting Data...4184932861</v>
        <stp/>
        <stp>BDP|8698557094250617829</stp>
        <tr r="E25" s="1"/>
      </tp>
      <tp t="s">
        <v>#N/A Requesting Data...3039499050</v>
        <stp/>
        <stp>BDP|7828840727132066383</stp>
        <tr r="X77" s="1"/>
      </tp>
      <tp t="s">
        <v>#N/A Requesting Data...3433420196</v>
        <stp/>
        <stp>BDP|6246282505868772081</stp>
        <tr r="G48" s="1"/>
      </tp>
      <tp t="s">
        <v>#N/A Requesting Data...2391056945</v>
        <stp/>
        <stp>BDP|3227666105208395127</stp>
        <tr r="AE10" s="1"/>
      </tp>
      <tp t="s">
        <v>#N/A Requesting Data...3008319746</v>
        <stp/>
        <stp>BDP|9104255936855562178</stp>
        <tr r="K68" s="1"/>
      </tp>
      <tp t="s">
        <v>#N/A Requesting Data...3023898653</v>
        <stp/>
        <stp>BDP|5124451857809664158</stp>
        <tr r="J61" s="1"/>
      </tp>
      <tp t="s">
        <v>#N/A Requesting Data...2451040604</v>
        <stp/>
        <stp>BDP|1556676785592720100</stp>
        <tr r="AA48" s="1"/>
      </tp>
      <tp t="s">
        <v>#N/A Requesting Data...2371671002</v>
        <stp/>
        <stp>BDP|8194292885018950648</stp>
        <tr r="D37" s="1"/>
      </tp>
      <tp t="s">
        <v>#N/A Requesting Data...2989650698</v>
        <stp/>
        <stp>BDP|8693507024761537260</stp>
        <tr r="F4" s="1"/>
      </tp>
      <tp t="s">
        <v>#N/A Requesting Data...3837702747</v>
        <stp/>
        <stp>BDP|8703394104710918728</stp>
        <tr r="T58" s="1"/>
      </tp>
      <tp t="s">
        <v>#N/A Requesting Data...2828419796</v>
        <stp/>
        <stp>BDP|8148145095859543540</stp>
        <tr r="N18" s="1"/>
      </tp>
      <tp t="s">
        <v>#N/A Requesting Data...3956002393</v>
        <stp/>
        <stp>BDP|4444172695374097470</stp>
        <tr r="AE28" s="1"/>
      </tp>
      <tp t="s">
        <v>#N/A Requesting Data...2737693702</v>
        <stp/>
        <stp>BDP|8179991669093851883</stp>
        <tr r="L16" s="1"/>
      </tp>
      <tp t="s">
        <v>#N/A Requesting Data...2325439368</v>
        <stp/>
        <stp>BDP|9478169173704655768</stp>
        <tr r="Q27" s="1"/>
      </tp>
      <tp t="s">
        <v>#N/A Requesting Data...3438125602</v>
        <stp/>
        <stp>BDP|7144046795800152208</stp>
        <tr r="D17" s="1"/>
      </tp>
      <tp t="s">
        <v>#N/A Requesting Data...3569786799</v>
        <stp/>
        <stp>BDP|5557542341799576140</stp>
        <tr r="U43" s="1"/>
      </tp>
      <tp t="s">
        <v>#N/A Requesting Data...3321419941</v>
        <stp/>
        <stp>BDP|5394329780654294655</stp>
        <tr r="M73" s="1"/>
      </tp>
      <tp t="s">
        <v>#N/A Requesting Data...3200912557</v>
        <stp/>
        <stp>BDP|6655592318288335625</stp>
        <tr r="X42" s="1"/>
      </tp>
      <tp t="s">
        <v>#N/A Requesting Data...2396879493</v>
        <stp/>
        <stp>BDP|6024905815175011733</stp>
        <tr r="AA16" s="1"/>
      </tp>
      <tp t="s">
        <v>#N/A Requesting Data...4139381949</v>
        <stp/>
        <stp>BDP|4584246184653565169</stp>
        <tr r="O48" s="1"/>
      </tp>
      <tp t="s">
        <v>#N/A Requesting Data...3340839132</v>
        <stp/>
        <stp>BDP|7428308895259522836</stp>
        <tr r="AA23" s="1"/>
      </tp>
      <tp t="s">
        <v>#N/A Requesting Data...2807262335</v>
        <stp/>
        <stp>BDP|4674360610352062872</stp>
        <tr r="R4" s="1"/>
      </tp>
      <tp t="s">
        <v>#N/A Requesting Data...3594414063</v>
        <stp/>
        <stp>BDP|7824217511158919066</stp>
        <tr r="AE29" s="1"/>
      </tp>
      <tp t="s">
        <v>#N/A Requesting Data...3686067425</v>
        <stp/>
        <stp>BDP|3582349217518703560</stp>
        <tr r="V28" s="1"/>
      </tp>
      <tp t="s">
        <v>#N/A Requesting Data...2451407468</v>
        <stp/>
        <stp>BDP|7488937520009314905</stp>
        <tr r="N30" s="1"/>
      </tp>
      <tp t="s">
        <v>#N/A Requesting Data...3988653496</v>
        <stp/>
        <stp>BDP|2681853985136176830</stp>
        <tr r="Q62" s="1"/>
      </tp>
      <tp t="s">
        <v>#N/A Requesting Data...3048627115</v>
        <stp/>
        <stp>BDP|3508955434524171119</stp>
        <tr r="E28" s="1"/>
      </tp>
      <tp t="s">
        <v>#N/A Requesting Data...3189601516</v>
        <stp/>
        <stp>BDP|6532236951615280819</stp>
        <tr r="H39" s="1"/>
      </tp>
    </main>
    <main first="bofaddin.rtdserver">
      <tp t="s">
        <v>#N/A Requesting Data...2909564101</v>
        <stp/>
        <stp>BDP|7405263970896723802</stp>
        <tr r="Y46" s="1"/>
      </tp>
      <tp t="s">
        <v>#N/A Requesting Data...2182853566</v>
        <stp/>
        <stp>BDP|1691367976729137021</stp>
        <tr r="K78" s="1"/>
      </tp>
      <tp t="s">
        <v>#N/A Requesting Data...4282688836</v>
        <stp/>
        <stp>BDP|2358888064734312490</stp>
        <tr r="AE11" s="1"/>
      </tp>
      <tp t="s">
        <v>#N/A Requesting Data...2219530859</v>
        <stp/>
        <stp>BDP|9242410912929107950</stp>
        <tr r="Z75" s="1"/>
      </tp>
      <tp t="s">
        <v>#N/A Requesting Data...4168660694</v>
        <stp/>
        <stp>BDP|7717991262864106084</stp>
        <tr r="V71" s="1"/>
      </tp>
      <tp t="s">
        <v>#N/A Requesting Data...3856356568</v>
        <stp/>
        <stp>BDP|1353848255578352843</stp>
        <tr r="Q5" s="1"/>
      </tp>
      <tp t="s">
        <v>#N/A Requesting Data...3849077332</v>
        <stp/>
        <stp>BDP|7290038590192134052</stp>
        <tr r="AF36" s="1"/>
      </tp>
      <tp t="s">
        <v>#N/A Requesting Data...2694424262</v>
        <stp/>
        <stp>BDP|7168232555745504970</stp>
        <tr r="AA75" s="1"/>
      </tp>
      <tp t="s">
        <v>#N/A Requesting Data...2487776352</v>
        <stp/>
        <stp>BDP|5130402333646309843</stp>
        <tr r="O75" s="1"/>
      </tp>
      <tp t="s">
        <v>#N/A Requesting Data...3363364800</v>
        <stp/>
        <stp>BDP|7160641990575151110</stp>
        <tr r="L27" s="1"/>
      </tp>
      <tp t="s">
        <v>#N/A Requesting Data...2686204635</v>
        <stp/>
        <stp>BDP|4849581293184081190</stp>
        <tr r="W32" s="1"/>
      </tp>
      <tp t="s">
        <v>#N/A Requesting Data...3086337262</v>
        <stp/>
        <stp>BDP|9358392760422834381</stp>
        <tr r="J37" s="1"/>
      </tp>
      <tp t="s">
        <v>#N/A Requesting Data...3211291440</v>
        <stp/>
        <stp>BDP|9429476011724001599</stp>
        <tr r="D4" s="1"/>
      </tp>
      <tp t="s">
        <v>#N/A Requesting Data...3032255342</v>
        <stp/>
        <stp>BDP|5317509893727951324</stp>
        <tr r="H19" s="1"/>
      </tp>
      <tp t="s">
        <v>#N/A Requesting Data...2437793355</v>
        <stp/>
        <stp>BDP|7356913960366885313</stp>
        <tr r="AG54" s="1"/>
      </tp>
      <tp t="s">
        <v>#N/A Requesting Data...2470652022</v>
        <stp/>
        <stp>BDP|8751559375045450288</stp>
        <tr r="E30" s="1"/>
      </tp>
      <tp t="s">
        <v>#N/A Requesting Data...3723003787</v>
        <stp/>
        <stp>BDP|8230691755980627603</stp>
        <tr r="L7" s="1"/>
      </tp>
      <tp t="s">
        <v>#N/A Requesting Data...2229066313</v>
        <stp/>
        <stp>BDP|2612627699700680035</stp>
        <tr r="X17" s="1"/>
      </tp>
      <tp t="s">
        <v>#N/A Requesting Data...4151842438</v>
        <stp/>
        <stp>BDP|6032819427569855864</stp>
        <tr r="AA56" s="1"/>
      </tp>
      <tp t="s">
        <v>#N/A Requesting Data...3310220058</v>
        <stp/>
        <stp>BDP|6885216016981756903</stp>
        <tr r="V44" s="1"/>
      </tp>
      <tp t="s">
        <v>#N/A Requesting Data...4057451301</v>
        <stp/>
        <stp>BDP|4366310588770787259</stp>
        <tr r="Q36" s="1"/>
      </tp>
      <tp t="s">
        <v>#N/A Requesting Data...2435648462</v>
        <stp/>
        <stp>BDP|6026801807587802474</stp>
        <tr r="H59" s="1"/>
      </tp>
      <tp t="s">
        <v>#N/A Requesting Data...2398216282</v>
        <stp/>
        <stp>BDP|9606372099258702676</stp>
        <tr r="I35" s="1"/>
      </tp>
      <tp t="s">
        <v>#N/A Requesting Data...3903218790</v>
        <stp/>
        <stp>BDP|4222018074268627682</stp>
        <tr r="O70" s="1"/>
      </tp>
      <tp t="s">
        <v>#N/A Requesting Data...4286312186</v>
        <stp/>
        <stp>BDP|1295031794317927255</stp>
        <tr r="X79" s="1"/>
      </tp>
      <tp t="s">
        <v>#N/A Requesting Data...3673065254</v>
        <stp/>
        <stp>BDP|2291587819333563882</stp>
        <tr r="L41" s="1"/>
      </tp>
      <tp t="s">
        <v>#N/A Requesting Data...2192352224</v>
        <stp/>
        <stp>BDP|4803404481692682717</stp>
        <tr r="O49" s="1"/>
      </tp>
      <tp t="s">
        <v>#N/A Requesting Data...2827265580</v>
        <stp/>
        <stp>BDP|9393396822154506131</stp>
        <tr r="Y76" s="1"/>
      </tp>
      <tp t="s">
        <v>#N/A Requesting Data...2347120776</v>
        <stp/>
        <stp>BDP|7522960519624291669</stp>
        <tr r="G42" s="1"/>
      </tp>
      <tp t="s">
        <v>#N/A Requesting Data...4291944945</v>
        <stp/>
        <stp>BDP|2922977566221786119</stp>
        <tr r="U14" s="1"/>
      </tp>
      <tp t="s">
        <v>#N/A Requesting Data...3118635533</v>
        <stp/>
        <stp>BDP|2716984710943740470</stp>
        <tr r="Z59" s="1"/>
      </tp>
      <tp t="s">
        <v>#N/A Requesting Data...2838926077</v>
        <stp/>
        <stp>BDP|4873220645247443842</stp>
        <tr r="P10" s="1"/>
      </tp>
      <tp t="s">
        <v>#N/A Requesting Data...3829733482</v>
        <stp/>
        <stp>BDP|7348141547719988652</stp>
        <tr r="H17" s="1"/>
      </tp>
      <tp t="s">
        <v>#N/A Requesting Data...4022254750</v>
        <stp/>
        <stp>BDP|7756039567098675491</stp>
        <tr r="U3" s="1"/>
      </tp>
      <tp t="s">
        <v>#N/A Requesting Data...3258347029</v>
        <stp/>
        <stp>BDP|2312298819988744485</stp>
        <tr r="D15" s="1"/>
      </tp>
      <tp t="s">
        <v>#N/A Requesting Data...3973875412</v>
        <stp/>
        <stp>BDP|9634245004407286188</stp>
        <tr r="R19" s="1"/>
      </tp>
      <tp t="s">
        <v>#N/A Requesting Data...2582232088</v>
        <stp/>
        <stp>BDP|8162668037777490785</stp>
        <tr r="Y74" s="1"/>
      </tp>
      <tp t="s">
        <v>#N/A Requesting Data...4166220303</v>
        <stp/>
        <stp>BDP|8495611838155181506</stp>
        <tr r="P8" s="1"/>
      </tp>
      <tp t="s">
        <v>#N/A Requesting Data...3926688766</v>
        <stp/>
        <stp>BDP|9924850635587797828</stp>
        <tr r="X66" s="1"/>
      </tp>
      <tp t="s">
        <v>#N/A Requesting Data...3876463176</v>
        <stp/>
        <stp>BDP|2504813949062687162</stp>
        <tr r="S56" s="1"/>
      </tp>
      <tp t="s">
        <v>#N/A Requesting Data...3773679320</v>
        <stp/>
        <stp>BDP|4900363122728393037</stp>
        <tr r="M53" s="1"/>
      </tp>
      <tp t="s">
        <v>#N/A Requesting Data...3294035872</v>
        <stp/>
        <stp>BDP|4632014148658774551</stp>
        <tr r="S73" s="1"/>
      </tp>
      <tp t="s">
        <v>#N/A Requesting Data...2501182212</v>
        <stp/>
        <stp>BDP|1614355725738062549</stp>
        <tr r="AA45" s="1"/>
      </tp>
      <tp t="s">
        <v>#N/A Requesting Data...4061219136</v>
        <stp/>
        <stp>BDP|3987032712799806634</stp>
        <tr r="AB75" s="1"/>
      </tp>
      <tp t="s">
        <v>#N/A Requesting Data...3474226605</v>
        <stp/>
        <stp>BDP|4676269467024446907</stp>
        <tr r="AH57" s="1"/>
      </tp>
      <tp t="s">
        <v>#N/A Requesting Data...2393129047</v>
        <stp/>
        <stp>BDP|9294513012439663949</stp>
        <tr r="AC37" s="1"/>
      </tp>
      <tp t="s">
        <v>#N/A Requesting Data...2411373584</v>
        <stp/>
        <stp>BDP|4714628926568107519</stp>
        <tr r="M17" s="1"/>
      </tp>
      <tp t="s">
        <v>#N/A Requesting Data...2538024722</v>
        <stp/>
        <stp>BDP|2035715188676328697</stp>
        <tr r="O39" s="1"/>
      </tp>
      <tp t="s">
        <v>#N/A Requesting Data...3242457524</v>
        <stp/>
        <stp>BDP|3028865408327976147</stp>
        <tr r="H70" s="1"/>
      </tp>
      <tp t="s">
        <v>#N/A Requesting Data...2333029980</v>
        <stp/>
        <stp>BDP|8610051377602180052</stp>
        <tr r="E62" s="1"/>
      </tp>
      <tp t="s">
        <v>#N/A Requesting Data...3124826634</v>
        <stp/>
        <stp>BDP|3589480227938252087</stp>
        <tr r="X35" s="1"/>
      </tp>
      <tp t="s">
        <v>#N/A Requesting Data...2966831706</v>
        <stp/>
        <stp>BDP|4885492982161460465</stp>
        <tr r="AE25" s="1"/>
      </tp>
      <tp t="s">
        <v>#N/A Requesting Data...3301995285</v>
        <stp/>
        <stp>BDP|9119672463705772138</stp>
        <tr r="M61" s="1"/>
      </tp>
      <tp t="s">
        <v>#N/A Requesting Data...2294935992</v>
        <stp/>
        <stp>BDP|3050176414848031627</stp>
        <tr r="E14" s="1"/>
      </tp>
      <tp t="s">
        <v>#N/A Requesting Data...3080040849</v>
        <stp/>
        <stp>BDP|2523547281202707066</stp>
        <tr r="N37" s="1"/>
      </tp>
      <tp t="s">
        <v>#N/A Requesting Data...3379973330</v>
        <stp/>
        <stp>BDP|7489400194763090415</stp>
        <tr r="AD3" s="1"/>
      </tp>
      <tp t="s">
        <v>#N/A Requesting Data...3473414721</v>
        <stp/>
        <stp>BDP|1420351984871735641</stp>
        <tr r="S5" s="1"/>
      </tp>
      <tp t="s">
        <v>#N/A Requesting Data...3639437713</v>
        <stp/>
        <stp>BDP|8199533244674549053</stp>
        <tr r="P18" s="1"/>
      </tp>
      <tp t="s">
        <v>#N/A Requesting Data...2944410549</v>
        <stp/>
        <stp>BDP|2599222480520475557</stp>
        <tr r="F23" s="1"/>
      </tp>
      <tp t="s">
        <v>#N/A Requesting Data...3299827053</v>
        <stp/>
        <stp>BDP|3239439550858462735</stp>
        <tr r="T72" s="1"/>
      </tp>
      <tp t="s">
        <v>#N/A Requesting Data...3005172006</v>
        <stp/>
        <stp>BDP|9466694933672868301</stp>
        <tr r="W4" s="1"/>
      </tp>
      <tp t="s">
        <v>#N/A Requesting Data...3445480063</v>
        <stp/>
        <stp>BDP|8762275040231344251</stp>
        <tr r="M23" s="1"/>
      </tp>
      <tp t="s">
        <v>#N/A Requesting Data...3614069928</v>
        <stp/>
        <stp>BDP|7750577347718551344</stp>
        <tr r="AF19" s="1"/>
      </tp>
      <tp t="s">
        <v>#N/A Requesting Data...3268680782</v>
        <stp/>
        <stp>BDP|9300669303472076010</stp>
        <tr r="AB4" s="1"/>
      </tp>
      <tp t="s">
        <v>#N/A Requesting Data...4029983859</v>
        <stp/>
        <stp>BDP|1218020000479408539</stp>
        <tr r="Y20" s="1"/>
      </tp>
      <tp t="s">
        <v>#N/A Requesting Data...2409565786</v>
        <stp/>
        <stp>BDP|4740239212372009812</stp>
        <tr r="R79" s="1"/>
      </tp>
      <tp t="s">
        <v>#N/A Requesting Data...3484513512</v>
        <stp/>
        <stp>BDP|8035389069256517639</stp>
        <tr r="X13" s="1"/>
      </tp>
      <tp t="s">
        <v>#N/A Requesting Data...2798954432</v>
        <stp/>
        <stp>BDP|8751905161109018315</stp>
        <tr r="X12" s="1"/>
      </tp>
      <tp t="s">
        <v>#N/A Requesting Data...3739933723</v>
        <stp/>
        <stp>BDP|2353695977756933832</stp>
        <tr r="AG27" s="1"/>
      </tp>
      <tp t="s">
        <v>#N/A Requesting Data...3568788572</v>
        <stp/>
        <stp>BDP|8001003944843347209</stp>
        <tr r="AE75" s="1"/>
      </tp>
      <tp t="s">
        <v>#N/A Requesting Data...2798895954</v>
        <stp/>
        <stp>BDP|5747645325959122530</stp>
        <tr r="V31" s="1"/>
      </tp>
      <tp t="s">
        <v>#N/A Requesting Data...2515815946</v>
        <stp/>
        <stp>BDP|9923383197996130834</stp>
        <tr r="AB43" s="1"/>
      </tp>
      <tp t="s">
        <v>#N/A Requesting Data...2767062247</v>
        <stp/>
        <stp>BDP|2342512115229537264</stp>
        <tr r="G39" s="1"/>
      </tp>
      <tp t="s">
        <v>#N/A Requesting Data...3362341270</v>
        <stp/>
        <stp>BDP|2395969854827621438</stp>
        <tr r="AH50" s="1"/>
      </tp>
      <tp t="s">
        <v>#N/A Requesting Data...3862653626</v>
        <stp/>
        <stp>BDP|7134879630234570579</stp>
        <tr r="AF29" s="1"/>
      </tp>
      <tp t="s">
        <v>#N/A Requesting Data...2535991665</v>
        <stp/>
        <stp>BDP|8516300959151072281</stp>
        <tr r="E71" s="1"/>
      </tp>
      <tp t="s">
        <v>#N/A Requesting Data...4204426780</v>
        <stp/>
        <stp>BDP|6176474702297243823</stp>
        <tr r="AB53" s="1"/>
      </tp>
      <tp t="s">
        <v>#N/A Requesting Data...3622322289</v>
        <stp/>
        <stp>BDP|8871995186484744053</stp>
        <tr r="Q57" s="1"/>
      </tp>
      <tp t="s">
        <v>#N/A Requesting Data...3251013173</v>
        <stp/>
        <stp>BDP|2649965717037426063</stp>
        <tr r="AG3" s="1"/>
      </tp>
      <tp t="s">
        <v>#N/A Requesting Data...4262346579</v>
        <stp/>
        <stp>BDP|9427073103775628131</stp>
        <tr r="AA13" s="1"/>
      </tp>
      <tp t="s">
        <v>#N/A Requesting Data...3033209897</v>
        <stp/>
        <stp>BDP|2078810416995381312</stp>
        <tr r="AH29" s="1"/>
      </tp>
      <tp t="s">
        <v>#N/A Requesting Data...2466341536</v>
        <stp/>
        <stp>BDP|9115607447340251614</stp>
        <tr r="P59" s="1"/>
      </tp>
      <tp t="s">
        <v>#N/A Requesting Data...2485000269</v>
        <stp/>
        <stp>BDP|4628470680041318788</stp>
        <tr r="R38" s="1"/>
      </tp>
      <tp t="s">
        <v>#N/A Requesting Data...3075479024</v>
        <stp/>
        <stp>BDP|7125304692827906400</stp>
        <tr r="G58" s="1"/>
      </tp>
      <tp t="s">
        <v>#N/A Requesting Data...2626769302</v>
        <stp/>
        <stp>BDP|5952320941374329837</stp>
        <tr r="O8" s="1"/>
      </tp>
      <tp t="s">
        <v>#N/A Requesting Data...2870622721</v>
        <stp/>
        <stp>BDP|8328270813424516185</stp>
        <tr r="F51" s="1"/>
      </tp>
      <tp t="s">
        <v>#N/A Requesting Data...3118608893</v>
        <stp/>
        <stp>BDP|9690073637816415299</stp>
        <tr r="X48" s="1"/>
      </tp>
      <tp t="s">
        <v>#N/A Requesting Data...4136630792</v>
        <stp/>
        <stp>BDP|5444998634547567673</stp>
        <tr r="U39" s="1"/>
      </tp>
      <tp t="s">
        <v>#N/A Requesting Data...2714882590</v>
        <stp/>
        <stp>BDP|5533983867224249038</stp>
        <tr r="AH30" s="1"/>
      </tp>
      <tp t="s">
        <v>#N/A Requesting Data...3304828832</v>
        <stp/>
        <stp>BDP|3085263780284484392</stp>
        <tr r="AH71" s="1"/>
      </tp>
      <tp t="s">
        <v>#N/A Requesting Data...3915436223</v>
        <stp/>
        <stp>BDP|4248975679915300171</stp>
        <tr r="I62" s="1"/>
      </tp>
      <tp t="s">
        <v>#N/A Requesting Data...2472183525</v>
        <stp/>
        <stp>BDP|1961899536560834462</stp>
        <tr r="L21" s="1"/>
      </tp>
      <tp t="s">
        <v>#N/A Requesting Data...2910085888</v>
        <stp/>
        <stp>BDP|3090520781061378183</stp>
        <tr r="E40" s="1"/>
      </tp>
      <tp t="s">
        <v>#N/A Requesting Data...3541853991</v>
        <stp/>
        <stp>BDP|2608431318301771821</stp>
        <tr r="AH21" s="1"/>
      </tp>
      <tp t="s">
        <v>#N/A Requesting Data...3564817301</v>
        <stp/>
        <stp>BDP|1359509301778821231</stp>
        <tr r="F20" s="1"/>
      </tp>
      <tp t="s">
        <v>#N/A Requesting Data...4278034811</v>
        <stp/>
        <stp>BDP|1068814955957540584</stp>
        <tr r="AB18" s="1"/>
      </tp>
      <tp t="s">
        <v>#N/A Requesting Data...3067436578</v>
        <stp/>
        <stp>BDP|1838233221218698755</stp>
        <tr r="R67" s="1"/>
      </tp>
      <tp t="s">
        <v>#N/A Requesting Data...2766788075</v>
        <stp/>
        <stp>BDP|8419756212467890729</stp>
        <tr r="N6" s="1"/>
      </tp>
      <tp t="s">
        <v>#N/A Requesting Data...3818533076</v>
        <stp/>
        <stp>BDP|6546358102903890839</stp>
        <tr r="S17" s="1"/>
      </tp>
      <tp t="s">
        <v>#N/A Requesting Data...3782287058</v>
        <stp/>
        <stp>BDP|8177901349378219330</stp>
        <tr r="AH54" s="1"/>
      </tp>
      <tp t="s">
        <v>#N/A Requesting Data...3995866631</v>
        <stp/>
        <stp>BDP|2136177479133158976</stp>
        <tr r="D70" s="1"/>
      </tp>
      <tp t="s">
        <v>#N/A Requesting Data...4143132442</v>
        <stp/>
        <stp>BDP|1913540495144591734</stp>
        <tr r="AE13" s="1"/>
      </tp>
      <tp t="s">
        <v>#N/A Requesting Data...3011127868</v>
        <stp/>
        <stp>BDP|8325780382711422838</stp>
        <tr r="AC48" s="1"/>
      </tp>
      <tp t="s">
        <v>#N/A Requesting Data...3789953816</v>
        <stp/>
        <stp>BDP|6113342348676686953</stp>
        <tr r="S45" s="1"/>
      </tp>
      <tp t="s">
        <v>#N/A Requesting Data...3579881250</v>
        <stp/>
        <stp>BDP|3737116970968935311</stp>
        <tr r="K13" s="1"/>
      </tp>
      <tp t="s">
        <v>#N/A Requesting Data...3581009145</v>
        <stp/>
        <stp>BDP|9073652158381103525</stp>
        <tr r="H22" s="1"/>
      </tp>
      <tp t="s">
        <v>#N/A Requesting Data...3119834558</v>
        <stp/>
        <stp>BDP|7128372962054261883</stp>
        <tr r="D20" s="1"/>
      </tp>
      <tp t="s">
        <v>#N/A Requesting Data...2986740681</v>
        <stp/>
        <stp>BDP|6192079495869405881</stp>
        <tr r="L20" s="1"/>
      </tp>
      <tp t="s">
        <v>#N/A Requesting Data...2689894266</v>
        <stp/>
        <stp>BDP|7787712366440707883</stp>
        <tr r="K73" s="1"/>
      </tp>
      <tp t="s">
        <v>#N/A Requesting Data...2864424690</v>
        <stp/>
        <stp>BDP|6185681543933289974</stp>
        <tr r="E68" s="1"/>
      </tp>
      <tp t="s">
        <v>#N/A Requesting Data...3610001155</v>
        <stp/>
        <stp>BDP|7834089277597035988</stp>
        <tr r="I71" s="1"/>
      </tp>
      <tp t="s">
        <v>#N/A Requesting Data...2503247121</v>
        <stp/>
        <stp>BDP|2807521886106880780</stp>
        <tr r="H8" s="1"/>
      </tp>
      <tp t="s">
        <v>#N/A Requesting Data...4127371425</v>
        <stp/>
        <stp>BDP|3020462288997657649</stp>
        <tr r="J17" s="1"/>
      </tp>
      <tp t="s">
        <v>#N/A Requesting Data...3301381927</v>
        <stp/>
        <stp>BDP|4689382011041109931</stp>
        <tr r="J12" s="1"/>
      </tp>
      <tp t="s">
        <v>#N/A Requesting Data...4083127827</v>
        <stp/>
        <stp>BDP|4470415158992713971</stp>
        <tr r="O55" s="1"/>
      </tp>
      <tp t="s">
        <v>#N/A Requesting Data...3037231782</v>
        <stp/>
        <stp>BDP|6642905844480723586</stp>
        <tr r="M75" s="1"/>
      </tp>
      <tp t="s">
        <v>#N/A Requesting Data...3609511089</v>
        <stp/>
        <stp>BDP|6340888472672615528</stp>
        <tr r="W10" s="1"/>
      </tp>
      <tp t="s">
        <v>#N/A Requesting Data...3409254511</v>
        <stp/>
        <stp>BDP|4238737391293988749</stp>
        <tr r="AA34" s="1"/>
      </tp>
      <tp t="s">
        <v>#N/A Requesting Data...3539352748</v>
        <stp/>
        <stp>BDP|2883971272915972791</stp>
        <tr r="W57" s="1"/>
      </tp>
      <tp t="s">
        <v>#N/A Requesting Data...2424861890</v>
        <stp/>
        <stp>BDP|3161971931612509508</stp>
        <tr r="N36" s="1"/>
      </tp>
      <tp t="s">
        <v>#N/A Requesting Data...4185921415</v>
        <stp/>
        <stp>BDP|1777688011841818949</stp>
        <tr r="H38" s="1"/>
      </tp>
      <tp t="s">
        <v>#N/A Requesting Data...3766305640</v>
        <stp/>
        <stp>BDP|2185377783166283157</stp>
        <tr r="AF55" s="1"/>
      </tp>
      <tp t="s">
        <v>#N/A Requesting Data...4289299792</v>
        <stp/>
        <stp>BDP|4050601041589029137</stp>
        <tr r="G22" s="1"/>
      </tp>
      <tp t="s">
        <v>#N/A Requesting Data...3317809046</v>
        <stp/>
        <stp>BDP|1288966129934854075</stp>
        <tr r="W48" s="1"/>
      </tp>
      <tp t="s">
        <v>#N/A Requesting Data...2665256451</v>
        <stp/>
        <stp>BDP|3213169150288461102</stp>
        <tr r="M42" s="1"/>
      </tp>
      <tp t="s">
        <v>#N/A Requesting Data...4220065785</v>
        <stp/>
        <stp>BDP|3827204519187838994</stp>
        <tr r="N57" s="1"/>
      </tp>
      <tp t="s">
        <v>#N/A Requesting Data...3418651070</v>
        <stp/>
        <stp>BDP|8779692227681988313</stp>
        <tr r="U45" s="1"/>
      </tp>
      <tp t="s">
        <v>#N/A Requesting Data...2523243352</v>
        <stp/>
        <stp>BDP|7707109770517331851</stp>
        <tr r="W40" s="1"/>
      </tp>
      <tp t="s">
        <v>#N/A Requesting Data...4224616265</v>
        <stp/>
        <stp>BDP|9226252441504039575</stp>
        <tr r="I9" s="1"/>
      </tp>
      <tp t="s">
        <v>#N/A Requesting Data...4037749066</v>
        <stp/>
        <stp>BDP|9588249057146079675</stp>
        <tr r="AD43" s="1"/>
      </tp>
      <tp t="s">
        <v>#N/A Requesting Data...3880481741</v>
        <stp/>
        <stp>BDP|7171812164962217578</stp>
        <tr r="AC72" s="1"/>
      </tp>
      <tp t="s">
        <v>#N/A N/A</v>
        <stp/>
        <stp>BDP|5133226811759207117</stp>
        <tr r="AI32" s="1"/>
        <tr r="AI17" s="1"/>
        <tr r="AI40" s="1"/>
        <tr r="AI53" s="1"/>
        <tr r="AI49" s="1"/>
        <tr r="AI6" s="1"/>
        <tr r="AI70" s="1"/>
        <tr r="AI75" s="1"/>
      </tp>
      <tp t="s">
        <v>#N/A Requesting Data...3849210085</v>
        <stp/>
        <stp>BDP|4592161316043244915</stp>
        <tr r="T43" s="1"/>
      </tp>
      <tp t="s">
        <v>#N/A Requesting Data...2972137076</v>
        <stp/>
        <stp>BDP|6030301938758785094</stp>
        <tr r="G37" s="1"/>
      </tp>
      <tp t="s">
        <v>#N/A Requesting Data...3043246996</v>
        <stp/>
        <stp>BDP|4745554252799780317</stp>
        <tr r="N76" s="1"/>
      </tp>
      <tp t="s">
        <v>#N/A Requesting Data...2486975982</v>
        <stp/>
        <stp>BDP|8656019975538728935</stp>
        <tr r="O27" s="1"/>
      </tp>
      <tp t="s">
        <v>#N/A Requesting Data...3608361406</v>
        <stp/>
        <stp>BDP|3459283281994976329</stp>
        <tr r="Q55" s="1"/>
      </tp>
      <tp t="s">
        <v>#N/A Requesting Data...4032792388</v>
        <stp/>
        <stp>BDP|8712166456363359120</stp>
        <tr r="F19" s="1"/>
      </tp>
      <tp t="s">
        <v>#N/A Requesting Data...3446033879</v>
        <stp/>
        <stp>BDP|5996396991029593824</stp>
        <tr r="AE6" s="1"/>
      </tp>
      <tp t="s">
        <v>#N/A Requesting Data...2531835964</v>
        <stp/>
        <stp>BDP|7941795331025594832</stp>
        <tr r="AE69" s="1"/>
      </tp>
      <tp t="s">
        <v>#N/A Requesting Data...2489758873</v>
        <stp/>
        <stp>BDP|8571538456407710107</stp>
        <tr r="AG12" s="1"/>
      </tp>
      <tp t="s">
        <v>#N/A Requesting Data...2382468406</v>
        <stp/>
        <stp>BDP|4367405184997242122</stp>
        <tr r="D19" s="1"/>
      </tp>
      <tp t="s">
        <v>#N/A Requesting Data...3790768943</v>
        <stp/>
        <stp>BDP|9169581360733779798</stp>
        <tr r="AG53" s="1"/>
      </tp>
      <tp t="s">
        <v>#N/A Requesting Data...2861807514</v>
        <stp/>
        <stp>BDP|8352504644050657767</stp>
        <tr r="E26" s="1"/>
      </tp>
      <tp t="s">
        <v>#N/A Requesting Data...4047142695</v>
        <stp/>
        <stp>BDP|9985603208499720818</stp>
        <tr r="U25" s="1"/>
      </tp>
      <tp t="s">
        <v>#N/A Requesting Data...2925868705</v>
        <stp/>
        <stp>BDP|9677493018094530653</stp>
        <tr r="G76" s="1"/>
      </tp>
      <tp t="s">
        <v>#N/A Requesting Data...3393589717</v>
        <stp/>
        <stp>BDP|5775823597488671233</stp>
        <tr r="AF78" s="1"/>
      </tp>
      <tp t="s">
        <v>#N/A Requesting Data...2923895361</v>
        <stp/>
        <stp>BDP|2145054911429424460</stp>
        <tr r="W51" s="1"/>
      </tp>
      <tp t="s">
        <v>#N/A Requesting Data...2593709572</v>
        <stp/>
        <stp>BDP|3202718489463968173</stp>
        <tr r="E10" s="1"/>
      </tp>
      <tp t="s">
        <v>#N/A Requesting Data...3241053845</v>
        <stp/>
        <stp>BDP|4226070807963323951</stp>
        <tr r="J9" s="1"/>
      </tp>
      <tp t="s">
        <v>#N/A Requesting Data...3223820720</v>
        <stp/>
        <stp>BDP|9390910404846697843</stp>
        <tr r="H66" s="1"/>
      </tp>
      <tp t="s">
        <v>#N/A Requesting Data...3539228173</v>
        <stp/>
        <stp>BDP|6814527787716188384</stp>
        <tr r="S23" s="1"/>
      </tp>
      <tp t="s">
        <v>#N/A Requesting Data...3388931816</v>
        <stp/>
        <stp>BDP|1553675747525561842</stp>
        <tr r="E58" s="1"/>
      </tp>
      <tp t="s">
        <v>#N/A Requesting Data...3249964309</v>
        <stp/>
        <stp>BDP|7678160090994297564</stp>
        <tr r="Y7" s="1"/>
      </tp>
      <tp t="s">
        <v>#N/A Requesting Data...3782734442</v>
        <stp/>
        <stp>BDP|6743953740641465425</stp>
        <tr r="AE71" s="1"/>
      </tp>
      <tp t="s">
        <v>#N/A Requesting Data...4215484130</v>
        <stp/>
        <stp>BDP|1784868722035058073</stp>
        <tr r="P55" s="1"/>
      </tp>
      <tp t="s">
        <v>#N/A Requesting Data...3385194269</v>
        <stp/>
        <stp>BDP|9907612659897276364</stp>
        <tr r="AH43" s="1"/>
      </tp>
      <tp t="s">
        <v>#N/A Requesting Data...4110636163</v>
        <stp/>
        <stp>BDP|6952948326521918273</stp>
        <tr r="W27" s="1"/>
      </tp>
      <tp t="s">
        <v>#N/A Requesting Data...3960841172</v>
        <stp/>
        <stp>BDP|8794183268441773054</stp>
        <tr r="AB66" s="1"/>
      </tp>
      <tp t="s">
        <v>#N/A Requesting Data...3369969454</v>
        <stp/>
        <stp>BDP|6733343778288821598</stp>
        <tr r="X39" s="1"/>
      </tp>
      <tp t="s">
        <v>#N/A Requesting Data...2839839283</v>
        <stp/>
        <stp>BDP|9488496156977241033</stp>
        <tr r="V45" s="1"/>
      </tp>
      <tp t="s">
        <v>#N/A Requesting Data...4118544199</v>
        <stp/>
        <stp>BDP|9965029901843574552</stp>
        <tr r="R24" s="1"/>
      </tp>
      <tp t="s">
        <v>#N/A Requesting Data...2920190958</v>
        <stp/>
        <stp>BDP|1859545312878182255</stp>
        <tr r="W30" s="1"/>
      </tp>
      <tp t="s">
        <v>#N/A Requesting Data...3599872347</v>
        <stp/>
        <stp>BDP|6160474070742903851</stp>
        <tr r="AA78" s="1"/>
      </tp>
      <tp t="s">
        <v>#N/A Requesting Data...2652140871</v>
        <stp/>
        <stp>BDP|1129447827350844806</stp>
        <tr r="U15" s="1"/>
      </tp>
      <tp t="s">
        <v>#N/A Requesting Data...3693873895</v>
        <stp/>
        <stp>BDP|4721435591066708092</stp>
        <tr r="Q66" s="1"/>
      </tp>
      <tp t="s">
        <v>#N/A Requesting Data...2897703183</v>
        <stp/>
        <stp>BDP|3417756385553905066</stp>
        <tr r="P41" s="1"/>
      </tp>
      <tp t="s">
        <v>#N/A Requesting Data...3793853093</v>
        <stp/>
        <stp>BDP|9123670403306900649</stp>
        <tr r="AB56" s="1"/>
      </tp>
      <tp t="s">
        <v>#N/A Requesting Data...2770794619</v>
        <stp/>
        <stp>BDP|8409617111504894448</stp>
        <tr r="Q31" s="1"/>
      </tp>
      <tp t="s">
        <v>#N/A Requesting Data...3698541727</v>
        <stp/>
        <stp>BDP|5740666760658918207</stp>
        <tr r="K21" s="1"/>
      </tp>
      <tp t="s">
        <v>#N/A Requesting Data...3983385485</v>
        <stp/>
        <stp>BDP|9578731700160850164</stp>
        <tr r="O44" s="1"/>
      </tp>
      <tp t="s">
        <v>#N/A Requesting Data...3994340432</v>
        <stp/>
        <stp>BDP|9502453148961838791</stp>
        <tr r="R10" s="1"/>
      </tp>
      <tp t="s">
        <v>#N/A Requesting Data...3141850148</v>
        <stp/>
        <stp>BDP|2888467737772672867</stp>
        <tr r="AB16" s="1"/>
      </tp>
      <tp t="s">
        <v>#N/A Requesting Data...3256252796</v>
        <stp/>
        <stp>BDP|8612069636644952064</stp>
        <tr r="H65" s="1"/>
      </tp>
      <tp t="s">
        <v>#N/A Requesting Data...3251228851</v>
        <stp/>
        <stp>BDP|1646927491469329782</stp>
        <tr r="AF35" s="1"/>
      </tp>
      <tp t="s">
        <v>#N/A Requesting Data...3609016469</v>
        <stp/>
        <stp>BDP|2845796085781202382</stp>
        <tr r="T47" s="1"/>
      </tp>
      <tp t="s">
        <v>#N/A Requesting Data...3511954210</v>
        <stp/>
        <stp>BDP|5069555204918722795</stp>
        <tr r="C55" s="1"/>
      </tp>
      <tp t="s">
        <v>#N/A Requesting Data...3637422438</v>
        <stp/>
        <stp>BDP|3368838549547090760</stp>
        <tr r="X74" s="1"/>
      </tp>
      <tp t="s">
        <v>#N/A Requesting Data...3865661140</v>
        <stp/>
        <stp>BDP|5521847818343708011</stp>
        <tr r="AB49" s="1"/>
      </tp>
      <tp t="s">
        <v>#N/A Requesting Data...3885687736</v>
        <stp/>
        <stp>BDP|6683933418462057310</stp>
        <tr r="G63" s="1"/>
      </tp>
      <tp t="s">
        <v>#N/A Requesting Data...3186506349</v>
        <stp/>
        <stp>BDP|1377013898095098267</stp>
        <tr r="AF10" s="1"/>
      </tp>
      <tp t="s">
        <v>#N/A Requesting Data...4010495655</v>
        <stp/>
        <stp>BDP|6823627334268799445</stp>
        <tr r="T25" s="1"/>
      </tp>
      <tp t="s">
        <v>#N/A Requesting Data...3658958747</v>
        <stp/>
        <stp>BDP|2271535568789408708</stp>
        <tr r="J40" s="1"/>
      </tp>
      <tp t="s">
        <v>#N/A Requesting Data...3207295355</v>
        <stp/>
        <stp>BDP|5850459592481498661</stp>
        <tr r="T26" s="1"/>
      </tp>
      <tp t="s">
        <v>#N/A Requesting Data...2764726858</v>
        <stp/>
        <stp>BDP|9997574850480295610</stp>
        <tr r="E49" s="1"/>
      </tp>
      <tp t="s">
        <v>#N/A Requesting Data...4193031584</v>
        <stp/>
        <stp>BDP|9442787411729149915</stp>
        <tr r="E74" s="1"/>
      </tp>
      <tp t="s">
        <v>#N/A Requesting Data...4218867643</v>
        <stp/>
        <stp>BDP|9984169096339573712</stp>
        <tr r="AC43" s="1"/>
      </tp>
      <tp t="s">
        <v>#N/A Requesting Data...4169535298</v>
        <stp/>
        <stp>BDP|3286330478241087944</stp>
        <tr r="C8" s="1"/>
      </tp>
      <tp t="s">
        <v>#N/A Requesting Data...2623818443</v>
        <stp/>
        <stp>BDP|5125818023356161604</stp>
        <tr r="Z71" s="1"/>
      </tp>
      <tp t="s">
        <v>#N/A Requesting Data...3224296959</v>
        <stp/>
        <stp>BDP|1682427186350157219</stp>
        <tr r="U26" s="1"/>
      </tp>
      <tp t="s">
        <v>#N/A Requesting Data...3623975046</v>
        <stp/>
        <stp>BDP|9159588620591898029</stp>
        <tr r="X73" s="1"/>
      </tp>
      <tp t="s">
        <v>#N/A Requesting Data...2589329386</v>
        <stp/>
        <stp>BDP|9853130698786259828</stp>
        <tr r="Q10" s="1"/>
      </tp>
      <tp t="s">
        <v>#N/A Requesting Data...4246424951</v>
        <stp/>
        <stp>BDP|6620295540009854643</stp>
        <tr r="I42" s="1"/>
      </tp>
      <tp t="s">
        <v>#N/A Requesting Data...3910811599</v>
        <stp/>
        <stp>BDP|5938111147468467785</stp>
        <tr r="Y48" s="1"/>
      </tp>
      <tp t="s">
        <v>#N/A Requesting Data...3426045249</v>
        <stp/>
        <stp>BDP|2091184859281928885</stp>
        <tr r="U79" s="1"/>
      </tp>
      <tp t="s">
        <v>#N/A Requesting Data...2944588776</v>
        <stp/>
        <stp>BDP|7828891540484481052</stp>
        <tr r="L66" s="1"/>
      </tp>
      <tp t="s">
        <v>#N/A Requesting Data...3775476747</v>
        <stp/>
        <stp>BDP|5241304693527436752</stp>
        <tr r="I66" s="1"/>
      </tp>
      <tp t="s">
        <v>#N/A Requesting Data...4080237274</v>
        <stp/>
        <stp>BDP|5273314942999143409</stp>
        <tr r="W53" s="1"/>
      </tp>
      <tp t="s">
        <v>#N/A Requesting Data...3834171292</v>
        <stp/>
        <stp>BDP|7571920340565459030</stp>
        <tr r="W71" s="1"/>
      </tp>
      <tp t="s">
        <v>#N/A Requesting Data...4146286001</v>
        <stp/>
        <stp>BDP|1497071095381494625</stp>
        <tr r="L35" s="1"/>
      </tp>
      <tp t="s">
        <v>#N/A Requesting Data...2455944372</v>
        <stp/>
        <stp>BDP|3088341288346509189</stp>
        <tr r="T79" s="1"/>
      </tp>
      <tp t="s">
        <v>#N/A Requesting Data...3865936859</v>
        <stp/>
        <stp>BDP|2775555447128592419</stp>
        <tr r="W18" s="1"/>
      </tp>
      <tp t="s">
        <v>#N/A Requesting Data...3225851291</v>
        <stp/>
        <stp>BDP|3499862257989184826</stp>
        <tr r="Z31" s="1"/>
      </tp>
      <tp t="s">
        <v>#N/A Requesting Data...4149751392</v>
        <stp/>
        <stp>BDP|1028869490028630764</stp>
        <tr r="K63" s="1"/>
      </tp>
      <tp t="s">
        <v>#N/A Requesting Data...2736825371</v>
        <stp/>
        <stp>BDP|8340412460904611134</stp>
        <tr r="X56" s="1"/>
      </tp>
      <tp t="s">
        <v>#N/A Requesting Data...3122462856</v>
        <stp/>
        <stp>BDP|9786776812486759622</stp>
        <tr r="AG30" s="1"/>
      </tp>
      <tp t="s">
        <v>#N/A Requesting Data...2826114452</v>
        <stp/>
        <stp>BDP|7221234623868166044</stp>
        <tr r="O73" s="1"/>
      </tp>
      <tp t="s">
        <v>#N/A Requesting Data...2446543335</v>
        <stp/>
        <stp>BDP|9169885280574692283</stp>
        <tr r="AB2" s="1"/>
      </tp>
      <tp t="s">
        <v>#N/A Requesting Data...3242501766</v>
        <stp/>
        <stp>BDP|4285209775038877689</stp>
        <tr r="N8" s="1"/>
      </tp>
      <tp t="s">
        <v>#N/A Requesting Data...4168722542</v>
        <stp/>
        <stp>BDP|9786181029352523746</stp>
        <tr r="W38" s="1"/>
      </tp>
      <tp t="s">
        <v>#N/A Requesting Data...3265963357</v>
        <stp/>
        <stp>BDP|7219389081233535098</stp>
        <tr r="Z2" s="1"/>
      </tp>
      <tp t="s">
        <v>#N/A Requesting Data...4030789877</v>
        <stp/>
        <stp>BDP|1241422096426828593</stp>
        <tr r="G8" s="1"/>
      </tp>
      <tp t="s">
        <v>#N/A Requesting Data...3894709353</v>
        <stp/>
        <stp>BDP|1674038892021637655</stp>
        <tr r="L10" s="1"/>
      </tp>
      <tp t="s">
        <v>#N/A Requesting Data...4212311289</v>
        <stp/>
        <stp>BDP|8960887564010391923</stp>
        <tr r="G17" s="1"/>
      </tp>
      <tp t="s">
        <v>#N/A Requesting Data...3137399133</v>
        <stp/>
        <stp>BDP|4767408986666045156</stp>
        <tr r="H75" s="1"/>
      </tp>
      <tp t="s">
        <v>#N/A Requesting Data...3897868999</v>
        <stp/>
        <stp>BDP|1041783298367423709</stp>
        <tr r="S63" s="1"/>
      </tp>
      <tp t="s">
        <v>#N/A Requesting Data...4023383501</v>
        <stp/>
        <stp>BDP|3759804685739146573</stp>
        <tr r="C52" s="1"/>
      </tp>
      <tp t="s">
        <v>#N/A Requesting Data...2454604278</v>
        <stp/>
        <stp>BDP|8092108205694330227</stp>
        <tr r="AG32" s="1"/>
      </tp>
      <tp t="s">
        <v>#N/A Requesting Data...2551942373</v>
        <stp/>
        <stp>BDP|1073642091221119001</stp>
        <tr r="G23" s="1"/>
      </tp>
      <tp t="s">
        <v>#N/A Requesting Data...4189719354</v>
        <stp/>
        <stp>BDP|7760735920568254524</stp>
        <tr r="R2" s="1"/>
      </tp>
      <tp t="s">
        <v>#N/A Requesting Data...3713894324</v>
        <stp/>
        <stp>BDP|9490182797727736997</stp>
        <tr r="Z41" s="1"/>
      </tp>
      <tp t="s">
        <v>#N/A Requesting Data...3251376445</v>
        <stp/>
        <stp>BDP|5470554719038534683</stp>
        <tr r="AG42" s="1"/>
      </tp>
      <tp t="s">
        <v>#N/A Requesting Data...2625287397</v>
        <stp/>
        <stp>BDP|1392046478399053755</stp>
        <tr r="H37" s="1"/>
      </tp>
      <tp t="s">
        <v>#N/A Requesting Data...3731339772</v>
        <stp/>
        <stp>BDP|3743535131934732984</stp>
        <tr r="V47" s="1"/>
      </tp>
      <tp t="s">
        <v>#N/A Requesting Data...4122117637</v>
        <stp/>
        <stp>BDP|3203913818853499053</stp>
        <tr r="AA25" s="1"/>
      </tp>
      <tp t="s">
        <v>#N/A Requesting Data...4204735192</v>
        <stp/>
        <stp>BDP|5080582793687842682</stp>
        <tr r="R35" s="1"/>
      </tp>
      <tp t="s">
        <v>#N/A Requesting Data...3880790896</v>
        <stp/>
        <stp>BDP|5252991448930868001</stp>
        <tr r="AD13" s="1"/>
      </tp>
      <tp t="s">
        <v>#N/A Requesting Data...2487253315</v>
        <stp/>
        <stp>BDP|6800473674014254924</stp>
        <tr r="N44" s="1"/>
      </tp>
      <tp t="s">
        <v>#N/A Requesting Data...3026872782</v>
        <stp/>
        <stp>BDP|6768084754909148218</stp>
        <tr r="G59" s="1"/>
      </tp>
      <tp t="s">
        <v>#N/A Requesting Data...4289481162</v>
        <stp/>
        <stp>BDP|2803439883714943293</stp>
        <tr r="I36" s="1"/>
      </tp>
      <tp t="s">
        <v>#N/A Requesting Data...3027893318</v>
        <stp/>
        <stp>BDP|3013197412752739949</stp>
        <tr r="AF16" s="1"/>
      </tp>
      <tp t="s">
        <v>#N/A Requesting Data...4209455840</v>
        <stp/>
        <stp>BDP|1225655485271350691</stp>
        <tr r="AG17" s="1"/>
      </tp>
      <tp t="s">
        <v>#N/A Requesting Data...3252732062</v>
        <stp/>
        <stp>BDP|4933855477070230314</stp>
        <tr r="X64" s="1"/>
      </tp>
      <tp t="s">
        <v>#N/A Requesting Data...4263041080</v>
        <stp/>
        <stp>BDP|3877984029225147504</stp>
        <tr r="J42" s="1"/>
      </tp>
      <tp t="s">
        <v>#N/A Requesting Data...4231165803</v>
        <stp/>
        <stp>BDP|1563199995051708071</stp>
        <tr r="AG6" s="1"/>
      </tp>
      <tp t="s">
        <v>#N/A Requesting Data...2914565390</v>
        <stp/>
        <stp>BDP|2514223928009428326</stp>
        <tr r="AA61" s="1"/>
      </tp>
      <tp t="s">
        <v>#N/A Requesting Data...3520873773</v>
        <stp/>
        <stp>BDP|7162013730875752990</stp>
        <tr r="E70" s="1"/>
      </tp>
      <tp t="s">
        <v>#N/A Requesting Data...2977684255</v>
        <stp/>
        <stp>BDP|3790396681967297733</stp>
        <tr r="N69" s="1"/>
      </tp>
      <tp t="s">
        <v>#N/A Requesting Data...3556228866</v>
        <stp/>
        <stp>BDP|9104076636151604386</stp>
        <tr r="P78" s="1"/>
      </tp>
      <tp t="s">
        <v>#N/A Requesting Data...3746357457</v>
        <stp/>
        <stp>BDP|7789704784472508288</stp>
        <tr r="S3" s="1"/>
      </tp>
      <tp t="s">
        <v>#N/A Requesting Data...3106094812</v>
        <stp/>
        <stp>BDP|1603996467182162467</stp>
        <tr r="AF61" s="1"/>
      </tp>
      <tp t="s">
        <v>#N/A Requesting Data...2830353597</v>
        <stp/>
        <stp>BDP|6519345475279934323</stp>
        <tr r="I47" s="1"/>
      </tp>
      <tp t="s">
        <v>#N/A Requesting Data...3525344694</v>
        <stp/>
        <stp>BDP|5960116587351522568</stp>
        <tr r="M6" s="1"/>
      </tp>
      <tp t="s">
        <v>#N/A Requesting Data...3322708782</v>
        <stp/>
        <stp>BDP|5627488333313678975</stp>
        <tr r="F24" s="1"/>
      </tp>
      <tp t="s">
        <v>#N/A Requesting Data...3934963431</v>
        <stp/>
        <stp>BDP|1780801620867896435</stp>
        <tr r="AE39" s="1"/>
      </tp>
      <tp t="s">
        <v>#N/A Requesting Data...2577283485</v>
        <stp/>
        <stp>BDP|4528994407357509221</stp>
        <tr r="L25" s="1"/>
      </tp>
      <tp t="s">
        <v>#N/A Requesting Data...3829850037</v>
        <stp/>
        <stp>BDP|2828681497260984532</stp>
        <tr r="AH65" s="1"/>
      </tp>
      <tp t="s">
        <v>#N/A Requesting Data...3256399765</v>
        <stp/>
        <stp>BDP|2896839026274090406</stp>
        <tr r="R37" s="1"/>
      </tp>
      <tp t="s">
        <v>#N/A Requesting Data...3808681367</v>
        <stp/>
        <stp>BDP|4699719283345293640</stp>
        <tr r="V41" s="1"/>
      </tp>
      <tp t="s">
        <v>#N/A Requesting Data...2991777986</v>
        <stp/>
        <stp>BDP|2576062130900451954</stp>
        <tr r="M54" s="1"/>
      </tp>
      <tp t="s">
        <v>#N/A Requesting Data...4243077365</v>
        <stp/>
        <stp>BDP|6904553623941874851</stp>
        <tr r="T40" s="1"/>
      </tp>
      <tp t="s">
        <v>#N/A Requesting Data...2810896356</v>
        <stp/>
        <stp>BDP|6429943101881310607</stp>
        <tr r="AA39" s="1"/>
      </tp>
      <tp t="s">
        <v>#N/A Requesting Data...3758904390</v>
        <stp/>
        <stp>BDP|6493857702077382128</stp>
        <tr r="AF44" s="1"/>
      </tp>
      <tp t="s">
        <v>#N/A Requesting Data...3962589835</v>
        <stp/>
        <stp>BDP|8072462604963787770</stp>
        <tr r="Z57" s="1"/>
      </tp>
      <tp t="s">
        <v>#N/A Requesting Data...3794667345</v>
        <stp/>
        <stp>BDP|1818821762485843227</stp>
        <tr r="AD65" s="1"/>
      </tp>
      <tp t="s">
        <v>#N/A Requesting Data...3688583285</v>
        <stp/>
        <stp>BDP|6052452381427722539</stp>
        <tr r="G79" s="1"/>
      </tp>
      <tp t="s">
        <v>#N/A Requesting Data...3236505455</v>
        <stp/>
        <stp>BDP|9733635535646071212</stp>
        <tr r="K70" s="1"/>
      </tp>
      <tp t="s">
        <v>#N/A Requesting Data...3998506025</v>
        <stp/>
        <stp>BDP|5093570485682728245</stp>
        <tr r="W20" s="1"/>
      </tp>
      <tp t="s">
        <v>#N/A Requesting Data...2845556520</v>
        <stp/>
        <stp>BDP|3451167131081424868</stp>
        <tr r="P17" s="1"/>
      </tp>
      <tp t="s">
        <v>#N/A Requesting Data...3954010375</v>
        <stp/>
        <stp>BDP|6244417507629699336</stp>
        <tr r="N25" s="1"/>
      </tp>
      <tp t="s">
        <v>#N/A Requesting Data...4240932945</v>
        <stp/>
        <stp>BDP|4460579807531636846</stp>
        <tr r="X38" s="1"/>
      </tp>
      <tp t="s">
        <v>#N/A Requesting Data...3304820599</v>
        <stp/>
        <stp>BDP|9625770538063749689</stp>
        <tr r="V30" s="1"/>
      </tp>
      <tp t="s">
        <v>#N/A Requesting Data...3604019355</v>
        <stp/>
        <stp>BDP|9092039620405528608</stp>
        <tr r="V49" s="1"/>
      </tp>
      <tp t="s">
        <v>#N/A Requesting Data...3977886350</v>
        <stp/>
        <stp>BDP|4899684787431789363</stp>
        <tr r="S36" s="1"/>
      </tp>
      <tp t="s">
        <v>#N/A Requesting Data...3393443835</v>
        <stp/>
        <stp>BDP|6436574811048708230</stp>
        <tr r="U75" s="1"/>
      </tp>
      <tp t="s">
        <v>#N/A Requesting Data...3618980831</v>
        <stp/>
        <stp>BDP|7789950054376109505</stp>
        <tr r="AF60" s="1"/>
      </tp>
      <tp t="s">
        <v>#N/A Requesting Data...3280875397</v>
        <stp/>
        <stp>BDP|9630676443304299771</stp>
        <tr r="E51" s="1"/>
      </tp>
      <tp t="s">
        <v>#N/A Requesting Data...3025905109</v>
        <stp/>
        <stp>BDP|3497438495223644537</stp>
        <tr r="K41" s="1"/>
      </tp>
      <tp t="s">
        <v>#N/A Requesting Data...3141110209</v>
        <stp/>
        <stp>BDP|5257593654668209598</stp>
        <tr r="M28" s="1"/>
      </tp>
      <tp t="s">
        <v>#N/A Requesting Data...3489701406</v>
        <stp/>
        <stp>BDP|3205849577714747025</stp>
        <tr r="L70" s="1"/>
      </tp>
    </main>
    <main first="bofaddin.rtdserver">
      <tp t="s">
        <v>#N/A Requesting Data...3169714641</v>
        <stp/>
        <stp>BDP|1777178858438421590</stp>
        <tr r="C62" s="1"/>
      </tp>
      <tp t="s">
        <v>#N/A Requesting Data...4260903454</v>
        <stp/>
        <stp>BDP|6186907265241902081</stp>
        <tr r="Z47" s="1"/>
      </tp>
      <tp t="s">
        <v>#N/A Requesting Data...2567716995</v>
        <stp/>
        <stp>BDP|3636639863382259910</stp>
        <tr r="N45" s="1"/>
      </tp>
      <tp t="s">
        <v>#N/A Requesting Data...3850535657</v>
        <stp/>
        <stp>BDP|9990651517390831799</stp>
        <tr r="AB69" s="1"/>
      </tp>
      <tp t="s">
        <v>#N/A Requesting Data...3322047974</v>
        <stp/>
        <stp>BDP|2816706616774702936</stp>
        <tr r="AD17" s="1"/>
      </tp>
      <tp t="s">
        <v>#N/A Requesting Data...4255576041</v>
        <stp/>
        <stp>BDP|9838385380413911820</stp>
        <tr r="U59" s="1"/>
      </tp>
      <tp t="s">
        <v>#N/A Requesting Data...3539222539</v>
        <stp/>
        <stp>BDP|8535703829983469707</stp>
        <tr r="AG74" s="1"/>
      </tp>
      <tp t="s">
        <v>#N/A Requesting Data...3721410568</v>
        <stp/>
        <stp>BDP|9244817609908440065</stp>
        <tr r="AE66" s="1"/>
      </tp>
      <tp t="s">
        <v>#N/A Requesting Data...3736579820</v>
        <stp/>
        <stp>BDP|6000060740718935378</stp>
        <tr r="S75" s="1"/>
      </tp>
      <tp t="s">
        <v>#N/A Requesting Data...2564986252</v>
        <stp/>
        <stp>BDP|4486264119367183924</stp>
        <tr r="AC51" s="1"/>
      </tp>
      <tp t="s">
        <v>#N/A Requesting Data...4098187274</v>
        <stp/>
        <stp>BDP|7806249143170516830</stp>
        <tr r="M38" s="1"/>
      </tp>
      <tp t="s">
        <v>#N/A Requesting Data...3664008237</v>
        <stp/>
        <stp>BDP|7284545218098631215</stp>
        <tr r="J44" s="1"/>
      </tp>
      <tp t="s">
        <v>#N/A Requesting Data...2705055764</v>
        <stp/>
        <stp>BDP|1893685429184279820</stp>
        <tr r="Y4" s="1"/>
      </tp>
      <tp t="s">
        <v>#N/A Requesting Data...2601014867</v>
        <stp/>
        <stp>BDP|5091822288209008536</stp>
        <tr r="H55" s="1"/>
      </tp>
      <tp t="s">
        <v>#N/A Requesting Data...4106177917</v>
        <stp/>
        <stp>BDP|3980982815127418594</stp>
        <tr r="AD38" s="1"/>
      </tp>
      <tp t="s">
        <v>#N/A Requesting Data...3713579245</v>
        <stp/>
        <stp>BDP|8364132772997851039</stp>
        <tr r="AF42" s="1"/>
      </tp>
      <tp t="s">
        <v>#N/A Requesting Data...3717948396</v>
        <stp/>
        <stp>BDP|9608501948190106162</stp>
        <tr r="AE56" s="1"/>
      </tp>
      <tp t="s">
        <v>#N/A Requesting Data...3493842588</v>
        <stp/>
        <stp>BDP|9654582297355786978</stp>
        <tr r="Q7" s="1"/>
      </tp>
      <tp t="s">
        <v>#N/A Requesting Data...4033959598</v>
        <stp/>
        <stp>BDP|9756018258631182467</stp>
        <tr r="W61" s="1"/>
      </tp>
      <tp t="s">
        <v>#N/A Requesting Data...3997589427</v>
        <stp/>
        <stp>BDP|1986951239021812339</stp>
        <tr r="C42" s="1"/>
      </tp>
      <tp t="s">
        <v>#N/A Requesting Data...4017386536</v>
        <stp/>
        <stp>BDP|8814233327044098531</stp>
        <tr r="O26" s="1"/>
      </tp>
      <tp t="s">
        <v>#N/A Requesting Data...3949068275</v>
        <stp/>
        <stp>BDP|3599750005038921503</stp>
        <tr r="AE63" s="1"/>
      </tp>
      <tp t="s">
        <v>#N/A Requesting Data...2657676203</v>
        <stp/>
        <stp>BDP|9118539728941495622</stp>
        <tr r="H46" s="1"/>
      </tp>
      <tp t="s">
        <v>#N/A Requesting Data...3887086208</v>
        <stp/>
        <stp>BDP|9657163351215428197</stp>
        <tr r="F34" s="1"/>
      </tp>
      <tp t="s">
        <v>#N/A Requesting Data...3830336910</v>
        <stp/>
        <stp>BDP|5418527661139853631</stp>
        <tr r="G25" s="1"/>
      </tp>
      <tp t="s">
        <v>#N/A Requesting Data...3221860298</v>
        <stp/>
        <stp>BDP|8666188151693580663</stp>
        <tr r="AD6" s="1"/>
      </tp>
      <tp t="s">
        <v>#N/A Requesting Data...2590924406</v>
        <stp/>
        <stp>BDP|7901036983264668237</stp>
        <tr r="P68" s="1"/>
      </tp>
      <tp t="s">
        <v>#N/A Requesting Data...4173244807</v>
        <stp/>
        <stp>BDP|3678997807665571616</stp>
        <tr r="E52" s="1"/>
      </tp>
      <tp t="s">
        <v>#N/A Requesting Data...3924260740</v>
        <stp/>
        <stp>BDP|9541197255836154255</stp>
        <tr r="G19" s="1"/>
      </tp>
      <tp t="s">
        <v>#N/A Requesting Data...3336959553</v>
        <stp/>
        <stp>BDP|7362541912912952816</stp>
        <tr r="E20" s="1"/>
      </tp>
      <tp t="s">
        <v>#N/A Requesting Data...3006796460</v>
        <stp/>
        <stp>BDP|2120685780816613320</stp>
        <tr r="P76" s="1"/>
      </tp>
      <tp t="s">
        <v>#N/A Requesting Data...2951924102</v>
        <stp/>
        <stp>BDP|8626406644490861175</stp>
        <tr r="AF76" s="1"/>
      </tp>
      <tp t="s">
        <v>#N/A Requesting Data...3894865998</v>
        <stp/>
        <stp>BDP|3257212369179218755</stp>
        <tr r="AC75" s="1"/>
      </tp>
      <tp t="s">
        <v>#N/A Requesting Data...2802144808</v>
        <stp/>
        <stp>BDP|9841650340917088507</stp>
        <tr r="H40" s="1"/>
      </tp>
      <tp t="s">
        <v>#N/A Requesting Data...3241891295</v>
        <stp/>
        <stp>BDP|3595204505291181939</stp>
        <tr r="AA29" s="1"/>
      </tp>
      <tp t="s">
        <v>#N/A Requesting Data...3783500778</v>
        <stp/>
        <stp>BDP|3866880974676115373</stp>
        <tr r="AE43" s="1"/>
      </tp>
      <tp t="s">
        <v>#N/A Requesting Data...4245041537</v>
        <stp/>
        <stp>BDP|4964135814969585496</stp>
        <tr r="AA79" s="1"/>
      </tp>
      <tp t="s">
        <v>#N/A Requesting Data...3864428950</v>
        <stp/>
        <stp>BDP|6233046018756840840</stp>
        <tr r="AG36" s="1"/>
      </tp>
      <tp t="s">
        <v>#N/A Requesting Data...2687715252</v>
        <stp/>
        <stp>BDP|9014856096623962298</stp>
        <tr r="P9" s="1"/>
      </tp>
      <tp t="s">
        <v>#N/A Requesting Data...4132334596</v>
        <stp/>
        <stp>BDP|5078671855877236833</stp>
        <tr r="T18" s="1"/>
      </tp>
      <tp t="s">
        <v>#N/A Requesting Data...2991458859</v>
        <stp/>
        <stp>BDP|5729425342589233560</stp>
        <tr r="S15" s="1"/>
      </tp>
      <tp t="s">
        <v>#N/A Requesting Data...3900978413</v>
        <stp/>
        <stp>BDP|6312916866351125167</stp>
        <tr r="AG38" s="1"/>
      </tp>
      <tp t="s">
        <v>#N/A Requesting Data...4207296460</v>
        <stp/>
        <stp>BDP|3457509864911119811</stp>
        <tr r="J15" s="1"/>
      </tp>
      <tp t="s">
        <v>#N/A Requesting Data...2790088720</v>
        <stp/>
        <stp>BDP|9740713496139111713</stp>
        <tr r="K40" s="1"/>
      </tp>
      <tp t="s">
        <v>#N/A Requesting Data...3631085569</v>
        <stp/>
        <stp>BDP|3645875860907511351</stp>
        <tr r="T44" s="1"/>
      </tp>
      <tp t="s">
        <v>#N/A Requesting Data...4180278055</v>
        <stp/>
        <stp>BDP|3639854504961495323</stp>
        <tr r="AD16" s="1"/>
      </tp>
      <tp t="s">
        <v>#N/A Requesting Data...4185691237</v>
        <stp/>
        <stp>BDP|9638837586029556976</stp>
        <tr r="C7" s="1"/>
      </tp>
      <tp t="s">
        <v>#N/A Requesting Data...3357459817</v>
        <stp/>
        <stp>BDP|5591846138962144594</stp>
        <tr r="I16" s="1"/>
      </tp>
      <tp t="s">
        <v>#N/A Requesting Data...2751388021</v>
        <stp/>
        <stp>BDP|8792648875048047873</stp>
        <tr r="W16" s="1"/>
      </tp>
      <tp t="s">
        <v>#N/A Requesting Data...3485916609</v>
        <stp/>
        <stp>BDP|8277402603162245759</stp>
        <tr r="C36" s="1"/>
      </tp>
      <tp t="s">
        <v>#N/A Requesting Data...2875056699</v>
        <stp/>
        <stp>BDP|2296764883806631278</stp>
        <tr r="T77" s="1"/>
      </tp>
      <tp t="s">
        <v>#N/A Requesting Data...2561778110</v>
        <stp/>
        <stp>BDP|5365082519244477902</stp>
        <tr r="T16" s="1"/>
      </tp>
      <tp t="s">
        <v>#N/A Requesting Data...2656745460</v>
        <stp/>
        <stp>BDP|3333141821261008804</stp>
        <tr r="C14" s="1"/>
      </tp>
      <tp t="s">
        <v>#N/A Requesting Data...3185130507</v>
        <stp/>
        <stp>BDP|9349410327361384714</stp>
        <tr r="O54" s="1"/>
      </tp>
      <tp t="s">
        <v>#N/A Requesting Data...2628287698</v>
        <stp/>
        <stp>BDP|8826325663156713299</stp>
        <tr r="AB52" s="1"/>
      </tp>
      <tp t="s">
        <v>#N/A Requesting Data...2592675015</v>
        <stp/>
        <stp>BDP|6037820113474361253</stp>
        <tr r="N28" s="1"/>
      </tp>
      <tp t="s">
        <v>#N/A Requesting Data...3859094235</v>
        <stp/>
        <stp>BDP|3580312884129397847</stp>
        <tr r="AE16" s="1"/>
      </tp>
      <tp t="s">
        <v>#N/A Requesting Data...3427106450</v>
        <stp/>
        <stp>BDP|7538214060208527259</stp>
        <tr r="AG20" s="1"/>
      </tp>
      <tp t="s">
        <v>#N/A Requesting Data...4160522023</v>
        <stp/>
        <stp>BDP|9466462562491320371</stp>
        <tr r="D30" s="1"/>
      </tp>
      <tp t="s">
        <v>#N/A Requesting Data...3151192711</v>
        <stp/>
        <stp>BDP|8081832181901336054</stp>
        <tr r="P13" s="1"/>
      </tp>
      <tp t="s">
        <v>#N/A Requesting Data...3219840626</v>
        <stp/>
        <stp>BDP|8137243702037520466</stp>
        <tr r="H34" s="1"/>
      </tp>
      <tp t="s">
        <v>#N/A Requesting Data...3658142845</v>
        <stp/>
        <stp>BDP|8375743511541670641</stp>
        <tr r="R78" s="1"/>
      </tp>
      <tp t="s">
        <v>#N/A Requesting Data...3421862892</v>
        <stp/>
        <stp>BDP|4406720690203223007</stp>
        <tr r="AC77" s="1"/>
      </tp>
      <tp t="s">
        <v>#N/A Requesting Data...4212481041</v>
        <stp/>
        <stp>BDP|7109168986627686029</stp>
        <tr r="H58" s="1"/>
      </tp>
      <tp t="s">
        <v>#N/A Requesting Data...2854533585</v>
        <stp/>
        <stp>BDP|6134410668325434890</stp>
        <tr r="P20" s="1"/>
      </tp>
      <tp t="s">
        <v>#N/A Requesting Data...3191810641</v>
        <stp/>
        <stp>BDP|2230346296367620631</stp>
        <tr r="F14" s="1"/>
      </tp>
      <tp t="s">
        <v>#N/A Requesting Data...3482047506</v>
        <stp/>
        <stp>BDP|9045340031731534154</stp>
        <tr r="AF27" s="1"/>
      </tp>
      <tp t="s">
        <v>#N/A Requesting Data...3460910129</v>
        <stp/>
        <stp>BDP|9640484160194805637</stp>
        <tr r="I8" s="1"/>
      </tp>
      <tp t="s">
        <v>#N/A Requesting Data...4215829876</v>
        <stp/>
        <stp>BDP|9126826887104619786</stp>
        <tr r="F55" s="1"/>
      </tp>
      <tp t="s">
        <v>#N/A Requesting Data...3962951656</v>
        <stp/>
        <stp>BDP|9306133704833662188</stp>
        <tr r="P2" s="1"/>
      </tp>
      <tp t="s">
        <v>#N/A Requesting Data...3503780431</v>
        <stp/>
        <stp>BDP|4875925977011601116</stp>
        <tr r="D49" s="1"/>
      </tp>
      <tp t="s">
        <v>#N/A Requesting Data...2873302918</v>
        <stp/>
        <stp>BDP|2912960265617676079</stp>
        <tr r="L54" s="1"/>
      </tp>
      <tp t="s">
        <v>#N/A Requesting Data...3208400025</v>
        <stp/>
        <stp>BDP|9423121999748039349</stp>
        <tr r="N67" s="1"/>
      </tp>
      <tp t="s">
        <v>#N/A Requesting Data...2811141290</v>
        <stp/>
        <stp>BDP|3374033297992850246</stp>
        <tr r="O7" s="1"/>
      </tp>
      <tp t="s">
        <v>#N/A Requesting Data...3938158653</v>
        <stp/>
        <stp>BDP|3050990474533147470</stp>
        <tr r="D35" s="1"/>
      </tp>
      <tp t="s">
        <v>#N/A Requesting Data...3362299006</v>
        <stp/>
        <stp>BDP|8695558747051470286</stp>
        <tr r="K66" s="1"/>
      </tp>
      <tp t="s">
        <v>#N/A Requesting Data...4199406491</v>
        <stp/>
        <stp>BDP|3174191213699469075</stp>
        <tr r="AC50" s="1"/>
      </tp>
      <tp t="s">
        <v>#N/A Requesting Data...2802125127</v>
        <stp/>
        <stp>BDP|7592738140477761996</stp>
        <tr r="P54" s="1"/>
      </tp>
      <tp t="s">
        <v>#N/A Requesting Data...3007825675</v>
        <stp/>
        <stp>BDP|5518902075208917915</stp>
        <tr r="W70" s="1"/>
      </tp>
      <tp t="s">
        <v>#N/A Requesting Data...3054400435</v>
        <stp/>
        <stp>BDP|8554573618705008326</stp>
        <tr r="C41" s="1"/>
      </tp>
      <tp t="s">
        <v>#N/A Requesting Data...3330831995</v>
        <stp/>
        <stp>BDP|4960952126717662258</stp>
        <tr r="H36" s="1"/>
      </tp>
      <tp t="s">
        <v>#N/A Requesting Data...3989949196</v>
        <stp/>
        <stp>BDP|5331867109203097451</stp>
        <tr r="AA3" s="1"/>
      </tp>
      <tp t="s">
        <v>#N/A Requesting Data...3234756303</v>
        <stp/>
        <stp>BDP|9485861176448486495</stp>
        <tr r="Z33" s="1"/>
      </tp>
      <tp t="s">
        <v>#N/A Requesting Data...3104383598</v>
        <stp/>
        <stp>BDP|6446670154416811961</stp>
        <tr r="F16" s="1"/>
      </tp>
      <tp t="s">
        <v>#N/A Requesting Data...3359487340</v>
        <stp/>
        <stp>BDP|8067916068294913993</stp>
        <tr r="F21" s="1"/>
      </tp>
      <tp t="s">
        <v>#N/A Requesting Data...3314482915</v>
        <stp/>
        <stp>BDP|2345043178617439820</stp>
        <tr r="K57" s="1"/>
      </tp>
      <tp t="s">
        <v>#N/A Requesting Data...3982276905</v>
        <stp/>
        <stp>BDP|7938147896466775350</stp>
        <tr r="AG10" s="1"/>
      </tp>
      <tp t="s">
        <v>#N/A Requesting Data...3629229163</v>
        <stp/>
        <stp>BDP|3018780649648751288</stp>
        <tr r="T38" s="1"/>
      </tp>
      <tp t="s">
        <v>#N/A Requesting Data...3572043094</v>
        <stp/>
        <stp>BDP|8997416736751302435</stp>
        <tr r="J72" s="1"/>
      </tp>
      <tp t="s">
        <v>#N/A Requesting Data...3852659436</v>
        <stp/>
        <stp>BDP|5710554090170549391</stp>
        <tr r="J4" s="1"/>
      </tp>
      <tp t="s">
        <v>#N/A Requesting Data...2733538686</v>
        <stp/>
        <stp>BDP|6974926207070071524</stp>
        <tr r="M22" s="1"/>
      </tp>
      <tp t="s">
        <v>#N/A Requesting Data...2794009369</v>
        <stp/>
        <stp>BDP|9693749849190292064</stp>
        <tr r="Q60" s="1"/>
      </tp>
      <tp t="s">
        <v>#N/A Requesting Data...2681951685</v>
        <stp/>
        <stp>BDP|8618548813331506792</stp>
        <tr r="Q43" s="1"/>
      </tp>
      <tp t="s">
        <v>#N/A Requesting Data...3716454861</v>
        <stp/>
        <stp>BDP|1913924680218140278</stp>
        <tr r="AE47" s="1"/>
      </tp>
      <tp t="s">
        <v>#N/A Requesting Data...3761159661</v>
        <stp/>
        <stp>BDP|7175489601238621134</stp>
        <tr r="AH42" s="1"/>
      </tp>
      <tp t="s">
        <v>#N/A Requesting Data...3689060734</v>
        <stp/>
        <stp>BDP|2513942124532549129</stp>
        <tr r="U21" s="1"/>
      </tp>
      <tp t="s">
        <v>#N/A Requesting Data...3667037475</v>
        <stp/>
        <stp>BDP|9476569162567638744</stp>
        <tr r="AB14" s="1"/>
      </tp>
      <tp t="s">
        <v>#N/A Requesting Data...3078398072</v>
        <stp/>
        <stp>BDP|5974325085932476682</stp>
        <tr r="C47" s="1"/>
      </tp>
      <tp t="s">
        <v>#N/A Requesting Data...2656726429</v>
        <stp/>
        <stp>BDP|8841400538790070520</stp>
        <tr r="Z77" s="1"/>
      </tp>
      <tp t="s">
        <v>#N/A Requesting Data...3800160839</v>
        <stp/>
        <stp>BDP|1958960321524866441</stp>
        <tr r="M14" s="1"/>
      </tp>
      <tp t="s">
        <v>#N/A Requesting Data...3077388815</v>
        <stp/>
        <stp>BDP|2138634322535702955</stp>
        <tr r="AD29" s="1"/>
      </tp>
      <tp t="s">
        <v>#N/A N/A</v>
        <stp/>
        <stp>BDP|3992806033522817010</stp>
        <tr r="AI57" s="1"/>
        <tr r="AI52" s="1"/>
        <tr r="AI43" s="1"/>
        <tr r="AI74" s="1"/>
        <tr r="AI39" s="1"/>
      </tp>
      <tp t="s">
        <v>#N/A Requesting Data...4245467111</v>
        <stp/>
        <stp>BDP|9291522752243430057</stp>
        <tr r="AE19" s="1"/>
      </tp>
      <tp t="s">
        <v>#N/A Requesting Data...3792575358</v>
        <stp/>
        <stp>BDP|1751200794970276027</stp>
        <tr r="AG77" s="1"/>
      </tp>
      <tp t="s">
        <v>#N/A Requesting Data...2765936251</v>
        <stp/>
        <stp>BDP|3923999244162182664</stp>
        <tr r="G4" s="1"/>
      </tp>
      <tp t="s">
        <v>#N/A Requesting Data...2970316493</v>
        <stp/>
        <stp>BDP|4101453193364473701</stp>
        <tr r="AF75" s="1"/>
      </tp>
      <tp t="s">
        <v>#N/A Requesting Data...3115590289</v>
        <stp/>
        <stp>BDP|9798318910423182272</stp>
        <tr r="E27" s="1"/>
      </tp>
      <tp t="s">
        <v>#N/A Requesting Data...3014796102</v>
        <stp/>
        <stp>BDP|5315473880280613320</stp>
        <tr r="U53" s="1"/>
      </tp>
      <tp t="s">
        <v>#N/A Requesting Data...3246889837</v>
        <stp/>
        <stp>BDP|1345321285303699337</stp>
        <tr r="AF21" s="1"/>
      </tp>
      <tp t="s">
        <v>#N/A Requesting Data...3733559285</v>
        <stp/>
        <stp>BDP|9055607857049236949</stp>
        <tr r="AH27" s="1"/>
      </tp>
      <tp t="s">
        <v>#N/A Requesting Data...3892774820</v>
        <stp/>
        <stp>BDP|4794644165058660615</stp>
        <tr r="Z73" s="1"/>
      </tp>
      <tp t="s">
        <v>#N/A Requesting Data...3832597811</v>
        <stp/>
        <stp>BDP|9189409382527438866</stp>
        <tr r="E50" s="1"/>
      </tp>
      <tp t="s">
        <v>#N/A Requesting Data...2643014421</v>
        <stp/>
        <stp>BDP|9368214976697061150</stp>
        <tr r="AH36" s="1"/>
      </tp>
      <tp t="s">
        <v>#N/A Requesting Data...3966547827</v>
        <stp/>
        <stp>BDP|8887847305529814370</stp>
        <tr r="F79" s="1"/>
      </tp>
      <tp t="s">
        <v>#N/A Requesting Data...2979464990</v>
        <stp/>
        <stp>BDP|7481307194523117474</stp>
        <tr r="U37" s="1"/>
      </tp>
      <tp t="s">
        <v>#N/A Requesting Data...4134579019</v>
        <stp/>
        <stp>BDP|8057536304275055214</stp>
        <tr r="Q24" s="1"/>
      </tp>
      <tp t="s">
        <v>#N/A Requesting Data...2937058902</v>
        <stp/>
        <stp>BDP|7439786508853452968</stp>
        <tr r="AG72" s="1"/>
      </tp>
      <tp t="s">
        <v>#N/A Requesting Data...3262708047</v>
        <stp/>
        <stp>BDP|7562289529895736857</stp>
        <tr r="G54" s="1"/>
      </tp>
      <tp t="s">
        <v>#N/A Requesting Data...2755277087</v>
        <stp/>
        <stp>BDP|2819932945954000192</stp>
        <tr r="R18" s="1"/>
      </tp>
      <tp t="s">
        <v>#N/A Requesting Data...4038298979</v>
        <stp/>
        <stp>BDP|9479048823732662326</stp>
        <tr r="X44" s="1"/>
      </tp>
      <tp t="s">
        <v>#N/A Requesting Data...2980153864</v>
        <stp/>
        <stp>BDP|7154657796491746329</stp>
        <tr r="K15" s="1"/>
      </tp>
      <tp t="s">
        <v>#N/A Requesting Data...3842154354</v>
        <stp/>
        <stp>BDP|8082486178600672113</stp>
        <tr r="Y69" s="1"/>
      </tp>
      <tp t="s">
        <v>#N/A Requesting Data...2994538387</v>
        <stp/>
        <stp>BDP|3995922952823674688</stp>
        <tr r="Y70" s="1"/>
      </tp>
      <tp t="s">
        <v>#N/A Requesting Data...3508160759</v>
        <stp/>
        <stp>BDP|2040556988151953434</stp>
        <tr r="AH63" s="1"/>
      </tp>
      <tp t="s">
        <v>#N/A Requesting Data...4051262488</v>
        <stp/>
        <stp>BDP|6771875643896045649</stp>
        <tr r="AC7" s="1"/>
      </tp>
      <tp t="s">
        <v>#N/A Requesting Data...2974063226</v>
        <stp/>
        <stp>BDP|3368114986020607054</stp>
        <tr r="O61" s="1"/>
      </tp>
      <tp t="s">
        <v>#N/A Requesting Data...3357559272</v>
        <stp/>
        <stp>BDP|8423542159107595580</stp>
        <tr r="C21" s="1"/>
      </tp>
      <tp t="s">
        <v>#N/A Requesting Data...3743753168</v>
        <stp/>
        <stp>BDP|8489648965834633671</stp>
        <tr r="E66" s="1"/>
      </tp>
      <tp t="s">
        <v>#N/A Requesting Data...3975792871</v>
        <stp/>
        <stp>BDP|4962745592701390180</stp>
        <tr r="G44" s="1"/>
      </tp>
      <tp t="s">
        <v>#N/A Requesting Data...3704087687</v>
        <stp/>
        <stp>BDP|6819897173807557436</stp>
        <tr r="AF33" s="1"/>
      </tp>
      <tp t="s">
        <v>#N/A Requesting Data...3337846836</v>
        <stp/>
        <stp>BDP|5388651797508465814</stp>
        <tr r="AF72" s="1"/>
      </tp>
      <tp t="s">
        <v>#N/A Requesting Data...4108008036</v>
        <stp/>
        <stp>BDP|6038057401358475444</stp>
        <tr r="AC4" s="1"/>
      </tp>
      <tp t="s">
        <v>#N/A Requesting Data...2810644876</v>
        <stp/>
        <stp>BDP|9738249012916121659</stp>
        <tr r="L50" s="1"/>
      </tp>
      <tp t="s">
        <v>#N/A Requesting Data...3477126338</v>
        <stp/>
        <stp>BDP|8930080707535330708</stp>
        <tr r="D13" s="1"/>
      </tp>
      <tp t="s">
        <v>#N/A Requesting Data...4242942350</v>
        <stp/>
        <stp>BDP|5366831500573402413</stp>
        <tr r="J31" s="1"/>
      </tp>
      <tp t="s">
        <v>#N/A Requesting Data...3003309487</v>
        <stp/>
        <stp>BDP|3997318527560280889</stp>
        <tr r="U8" s="1"/>
      </tp>
      <tp t="s">
        <v>#N/A Requesting Data...3672465875</v>
        <stp/>
        <stp>BDP|4931863670519839823</stp>
        <tr r="O56" s="1"/>
      </tp>
      <tp t="s">
        <v>#N/A Requesting Data...2706899187</v>
        <stp/>
        <stp>BDP|2962824839600329342</stp>
        <tr r="AC40" s="1"/>
      </tp>
      <tp t="s">
        <v>#N/A Requesting Data...2681841707</v>
        <stp/>
        <stp>BDP|3573521489484308084</stp>
        <tr r="R13" s="1"/>
      </tp>
      <tp t="s">
        <v>#N/A Requesting Data...3711288807</v>
        <stp/>
        <stp>BDP|9470108035495911523</stp>
        <tr r="Y49" s="1"/>
      </tp>
      <tp t="s">
        <v>#N/A Requesting Data...3169218541</v>
        <stp/>
        <stp>BDP|9973460446123087134</stp>
        <tr r="AD51" s="1"/>
      </tp>
      <tp t="s">
        <v>#N/A Requesting Data...3980178380</v>
        <stp/>
        <stp>BDP|1809238780534868495</stp>
        <tr r="Y21" s="1"/>
      </tp>
      <tp t="s">
        <v>#N/A Requesting Data...2821420626</v>
        <stp/>
        <stp>BDP|3805048715631267818</stp>
        <tr r="H2" s="1"/>
      </tp>
      <tp t="s">
        <v>#N/A Requesting Data...2903888473</v>
        <stp/>
        <stp>BDP|5128533093210834233</stp>
        <tr r="AD12" s="1"/>
      </tp>
      <tp t="s">
        <v>#N/A Requesting Data...3133675469</v>
        <stp/>
        <stp>BDP|2089610868269598078</stp>
        <tr r="L6" s="1"/>
      </tp>
      <tp t="s">
        <v>#N/A Requesting Data...2892914737</v>
        <stp/>
        <stp>BDP|9348098500257200534</stp>
        <tr r="C12" s="1"/>
      </tp>
      <tp t="s">
        <v>#N/A Requesting Data...4055972452</v>
        <stp/>
        <stp>BDP|3117368282356705596</stp>
        <tr r="AE62" s="1"/>
      </tp>
      <tp t="s">
        <v>#N/A Requesting Data...3715051270</v>
        <stp/>
        <stp>BDP|4940652706121598842</stp>
        <tr r="F59" s="1"/>
      </tp>
      <tp t="s">
        <v>#N/A Requesting Data...2916435060</v>
        <stp/>
        <stp>BDP|6404897355462510260</stp>
        <tr r="J49" s="1"/>
      </tp>
      <tp t="s">
        <v>#N/A Requesting Data...2906658686</v>
        <stp/>
        <stp>BDP|6905796818099411272</stp>
        <tr r="N41" s="1"/>
      </tp>
      <tp t="s">
        <v>#N/A Requesting Data...2886144545</v>
        <stp/>
        <stp>BDP|4037982522144724065</stp>
        <tr r="AD76" s="1"/>
      </tp>
      <tp t="s">
        <v>#N/A Requesting Data...3021440630</v>
        <stp/>
        <stp>BDP|1361347349605197876</stp>
        <tr r="C71" s="1"/>
      </tp>
      <tp t="s">
        <v>#N/A Requesting Data...3259811105</v>
        <stp/>
        <stp>BDP|8527586662144576429</stp>
        <tr r="P15" s="1"/>
      </tp>
      <tp t="s">
        <v>#N/A Requesting Data...3118203870</v>
        <stp/>
        <stp>BDP|4672022493182926467</stp>
        <tr r="W55" s="1"/>
      </tp>
      <tp t="s">
        <v>#N/A Requesting Data...4011597596</v>
        <stp/>
        <stp>BDP|8979807171168330435</stp>
        <tr r="Q11" s="1"/>
      </tp>
      <tp t="s">
        <v>#N/A Requesting Data...3691655841</v>
        <stp/>
        <stp>BDP|9218113712425913701</stp>
        <tr r="I39" s="1"/>
      </tp>
      <tp t="s">
        <v>#N/A Requesting Data...3309445193</v>
        <stp/>
        <stp>BDP|7133430154635797885</stp>
        <tr r="W13" s="1"/>
      </tp>
      <tp t="s">
        <v>#N/A Requesting Data...2906505578</v>
        <stp/>
        <stp>BDP|8811926447459396776</stp>
        <tr r="C16" s="1"/>
      </tp>
      <tp t="s">
        <v>#N/A Requesting Data...3250949912</v>
        <stp/>
        <stp>BDP|9541888672654719914</stp>
        <tr r="X62" s="1"/>
      </tp>
      <tp t="s">
        <v>#N/A Requesting Data...3746266433</v>
        <stp/>
        <stp>BDP|8153658669084362703</stp>
        <tr r="Z38" s="1"/>
      </tp>
      <tp t="s">
        <v>#N/A Requesting Data...3257838383</v>
        <stp/>
        <stp>BDP|8982646666337133442</stp>
        <tr r="G55" s="1"/>
      </tp>
      <tp t="s">
        <v>#N/A Requesting Data...3326566077</v>
        <stp/>
        <stp>BDP|4268052547712958976</stp>
        <tr r="M46" s="1"/>
      </tp>
      <tp t="s">
        <v>#N/A Requesting Data...2910930228</v>
        <stp/>
        <stp>BDP|1362102979609601522</stp>
        <tr r="Q48" s="1"/>
      </tp>
      <tp t="s">
        <v>#N/A Requesting Data...3022443828</v>
        <stp/>
        <stp>BDP|9189767702673287692</stp>
        <tr r="Y50" s="1"/>
      </tp>
      <tp t="s">
        <v>#N/A Requesting Data...3174004431</v>
        <stp/>
        <stp>BDP|6627882216481040564</stp>
        <tr r="P29" s="1"/>
      </tp>
      <tp t="s">
        <v>#N/A Requesting Data...3033695900</v>
        <stp/>
        <stp>BDP|4599858828187746210</stp>
        <tr r="K30" s="1"/>
      </tp>
      <tp t="s">
        <v>#N/A Requesting Data...3168668947</v>
        <stp/>
        <stp>BDP|2513138194073869251</stp>
        <tr r="T20" s="1"/>
      </tp>
      <tp t="s">
        <v>#N/A Requesting Data...3756805293</v>
        <stp/>
        <stp>BDP|1192766358001016908</stp>
        <tr r="C50" s="1"/>
      </tp>
      <tp t="s">
        <v>#N/A Requesting Data...4197441317</v>
        <stp/>
        <stp>BDP|8022688177544705643</stp>
        <tr r="K5" s="1"/>
      </tp>
      <tp t="s">
        <v>#N/A Requesting Data...2777206526</v>
        <stp/>
        <stp>BDP|4716821375046878649</stp>
        <tr r="AC6" s="1"/>
      </tp>
      <tp t="s">
        <v>#N/A Requesting Data...3793029399</v>
        <stp/>
        <stp>BDP|5768406583363082189</stp>
        <tr r="I60" s="1"/>
      </tp>
      <tp t="s">
        <v>#N/A Requesting Data...4193803732</v>
        <stp/>
        <stp>BDP|1363837414744943714</stp>
        <tr r="AH40" s="1"/>
      </tp>
      <tp t="s">
        <v>#N/A Requesting Data...3773842994</v>
        <stp/>
        <stp>BDP|8202372207366887671</stp>
        <tr r="U57" s="1"/>
      </tp>
      <tp t="s">
        <v>#N/A Requesting Data...3290538592</v>
        <stp/>
        <stp>BDP|9669233718791378037</stp>
        <tr r="C29" s="1"/>
      </tp>
      <tp t="s">
        <v>#N/A Requesting Data...2820556952</v>
        <stp/>
        <stp>BDP|8244801718632468837</stp>
        <tr r="G13" s="1"/>
      </tp>
      <tp t="s">
        <v>#N/A Requesting Data...2953483151</v>
        <stp/>
        <stp>BDP|2661609596241516789</stp>
        <tr r="L34" s="1"/>
      </tp>
      <tp t="s">
        <v>#N/A Requesting Data...3972662014</v>
        <stp/>
        <stp>BDP|1754393495937612708</stp>
        <tr r="Y9" s="1"/>
      </tp>
      <tp t="s">
        <v>#N/A Requesting Data...3706010930</v>
        <stp/>
        <stp>BDP|2214896260801101687</stp>
        <tr r="V73" s="1"/>
      </tp>
      <tp t="s">
        <v>#N/A Requesting Data...4131725076</v>
        <stp/>
        <stp>BDP|5383516120909267021</stp>
        <tr r="C74" s="1"/>
      </tp>
      <tp t="s">
        <v>#N/A Requesting Data...3229214726</v>
        <stp/>
        <stp>BDP|3038013476829089650</stp>
        <tr r="W49" s="1"/>
      </tp>
      <tp t="s">
        <v>#N/A Requesting Data...3946216132</v>
        <stp/>
        <stp>BDP|4774473943099343625</stp>
        <tr r="M21" s="1"/>
      </tp>
      <tp t="s">
        <v>#N/A Requesting Data...3881825321</v>
        <stp/>
        <stp>BDP|3535083894367273693</stp>
        <tr r="L56" s="1"/>
      </tp>
      <tp t="s">
        <v>#N/A Requesting Data...3666244735</v>
        <stp/>
        <stp>BDP|2936017011660824836</stp>
        <tr r="K45" s="1"/>
      </tp>
      <tp t="s">
        <v>#N/A Requesting Data...3585296823</v>
        <stp/>
        <stp>BDP|7167073087680646451</stp>
        <tr r="AB3" s="1"/>
      </tp>
      <tp t="s">
        <v>#N/A Requesting Data...3767700692</v>
        <stp/>
        <stp>BDP|2532926397541029838</stp>
        <tr r="C68" s="1"/>
      </tp>
      <tp t="s">
        <v>#N/A Requesting Data...4209049847</v>
        <stp/>
        <stp>BDP|1941501217868982648</stp>
        <tr r="K12" s="1"/>
      </tp>
      <tp t="s">
        <v>#N/A Requesting Data...3006384473</v>
        <stp/>
        <stp>BDP|6910109899312140722</stp>
        <tr r="K67" s="1"/>
      </tp>
      <tp t="s">
        <v>#N/A Requesting Data...3655444775</v>
        <stp/>
        <stp>BDP|1301037506762791827</stp>
        <tr r="E67" s="1"/>
      </tp>
      <tp t="s">
        <v>#N/A Requesting Data...2916480704</v>
        <stp/>
        <stp>BDP|8538982765219824534</stp>
        <tr r="AD25" s="1"/>
      </tp>
      <tp t="s">
        <v>#N/A Requesting Data...3675129162</v>
        <stp/>
        <stp>BDP|7885135434266585893</stp>
        <tr r="Z49" s="1"/>
      </tp>
      <tp t="s">
        <v>#N/A Requesting Data...3100471916</v>
        <stp/>
        <stp>BDP|7232558804881616858</stp>
        <tr r="Q46" s="1"/>
      </tp>
      <tp t="s">
        <v>#N/A Requesting Data...3927504519</v>
        <stp/>
        <stp>BDP|4937818354922915052</stp>
        <tr r="AD23" s="1"/>
      </tp>
      <tp t="s">
        <v>#N/A Requesting Data...3652511380</v>
        <stp/>
        <stp>BDP|3138897019188649975</stp>
        <tr r="T50" s="1"/>
      </tp>
      <tp t="s">
        <v>#N/A Requesting Data...2994453381</v>
        <stp/>
        <stp>BDP|1614943550533212515</stp>
        <tr r="C64" s="1"/>
      </tp>
      <tp t="s">
        <v>#N/A Requesting Data...2936041893</v>
        <stp/>
        <stp>BDP|3722827274280653761</stp>
        <tr r="D72" s="1"/>
      </tp>
      <tp t="s">
        <v>#N/A Requesting Data...3524102031</v>
        <stp/>
        <stp>BDP|8541519017494426369</stp>
        <tr r="G49" s="1"/>
      </tp>
      <tp t="s">
        <v>#N/A Requesting Data...3366372915</v>
        <stp/>
        <stp>BDP|9205952836458069004</stp>
        <tr r="D41" s="1"/>
      </tp>
      <tp t="s">
        <v>#N/A Requesting Data...4189845689</v>
        <stp/>
        <stp>BDP|9268680837322916552</stp>
        <tr r="V60" s="1"/>
      </tp>
      <tp t="s">
        <v>#N/A Requesting Data...2786446644</v>
        <stp/>
        <stp>BDP|9089721600007379208</stp>
        <tr r="Z37" s="1"/>
      </tp>
      <tp t="s">
        <v>#N/A Requesting Data...3215694204</v>
        <stp/>
        <stp>BDP|6504846746702883390</stp>
        <tr r="E31" s="1"/>
      </tp>
      <tp t="s">
        <v>#N/A Requesting Data...3996812224</v>
        <stp/>
        <stp>BDP|2472817368584888337</stp>
        <tr r="AA41" s="1"/>
      </tp>
      <tp t="s">
        <v>#N/A Requesting Data...2779709238</v>
        <stp/>
        <stp>BDP|8131835744036036904</stp>
        <tr r="AD71" s="1"/>
      </tp>
      <tp t="s">
        <v>#N/A Requesting Data...4191963470</v>
        <stp/>
        <stp>BDP|2413756235694529975</stp>
        <tr r="J39" s="1"/>
      </tp>
      <tp t="s">
        <v>#N/A Requesting Data...3866478597</v>
        <stp/>
        <stp>BDP|2610597861778994202</stp>
        <tr r="X78" s="1"/>
      </tp>
      <tp t="s">
        <v>#N/A Requesting Data...3438573547</v>
        <stp/>
        <stp>BDP|2765446066878749352</stp>
        <tr r="Q52" s="1"/>
      </tp>
      <tp t="s">
        <v>#N/A Requesting Data...3922922749</v>
        <stp/>
        <stp>BDP|2293757211916379921</stp>
        <tr r="AA67" s="1"/>
      </tp>
      <tp t="s">
        <v>#N/A Requesting Data...3807259185</v>
        <stp/>
        <stp>BDP|4365623587723134201</stp>
        <tr r="J67" s="1"/>
      </tp>
      <tp t="s">
        <v>#N/A Requesting Data...4241818794</v>
        <stp/>
        <stp>BDP|9213571884647571805</stp>
        <tr r="D33" s="1"/>
      </tp>
      <tp t="s">
        <v>#N/A Requesting Data...3366127527</v>
        <stp/>
        <stp>BDP|8593609883775202800</stp>
        <tr r="R68" s="1"/>
      </tp>
      <tp t="s">
        <v>#N/A Requesting Data...4072680780</v>
        <stp/>
        <stp>BDP|7075638196855598655</stp>
        <tr r="V20" s="1"/>
      </tp>
      <tp t="s">
        <v>#N/A Requesting Data...3396771169</v>
        <stp/>
        <stp>BDP|1743041173939506400</stp>
        <tr r="Y22" s="1"/>
      </tp>
      <tp t="s">
        <v>#N/A Requesting Data...3461667085</v>
        <stp/>
        <stp>BDP|2609999069763327500</stp>
        <tr r="D66" s="1"/>
      </tp>
      <tp t="s">
        <v>#N/A Requesting Data...3363117945</v>
        <stp/>
        <stp>BDP|6880933001691975568</stp>
        <tr r="AH73" s="1"/>
      </tp>
      <tp t="s">
        <v>#N/A Requesting Data...3086680040</v>
        <stp/>
        <stp>BDP|8071340280359934182</stp>
        <tr r="H9" s="1"/>
      </tp>
      <tp t="s">
        <v>#N/A Requesting Data...4114817189</v>
        <stp/>
        <stp>BDP|6146312588587814154</stp>
        <tr r="Q51" s="1"/>
      </tp>
      <tp t="s">
        <v>#N/A Requesting Data...3831515632</v>
        <stp/>
        <stp>BDP|7394304032552895139</stp>
        <tr r="AC14" s="1"/>
      </tp>
      <tp t="s">
        <v>#N/A Requesting Data...4209226188</v>
        <stp/>
        <stp>BDP|2783253288534328834</stp>
        <tr r="K36" s="1"/>
      </tp>
      <tp t="s">
        <v>#N/A Requesting Data...3204107985</v>
        <stp/>
        <stp>BDP|4934174107172292315</stp>
        <tr r="D36" s="1"/>
      </tp>
      <tp t="s">
        <v>#N/A Requesting Data...3978021501</v>
        <stp/>
        <stp>BDP|4172574189548437513</stp>
        <tr r="R59" s="1"/>
      </tp>
      <tp t="s">
        <v>#N/A Requesting Data...2943750899</v>
        <stp/>
        <stp>BDP|1750439299410097869</stp>
        <tr r="X52" s="1"/>
      </tp>
      <tp t="s">
        <v>#N/A Requesting Data...3963802879</v>
        <stp/>
        <stp>BDP|5416656438060311415</stp>
        <tr r="J79" s="1"/>
      </tp>
      <tp t="s">
        <v>#N/A Requesting Data...3819662354</v>
        <stp/>
        <stp>BDP|5750580517734160122</stp>
        <tr r="N59" s="1"/>
      </tp>
      <tp t="s">
        <v>#N/A Requesting Data...3941031968</v>
        <stp/>
        <stp>BDP|6761540616710551688</stp>
        <tr r="S14" s="1"/>
      </tp>
      <tp t="s">
        <v>#N/A Requesting Data...2894784954</v>
        <stp/>
        <stp>BDP|5252738461090995011</stp>
        <tr r="H64" s="1"/>
      </tp>
      <tp t="s">
        <v>#N/A Requesting Data...3169143252</v>
        <stp/>
        <stp>BDP|5666513581939794591</stp>
        <tr r="U68" s="1"/>
      </tp>
      <tp t="s">
        <v>#N/A Requesting Data...2797214931</v>
        <stp/>
        <stp>BDP|3813336560572360000</stp>
        <tr r="D58" s="1"/>
      </tp>
      <tp t="s">
        <v>#N/A Requesting Data...3097842287</v>
        <stp/>
        <stp>BDP|1743366375992896344</stp>
        <tr r="P49" s="1"/>
      </tp>
      <tp t="s">
        <v>#N/A Requesting Data...2936301078</v>
        <stp/>
        <stp>BDP|2340744331281952369</stp>
        <tr r="I55" s="1"/>
      </tp>
      <tp t="s">
        <v>#N/A Requesting Data...3010452821</v>
        <stp/>
        <stp>BDP|2102096737691634402</stp>
        <tr r="N20" s="1"/>
      </tp>
      <tp t="s">
        <v>#N/A Requesting Data...3486158897</v>
        <stp/>
        <stp>BDP|8147986510984884081</stp>
        <tr r="F72" s="1"/>
      </tp>
      <tp t="s">
        <v>#N/A Requesting Data...2897879748</v>
        <stp/>
        <stp>BDP|9184393870360264945</stp>
        <tr r="G46" s="1"/>
      </tp>
      <tp t="s">
        <v>#N/A Requesting Data...3420255519</v>
        <stp/>
        <stp>BDP|7954375863947540166</stp>
        <tr r="V77" s="1"/>
      </tp>
      <tp t="s">
        <v>#N/A Requesting Data...3366192783</v>
        <stp/>
        <stp>BDP|1290444814331843146</stp>
        <tr r="AE22" s="1"/>
      </tp>
      <tp t="s">
        <v>#N/A Requesting Data...3089515156</v>
        <stp/>
        <stp>BDP|6160347891328254089</stp>
        <tr r="AB10" s="1"/>
      </tp>
      <tp t="s">
        <v>#N/A Requesting Data...3331590206</v>
        <stp/>
        <stp>BDP|6745098027901324146</stp>
        <tr r="G3" s="1"/>
      </tp>
      <tp t="s">
        <v>#N/A Requesting Data...4145486859</v>
        <stp/>
        <stp>BDP|8951146395586674200</stp>
        <tr r="N73" s="1"/>
      </tp>
      <tp t="s">
        <v>#N/A Requesting Data...3662090381</v>
        <stp/>
        <stp>BDP|3390814989323784426</stp>
        <tr r="T27" s="1"/>
      </tp>
      <tp t="s">
        <v>#N/A Requesting Data...3988346544</v>
        <stp/>
        <stp>BDP|3845177929630826400</stp>
        <tr r="U32" s="1"/>
      </tp>
      <tp t="s">
        <v>#N/A Requesting Data...3867420600</v>
        <stp/>
        <stp>BDP|1326761599409655258</stp>
        <tr r="AC24" s="1"/>
      </tp>
      <tp t="s">
        <v>#N/A Requesting Data...3869551043</v>
        <stp/>
        <stp>BDP|7267409804330863715</stp>
        <tr r="I41" s="1"/>
      </tp>
      <tp t="s">
        <v>#N/A Requesting Data...3941395338</v>
        <stp/>
        <stp>BDP|6352250214319555882</stp>
        <tr r="J50" s="1"/>
      </tp>
      <tp t="s">
        <v>#N/A Requesting Data...3223943894</v>
        <stp/>
        <stp>BDP|2962451437504578514</stp>
        <tr r="AB51" s="1"/>
      </tp>
      <tp t="s">
        <v>#N/A Requesting Data...3344527143</v>
        <stp/>
        <stp>BDP|5061051225991417280</stp>
        <tr r="E32" s="1"/>
      </tp>
      <tp t="s">
        <v>#N/A Requesting Data...3277369991</v>
        <stp/>
        <stp>BDP|4569093239293076091</stp>
        <tr r="E78" s="1"/>
      </tp>
      <tp t="s">
        <v>#N/A Requesting Data...3980227838</v>
        <stp/>
        <stp>BDP|1410135565022967077</stp>
        <tr r="Z66" s="1"/>
      </tp>
      <tp t="s">
        <v>#N/A Requesting Data...3756269916</v>
        <stp/>
        <stp>BDP|6394821798910014357</stp>
        <tr r="J14" s="1"/>
      </tp>
      <tp t="s">
        <v>#N/A Requesting Data...2952462944</v>
        <stp/>
        <stp>BDP|1451659224178135988</stp>
        <tr r="C54" s="1"/>
      </tp>
      <tp t="s">
        <v>#N/A Requesting Data...2962103155</v>
        <stp/>
        <stp>BDP|5384245201413264062</stp>
        <tr r="T19" s="1"/>
      </tp>
      <tp t="s">
        <v>#N/A Requesting Data...2887387603</v>
        <stp/>
        <stp>BDP|6000064635355711468</stp>
        <tr r="AH44" s="1"/>
      </tp>
      <tp t="s">
        <v>#N/A Requesting Data...3384922919</v>
        <stp/>
        <stp>BDP|4590444465817770510</stp>
        <tr r="D57" s="1"/>
      </tp>
      <tp t="s">
        <v>#N/A Requesting Data...3816020174</v>
        <stp/>
        <stp>BDP|7752154221293134304</stp>
        <tr r="M30" s="1"/>
      </tp>
      <tp t="s">
        <v>#N/A Requesting Data...3559134872</v>
        <stp/>
        <stp>BDP|3653021190466310856</stp>
        <tr r="P24" s="1"/>
      </tp>
      <tp t="s">
        <v>#N/A Requesting Data...3640521940</v>
        <stp/>
        <stp>BDP|6917218896500424990</stp>
        <tr r="L45" s="1"/>
      </tp>
      <tp t="s">
        <v>#N/A Requesting Data...2947013644</v>
        <stp/>
        <stp>BDP|4610632188938787697</stp>
        <tr r="R11" s="1"/>
      </tp>
      <tp t="s">
        <v>#N/A Requesting Data...2899469186</v>
        <stp/>
        <stp>BDP|2698233344175075528</stp>
        <tr r="AB60" s="1"/>
      </tp>
      <tp t="s">
        <v>#N/A Requesting Data...3233698340</v>
        <stp/>
        <stp>BDP|7608200368400546787</stp>
        <tr r="T10" s="1"/>
      </tp>
      <tp t="s">
        <v>#N/A Requesting Data...3855655375</v>
        <stp/>
        <stp>BDP|6187773487935833899</stp>
        <tr r="W62" s="1"/>
      </tp>
      <tp t="s">
        <v>#N/A Requesting Data...4030083079</v>
        <stp/>
        <stp>BDP|9555754257536790901</stp>
        <tr r="I26" s="1"/>
      </tp>
      <tp t="s">
        <v>#N/A Requesting Data...2924830459</v>
        <stp/>
        <stp>BDP|6366173922020114177</stp>
        <tr r="AH23" s="1"/>
      </tp>
      <tp t="s">
        <v>#N/A Requesting Data...4190718297</v>
        <stp/>
        <stp>BDP|1274416068937275087</stp>
        <tr r="AG19" s="1"/>
      </tp>
      <tp t="s">
        <v>#N/A Requesting Data...3066304169</v>
        <stp/>
        <stp>BDP|2759300176111280324</stp>
        <tr r="F62" s="1"/>
      </tp>
      <tp t="s">
        <v>#N/A Requesting Data...3511591823</v>
        <stp/>
        <stp>BDP|5841235708090035328</stp>
        <tr r="O65" s="1"/>
      </tp>
      <tp t="s">
        <v>#N/A Requesting Data...3866867215</v>
        <stp/>
        <stp>BDP|4447374400860000324</stp>
        <tr r="L37" s="1"/>
      </tp>
      <tp t="s">
        <v>#N/A Requesting Data...3174564002</v>
        <stp/>
        <stp>BDP|7227627770577466555</stp>
        <tr r="X53" s="1"/>
      </tp>
      <tp t="s">
        <v>#N/A Requesting Data...3073737157</v>
        <stp/>
        <stp>BDP|2475470112714936791</stp>
        <tr r="U61" s="1"/>
      </tp>
      <tp t="s">
        <v>#N/A Requesting Data...4273329942</v>
        <stp/>
        <stp>BDP|3207390323432089499</stp>
        <tr r="AG56" s="1"/>
      </tp>
      <tp t="s">
        <v>#N/A Requesting Data...4110539555</v>
        <stp/>
        <stp>BDP|6134122553774128203</stp>
        <tr r="P69" s="1"/>
      </tp>
      <tp t="s">
        <v>#N/A Requesting Data...3291400683</v>
        <stp/>
        <stp>BDP|3106389756947951673</stp>
        <tr r="AC8" s="1"/>
      </tp>
      <tp t="s">
        <v>#N/A Requesting Data...3197825257</v>
        <stp/>
        <stp>BDP|5970315776625970065</stp>
        <tr r="C79" s="1"/>
      </tp>
      <tp t="s">
        <v>#N/A Requesting Data...2875497580</v>
        <stp/>
        <stp>BDP|6159618636435259225</stp>
        <tr r="F52" s="1"/>
      </tp>
      <tp t="s">
        <v>#N/A Requesting Data...2924333224</v>
        <stp/>
        <stp>BDP|8376070495871778409</stp>
        <tr r="AA7" s="1"/>
      </tp>
      <tp t="s">
        <v>#N/A Requesting Data...2972560393</v>
        <stp/>
        <stp>BDP|5175066662511408671</stp>
        <tr r="V2" s="1"/>
      </tp>
      <tp t="s">
        <v>#N/A Requesting Data...3574216927</v>
        <stp/>
        <stp>BDP|9194254345549687217</stp>
        <tr r="O45" s="1"/>
      </tp>
      <tp t="s">
        <v>#N/A Requesting Data...4101063463</v>
        <stp/>
        <stp>BDP|2311748520184960790</stp>
        <tr r="S68" s="1"/>
      </tp>
      <tp t="s">
        <v>#N/A Requesting Data...3979933286</v>
        <stp/>
        <stp>BDP|6226733757795534544</stp>
        <tr r="X41" s="1"/>
      </tp>
      <tp t="s">
        <v>#N/A Requesting Data...3150058019</v>
        <stp/>
        <stp>BDP|2077044543342865086</stp>
        <tr r="H42" s="1"/>
      </tp>
      <tp t="s">
        <v>#N/A Requesting Data...3536733796</v>
        <stp/>
        <stp>BDP|2208600212245338444</stp>
        <tr r="N16" s="1"/>
      </tp>
      <tp t="s">
        <v>#N/A Requesting Data...3281107025</v>
        <stp/>
        <stp>BDP|5184044547564358168</stp>
        <tr r="N58" s="1"/>
      </tp>
      <tp t="s">
        <v>#N/A Requesting Data...3431748196</v>
        <stp/>
        <stp>BDP|1068807080060083541</stp>
        <tr r="W9" s="1"/>
      </tp>
      <tp t="s">
        <v>#N/A Requesting Data...4052557386</v>
        <stp/>
        <stp>BDP|4484564271472524027</stp>
        <tr r="O76" s="1"/>
      </tp>
      <tp t="s">
        <v>#N/A Requesting Data...2869047653</v>
        <stp/>
        <stp>BDP|4515216422565789557</stp>
        <tr r="Q56" s="1"/>
      </tp>
      <tp t="s">
        <v>#N/A Requesting Data...3075177100</v>
        <stp/>
        <stp>BDP|8481576685615508477</stp>
        <tr r="G52" s="1"/>
      </tp>
      <tp t="s">
        <v>#N/A Requesting Data...3146389648</v>
        <stp/>
        <stp>BDP|1418472773325295366</stp>
        <tr r="N5" s="1"/>
      </tp>
      <tp t="s">
        <v>#N/A Requesting Data...2988190415</v>
        <stp/>
        <stp>BDP|4497959496558566865</stp>
        <tr r="AA18" s="1"/>
      </tp>
      <tp t="s">
        <v>#N/A Requesting Data...4036754789</v>
        <stp/>
        <stp>BDP|2151427215946531566</stp>
        <tr r="AE12" s="1"/>
      </tp>
      <tp t="s">
        <v>#N/A Requesting Data...2965917438</v>
        <stp/>
        <stp>BDP|8635176636059739757</stp>
        <tr r="X22" s="1"/>
      </tp>
      <tp t="s">
        <v>#N/A Requesting Data...3972773722</v>
        <stp/>
        <stp>BDP|9248505345115337911</stp>
        <tr r="J71" s="1"/>
      </tp>
      <tp t="s">
        <v>#N/A Requesting Data...3622093792</v>
        <stp/>
        <stp>BDP|8801766684521927266</stp>
        <tr r="M24" s="1"/>
      </tp>
      <tp t="s">
        <v>#N/A Requesting Data...3619647431</v>
        <stp/>
        <stp>BDP|3833732033535649749</stp>
        <tr r="AB31" s="1"/>
      </tp>
      <tp t="s">
        <v>#N/A Requesting Data...3455107444</v>
        <stp/>
        <stp>BDP|6908975752127716819</stp>
        <tr r="U62" s="1"/>
      </tp>
      <tp t="s">
        <v>#N/A Requesting Data...3514299263</v>
        <stp/>
        <stp>BDP|9469170439849760779</stp>
        <tr r="V67" s="1"/>
      </tp>
      <tp t="s">
        <v>#N/A Requesting Data...4262849389</v>
        <stp/>
        <stp>BDP|9879879237622611549</stp>
        <tr r="S66" s="1"/>
      </tp>
      <tp t="s">
        <v>#N/A Requesting Data...3203945617</v>
        <stp/>
        <stp>BDP|3303149766862317387</stp>
        <tr r="X29" s="1"/>
      </tp>
      <tp t="s">
        <v>#N/A Requesting Data...3493212247</v>
        <stp/>
        <stp>BDP|3406234839054581304</stp>
        <tr r="U27" s="1"/>
      </tp>
      <tp t="s">
        <v>#N/A Requesting Data...3904296380</v>
        <stp/>
        <stp>BDP|3583351939320223600</stp>
        <tr r="AE15" s="1"/>
      </tp>
      <tp t="s">
        <v>#N/A Requesting Data...4291621583</v>
        <stp/>
        <stp>BDP|9097500958665759946</stp>
        <tr r="AC26" s="1"/>
      </tp>
      <tp t="s">
        <v>#N/A Requesting Data...4260425352</v>
        <stp/>
        <stp>BDP|1922584241252390782</stp>
        <tr r="U30" s="1"/>
      </tp>
      <tp t="s">
        <v>#N/A Requesting Data...4068399039</v>
        <stp/>
        <stp>BDP|7428969546278646798</stp>
        <tr r="D78" s="1"/>
      </tp>
      <tp t="s">
        <v>#N/A Requesting Data...3982192369</v>
        <stp/>
        <stp>BDP|5729658484157779990</stp>
        <tr r="Q32" s="1"/>
      </tp>
      <tp t="s">
        <v>#N/A Requesting Data...4272316986</v>
        <stp/>
        <stp>BDP|4629753936510898551</stp>
        <tr r="Q79" s="1"/>
      </tp>
      <tp t="s">
        <v>#N/A Requesting Data...3946648730</v>
        <stp/>
        <stp>BDP|9544765129110251900</stp>
        <tr r="D47" s="1"/>
      </tp>
      <tp t="s">
        <v>#N/A Requesting Data...4072660987</v>
        <stp/>
        <stp>BDP|7617115769800598530</stp>
        <tr r="G43" s="1"/>
      </tp>
      <tp t="s">
        <v>#N/A Requesting Data...3432768226</v>
        <stp/>
        <stp>BDP|2902019851985498747</stp>
        <tr r="Z69" s="1"/>
      </tp>
      <tp t="s">
        <v>#N/A Requesting Data...4137291186</v>
        <stp/>
        <stp>BDP|6821414211675381329</stp>
        <tr r="AG35" s="1"/>
      </tp>
      <tp t="s">
        <v>#N/A Requesting Data...3196323292</v>
        <stp/>
        <stp>BDP|2357392124493030573</stp>
        <tr r="E39" s="1"/>
      </tp>
      <tp t="s">
        <v>#N/A Requesting Data...2935778485</v>
        <stp/>
        <stp>BDP|1232621645272477485</stp>
        <tr r="I18" s="1"/>
      </tp>
      <tp t="s">
        <v>#N/A Requesting Data...3980709337</v>
        <stp/>
        <stp>BDP|2593541207460979213</stp>
        <tr r="Z32" s="1"/>
      </tp>
      <tp t="s">
        <v>#N/A Requesting Data...3859896187</v>
        <stp/>
        <stp>BDP|8548891324870537726</stp>
        <tr r="AB62" s="1"/>
      </tp>
      <tp t="s">
        <v>#N/A Requesting Data...3772776482</v>
        <stp/>
        <stp>BDP|1030327069511485003</stp>
        <tr r="AC52" s="1"/>
      </tp>
      <tp t="s">
        <v>#N/A Requesting Data...3695591092</v>
        <stp/>
        <stp>BDP|7549626368724410649</stp>
        <tr r="T48" s="1"/>
      </tp>
      <tp t="s">
        <v>#N/A Requesting Data...3074280080</v>
        <stp/>
        <stp>BDP|2253350381525015992</stp>
        <tr r="V27" s="1"/>
      </tp>
      <tp t="s">
        <v>#N/A Requesting Data...3500608277</v>
        <stp/>
        <stp>BDP|2615835669241454874</stp>
        <tr r="L36" s="1"/>
      </tp>
      <tp t="s">
        <v>#N/A Requesting Data...3285052884</v>
        <stp/>
        <stp>BDP|7300794861965109665</stp>
        <tr r="F31" s="1"/>
      </tp>
      <tp t="s">
        <v>#N/A Requesting Data...3869792979</v>
        <stp/>
        <stp>BDP|1923896113158656589</stp>
        <tr r="K62" s="1"/>
      </tp>
      <tp t="s">
        <v>#N/A Requesting Data...3630455896</v>
        <stp/>
        <stp>BDP|8925820027681562642</stp>
        <tr r="N60" s="1"/>
      </tp>
      <tp t="s">
        <v>#N/A Requesting Data...3315518907</v>
        <stp/>
        <stp>BDP|1278042360030362283</stp>
        <tr r="U47" s="1"/>
      </tp>
      <tp t="s">
        <v>#N/A Requesting Data...3698049745</v>
        <stp/>
        <stp>BDP|7784467446440320262</stp>
        <tr r="X70" s="1"/>
      </tp>
      <tp t="s">
        <v>#N/A Requesting Data...3789646013</v>
        <stp/>
        <stp>BDP|4584674461830102108</stp>
        <tr r="AB67" s="1"/>
      </tp>
      <tp t="s">
        <v>#N/A Requesting Data...3949357889</v>
        <stp/>
        <stp>BDP|4446385589818647213</stp>
        <tr r="D71" s="1"/>
      </tp>
      <tp t="s">
        <v>#N/A Requesting Data...3572594575</v>
        <stp/>
        <stp>BDP|9615057488202964602</stp>
        <tr r="F10" s="1"/>
      </tp>
      <tp t="s">
        <v>#N/A Requesting Data...4023905178</v>
        <stp/>
        <stp>BDP|1140138259146987606</stp>
        <tr r="J65" s="1"/>
      </tp>
      <tp t="s">
        <v>#N/A Requesting Data...3712559300</v>
        <stp/>
        <stp>BDP|8043237080076080119</stp>
        <tr r="AD57" s="1"/>
      </tp>
      <tp t="s">
        <v>#N/A Requesting Data...3279774682</v>
        <stp/>
        <stp>BDP|4731771413451840694</stp>
        <tr r="O78" s="1"/>
      </tp>
      <tp t="s">
        <v>#N/A Requesting Data...3646998255</v>
        <stp/>
        <stp>BDP|8416775277459512429</stp>
        <tr r="Z44" s="1"/>
      </tp>
      <tp t="s">
        <v>#N/A Requesting Data...4055825838</v>
        <stp/>
        <stp>BDP|8164712354269595624</stp>
        <tr r="AF2" s="1"/>
      </tp>
      <tp t="s">
        <v>#N/A Requesting Data...3081934919</v>
        <stp/>
        <stp>BDP|8569667834221362979</stp>
        <tr r="L73" s="1"/>
      </tp>
      <tp t="s">
        <v>#N/A Requesting Data...3507790880</v>
        <stp/>
        <stp>BDP|6349018649163870406</stp>
        <tr r="S10" s="1"/>
      </tp>
      <tp t="s">
        <v>#N/A Requesting Data...3811018954</v>
        <stp/>
        <stp>BDP|3976080321910795449</stp>
        <tr r="F44" s="1"/>
      </tp>
      <tp t="s">
        <v>#N/A Requesting Data...4104141942</v>
        <stp/>
        <stp>BDP|3344265108003902770</stp>
        <tr r="O36" s="1"/>
      </tp>
      <tp t="s">
        <v>#N/A Requesting Data...3389861647</v>
        <stp/>
        <stp>BDP|8528942367325019752</stp>
        <tr r="M10" s="1"/>
      </tp>
      <tp t="s">
        <v>#N/A Requesting Data...3318661934</v>
        <stp/>
        <stp>BDP|9059472146238492469</stp>
        <tr r="S11" s="1"/>
      </tp>
      <tp t="s">
        <v>#N/A Requesting Data...3096181496</v>
        <stp/>
        <stp>BDP|5716281065501031592</stp>
        <tr r="AF73" s="1"/>
      </tp>
      <tp t="s">
        <v>#N/A N/A</v>
        <stp/>
        <stp>BDP|2517615449765449098</stp>
        <tr r="AJ50" s="1"/>
        <tr r="AJ9" s="1"/>
        <tr r="AJ68" s="1"/>
        <tr r="AJ27" s="1"/>
        <tr r="AJ22" s="1"/>
        <tr r="AJ30" s="1"/>
        <tr r="AJ4" s="1"/>
        <tr r="AJ25" s="1"/>
        <tr r="AJ29" s="1"/>
        <tr r="AJ33" s="1"/>
        <tr r="AJ62" s="1"/>
        <tr r="AJ61" s="1"/>
        <tr r="AJ44" s="1"/>
        <tr r="AJ3" s="1"/>
        <tr r="AJ23" s="1"/>
        <tr r="AJ8" s="1"/>
        <tr r="AJ71" s="1"/>
        <tr r="AJ55" s="1"/>
        <tr r="AJ15" s="1"/>
        <tr r="AJ63" s="1"/>
        <tr r="AJ77" s="1"/>
        <tr r="AJ24" s="1"/>
        <tr r="AJ60" s="1"/>
        <tr r="AJ67" s="1"/>
        <tr r="AJ31" s="1"/>
        <tr r="AJ36" s="1"/>
        <tr r="AJ18" s="1"/>
        <tr r="AJ37" s="1"/>
        <tr r="AJ66" s="1"/>
        <tr r="AJ42" s="1"/>
        <tr r="AJ69" s="1"/>
        <tr r="AJ58" s="1"/>
        <tr r="AJ38" s="1"/>
        <tr r="AJ28" s="1"/>
        <tr r="AJ16" s="1"/>
        <tr r="AJ19" s="1"/>
        <tr r="AJ2" s="1"/>
        <tr r="AJ41" s="1"/>
        <tr r="AJ21" s="1"/>
        <tr r="AJ46" s="1"/>
        <tr r="AJ5" s="1"/>
        <tr r="AJ34" s="1"/>
        <tr r="AJ51" s="1"/>
      </tp>
      <tp t="s">
        <v>#N/A Requesting Data...3089016498</v>
        <stp/>
        <stp>BDP|8199975190289110471</stp>
        <tr r="AF64" s="1"/>
      </tp>
      <tp t="s">
        <v>#N/A Requesting Data...3632285470</v>
        <stp/>
        <stp>BDP|5554352139749919907</stp>
        <tr r="W54" s="1"/>
      </tp>
      <tp t="s">
        <v>#N/A Requesting Data...3118887557</v>
        <stp/>
        <stp>BDP|8777248327055733825</stp>
        <tr r="AF9" s="1"/>
      </tp>
      <tp t="s">
        <v>#N/A Requesting Data...4131696718</v>
        <stp/>
        <stp>BDP|1996408044687880345</stp>
        <tr r="H6" s="1"/>
      </tp>
      <tp t="s">
        <v>#N/A Requesting Data...3441326054</v>
        <stp/>
        <stp>BDP|6677342854564743108</stp>
        <tr r="I56" s="1"/>
      </tp>
      <tp t="s">
        <v>#N/A Requesting Data...3364262308</v>
        <stp/>
        <stp>BDP|6246524714547449010</stp>
        <tr r="AH72" s="1"/>
      </tp>
      <tp t="s">
        <v>#N/A Requesting Data...3557862344</v>
        <stp/>
        <stp>BDP|8276072598426870245</stp>
        <tr r="I29" s="1"/>
      </tp>
      <tp t="s">
        <v>#N/A Requesting Data...3644168615</v>
        <stp/>
        <stp>BDP|5715116373265203363</stp>
        <tr r="AB44" s="1"/>
      </tp>
      <tp t="s">
        <v>#N/A Requesting Data...3757153243</v>
        <stp/>
        <stp>BDP|4503253135885294564</stp>
        <tr r="D11" s="1"/>
      </tp>
      <tp t="s">
        <v>#N/A Requesting Data...4172563154</v>
        <stp/>
        <stp>BDP|2138723624420414255</stp>
        <tr r="E29" s="1"/>
      </tp>
      <tp t="s">
        <v>#N/A Requesting Data...4272951664</v>
        <stp/>
        <stp>BDP|4561233265826172349</stp>
        <tr r="E48" s="1"/>
      </tp>
      <tp t="s">
        <v>#N/A Requesting Data...3746234898</v>
        <stp/>
        <stp>BDP|7093501771885754507</stp>
        <tr r="T30" s="1"/>
      </tp>
      <tp t="s">
        <v>#N/A Requesting Data...4086470900</v>
        <stp/>
        <stp>BDP|1868390134943515768</stp>
        <tr r="I4" s="1"/>
      </tp>
      <tp t="s">
        <v>#N/A Requesting Data...3260664236</v>
        <stp/>
        <stp>BDP|5519634170745964488</stp>
        <tr r="I68" s="1"/>
      </tp>
      <tp t="s">
        <v>#N/A Requesting Data...3456817768</v>
        <stp/>
        <stp>BDP|2788183349146486457</stp>
        <tr r="F3" s="1"/>
      </tp>
      <tp t="s">
        <v>#N/A Requesting Data...4033869667</v>
        <stp/>
        <stp>BDP|2046372101680077410</stp>
        <tr r="O35" s="1"/>
      </tp>
      <tp t="s">
        <v>#N/A Requesting Data...4227290173</v>
        <stp/>
        <stp>BDP|3918495201051437321</stp>
        <tr r="AF77" s="1"/>
      </tp>
      <tp t="s">
        <v>#N/A Requesting Data...3886865932</v>
        <stp/>
        <stp>BDP|4746415495389142550</stp>
        <tr r="AG75" s="1"/>
      </tp>
      <tp t="s">
        <v>#N/A Requesting Data...3800137886</v>
        <stp/>
        <stp>BDP|3394170681338743765</stp>
        <tr r="U74" s="1"/>
      </tp>
      <tp t="s">
        <v>#N/A Requesting Data...3954905819</v>
        <stp/>
        <stp>BDP|8399666597690327251</stp>
        <tr r="AH8" s="1"/>
      </tp>
      <tp t="s">
        <v>#N/A Requesting Data...3579501507</v>
        <stp/>
        <stp>BDP|6389333924287071500</stp>
        <tr r="C19" s="1"/>
      </tp>
      <tp t="s">
        <v>#N/A Requesting Data...3456279074</v>
        <stp/>
        <stp>BDP|2832173067560916054</stp>
        <tr r="AD20" s="1"/>
      </tp>
      <tp t="s">
        <v>#N/A Requesting Data...3023296108</v>
        <stp/>
        <stp>BDP|7560307815186043642</stp>
        <tr r="P38" s="1"/>
      </tp>
      <tp t="s">
        <v>#N/A Requesting Data...3087542842</v>
        <stp/>
        <stp>BDP|3523763001784194560</stp>
        <tr r="Y32" s="1"/>
      </tp>
      <tp t="s">
        <v>#N/A Requesting Data...4267452347</v>
        <stp/>
        <stp>BDP|2659551634750662144</stp>
        <tr r="S24" s="1"/>
      </tp>
      <tp t="s">
        <v>#N/A Requesting Data...3835572032</v>
        <stp/>
        <stp>BDP|1796129342720237104</stp>
        <tr r="AD30" s="1"/>
      </tp>
      <tp t="s">
        <v>#N/A Requesting Data...3071960511</v>
        <stp/>
        <stp>BDP|1896684924995471551</stp>
        <tr r="C51" s="1"/>
      </tp>
      <tp t="s">
        <v>#N/A Requesting Data...4185389382</v>
        <stp/>
        <stp>BDP|5393380645961271690</stp>
        <tr r="D46" s="1"/>
      </tp>
    </main>
    <main first="bofaddin.rtdserver">
      <tp t="s">
        <v>#N/A Requesting Data...2981892225</v>
        <stp/>
        <stp>BDP|6510507133835870342</stp>
        <tr r="R34" s="1"/>
      </tp>
      <tp t="s">
        <v>#N/A Requesting Data...4018283227</v>
        <stp/>
        <stp>BDP|3411449179536744044</stp>
        <tr r="P58" s="1"/>
      </tp>
      <tp t="s">
        <v>#N/A Requesting Data...3723765099</v>
        <stp/>
        <stp>BDP|8475723403711621891</stp>
        <tr r="O79" s="1"/>
      </tp>
      <tp t="s">
        <v>#N/A Requesting Data...4031361120</v>
        <stp/>
        <stp>BDP|5339791245254339479</stp>
        <tr r="AC36" s="1"/>
      </tp>
      <tp t="s">
        <v>#N/A Requesting Data...2968433276</v>
        <stp/>
        <stp>BDP|4917456046843471154</stp>
        <tr r="Z29" s="1"/>
      </tp>
      <tp t="s">
        <v>#N/A Requesting Data...3570821533</v>
        <stp/>
        <stp>BDP|8784326759068026079</stp>
        <tr r="AB37" s="1"/>
      </tp>
      <tp t="s">
        <v>#N/A Requesting Data...3831912858</v>
        <stp/>
        <stp>BDP|5828650504914590175</stp>
        <tr r="K19" s="1"/>
      </tp>
      <tp t="s">
        <v>#N/A Requesting Data...3252433548</v>
        <stp/>
        <stp>BDP|7286195542926882295</stp>
        <tr r="C45" s="1"/>
      </tp>
      <tp t="s">
        <v>#N/A Requesting Data...3466678327</v>
        <stp/>
        <stp>BDP|2297142766260886309</stp>
        <tr r="H26" s="1"/>
      </tp>
      <tp t="s">
        <v>#N/A Requesting Data...3048777447</v>
        <stp/>
        <stp>BDP|3723288625862368718</stp>
        <tr r="N10" s="1"/>
      </tp>
      <tp t="s">
        <v>#N/A Requesting Data...3808065387</v>
        <stp/>
        <stp>BDP|6050677568627012774</stp>
        <tr r="Z13" s="1"/>
      </tp>
      <tp t="s">
        <v>#N/A Requesting Data...3255448201</v>
        <stp/>
        <stp>BDP|4564392064605080209</stp>
        <tr r="G47" s="1"/>
      </tp>
      <tp t="s">
        <v>#N/A Requesting Data...4221198744</v>
        <stp/>
        <stp>BDP|7714568445220575099</stp>
        <tr r="AB34" s="1"/>
      </tp>
      <tp t="s">
        <v>#N/A Requesting Data...3385100158</v>
        <stp/>
        <stp>BDP|9971575991494383756</stp>
        <tr r="AF7" s="1"/>
      </tp>
      <tp t="s">
        <v>#N/A Requesting Data...4034637048</v>
        <stp/>
        <stp>BDP|8890555096070349210</stp>
        <tr r="Y42" s="1"/>
      </tp>
      <tp t="s">
        <v>#N/A Requesting Data...3642005167</v>
        <stp/>
        <stp>BDP|2105948903579820474</stp>
        <tr r="AF48" s="1"/>
      </tp>
      <tp t="s">
        <v>#N/A Requesting Data...3708591778</v>
        <stp/>
        <stp>BDP|2343895289623299784</stp>
        <tr r="M3" s="1"/>
      </tp>
      <tp t="s">
        <v>#N/A Requesting Data...4228054078</v>
        <stp/>
        <stp>BDP|3832267707565094207</stp>
        <tr r="AA77" s="1"/>
      </tp>
      <tp t="s">
        <v>#N/A Requesting Data...4045663500</v>
        <stp/>
        <stp>BDP|1452333903266954240</stp>
        <tr r="W75" s="1"/>
      </tp>
      <tp t="s">
        <v>#N/A Requesting Data...4268802976</v>
        <stp/>
        <stp>BDP|7929162006104286429</stp>
        <tr r="U28" s="1"/>
      </tp>
      <tp t="s">
        <v>#N/A Requesting Data...3397836859</v>
        <stp/>
        <stp>BDP|9089660664677576891</stp>
        <tr r="AE52" s="1"/>
      </tp>
      <tp t="s">
        <v>#N/A Requesting Data...3026387152</v>
        <stp/>
        <stp>BDP|5615133956643802459</stp>
        <tr r="C61" s="1"/>
      </tp>
      <tp t="s">
        <v>#N/A Requesting Data...4083468419</v>
        <stp/>
        <stp>BDP|2159003201653918775</stp>
        <tr r="D79" s="1"/>
      </tp>
      <tp t="s">
        <v>#N/A Requesting Data...3466385099</v>
        <stp/>
        <stp>BDP|5820696309277175261</stp>
        <tr r="M39" s="1"/>
      </tp>
      <tp t="s">
        <v>#N/A Requesting Data...3519699509</v>
        <stp/>
        <stp>BDP|4764625211922122791</stp>
        <tr r="AG58" s="1"/>
      </tp>
      <tp t="s">
        <v>#N/A Requesting Data...4142544427</v>
        <stp/>
        <stp>BDP|2296342050637818523</stp>
        <tr r="AB28" s="1"/>
      </tp>
      <tp t="s">
        <v>#N/A Requesting Data...3317351316</v>
        <stp/>
        <stp>BDP|5173469250091392388</stp>
        <tr r="P33" s="1"/>
      </tp>
      <tp t="s">
        <v>#N/A Requesting Data...3555702968</v>
        <stp/>
        <stp>BDP|6173693471537667635</stp>
        <tr r="R27" s="1"/>
      </tp>
      <tp t="s">
        <v>#N/A Requesting Data...3221865711</v>
        <stp/>
        <stp>BDP|5687135919576835589</stp>
        <tr r="D16" s="1"/>
      </tp>
      <tp t="s">
        <v>#N/A Requesting Data...4289328011</v>
        <stp/>
        <stp>BDP|4681700919043508774</stp>
        <tr r="P39" s="1"/>
      </tp>
      <tp t="s">
        <v>#N/A Requesting Data...4135364024</v>
        <stp/>
        <stp>BDP|6446435395999204421</stp>
        <tr r="M18" s="1"/>
      </tp>
      <tp t="s">
        <v>#N/A Requesting Data...4070472884</v>
        <stp/>
        <stp>BDP|1220255567364336716</stp>
        <tr r="G21" s="1"/>
      </tp>
      <tp t="s">
        <v>#N/A Requesting Data...3369683802</v>
        <stp/>
        <stp>BDP|1467630037663317110</stp>
        <tr r="Y55" s="1"/>
      </tp>
      <tp t="s">
        <v>#N/A Requesting Data...3999837165</v>
        <stp/>
        <stp>BDP|4396148351762611426</stp>
        <tr r="C26" s="1"/>
      </tp>
      <tp t="s">
        <v>#N/A Requesting Data...4147448492</v>
        <stp/>
        <stp>BDP|7198619032211228520</stp>
        <tr r="G14" s="1"/>
      </tp>
      <tp t="s">
        <v>#N/A Requesting Data...4221916947</v>
        <stp/>
        <stp>BDP|5579012303351357263</stp>
        <tr r="F77" s="1"/>
      </tp>
      <tp t="s">
        <v>#N/A Requesting Data...3299694753</v>
        <stp/>
        <stp>BDP|7003311897969270268</stp>
        <tr r="Q4" s="1"/>
      </tp>
      <tp t="s">
        <v>#N/A Requesting Data...3805415320</v>
        <stp/>
        <stp>BDP|9429272181545805083</stp>
        <tr r="Y43" s="1"/>
      </tp>
      <tp t="s">
        <v>#N/A Requesting Data...3565954264</v>
        <stp/>
        <stp>BDP|4373145837147683750</stp>
        <tr r="O37" s="1"/>
      </tp>
      <tp t="s">
        <v>#N/A Requesting Data...3654662580</v>
        <stp/>
        <stp>BDP|2542626933789097871</stp>
        <tr r="AH47" s="1"/>
      </tp>
      <tp t="s">
        <v>#N/A Requesting Data...4265126548</v>
        <stp/>
        <stp>BDP|5591867296490115277</stp>
        <tr r="W3" s="1"/>
      </tp>
      <tp t="s">
        <v>#N/A Requesting Data...3043213873</v>
        <stp/>
        <stp>BDP|3155783213842060199</stp>
        <tr r="AC23" s="1"/>
      </tp>
      <tp t="s">
        <v>#N/A Requesting Data...3403259607</v>
        <stp/>
        <stp>BDP|6520907015480220813</stp>
        <tr r="U22" s="1"/>
      </tp>
      <tp t="s">
        <v>#N/A Requesting Data...3360941215</v>
        <stp/>
        <stp>BDP|8751872468480855033</stp>
        <tr r="P60" s="1"/>
      </tp>
      <tp t="s">
        <v>#N/A Requesting Data...3525477213</v>
        <stp/>
        <stp>BDP|7506774826855212159</stp>
        <tr r="S67" s="1"/>
      </tp>
      <tp t="s">
        <v>#N/A Requesting Data...3105247503</v>
        <stp/>
        <stp>BDP|1585206159193456382</stp>
        <tr r="D53" s="1"/>
      </tp>
      <tp t="s">
        <v>#N/A Requesting Data...3319793247</v>
        <stp/>
        <stp>BDP|3236768038053878243</stp>
        <tr r="Q19" s="1"/>
      </tp>
      <tp t="s">
        <v>#N/A Requesting Data...3172598014</v>
        <stp/>
        <stp>BDP|4426671424976231059</stp>
        <tr r="L62" s="1"/>
      </tp>
      <tp t="s">
        <v>#N/A Requesting Data...3819574861</v>
        <stp/>
        <stp>BDP|5511247038050125281</stp>
        <tr r="U2" s="1"/>
      </tp>
      <tp t="s">
        <v>#N/A Requesting Data...4193717488</v>
        <stp/>
        <stp>BDP|4525103045220365730</stp>
        <tr r="Y29" s="1"/>
      </tp>
      <tp t="s">
        <v>#N/A Requesting Data...3670012034</v>
        <stp/>
        <stp>BDP|9972839373615947508</stp>
        <tr r="D75" s="1"/>
      </tp>
      <tp t="s">
        <v>#N/A Requesting Data...3739124868</v>
        <stp/>
        <stp>BDP|6219075203306563629</stp>
        <tr r="P19" s="1"/>
      </tp>
      <tp t="s">
        <v>#N/A Requesting Data...3214809431</v>
        <stp/>
        <stp>BDP|6619744470713095336</stp>
        <tr r="C10" s="1"/>
      </tp>
      <tp t="s">
        <v>#N/A Requesting Data...4114178699</v>
        <stp/>
        <stp>BDP|1742357078910898336</stp>
        <tr r="AC62" s="1"/>
      </tp>
      <tp t="s">
        <v>#N/A Requesting Data...3138924400</v>
        <stp/>
        <stp>BDP|8347805770348747952</stp>
        <tr r="AE50" s="1"/>
      </tp>
      <tp t="s">
        <v>#N/A Requesting Data...3393848158</v>
        <stp/>
        <stp>BDP|4061593472401950132</stp>
        <tr r="R25" s="1"/>
      </tp>
      <tp t="s">
        <v>#N/A Requesting Data...3373276604</v>
        <stp/>
        <stp>BDP|2354400712101814083</stp>
        <tr r="L19" s="1"/>
      </tp>
      <tp t="s">
        <v>#N/A Requesting Data...3794446789</v>
        <stp/>
        <stp>BDP|1177749124020712206</stp>
        <tr r="Z76" s="1"/>
      </tp>
      <tp t="s">
        <v>#N/A Requesting Data...3433699892</v>
        <stp/>
        <stp>BDP|6437138906153017274</stp>
        <tr r="AA2" s="1"/>
      </tp>
      <tp t="s">
        <v>#N/A Requesting Data...3239513038</v>
        <stp/>
        <stp>BDP|2702470614081100035</stp>
        <tr r="S44" s="1"/>
      </tp>
      <tp t="s">
        <v>#N/A Requesting Data...3435147258</v>
        <stp/>
        <stp>BDP|6955137886301302894</stp>
        <tr r="R56" s="1"/>
      </tp>
      <tp t="s">
        <v>#N/A Requesting Data...3433854323</v>
        <stp/>
        <stp>BDP|8728609483941197122</stp>
        <tr r="Y57" s="1"/>
      </tp>
      <tp t="s">
        <v>#N/A Requesting Data...4046308358</v>
        <stp/>
        <stp>BDP|4719244456782669746</stp>
        <tr r="AC18" s="1"/>
      </tp>
      <tp t="s">
        <v>#N/A Requesting Data...3020392604</v>
        <stp/>
        <stp>BDP|5022265207778117977</stp>
        <tr r="P37" s="1"/>
      </tp>
      <tp t="s">
        <v>#N/A Requesting Data...3132613829</v>
        <stp/>
        <stp>BDP|5087264687871224840</stp>
        <tr r="L52" s="1"/>
      </tp>
      <tp t="s">
        <v>#N/A Requesting Data...3936585028</v>
        <stp/>
        <stp>BDP|2451818504689317561</stp>
        <tr r="AA47" s="1"/>
      </tp>
      <tp t="s">
        <v>#N/A Requesting Data...3486610321</v>
        <stp/>
        <stp>BDP|8222057261218145039</stp>
        <tr r="AF67" s="1"/>
      </tp>
      <tp t="s">
        <v>#N/A Requesting Data...3864135767</v>
        <stp/>
        <stp>BDP|5579925348429234798</stp>
        <tr r="W15" s="1"/>
      </tp>
      <tp t="s">
        <v>#N/A Requesting Data...4124224298</v>
        <stp/>
        <stp>BDP|3867340938585857088</stp>
        <tr r="AC10" s="1"/>
      </tp>
      <tp t="s">
        <v>#N/A Requesting Data...3205642062</v>
        <stp/>
        <stp>BDP|4923099246471377719</stp>
        <tr r="AB35" s="1"/>
      </tp>
      <tp t="s">
        <v>#N/A Requesting Data...3768085347</v>
        <stp/>
        <stp>BDP|1187372237214435301</stp>
        <tr r="AD55" s="1"/>
      </tp>
      <tp t="s">
        <v>#N/A Requesting Data...3674178807</v>
        <stp/>
        <stp>BDP|1451415508313060089</stp>
        <tr r="P35" s="1"/>
      </tp>
      <tp t="s">
        <v>#N/A Requesting Data...3026068064</v>
        <stp/>
        <stp>BDP|2885231657515103680</stp>
        <tr r="AC49" s="1"/>
      </tp>
      <tp t="s">
        <v>#N/A Requesting Data...3774255779</v>
        <stp/>
        <stp>BDP|2137220171786605718</stp>
        <tr r="AD70" s="1"/>
      </tp>
      <tp t="s">
        <v>#N/A Requesting Data...3932894019</v>
        <stp/>
        <stp>BDP|2932334980458908767</stp>
        <tr r="L43" s="1"/>
      </tp>
      <tp t="s">
        <v>#N/A Requesting Data...3800534981</v>
        <stp/>
        <stp>BDP|4395769248624499434</stp>
        <tr r="G65" s="1"/>
      </tp>
      <tp t="s">
        <v>#N/A Requesting Data...3539487990</v>
        <stp/>
        <stp>BDP|5924487623842940617</stp>
        <tr r="V38" s="1"/>
      </tp>
      <tp t="s">
        <v>#N/A Requesting Data...3434776124</v>
        <stp/>
        <stp>BDP|6227930519041480868</stp>
        <tr r="AF54" s="1"/>
      </tp>
      <tp t="s">
        <v>#N/A Requesting Data...4258048912</v>
        <stp/>
        <stp>BDP|5005196148580242792</stp>
        <tr r="AE36" s="1"/>
      </tp>
      <tp t="s">
        <v>#N/A Requesting Data...3891074913</v>
        <stp/>
        <stp>BDP|2054880263563951883</stp>
        <tr r="M74" s="1"/>
      </tp>
      <tp t="s">
        <v>#N/A Requesting Data...3325005943</v>
        <stp/>
        <stp>BDP|2449632349457654038</stp>
        <tr r="AA46" s="1"/>
      </tp>
      <tp t="s">
        <v>#N/A Requesting Data...4289210145</v>
        <stp/>
        <stp>BDP|1840038961876624672</stp>
        <tr r="AA28" s="1"/>
      </tp>
      <tp t="s">
        <v>#N/A Requesting Data...4113919501</v>
        <stp/>
        <stp>BDP|2394523579785220227</stp>
        <tr r="AA21" s="1"/>
      </tp>
      <tp t="s">
        <v>#N/A Requesting Data...3516020262</v>
        <stp/>
        <stp>BDP|1697359179923255106</stp>
        <tr r="T42" s="1"/>
      </tp>
      <tp t="s">
        <v>#N/A N/A</v>
        <stp/>
        <stp>BDS|4311039227680738184</stp>
        <tr r="AK59" s="1"/>
        <tr r="AK73" s="1"/>
        <tr r="AK64" s="1"/>
      </tp>
      <tp t="s">
        <v>#N/A Requesting Data...3325078163</v>
        <stp/>
        <stp>BDP|3818852986820723445</stp>
        <tr r="G9" s="1"/>
      </tp>
      <tp t="s">
        <v>#N/A Requesting Data...3272737580</v>
        <stp/>
        <stp>BDP|1630236936820317782</stp>
        <tr r="N79" s="1"/>
      </tp>
      <tp t="s">
        <v>#N/A Requesting Data...3830376586</v>
        <stp/>
        <stp>BDP|5516098324183990394</stp>
        <tr r="V15" s="1"/>
      </tp>
      <tp t="s">
        <v>#N/A Requesting Data...3813352865</v>
        <stp/>
        <stp>BDP|6172110008752398226</stp>
        <tr r="F40" s="1"/>
      </tp>
      <tp t="s">
        <v>#N/A Requesting Data...4057767818</v>
        <stp/>
        <stp>BDP|3322309646924521792</stp>
        <tr r="AE60" s="1"/>
      </tp>
      <tp t="s">
        <v>#N/A Requesting Data...4222432005</v>
        <stp/>
        <stp>BDP|5365593407265707235</stp>
        <tr r="Q22" s="1"/>
      </tp>
      <tp t="s">
        <v>#N/A Requesting Data...4287902289</v>
        <stp/>
        <stp>BDP|4974554726735423173</stp>
        <tr r="O3" s="1"/>
      </tp>
      <tp t="s">
        <v>#N/A Requesting Data...4082485055</v>
        <stp/>
        <stp>BDP|3325612420345875533</stp>
        <tr r="C27" s="1"/>
      </tp>
      <tp t="s">
        <v>#N/A Requesting Data...3803979748</v>
        <stp/>
        <stp>BDP|2787526691000205986</stp>
        <tr r="AA52" s="1"/>
      </tp>
      <tp t="s">
        <v>#N/A Requesting Data...3704168835</v>
        <stp/>
        <stp>BDP|5986527950707597509</stp>
        <tr r="T24" s="1"/>
      </tp>
      <tp t="s">
        <v>#N/A Requesting Data...3180803699</v>
        <stp/>
        <stp>BDP|5243197251133596510</stp>
        <tr r="E41" s="1"/>
      </tp>
      <tp t="s">
        <v>#N/A Requesting Data...4024951819</v>
        <stp/>
        <stp>BDP|3846097568397371547</stp>
        <tr r="I67" s="1"/>
      </tp>
      <tp t="s">
        <v>#N/A Requesting Data...4294081984</v>
        <stp/>
        <stp>BDP|1552488005612488021</stp>
        <tr r="AD49" s="1"/>
      </tp>
      <tp t="s">
        <v>#N/A Requesting Data...3663296481</v>
        <stp/>
        <stp>BDP|1594650769744430210</stp>
        <tr r="G29" s="1"/>
      </tp>
      <tp t="s">
        <v>#N/A Requesting Data...4046881582</v>
        <stp/>
        <stp>BDP|9519830488839652740</stp>
        <tr r="L78" s="1"/>
      </tp>
      <tp t="s">
        <v>#N/A Requesting Data...3102124345</v>
        <stp/>
        <stp>BDP|7055210776367322284</stp>
        <tr r="K11" s="1"/>
      </tp>
      <tp t="s">
        <v>#N/A Requesting Data...3093271403</v>
        <stp/>
        <stp>BDP|2912470439361328380</stp>
        <tr r="V68" s="1"/>
      </tp>
      <tp t="s">
        <v>#N/A N/A</v>
        <stp/>
        <stp>BDP|5125642211013040687</stp>
        <tr r="AJ20" s="1"/>
        <tr r="AJ10" s="1"/>
        <tr r="AJ35" s="1"/>
        <tr r="AJ47" s="1"/>
      </tp>
      <tp t="s">
        <v>#N/A Requesting Data...3278483937</v>
        <stp/>
        <stp>BDP|3272025301257914344</stp>
        <tr r="C53" s="1"/>
      </tp>
      <tp t="s">
        <v>#N/A Requesting Data...3099353245</v>
        <stp/>
        <stp>BDP|5119724208676710319</stp>
        <tr r="P45" s="1"/>
      </tp>
      <tp t="s">
        <v>#N/A Requesting Data...3821867688</v>
        <stp/>
        <stp>BDP|2786691151245625345</stp>
        <tr r="C70" s="1"/>
      </tp>
      <tp t="s">
        <v>#N/A Requesting Data...3250665616</v>
        <stp/>
        <stp>BDP|5073449685687872940</stp>
        <tr r="P27" s="1"/>
      </tp>
      <tp t="s">
        <v>#N/A Requesting Data...4101515528</v>
        <stp/>
        <stp>BDP|7308908237472033891</stp>
        <tr r="U29" s="1"/>
      </tp>
      <tp t="s">
        <v>#N/A Requesting Data...4221394283</v>
        <stp/>
        <stp>BDP|5805346335196750431</stp>
        <tr r="H20" s="1"/>
      </tp>
      <tp t="s">
        <v>#N/A Requesting Data...3100012050</v>
        <stp/>
        <stp>BDP|1763592118474806636</stp>
        <tr r="P25" s="1"/>
      </tp>
      <tp t="s">
        <v>#N/A Requesting Data...3272407379</v>
        <stp/>
        <stp>BDP|9449412685151485399</stp>
        <tr r="G20" s="1"/>
      </tp>
      <tp t="s">
        <v>#N/A Requesting Data...3626253211</v>
        <stp/>
        <stp>BDP|1658323041204168568</stp>
        <tr r="AA43" s="1"/>
      </tp>
      <tp t="s">
        <v>#N/A Requesting Data...3156098957</v>
        <stp/>
        <stp>BDP|2297398171165881405</stp>
        <tr r="AC73" s="1"/>
      </tp>
      <tp t="s">
        <v>#N/A Requesting Data...3798055192</v>
        <stp/>
        <stp>BDP|3948258568023237343</stp>
        <tr r="E8" s="1"/>
      </tp>
      <tp t="s">
        <v>#N/A Requesting Data...3174054745</v>
        <stp/>
        <stp>BDP|3610527409214951560</stp>
        <tr r="V9" s="1"/>
      </tp>
      <tp t="s">
        <v>#N/A Requesting Data...3498258856</v>
        <stp/>
        <stp>BDP|1443512211871393354</stp>
        <tr r="AD67" s="1"/>
      </tp>
      <tp t="s">
        <v>#N/A Requesting Data...3368126876</v>
        <stp/>
        <stp>BDP|5563610265633262112</stp>
        <tr r="V58" s="1"/>
      </tp>
      <tp t="s">
        <v>#N/A Requesting Data...3754993127</v>
        <stp/>
        <stp>BDP|8787706106480564868</stp>
        <tr r="Q28" s="1"/>
      </tp>
      <tp t="s">
        <v>#N/A Requesting Data...3501943406</v>
        <stp/>
        <stp>BDP|5210724970651703340</stp>
        <tr r="AE74" s="1"/>
      </tp>
      <tp t="s">
        <v>#N/A Requesting Data...3471661570</v>
        <stp/>
        <stp>BDP|3671904190041425517</stp>
        <tr r="AE57" s="1"/>
      </tp>
      <tp t="s">
        <v>#N/A Requesting Data...3720901899</v>
        <stp/>
        <stp>BDP|6298204415915542716</stp>
        <tr r="D31" s="1"/>
      </tp>
      <tp t="s">
        <v>#N/A Requesting Data...3590713366</v>
        <stp/>
        <stp>BDP|5787902233019539110</stp>
        <tr r="AH12" s="1"/>
      </tp>
      <tp t="s">
        <v>#N/A Requesting Data...3866085157</v>
        <stp/>
        <stp>BDP|8391536585424330667</stp>
        <tr r="J70" s="1"/>
      </tp>
      <tp t="s">
        <v>#N/A Requesting Data...3550967487</v>
        <stp/>
        <stp>BDP|1170010501991180706</stp>
        <tr r="O29" s="1"/>
      </tp>
      <tp t="s">
        <v>#N/A Requesting Data...3687928242</v>
        <stp/>
        <stp>BDP|2538416065217561042</stp>
        <tr r="AH49" s="1"/>
      </tp>
      <tp t="s">
        <v>#N/A Requesting Data...3734328419</v>
        <stp/>
        <stp>BDP|9773053405306357847</stp>
        <tr r="E46" s="1"/>
      </tp>
      <tp t="s">
        <v>#N/A Requesting Data...4253026425</v>
        <stp/>
        <stp>BDP|1805620858153217606</stp>
        <tr r="K46" s="1"/>
      </tp>
      <tp t="s">
        <v>#N/A Requesting Data...3158783994</v>
        <stp/>
        <stp>BDP|4192623969116959526</stp>
        <tr r="N53" s="1"/>
      </tp>
      <tp t="s">
        <v>#N/A Requesting Data...4123488753</v>
        <stp/>
        <stp>BDP|6021808405538148150</stp>
        <tr r="AF45" s="1"/>
      </tp>
      <tp t="s">
        <v>#N/A N/A</v>
        <stp/>
        <stp>BDP|9992539229030648949</stp>
        <tr r="AI26" s="1"/>
        <tr r="AI14" s="1"/>
        <tr r="AI7" s="1"/>
        <tr r="AI11" s="1"/>
        <tr r="AI12" s="1"/>
      </tp>
      <tp t="s">
        <v>#N/A Requesting Data...3515321393</v>
        <stp/>
        <stp>BDP|4410056873980661457</stp>
        <tr r="AA5" s="1"/>
      </tp>
      <tp t="s">
        <v>#N/A Requesting Data...3705579505</v>
        <stp/>
        <stp>BDP|6738031850673596703</stp>
        <tr r="O51" s="1"/>
      </tp>
      <tp t="s">
        <v>#N/A Requesting Data...4245818839</v>
        <stp/>
        <stp>BDP|6776861384891285066</stp>
        <tr r="K17" s="1"/>
      </tp>
      <tp t="s">
        <v>#N/A Requesting Data...3238818193</v>
        <stp/>
        <stp>BDP|9299074388452449488</stp>
        <tr r="AE70" s="1"/>
      </tp>
      <tp t="s">
        <v>#N/A Requesting Data...3308571040</v>
        <stp/>
        <stp>BDP|5715496709611994782</stp>
        <tr r="AE32" s="1"/>
      </tp>
      <tp t="s">
        <v>#N/A Requesting Data...3174118209</v>
        <stp/>
        <stp>BDP|8709576106879253327</stp>
        <tr r="AF15" s="1"/>
      </tp>
      <tp t="s">
        <v>#N/A Requesting Data...3080684962</v>
        <stp/>
        <stp>BDP|7199512977832155006</stp>
        <tr r="R66" s="1"/>
      </tp>
      <tp t="s">
        <v>#N/A Requesting Data...4037611505</v>
        <stp/>
        <stp>BDP|8702043919626504896</stp>
        <tr r="J5" s="1"/>
      </tp>
      <tp t="s">
        <v>#N/A Requesting Data...3590768162</v>
        <stp/>
        <stp>BDP|8105853973502075212</stp>
        <tr r="J20" s="1"/>
      </tp>
      <tp t="s">
        <v>#N/A Requesting Data...3141354570</v>
        <stp/>
        <stp>BDP|6415200600277165437</stp>
        <tr r="W12" s="1"/>
      </tp>
      <tp t="s">
        <v>#N/A Requesting Data...4031952074</v>
        <stp/>
        <stp>BDP|1551516044436649119</stp>
        <tr r="T8" s="1"/>
      </tp>
      <tp t="s">
        <v>#N/A Requesting Data...3343267618</v>
        <stp/>
        <stp>BDP|2143630778584440099</stp>
        <tr r="R20" s="1"/>
      </tp>
      <tp t="s">
        <v>#N/A Requesting Data...3322298076</v>
        <stp/>
        <stp>BDP|7333189208581322071</stp>
        <tr r="AE23" s="1"/>
      </tp>
      <tp t="s">
        <v>#N/A Requesting Data...4104358519</v>
        <stp/>
        <stp>BDP|1797571809375824669</stp>
        <tr r="D27" s="1"/>
      </tp>
      <tp t="s">
        <v>#N/A Requesting Data...4240337242</v>
        <stp/>
        <stp>BDP|7079188856907895318</stp>
        <tr r="AG37" s="1"/>
      </tp>
      <tp t="s">
        <v>#N/A Requesting Data...3953582680</v>
        <stp/>
        <stp>BDP|9259549221991545856</stp>
        <tr r="R70" s="1"/>
      </tp>
    </main>
    <main first="bofaddin.rtdserver">
      <tp t="s">
        <v>#N/A Requesting Data...3771542970</v>
        <stp/>
        <stp>BDP|2079347577820608110</stp>
        <tr r="K42" s="1"/>
      </tp>
      <tp t="s">
        <v>#N/A Requesting Data...3608892072</v>
        <stp/>
        <stp>BDP|2742337103530357608</stp>
        <tr r="M45" s="1"/>
      </tp>
      <tp t="s">
        <v>#N/A Requesting Data...3310761633</v>
        <stp/>
        <stp>BDP|6657435040857834691</stp>
        <tr r="Y66" s="1"/>
      </tp>
      <tp t="s">
        <v>#N/A Requesting Data...3438931051</v>
        <stp/>
        <stp>BDP|2210548431264030732</stp>
        <tr r="C20" s="1"/>
      </tp>
      <tp t="s">
        <v>#N/A Requesting Data...3397167276</v>
        <stp/>
        <stp>BDP|2369767921045858584</stp>
        <tr r="T31" s="1"/>
      </tp>
      <tp t="s">
        <v>#N/A Requesting Data...3403558196</v>
        <stp/>
        <stp>BDP|1977167265973734299</stp>
        <tr r="AA35" s="1"/>
      </tp>
      <tp t="s">
        <v>#N/A Requesting Data...3991749553</v>
        <stp/>
        <stp>BDP|8830842705421526685</stp>
        <tr r="J46" s="1"/>
      </tp>
      <tp t="s">
        <v>#N/A Requesting Data...3997103126</v>
        <stp/>
        <stp>BDP|7569200009035131797</stp>
        <tr r="C39" s="1"/>
      </tp>
      <tp t="s">
        <v>#N/A Requesting Data...3691086924</v>
        <stp/>
        <stp>BDP|3379687329699575936</stp>
        <tr r="P14" s="1"/>
      </tp>
      <tp t="s">
        <v>#N/A Requesting Data...3520418412</v>
        <stp/>
        <stp>BDP|6713483207766502386</stp>
        <tr r="AB12" s="1"/>
      </tp>
      <tp t="s">
        <v>#N/A Requesting Data...3468795926</v>
        <stp/>
        <stp>BDP|9555546163615644813</stp>
        <tr r="V74" s="1"/>
      </tp>
      <tp t="s">
        <v>#N/A Requesting Data...4153399422</v>
        <stp/>
        <stp>BDP|6306506447528052810</stp>
        <tr r="I57" s="1"/>
      </tp>
    </main>
    <main first="bofaddin.rtdserver">
      <tp t="s">
        <v>#N/A Requesting Data...4118690291</v>
        <stp/>
        <stp>BDP|3275988201608883299</stp>
        <tr r="P75" s="1"/>
      </tp>
      <tp t="s">
        <v>#N/A Requesting Data...4057082785</v>
        <stp/>
        <stp>BDP|1328110889930967887</stp>
        <tr r="R71" s="1"/>
      </tp>
      <tp t="s">
        <v>#N/A Requesting Data...3244848208</v>
        <stp/>
        <stp>BDP|1345216548806912196</stp>
        <tr r="X10" s="1"/>
      </tp>
      <tp t="s">
        <v>#N/A Requesting Data...3839611460</v>
        <stp/>
        <stp>BDP|9555984063413224560</stp>
        <tr r="AG62" s="1"/>
      </tp>
      <tp t="s">
        <v>#N/A Requesting Data...3970832972</v>
        <stp/>
        <stp>BDP|7836903607798763626</stp>
        <tr r="U10" s="1"/>
      </tp>
      <tp t="s">
        <v>#N/A Requesting Data...4013412811</v>
        <stp/>
        <stp>BDP|6982778121271584213</stp>
        <tr r="AD59" s="1"/>
      </tp>
      <tp t="s">
        <v>#N/A Requesting Data...3678504827</v>
        <stp/>
        <stp>BDP|6468226379906116554</stp>
        <tr r="Q16" s="1"/>
      </tp>
      <tp t="s">
        <v>#N/A Requesting Data...3957862387</v>
        <stp/>
        <stp>BDP|8285085993194152536</stp>
        <tr r="W28" s="1"/>
      </tp>
      <tp t="s">
        <v>#N/A Requesting Data...3976292342</v>
        <stp/>
        <stp>BDP|9547082952014022847</stp>
        <tr r="AF34" s="1"/>
      </tp>
      <tp t="s">
        <v>#N/A Requesting Data...4163163272</v>
        <stp/>
        <stp>BDP|4854280028201789548</stp>
        <tr r="AH28" s="1"/>
      </tp>
      <tp t="s">
        <v>#N/A Requesting Data...3721750838</v>
        <stp/>
        <stp>BDP|7068383140826015605</stp>
        <tr r="J59" s="1"/>
      </tp>
      <tp t="s">
        <v>#N/A Requesting Data...3514475850</v>
        <stp/>
        <stp>BDP|6616278946085827576</stp>
        <tr r="K4" s="1"/>
      </tp>
      <tp t="s">
        <v>#N/A Requesting Data...3822674511</v>
        <stp/>
        <stp>BDP|5554029493165874945</stp>
        <tr r="U20" s="1"/>
      </tp>
      <tp t="s">
        <v>#N/A Requesting Data...4218968422</v>
        <stp/>
        <stp>BDP|5803745843555687316</stp>
        <tr r="K6" s="1"/>
      </tp>
      <tp t="s">
        <v>#N/A Requesting Data...3823433478</v>
        <stp/>
        <stp>BDP|2393576427326891335</stp>
        <tr r="V4" s="1"/>
      </tp>
      <tp t="s">
        <v>#N/A Requesting Data...3890691954</v>
        <stp/>
        <stp>BDP|1782778114607860040</stp>
        <tr r="E64" s="1"/>
      </tp>
      <tp t="s">
        <v>#N/A Requesting Data...3847782094</v>
        <stp/>
        <stp>BDP|8986153315920262831</stp>
        <tr r="AG23" s="1"/>
      </tp>
      <tp t="s">
        <v>#N/A Requesting Data...4044936574</v>
        <stp/>
        <stp>BDP|3452496057270358210</stp>
        <tr r="K27" s="1"/>
      </tp>
      <tp t="s">
        <v>#N/A Requesting Data...3765446666</v>
        <stp/>
        <stp>BDP|7116341778041086247</stp>
        <tr r="Z40" s="1"/>
      </tp>
      <tp t="s">
        <v>#N/A Requesting Data...3644374224</v>
        <stp/>
        <stp>BDP|6469013910732551596</stp>
        <tr r="I73" s="1"/>
      </tp>
      <tp t="s">
        <v>#N/A Requesting Data...4250268309</v>
        <stp/>
        <stp>BDP|8965904341607727264</stp>
        <tr r="AG39" s="1"/>
      </tp>
      <tp t="s">
        <v>#N/A Requesting Data...4079728959</v>
        <stp/>
        <stp>BDP|4190927968663086825</stp>
        <tr r="W25" s="1"/>
      </tp>
      <tp t="s">
        <v>#N/A Requesting Data...3945793128</v>
        <stp/>
        <stp>BDP|4511202225572085699</stp>
        <tr r="AB72" s="1"/>
      </tp>
      <tp t="s">
        <v>#N/A Requesting Data...4052986122</v>
        <stp/>
        <stp>BDP|6127753102073099281</stp>
        <tr r="AB57" s="1"/>
      </tp>
      <tp t="s">
        <v>#N/A Requesting Data...3241575936</v>
        <stp/>
        <stp>BDP|9554266681894945755</stp>
        <tr r="AC53" s="1"/>
      </tp>
      <tp t="s">
        <v>#N/A Requesting Data...3994849236</v>
        <stp/>
        <stp>BDP|7552928599614016306</stp>
        <tr r="E35" s="1"/>
      </tp>
      <tp t="s">
        <v>#N/A Requesting Data...4066264490</v>
        <stp/>
        <stp>BDP|1789944986149980926</stp>
        <tr r="T78" s="1"/>
      </tp>
      <tp t="s">
        <v>#N/A Requesting Data...3273609075</v>
        <stp/>
        <stp>BDP|5116138139095786226</stp>
        <tr r="S26" s="1"/>
      </tp>
      <tp t="s">
        <v>#N/A Requesting Data...3852636465</v>
        <stp/>
        <stp>BDP|9960955085020424837</stp>
        <tr r="U50" s="1"/>
      </tp>
      <tp t="s">
        <v>#N/A Requesting Data...3354144225</v>
        <stp/>
        <stp>BDP|4872362372536275601</stp>
        <tr r="AF41" s="1"/>
      </tp>
      <tp t="s">
        <v>#N/A Requesting Data...3385688603</v>
        <stp/>
        <stp>BDP|6308458438804283539</stp>
        <tr r="U72" s="1"/>
      </tp>
      <tp t="s">
        <v>#N/A Requesting Data...3750198853</v>
        <stp/>
        <stp>BDP|5695949357530953934</stp>
        <tr r="I24" s="1"/>
      </tp>
      <tp t="s">
        <v>#N/A Requesting Data...4043336594</v>
        <stp/>
        <stp>BDP|5591274389546070972</stp>
        <tr r="AG7" s="1"/>
      </tp>
      <tp t="s">
        <v>#N/A Requesting Data...3499784395</v>
        <stp/>
        <stp>BDP|8695531312349347580</stp>
        <tr r="O21" s="1"/>
      </tp>
      <tp t="s">
        <v>#N/A Requesting Data...3667560059</v>
        <stp/>
        <stp>BDP|1217484054218148830</stp>
        <tr r="V78" s="1"/>
      </tp>
      <tp t="s">
        <v>#N/A Requesting Data...3962051272</v>
        <stp/>
        <stp>BDP|6013896647613257906</stp>
        <tr r="X59" s="1"/>
      </tp>
      <tp t="s">
        <v>#N/A Requesting Data...3902237557</v>
        <stp/>
        <stp>BDP|2837062101063510165</stp>
        <tr r="D76" s="1"/>
      </tp>
      <tp t="s">
        <v>#N/A Requesting Data...3646575993</v>
        <stp/>
        <stp>BDP|5995605303856135570</stp>
        <tr r="P21" s="1"/>
      </tp>
    </main>
    <main first="bofaddin.rtdserver">
      <tp t="s">
        <v>#N/A Requesting Data...3911761972</v>
        <stp/>
        <stp>BDP|8511342839270098854</stp>
        <tr r="AH48" s="1"/>
      </tp>
      <tp t="s">
        <v>#N/A Requesting Data...3271420467</v>
        <stp/>
        <stp>BDP|8341382656959804780</stp>
        <tr r="E33" s="1"/>
      </tp>
      <tp t="s">
        <v>#N/A Requesting Data...3987974137</v>
        <stp/>
        <stp>BDP|1904606364033755270</stp>
        <tr r="AG64" s="1"/>
      </tp>
      <tp t="s">
        <v>#N/A Requesting Data...3452367589</v>
        <stp/>
        <stp>BDP|1460736847954598682</stp>
        <tr r="S60" s="1"/>
      </tp>
      <tp t="s">
        <v>#N/A Requesting Data...3796727248</v>
        <stp/>
        <stp>BDP|3984289343420627590</stp>
        <tr r="AB61" s="1"/>
      </tp>
      <tp t="s">
        <v>#N/A Requesting Data...4282443637</v>
        <stp/>
        <stp>BDP|2856569203300836772</stp>
        <tr r="W21" s="1"/>
      </tp>
      <tp t="s">
        <v>#N/A Requesting Data...4107704369</v>
        <stp/>
        <stp>BDP|8186309210642345804</stp>
        <tr r="I7" s="1"/>
      </tp>
      <tp t="s">
        <v>#N/A Requesting Data...3840385372</v>
        <stp/>
        <stp>BDP|4571206303676092049</stp>
        <tr r="S52" s="1"/>
      </tp>
      <tp t="s">
        <v>#N/A Requesting Data...3317485299</v>
        <stp/>
        <stp>BDP|1891003688058759158</stp>
        <tr r="AG44" s="1"/>
      </tp>
      <tp t="s">
        <v>#N/A Requesting Data...4148867474</v>
        <stp/>
        <stp>BDP|3232556113085005263</stp>
        <tr r="L23" s="1"/>
      </tp>
      <tp t="s">
        <v>#N/A Requesting Data...4105409569</v>
        <stp/>
        <stp>BDP|3210035247653020459</stp>
        <tr r="M8" s="1"/>
      </tp>
      <tp t="s">
        <v>#N/A N/A</v>
        <stp/>
        <stp>BDP|9094982800355941526</stp>
        <tr r="AI20" s="1"/>
        <tr r="AI10" s="1"/>
        <tr r="AI35" s="1"/>
        <tr r="AI47" s="1"/>
      </tp>
      <tp t="s">
        <v>#N/A Requesting Data...3847322670</v>
        <stp/>
        <stp>BDP|6031768926784243714</stp>
        <tr r="AE48" s="1"/>
      </tp>
      <tp t="s">
        <v>#N/A Requesting Data...4169725082</v>
        <stp/>
        <stp>BDP|6368360979803737182</stp>
        <tr r="Q39" s="1"/>
      </tp>
      <tp t="s">
        <v>#N/A Requesting Data...4081474665</v>
        <stp/>
        <stp>BDP|6464633272022684503</stp>
        <tr r="AC45" s="1"/>
      </tp>
      <tp t="s">
        <v>#N/A Requesting Data...3696840053</v>
        <stp/>
        <stp>BDP|8230802893309236002</stp>
        <tr r="U35" s="1"/>
      </tp>
      <tp t="s">
        <v>#N/A Requesting Data...3365390810</v>
        <stp/>
        <stp>BDP|5557073737410709617</stp>
        <tr r="I13" s="1"/>
      </tp>
      <tp t="s">
        <v>#N/A Requesting Data...4251945188</v>
        <stp/>
        <stp>BDP|8413849194198092177</stp>
        <tr r="H35" s="1"/>
      </tp>
      <tp t="s">
        <v>#N/A Requesting Data...3402755648</v>
        <stp/>
        <stp>BDP|3389567324444836092</stp>
        <tr r="L38" s="1"/>
      </tp>
      <tp t="s">
        <v>#N/A Requesting Data...3409511146</v>
        <stp/>
        <stp>BDP|6411166117302104449</stp>
        <tr r="X18" s="1"/>
      </tp>
      <tp t="s">
        <v>#N/A Requesting Data...3662902414</v>
        <stp/>
        <stp>BDP|3114448152245723704</stp>
        <tr r="U40" s="1"/>
      </tp>
      <tp t="s">
        <v>#N/A Requesting Data...3964682202</v>
        <stp/>
        <stp>BDP|8700969036644054676</stp>
        <tr r="W11" s="1"/>
      </tp>
      <tp t="s">
        <v>#N/A Requesting Data...3844773859</v>
        <stp/>
        <stp>BDP|7276942577409992089</stp>
        <tr r="F26" s="1"/>
      </tp>
      <tp t="s">
        <v>#N/A Requesting Data...3481892421</v>
        <stp/>
        <stp>BDP|1061454956324201410</stp>
        <tr r="L39" s="1"/>
      </tp>
      <tp t="s">
        <v>#N/A Requesting Data...3790690195</v>
        <stp/>
        <stp>BDP|1252663674016467644</stp>
        <tr r="J22" s="1"/>
      </tp>
      <tp t="s">
        <v>#N/A Requesting Data...3771294090</v>
        <stp/>
        <stp>BDP|7228267806733541670</stp>
        <tr r="V7" s="1"/>
      </tp>
      <tp t="s">
        <v>#N/A Requesting Data...4032824590</v>
        <stp/>
        <stp>BDP|1023253037299431979</stp>
        <tr r="AB25" s="1"/>
      </tp>
      <tp t="s">
        <v>#N/A Requesting Data...3534896861</v>
        <stp/>
        <stp>BDP|1623832084614072509</stp>
        <tr r="AD42" s="1"/>
      </tp>
      <tp t="s">
        <v>#N/A Requesting Data...4099253016</v>
        <stp/>
        <stp>BDP|8848018108309669161</stp>
        <tr r="O31" s="1"/>
      </tp>
      <tp t="s">
        <v>#N/A Requesting Data...3587770964</v>
        <stp/>
        <stp>BDP|9194001343968193523</stp>
        <tr r="W6" s="1"/>
      </tp>
      <tp t="s">
        <v>#N/A Requesting Data...3507357578</v>
        <stp/>
        <stp>BDP|3516722887495355928</stp>
        <tr r="Z64" s="1"/>
      </tp>
      <tp t="s">
        <v>#N/A Requesting Data...4278472820</v>
        <stp/>
        <stp>BDP|6361168327937765242</stp>
        <tr r="L74" s="1"/>
      </tp>
      <tp t="s">
        <v>#N/A Requesting Data...4043877312</v>
        <stp/>
        <stp>BDP|8741282619592990993</stp>
        <tr r="D61" s="1"/>
      </tp>
      <tp t="s">
        <v>#N/A Requesting Data...3771020198</v>
        <stp/>
        <stp>BDP|4655953973203471928</stp>
        <tr r="S65" s="1"/>
      </tp>
      <tp t="s">
        <v>#N/A Requesting Data...3893870398</v>
        <stp/>
        <stp>BDP|1557424299824995811</stp>
        <tr r="P64" s="1"/>
      </tp>
      <tp t="s">
        <v>#N/A Requesting Data...3845898613</v>
        <stp/>
        <stp>BDP|7514515545464309240</stp>
        <tr r="AC25" s="1"/>
      </tp>
      <tp t="s">
        <v>#N/A Requesting Data...3630023729</v>
        <stp/>
        <stp>BDP|4714571742145203078</stp>
        <tr r="Z36" s="1"/>
      </tp>
      <tp t="s">
        <v>#N/A Requesting Data...3781191276</v>
        <stp/>
        <stp>BDP|2251666676666190544</stp>
        <tr r="Y44" s="1"/>
      </tp>
      <tp t="s">
        <v>#N/A Requesting Data...3774348650</v>
        <stp/>
        <stp>BDP|7773030130095158129</stp>
        <tr r="F45" s="1"/>
      </tp>
      <tp t="s">
        <v>#N/A Requesting Data...4211257848</v>
        <stp/>
        <stp>BDP|4079079753699719842</stp>
        <tr r="V10" s="1"/>
      </tp>
      <tp t="s">
        <v>#N/A Requesting Data...3425518806</v>
        <stp/>
        <stp>BDP|6228056022976717256</stp>
        <tr r="Y73" s="1"/>
      </tp>
      <tp t="s">
        <v>#N/A Requesting Data...3805347967</v>
        <stp/>
        <stp>BDP|6080102764857188626</stp>
        <tr r="N35" s="1"/>
      </tp>
      <tp t="s">
        <v>#N/A Requesting Data...3484605645</v>
        <stp/>
        <stp>BDP|8063961212933180327</stp>
        <tr r="F36" s="1"/>
      </tp>
      <tp t="s">
        <v>#N/A Requesting Data...4192325091</v>
        <stp/>
        <stp>BDP|5128570186010021849</stp>
        <tr r="M70" s="1"/>
      </tp>
      <tp t="s">
        <v>#N/A Requesting Data...3918144658</v>
        <stp/>
        <stp>BDP|1505856004620529959</stp>
        <tr r="F29" s="1"/>
      </tp>
      <tp t="s">
        <v>#N/A Requesting Data...3567212736</v>
        <stp/>
        <stp>BDP|1489160255840494573</stp>
        <tr r="S31" s="1"/>
      </tp>
      <tp t="s">
        <v>#N/A Requesting Data...3792934981</v>
        <stp/>
        <stp>BDP|5380803481057674203</stp>
        <tr r="Y14" s="1"/>
      </tp>
      <tp t="s">
        <v>#N/A Requesting Data...4000542808</v>
        <stp/>
        <stp>BDP|1004030290199370145</stp>
        <tr r="AF53" s="1"/>
      </tp>
      <tp t="s">
        <v>#N/A Requesting Data...3408459900</v>
        <stp/>
        <stp>BDP|6971282895995090802</stp>
        <tr r="AD77" s="1"/>
      </tp>
      <tp t="s">
        <v>#N/A Requesting Data...4137826073</v>
        <stp/>
        <stp>BDP|8792535178319937300</stp>
        <tr r="G11" s="1"/>
      </tp>
      <tp t="s">
        <v>#N/A Requesting Data...3433557445</v>
        <stp/>
        <stp>BDP|9336723488556424089</stp>
        <tr r="AE9" s="1"/>
      </tp>
      <tp t="s">
        <v>#N/A Requesting Data...3709426213</v>
        <stp/>
        <stp>BDP|1163282229946497713</stp>
        <tr r="U18" s="1"/>
      </tp>
    </main>
    <main first="bofaddin.rtdserver">
      <tp t="s">
        <v>#N/A Requesting Data...3801148631</v>
        <stp/>
        <stp>BDP|6839058527120142510</stp>
        <tr r="T7" s="1"/>
      </tp>
      <tp t="s">
        <v>#N/A Requesting Data...3623209509</v>
        <stp/>
        <stp>BDP|5513390974996612648</stp>
        <tr r="O34" s="1"/>
      </tp>
      <tp t="s">
        <v>#N/A Requesting Data...3651175531</v>
        <stp/>
        <stp>BDP|9671904908247014645</stp>
        <tr r="V14" s="1"/>
      </tp>
      <tp t="s">
        <v>#N/A Requesting Data...3469987999</v>
        <stp/>
        <stp>BDP|2050588516885178255</stp>
        <tr r="P6" s="1"/>
      </tp>
      <tp t="s">
        <v>#N/A Requesting Data...3839944133</v>
        <stp/>
        <stp>BDP|4370015170886194494</stp>
        <tr r="T29" s="1"/>
      </tp>
      <tp t="s">
        <v>#N/A Requesting Data...3890400886</v>
        <stp/>
        <stp>BDP|2170960693943761081</stp>
        <tr r="O14" s="1"/>
      </tp>
      <tp t="s">
        <v>#N/A Requesting Data...4213827604</v>
        <stp/>
        <stp>BDP|4091370968594014447</stp>
        <tr r="K39" s="1"/>
      </tp>
      <tp t="s">
        <v>#N/A Requesting Data...3585666682</v>
        <stp/>
        <stp>BDP|8729007627562891933</stp>
        <tr r="AG73" s="1"/>
      </tp>
      <tp t="s">
        <v>#N/A Requesting Data...3560347949</v>
        <stp/>
        <stp>BDP|5950895492856867311</stp>
        <tr r="O52" s="1"/>
      </tp>
      <tp t="s">
        <v>#N/A Requesting Data...3911498512</v>
        <stp/>
        <stp>BDP|8213468138058162669</stp>
        <tr r="J78" s="1"/>
      </tp>
      <tp t="s">
        <v>#N/A Requesting Data...3785960377</v>
        <stp/>
        <stp>BDP|2823269068981567682</stp>
        <tr r="F9" s="1"/>
      </tp>
      <tp t="s">
        <v>#N/A Requesting Data...3841990688</v>
        <stp/>
        <stp>BDP|2726988073695774830</stp>
        <tr r="Z15" s="1"/>
      </tp>
      <tp t="s">
        <v>#N/A Requesting Data...3451700433</v>
        <stp/>
        <stp>BDP|9312990542045635063</stp>
        <tr r="S13" s="1"/>
      </tp>
      <tp t="s">
        <v>#N/A Requesting Data...3703120089</v>
        <stp/>
        <stp>BDP|3333317546222871744</stp>
        <tr r="S61" s="1"/>
      </tp>
      <tp t="s">
        <v>#N/A Requesting Data...3669931114</v>
        <stp/>
        <stp>BDP|7156280769250195284</stp>
        <tr r="AG13" s="1"/>
      </tp>
      <tp t="s">
        <v>#N/A Requesting Data...3590115632</v>
        <stp/>
        <stp>BDP|9016985874903077550</stp>
        <tr r="L17" s="1"/>
      </tp>
      <tp t="s">
        <v>#N/A Requesting Data...3634254691</v>
        <stp/>
        <stp>BDP|7711992490404069270</stp>
        <tr r="C56" s="1"/>
      </tp>
      <tp t="s">
        <v>#N/A Requesting Data...3865226689</v>
        <stp/>
        <stp>BDP|6645290852004205460</stp>
        <tr r="S74" s="1"/>
      </tp>
      <tp t="s">
        <v>#N/A Requesting Data...4176338693</v>
        <stp/>
        <stp>BDP|6387319579105692630</stp>
        <tr r="I70" s="1"/>
      </tp>
      <tp t="s">
        <v>#N/A Requesting Data...4283929111</v>
        <stp/>
        <stp>BDP|7245965083826859115</stp>
        <tr r="AF4" s="1"/>
      </tp>
      <tp t="s">
        <v>#N/A Requesting Data...4227527048</v>
        <stp/>
        <stp>BDP|8087585860082028867</stp>
        <tr r="T12" s="1"/>
      </tp>
      <tp t="s">
        <v>#N/A Requesting Data...3749046621</v>
        <stp/>
        <stp>BDP|7119011408477007163</stp>
        <tr r="C32" s="1"/>
      </tp>
      <tp t="s">
        <v>#N/A Requesting Data...3374704555</v>
        <stp/>
        <stp>BDP|6769908069789729166</stp>
        <tr r="N77" s="1"/>
      </tp>
      <tp t="s">
        <v>#N/A Requesting Data...3895743006</v>
        <stp/>
        <stp>BDP|4220192932205767218</stp>
        <tr r="AB29" s="1"/>
      </tp>
      <tp t="s">
        <v>#N/A Requesting Data...3847440974</v>
        <stp/>
        <stp>BDP|7426966307769805619</stp>
        <tr r="AE64" s="1"/>
      </tp>
      <tp t="s">
        <v>#N/A Requesting Data...3721139709</v>
        <stp/>
        <stp>BDP|5088317233232722693</stp>
        <tr r="S47" s="1"/>
      </tp>
      <tp t="s">
        <v>#N/A Requesting Data...4085604939</v>
        <stp/>
        <stp>BDP|2127774144361632187</stp>
        <tr r="S77" s="1"/>
      </tp>
      <tp t="s">
        <v>#N/A Requesting Data...3944800863</v>
        <stp/>
        <stp>BDP|4392090653882562205</stp>
        <tr r="AH66" s="1"/>
      </tp>
      <tp t="s">
        <v>#N/A Requesting Data...4107353482</v>
        <stp/>
        <stp>BDP|5976546552251013537</stp>
        <tr r="O16" s="1"/>
      </tp>
      <tp t="s">
        <v>#N/A Requesting Data...3953629523</v>
        <stp/>
        <stp>BDP|9100015588414322475</stp>
        <tr r="U42" s="1"/>
      </tp>
      <tp t="s">
        <v>#N/A Requesting Data...3498243849</v>
        <stp/>
        <stp>BDP|5833812286822740654</stp>
        <tr r="X37" s="1"/>
      </tp>
      <tp t="s">
        <v>#N/A Requesting Data...4187502804</v>
        <stp/>
        <stp>BDP|3480773026416012186</stp>
        <tr r="L13" s="1"/>
      </tp>
      <tp t="s">
        <v>#N/A Requesting Data...3591429679</v>
        <stp/>
        <stp>BDP|7123643500916857608</stp>
        <tr r="Y79" s="1"/>
      </tp>
      <tp t="s">
        <v>#N/A Requesting Data...3431741264</v>
        <stp/>
        <stp>BDP|1733040747734945006</stp>
        <tr r="T15" s="1"/>
      </tp>
      <tp t="s">
        <v>#N/A Requesting Data...4080109609</v>
        <stp/>
        <stp>BDP|8545019296149528957</stp>
        <tr r="Y52" s="1"/>
      </tp>
      <tp t="s">
        <v>#N/A Requesting Data...3854235485</v>
        <stp/>
        <stp>BDP|4384767727789731976</stp>
        <tr r="AE78" s="1"/>
      </tp>
      <tp t="s">
        <v>#N/A Requesting Data...3571301632</v>
        <stp/>
        <stp>BDP|3896725348814499541</stp>
        <tr r="O17" s="1"/>
      </tp>
      <tp t="s">
        <v>#N/A Requesting Data...4023399088</v>
        <stp/>
        <stp>BDP|4956676414797151592</stp>
        <tr r="L24" s="1"/>
      </tp>
      <tp t="s">
        <v>#N/A Requesting Data...3800240421</v>
        <stp/>
        <stp>BDP|6665171075092646300</stp>
        <tr r="X16" s="1"/>
      </tp>
      <tp t="s">
        <v>#N/A Requesting Data...4180416813</v>
        <stp/>
        <stp>BDP|1961883695581757010</stp>
        <tr r="AD52" s="1"/>
      </tp>
      <tp t="s">
        <v>#N/A Requesting Data...3818750481</v>
        <stp/>
        <stp>BDP|3888188334880151067</stp>
        <tr r="H13" s="1"/>
      </tp>
      <tp t="s">
        <v>#N/A Requesting Data...3770883809</v>
        <stp/>
        <stp>BDP|7027152001783041479</stp>
        <tr r="F13" s="1"/>
      </tp>
      <tp t="s">
        <v>#N/A Requesting Data...3863488794</v>
        <stp/>
        <stp>BDP|6637687324896105580</stp>
        <tr r="K28" s="1"/>
      </tp>
      <tp t="s">
        <v>#N/A Requesting Data...4202115690</v>
        <stp/>
        <stp>BDP|7180372777317160530</stp>
        <tr r="Z16" s="1"/>
      </tp>
      <tp t="s">
        <v>#N/A Requesting Data...3758443104</v>
        <stp/>
        <stp>BDP|4108833183831435467</stp>
        <tr r="O4" s="1"/>
      </tp>
      <tp t="s">
        <v>#N/A Requesting Data...3394579614</v>
        <stp/>
        <stp>BDP|1948045306990848003</stp>
        <tr r="K14" s="1"/>
      </tp>
      <tp t="s">
        <v>#N/A Requesting Data...3868801396</v>
        <stp/>
        <stp>BDP|7811598613522280035</stp>
        <tr r="F42" s="1"/>
      </tp>
      <tp t="s">
        <v>#N/A Requesting Data...3460752590</v>
        <stp/>
        <stp>BDP|1860804687905534598</stp>
        <tr r="AA74" s="1"/>
      </tp>
      <tp t="s">
        <v>#N/A Requesting Data...4180817959</v>
        <stp/>
        <stp>BDP|2358994968568335427</stp>
        <tr r="AD73" s="1"/>
      </tp>
      <tp t="s">
        <v>#N/A Requesting Data...3543362801</v>
        <stp/>
        <stp>BDP|6196279176243011133</stp>
        <tr r="X67" s="1"/>
      </tp>
      <tp t="s">
        <v>#N/A Requesting Data...4128837862</v>
        <stp/>
        <stp>BDP|4340437610541686158</stp>
        <tr r="V22" s="1"/>
      </tp>
      <tp t="s">
        <v>#N/A Requesting Data...3537062930</v>
        <stp/>
        <stp>BDP|8101903219841814003</stp>
        <tr r="AH4" s="1"/>
      </tp>
      <tp t="s">
        <v>#N/A Requesting Data...3946074914</v>
        <stp/>
        <stp>BDP|7893560971630847473</stp>
        <tr r="W44" s="1"/>
      </tp>
      <tp t="s">
        <v>#N/A Requesting Data...3745035304</v>
        <stp/>
        <stp>BDP|2993538789289392701</stp>
        <tr r="I43" s="1"/>
      </tp>
      <tp t="s">
        <v>#N/A Requesting Data...4118526792</v>
        <stp/>
        <stp>BDP|6620057236820552402</stp>
        <tr r="H68" s="1"/>
      </tp>
      <tp t="s">
        <v>#N/A Requesting Data...3365678341</v>
        <stp/>
        <stp>BDP|3537463147836010445</stp>
        <tr r="O69" s="1"/>
      </tp>
      <tp t="s">
        <v>#N/A Requesting Data...3578009749</v>
        <stp/>
        <stp>BDP|9677200880343691102</stp>
        <tr r="AG69" s="1"/>
      </tp>
      <tp t="s">
        <v>#N/A Requesting Data...3515115879</v>
        <stp/>
        <stp>BDP|2734400495897594972</stp>
        <tr r="W33" s="1"/>
      </tp>
      <tp t="s">
        <v>#N/A Requesting Data...3391350176</v>
        <stp/>
        <stp>BDP|6652576123253105334</stp>
        <tr r="J18" s="1"/>
      </tp>
      <tp t="s">
        <v>#N/A Requesting Data...3623096104</v>
        <stp/>
        <stp>BDP|9577426993702435700</stp>
        <tr r="AD48" s="1"/>
      </tp>
      <tp t="s">
        <v>#N/A Requesting Data...4039743326</v>
        <stp/>
        <stp>BDP|4596691078694664033</stp>
        <tr r="M67" s="1"/>
      </tp>
      <tp t="s">
        <v>#N/A Requesting Data...4093420444</v>
        <stp/>
        <stp>BDP|6403278042849982895</stp>
        <tr r="H27" s="1"/>
      </tp>
      <tp t="s">
        <v>#N/A Requesting Data...3600276651</v>
        <stp/>
        <stp>BDP|8526019813459795116</stp>
        <tr r="AC69" s="1"/>
      </tp>
      <tp t="s">
        <v>#N/A Requesting Data...3577794165</v>
        <stp/>
        <stp>BDP|5740575457397066366</stp>
        <tr r="E60" s="1"/>
      </tp>
      <tp t="s">
        <v>#N/A Requesting Data...3606044656</v>
        <stp/>
        <stp>BDP|4686074347304025579</stp>
        <tr r="Y37" s="1"/>
      </tp>
      <tp t="s">
        <v>#N/A Requesting Data...3447486567</v>
        <stp/>
        <stp>BDP|7076107974857601740</stp>
        <tr r="AE5" s="1"/>
      </tp>
      <tp t="s">
        <v>#N/A Requesting Data...3560561536</v>
        <stp/>
        <stp>BDP|1076138153242516637</stp>
        <tr r="R75" s="1"/>
      </tp>
      <tp t="s">
        <v>#N/A Requesting Data...3543380266</v>
        <stp/>
        <stp>BDP|5419256316223191403</stp>
        <tr r="AG49" s="1"/>
      </tp>
      <tp t="s">
        <v>#N/A Requesting Data...3849822077</v>
        <stp/>
        <stp>BDP|6263745560841208724</stp>
        <tr r="R51" s="1"/>
      </tp>
      <tp t="s">
        <v>#N/A Requesting Data...4150327961</v>
        <stp/>
        <stp>BDP|2252432405364088322</stp>
        <tr r="F53" s="1"/>
      </tp>
      <tp t="s">
        <v>#N/A Requesting Data...4197066430</v>
        <stp/>
        <stp>BDP|8529617687102019555</stp>
        <tr r="W67" s="1"/>
      </tp>
      <tp t="s">
        <v>#N/A Requesting Data...3928855992</v>
        <stp/>
        <stp>BDP|5856387067577478653</stp>
        <tr r="P74" s="1"/>
      </tp>
      <tp t="s">
        <v>#N/A Requesting Data...3416113258</v>
        <stp/>
        <stp>BDP|1229939897899175916</stp>
        <tr r="E36" s="1"/>
      </tp>
      <tp t="s">
        <v>#N/A Requesting Data...3621777941</v>
        <stp/>
        <stp>BDP|1262437745406326612</stp>
        <tr r="Y72" s="1"/>
      </tp>
      <tp t="s">
        <v>#N/A Requesting Data...4013683526</v>
        <stp/>
        <stp>BDP|3093141223655384420</stp>
        <tr r="AF74" s="1"/>
      </tp>
      <tp t="s">
        <v>#N/A Requesting Data...3887570982</v>
        <stp/>
        <stp>BDP|2553302807057300771</stp>
        <tr r="V21" s="1"/>
      </tp>
      <tp t="s">
        <v>#N/A Requesting Data...3565181772</v>
        <stp/>
        <stp>BDP|2638890698866339435</stp>
        <tr r="G33" s="1"/>
      </tp>
      <tp t="s">
        <v>#N/A Requesting Data...3434788947</v>
        <stp/>
        <stp>BDP|6519184020154832028</stp>
        <tr r="C40" s="1"/>
      </tp>
      <tp t="s">
        <v>#N/A Requesting Data...3852737627</v>
        <stp/>
        <stp>BDP|4406782606305971746</stp>
        <tr r="D48" s="1"/>
      </tp>
      <tp t="s">
        <v>#N/A Requesting Data...3994665307</v>
        <stp/>
        <stp>BDP|4125812321366456924</stp>
        <tr r="W52" s="1"/>
      </tp>
      <tp t="s">
        <v>#N/A Requesting Data...4247570471</v>
        <stp/>
        <stp>BDP|2556613555394156472</stp>
        <tr r="F41" s="1"/>
      </tp>
      <tp t="s">
        <v>#N/A Requesting Data...3653510685</v>
        <stp/>
        <stp>BDP|1018094873021852654</stp>
        <tr r="F46" s="1"/>
      </tp>
      <tp t="s">
        <v>#N/A Requesting Data...3980797897</v>
        <stp/>
        <stp>BDP|4639499315483710395</stp>
        <tr r="Z34" s="1"/>
      </tp>
      <tp t="s">
        <v>#N/A Requesting Data...3752022816</v>
        <stp/>
        <stp>BDP|8894817419072064242</stp>
        <tr r="V56" s="1"/>
      </tp>
      <tp t="s">
        <v>#N/A Requesting Data...3866684110</v>
        <stp/>
        <stp>BDP|9663605562220754878</stp>
        <tr r="N66" s="1"/>
      </tp>
      <tp t="s">
        <v>#N/A Requesting Data...4187718489</v>
        <stp/>
        <stp>BDP|1945599959396921643</stp>
        <tr r="O59" s="1"/>
      </tp>
      <tp t="s">
        <v>#N/A Requesting Data...3479027068</v>
        <stp/>
        <stp>BDP|2134008645981144619</stp>
        <tr r="P11" s="1"/>
      </tp>
      <tp t="s">
        <v>#N/A Requesting Data...3474994910</v>
        <stp/>
        <stp>BDP|1722683551647857425</stp>
        <tr r="F56" s="1"/>
      </tp>
      <tp t="s">
        <v>#N/A Requesting Data...4163734583</v>
        <stp/>
        <stp>BDP|2206628627355742248</stp>
        <tr r="AG33" s="1"/>
      </tp>
      <tp t="s">
        <v>#N/A Requesting Data...3831492289</v>
        <stp/>
        <stp>BDP|8200945933871037218</stp>
        <tr r="AD54" s="1"/>
      </tp>
      <tp t="s">
        <v>#N/A Requesting Data...3786149341</v>
        <stp/>
        <stp>BDP|9834226467318197494</stp>
        <tr r="Z45" s="1"/>
      </tp>
      <tp t="s">
        <v>#N/A Requesting Data...3776503067</v>
        <stp/>
        <stp>BDP|9211238875645014815</stp>
        <tr r="M58" s="1"/>
      </tp>
      <tp t="s">
        <v>#N/A Requesting Data...3725382945</v>
        <stp/>
        <stp>BDP|5570507615327440718</stp>
        <tr r="H33" s="1"/>
      </tp>
      <tp t="s">
        <v>#N/A Requesting Data...3515788884</v>
        <stp/>
        <stp>BDP|7370840102386811885</stp>
        <tr r="F54" s="1"/>
      </tp>
      <tp t="s">
        <v>#N/A Requesting Data...3957128232</v>
        <stp/>
        <stp>BDP|8144470098383927725</stp>
        <tr r="K7" s="1"/>
      </tp>
      <tp t="s">
        <v>#N/A Requesting Data...4022562845</v>
        <stp/>
        <stp>BDP|7639332447654030577</stp>
        <tr r="Y62" s="1"/>
      </tp>
      <tp t="s">
        <v>#N/A Requesting Data...3679404342</v>
        <stp/>
        <stp>BDP|4383190892824401996</stp>
        <tr r="AD21" s="1"/>
      </tp>
    </main>
    <main first="bofaddin.rtdserver">
      <tp t="s">
        <v>#N/A Requesting Data...3694026009</v>
        <stp/>
        <stp>BDP|7591894002369024444</stp>
        <tr r="Y34" s="1"/>
      </tp>
      <tp t="s">
        <v>#N/A Requesting Data...3770720890</v>
        <stp/>
        <stp>BDP|9232843355876074092</stp>
        <tr r="AF23" s="1"/>
      </tp>
      <tp t="s">
        <v>#N/A Requesting Data...3449100697</v>
        <stp/>
        <stp>BDP|7375124568645153722</stp>
        <tr r="R8" s="1"/>
      </tp>
      <tp t="s">
        <v>#N/A Requesting Data...3637451989</v>
        <stp/>
        <stp>BDP|7905624664953614622</stp>
        <tr r="M7" s="1"/>
      </tp>
      <tp t="s">
        <v>#N/A Requesting Data...4085794752</v>
        <stp/>
        <stp>BDP|5889288738647174121</stp>
        <tr r="G74" s="1"/>
      </tp>
      <tp t="s">
        <v>#N/A Requesting Data...3574227726</v>
        <stp/>
        <stp>BDP|4143777029135457603</stp>
        <tr r="K76" s="1"/>
      </tp>
      <tp t="s">
        <v>#N/A Requesting Data...4173585672</v>
        <stp/>
        <stp>BDP|5195258320017842073</stp>
        <tr r="W69" s="1"/>
      </tp>
      <tp t="s">
        <v>#N/A Requesting Data...4251750847</v>
        <stp/>
        <stp>BDP|6263095819075996033</stp>
        <tr r="X20" s="1"/>
      </tp>
      <tp t="s">
        <v>#N/A Requesting Data...3765685931</v>
        <stp/>
        <stp>BDP|2569763690799808732</stp>
        <tr r="R22" s="1"/>
      </tp>
      <tp t="s">
        <v>#N/A Requesting Data...4294807918</v>
        <stp/>
        <stp>BDP|5001386441699706963</stp>
        <tr r="I20" s="1"/>
      </tp>
      <tp t="s">
        <v>#N/A Requesting Data...3956568009</v>
        <stp/>
        <stp>BDP|7973086308545264035</stp>
        <tr r="Z20" s="1"/>
      </tp>
      <tp t="s">
        <v>#N/A Requesting Data...3721557928</v>
        <stp/>
        <stp>BDP|8292501475759676181</stp>
        <tr r="H71" s="1"/>
      </tp>
      <tp t="s">
        <v>#N/A Requesting Data...3832899396</v>
        <stp/>
        <stp>BDP|1532351428136188401</stp>
        <tr r="D77" s="1"/>
      </tp>
      <tp t="s">
        <v>#N/A Requesting Data...3542962096</v>
        <stp/>
        <stp>BDP|9119569685401891739</stp>
        <tr r="AB13" s="1"/>
      </tp>
      <tp t="s">
        <v>#N/A Requesting Data...4211426517</v>
        <stp/>
        <stp>BDP|4623628537093273082</stp>
        <tr r="AE41" s="1"/>
      </tp>
      <tp t="s">
        <v>#N/A Requesting Data...3610041371</v>
        <stp/>
        <stp>BDP|5877034612723955591</stp>
        <tr r="I69" s="1"/>
      </tp>
      <tp t="s">
        <v>#N/A Requesting Data...4015060120</v>
        <stp/>
        <stp>BDP|1508410057941989332</stp>
        <tr r="R6" s="1"/>
      </tp>
      <tp t="s">
        <v>#N/A Requesting Data...4096449038</v>
        <stp/>
        <stp>BDP|2959340235915507549</stp>
        <tr r="N15" s="1"/>
      </tp>
      <tp t="s">
        <v>#N/A Requesting Data...3903719751</v>
        <stp/>
        <stp>BDP|9781681702459727439</stp>
        <tr r="AF70" s="1"/>
      </tp>
      <tp t="s">
        <v>#N/A Requesting Data...4037698131</v>
        <stp/>
        <stp>BDP|9121090155796794844</stp>
        <tr r="V35" s="1"/>
      </tp>
      <tp t="s">
        <v>#N/A Requesting Data...3953637270</v>
        <stp/>
        <stp>BDP|3338081105033563259</stp>
        <tr r="I34" s="1"/>
      </tp>
      <tp t="s">
        <v>#N/A Requesting Data...4106606396</v>
        <stp/>
        <stp>BDP|2762129419012702253</stp>
        <tr r="I2" s="1"/>
      </tp>
      <tp t="s">
        <v>#N/A Requesting Data...4072413831</v>
        <stp/>
        <stp>BDP|7097127308420034449</stp>
        <tr r="AD45" s="1"/>
      </tp>
      <tp t="s">
        <v>#N/A Requesting Data...3527091557</v>
        <stp/>
        <stp>BDP|4757089557007129479</stp>
        <tr r="W5" s="1"/>
      </tp>
      <tp t="s">
        <v>#N/A Requesting Data...3847289173</v>
        <stp/>
        <stp>BDP|3969250574857184369</stp>
        <tr r="J45" s="1"/>
      </tp>
      <tp t="s">
        <v>#N/A Requesting Data...3647449972</v>
        <stp/>
        <stp>BDP|7222364448824079638</stp>
        <tr r="D67" s="1"/>
      </tp>
      <tp t="s">
        <v>#N/A Requesting Data...3651055504</v>
        <stp/>
        <stp>BDP|6694666041776619089</stp>
        <tr r="X49" s="1"/>
      </tp>
      <tp t="s">
        <v>#N/A Requesting Data...3991036403</v>
        <stp/>
        <stp>BDP|1137346076520999764</stp>
        <tr r="G15" s="1"/>
      </tp>
      <tp t="s">
        <v>#N/A Requesting Data...3592627775</v>
        <stp/>
        <stp>BDP|6920444306696722603</stp>
        <tr r="AE35" s="1"/>
      </tp>
      <tp t="s">
        <v>#N/A Requesting Data...3795939829</v>
        <stp/>
        <stp>BDP|9296099017482338834</stp>
        <tr r="M2" s="1"/>
      </tp>
      <tp t="s">
        <v>#N/A Requesting Data...3674108496</v>
        <stp/>
        <stp>BDP|5750500407554427687</stp>
        <tr r="W35" s="1"/>
      </tp>
      <tp t="s">
        <v>#N/A Requesting Data...4049099906</v>
        <stp/>
        <stp>BDP|1836022520679014863</stp>
        <tr r="C3" s="1"/>
      </tp>
      <tp t="s">
        <v>#N/A Requesting Data...4284821347</v>
        <stp/>
        <stp>BDP|7921044516562785611</stp>
        <tr r="E72" s="1"/>
      </tp>
      <tp t="s">
        <v>#N/A Requesting Data...4016460306</v>
        <stp/>
        <stp>BDP|5371283053204410414</stp>
        <tr r="AE45" s="1"/>
      </tp>
      <tp t="s">
        <v>#N/A Requesting Data...3727916120</v>
        <stp/>
        <stp>BDP|1044382473683208442</stp>
        <tr r="AD34" s="1"/>
      </tp>
      <tp t="s">
        <v>#N/A Requesting Data...4040950224</v>
        <stp/>
        <stp>BDP|9570869717085054760</stp>
        <tr r="H57" s="1"/>
      </tp>
      <tp t="s">
        <v>#N/A Requesting Data...3637748714</v>
        <stp/>
        <stp>BDP|3691848040019328430</stp>
        <tr r="AD2" s="1"/>
      </tp>
      <tp t="s">
        <v>#N/A Requesting Data...4014043692</v>
        <stp/>
        <stp>BDP|1750631515267138323</stp>
        <tr r="H50" s="1"/>
      </tp>
      <tp t="s">
        <v>#N/A N/A</v>
        <stp/>
        <stp>BDS|1544119366257462352</stp>
        <tr r="AK56" s="1"/>
        <tr r="AK72" s="1"/>
        <tr r="AK54" s="1"/>
        <tr r="AK13" s="1"/>
        <tr r="AK45" s="1"/>
        <tr r="AK48" s="1"/>
        <tr r="AK65" s="1"/>
        <tr r="AK78" s="1"/>
        <tr r="AK79" s="1"/>
      </tp>
      <tp t="s">
        <v>#N/A Requesting Data...4294938100</v>
        <stp/>
        <stp>BDP|7904195945955722514</stp>
        <tr r="R48" s="1"/>
      </tp>
      <tp t="s">
        <v>#N/A Requesting Data...3867817113</v>
        <stp/>
        <stp>BDP|2696236941745258351</stp>
        <tr r="E61" s="1"/>
      </tp>
      <tp t="s">
        <v>#N/A Requesting Data...4276209135</v>
        <stp/>
        <stp>BDP|4571665474170554717</stp>
        <tr r="S4" s="1"/>
      </tp>
      <tp t="s">
        <v>#N/A Requesting Data...3535519002</v>
        <stp/>
        <stp>BDP|8518627165232412854</stp>
        <tr r="E23" s="1"/>
      </tp>
      <tp t="s">
        <v>#N/A Requesting Data...4255826364</v>
        <stp/>
        <stp>BDP|9810787032729464650</stp>
        <tr r="E17" s="1"/>
      </tp>
      <tp t="s">
        <v>#N/A Requesting Data...4263575652</v>
        <stp/>
        <stp>BDP|3317601711611152705</stp>
        <tr r="K58" s="1"/>
      </tp>
      <tp t="s">
        <v>#N/A Requesting Data...3513478674</v>
        <stp/>
        <stp>BDP|7460225890816713813</stp>
        <tr r="AC42" s="1"/>
      </tp>
      <tp t="s">
        <v>#N/A Requesting Data...3724131605</v>
        <stp/>
        <stp>BDP|7590526423221375374</stp>
        <tr r="H21" s="1"/>
      </tp>
      <tp t="s">
        <v>#N/A Requesting Data...3719938147</v>
        <stp/>
        <stp>BDP|8673345526483342871</stp>
        <tr r="AE53" s="1"/>
      </tp>
      <tp t="s">
        <v>#N/A Requesting Data...3575063461</v>
        <stp/>
        <stp>BDP|5544967895483126471</stp>
        <tr r="J73" s="1"/>
      </tp>
      <tp t="s">
        <v>#N/A Requesting Data...3630064231</v>
        <stp/>
        <stp>BDP|1880193021609636973</stp>
        <tr r="M19" s="1"/>
      </tp>
      <tp t="s">
        <v>#N/A Requesting Data...4247527205</v>
        <stp/>
        <stp>BDP|9581562335925045878</stp>
        <tr r="N52" s="1"/>
      </tp>
      <tp t="s">
        <v>#N/A Requesting Data...3703931279</v>
        <stp/>
        <stp>BDP|7541514610088508905</stp>
        <tr r="Y15" s="1"/>
      </tp>
      <tp t="s">
        <v>#N/A Requesting Data...3667654641</v>
        <stp/>
        <stp>BDP|3199053171750460670</stp>
        <tr r="D6" s="1"/>
      </tp>
      <tp t="s">
        <v>#N/A Requesting Data...3664276636</v>
        <stp/>
        <stp>BDP|6396249583569092721</stp>
        <tr r="U46" s="1"/>
      </tp>
      <tp t="s">
        <v>#N/A Requesting Data...4161909674</v>
        <stp/>
        <stp>BDP|4920309009082667700</stp>
        <tr r="Q35" s="1"/>
      </tp>
      <tp t="s">
        <v>#N/A Requesting Data...4182423092</v>
        <stp/>
        <stp>BDP|9508902124436592622</stp>
        <tr r="AG14" s="1"/>
      </tp>
      <tp t="s">
        <v>#N/A Requesting Data...4157536448</v>
        <stp/>
        <stp>BDP|7093730993209708217</stp>
        <tr r="W24" s="1"/>
      </tp>
      <tp t="s">
        <v>#N/A Requesting Data...3699653044</v>
        <stp/>
        <stp>BDP|6759519439601835315</stp>
        <tr r="P47" s="1"/>
      </tp>
      <tp t="s">
        <v>#N/A Requesting Data...3508214549</v>
        <stp/>
        <stp>BDP|5086865621465414856</stp>
        <tr r="AE72" s="1"/>
      </tp>
      <tp t="s">
        <v>#N/A Requesting Data...4212439465</v>
        <stp/>
        <stp>BDP|7584744448624894271</stp>
        <tr r="I31" s="1"/>
      </tp>
      <tp t="s">
        <v>#N/A Requesting Data...3620370019</v>
        <stp/>
        <stp>BDP|9302576507219293765</stp>
        <tr r="AC63" s="1"/>
      </tp>
      <tp t="s">
        <v>#N/A Requesting Data...4203764005</v>
        <stp/>
        <stp>BDP|4285729666370950784</stp>
        <tr r="AH62" s="1"/>
      </tp>
      <tp t="s">
        <v>#N/A Requesting Data...3680807357</v>
        <stp/>
        <stp>BDP|4463304986075231872</stp>
        <tr r="Y68" s="1"/>
      </tp>
      <tp t="s">
        <v>#N/A Requesting Data...4158562616</v>
        <stp/>
        <stp>BDP|9765809702710559378</stp>
        <tr r="AG66" s="1"/>
      </tp>
      <tp t="s">
        <v>#N/A Requesting Data...3595313306</v>
        <stp/>
        <stp>BDP|7901310452430553387</stp>
        <tr r="AH53" s="1"/>
      </tp>
      <tp t="s">
        <v>#N/A Requesting Data...3911878256</v>
        <stp/>
        <stp>BDP|3594320675271606404</stp>
        <tr r="AE24" s="1"/>
      </tp>
      <tp t="s">
        <v>#N/A Requesting Data...3820169990</v>
        <stp/>
        <stp>BDP|8947077213158104381</stp>
        <tr r="C59" s="1"/>
      </tp>
      <tp t="s">
        <v>#N/A Requesting Data...4026147289</v>
        <stp/>
        <stp>BDP|3959624733086440281</stp>
        <tr r="AA68" s="1"/>
      </tp>
      <tp t="s">
        <v>#N/A N/A</v>
        <stp/>
        <stp>BDS|4614597816941829346</stp>
        <tr r="AK20" s="1"/>
        <tr r="AK47" s="1"/>
        <tr r="AK10" s="1"/>
        <tr r="AK35" s="1"/>
      </tp>
      <tp t="s">
        <v>#N/A Requesting Data...3902185298</v>
        <stp/>
        <stp>BDP|8320213736999177207</stp>
        <tr r="AH7" s="1"/>
      </tp>
      <tp t="s">
        <v>#N/A Requesting Data...3546095280</v>
        <stp/>
        <stp>BDP|3911399355522340533</stp>
        <tr r="I12" s="1"/>
      </tp>
      <tp t="s">
        <v>#N/A Requesting Data...3879874027</v>
        <stp/>
        <stp>BDP|2365481145439281997</stp>
        <tr r="D3" s="1"/>
      </tp>
      <tp t="s">
        <v>#N/A Requesting Data...3844617555</v>
        <stp/>
        <stp>BDP|1344729397475267813</stp>
        <tr r="AA51" s="1"/>
      </tp>
      <tp t="s">
        <v>#N/A Requesting Data...3849692950</v>
        <stp/>
        <stp>BDP|2089205935194354535</stp>
        <tr r="AE18" s="1"/>
      </tp>
      <tp t="s">
        <v>#N/A Requesting Data...3576814962</v>
        <stp/>
        <stp>BDP|2785963135932575840</stp>
        <tr r="H25" s="1"/>
      </tp>
      <tp t="s">
        <v>#N/A Requesting Data...4229390135</v>
        <stp/>
        <stp>BDP|1354085859543117562</stp>
        <tr r="D2" s="1"/>
      </tp>
      <tp t="s">
        <v>#N/A Requesting Data...4062151771</v>
        <stp/>
        <stp>BDP|8947624509329139566</stp>
        <tr r="H51" s="1"/>
      </tp>
    </main>
    <main first="bofaddin.rtdserver">
      <tp t="s">
        <v>#N/A Requesting Data...4053758278</v>
        <stp/>
        <stp>BDP|6213185369000195280</stp>
        <tr r="AF46" s="1"/>
      </tp>
      <tp t="s">
        <v>#N/A N/A</v>
        <stp/>
        <stp>BDS|1995678124271397736</stp>
        <tr r="AK26" s="1"/>
        <tr r="AK14" s="1"/>
        <tr r="AK11" s="1"/>
        <tr r="AK12" s="1"/>
        <tr r="AK7" s="1"/>
      </tp>
      <tp t="s">
        <v>#N/A Requesting Data...4192072689</v>
        <stp/>
        <stp>BDP|3559861982267336785</stp>
        <tr r="AA50" s="1"/>
      </tp>
      <tp t="s">
        <v>#N/A Requesting Data...4018700255</v>
        <stp/>
        <stp>BDP|4797163757684881746</stp>
        <tr r="W74" s="1"/>
      </tp>
      <tp t="s">
        <v>#N/A Requesting Data...3626060235</v>
        <stp/>
        <stp>BDP|6249219610392995402</stp>
        <tr r="W19" s="1"/>
      </tp>
      <tp t="s">
        <v>#N/A Requesting Data...3834201087</v>
        <stp/>
        <stp>BDP|1949816090206224507</stp>
        <tr r="K32" s="1"/>
      </tp>
      <tp t="s">
        <v>#N/A Requesting Data...3743554753</v>
        <stp/>
        <stp>BDP|6649129239582670504</stp>
        <tr r="F32" s="1"/>
      </tp>
      <tp t="s">
        <v>#N/A Requesting Data...4048030746</v>
        <stp/>
        <stp>BDP|3193646580948740698</stp>
        <tr r="AC65" s="1"/>
      </tp>
      <tp t="s">
        <v>#N/A Requesting Data...3532357484</v>
        <stp/>
        <stp>BDP|5226290772043298004</stp>
        <tr r="AB33" s="1"/>
      </tp>
      <tp t="s">
        <v>#N/A Requesting Data...3971087930</v>
        <stp/>
        <stp>BDP|4723802349769361264</stp>
        <tr r="N72" s="1"/>
      </tp>
      <tp t="s">
        <v>#N/A Requesting Data...3914542660</v>
        <stp/>
        <stp>BDP|6936458711437115747</stp>
        <tr r="Z78" s="1"/>
      </tp>
      <tp t="s">
        <v>#N/A Requesting Data...3965710113</v>
        <stp/>
        <stp>BDP|3972237500505150738</stp>
        <tr r="L8" s="1"/>
      </tp>
      <tp t="s">
        <v>#N/A Requesting Data...4119994069</v>
        <stp/>
        <stp>BDP|2797351105353710182</stp>
        <tr r="Y60" s="1"/>
      </tp>
      <tp t="s">
        <v>#N/A Requesting Data...3750720549</v>
        <stp/>
        <stp>BDP|1326902557748843640</stp>
        <tr r="U44" s="1"/>
      </tp>
      <tp t="s">
        <v>#N/A Requesting Data...3750742511</v>
        <stp/>
        <stp>BDP|9561399576507416969</stp>
        <tr r="M65" s="1"/>
      </tp>
      <tp t="s">
        <v>#N/A Requesting Data...4236550245</v>
        <stp/>
        <stp>BDP|8848993867911798590</stp>
        <tr r="F47" s="1"/>
      </tp>
      <tp t="s">
        <v>#N/A Requesting Data...3991751902</v>
        <stp/>
        <stp>BDP|4237784473121785668</stp>
        <tr r="X65" s="1"/>
      </tp>
      <tp t="s">
        <v>#N/A Requesting Data...3590027289</v>
        <stp/>
        <stp>BDP|1725602808852221646</stp>
        <tr r="U76" s="1"/>
      </tp>
      <tp t="s">
        <v>#N/A Requesting Data...3839092313</v>
        <stp/>
        <stp>BDP|5294559506406950517</stp>
        <tr r="C46" s="1"/>
      </tp>
      <tp t="s">
        <v>#N/A Requesting Data...3705729175</v>
        <stp/>
        <stp>BDP|5345779302224802502</stp>
        <tr r="Q42" s="1"/>
      </tp>
      <tp t="s">
        <v>#N/A Requesting Data...3907486486</v>
        <stp/>
        <stp>BDP|4109302852325984445</stp>
        <tr r="F28" s="1"/>
      </tp>
      <tp t="s">
        <v>#N/A Requesting Data...3984216075</v>
        <stp/>
        <stp>BDP|6517496949492397788</stp>
        <tr r="AH68" s="1"/>
      </tp>
      <tp t="s">
        <v>#N/A Requesting Data...4040196272</v>
        <stp/>
        <stp>BDP|1547286355200494536</stp>
        <tr r="AE58" s="1"/>
      </tp>
      <tp t="s">
        <v>#N/A Requesting Data...3596299242</v>
        <stp/>
        <stp>BDP|1527739989374758945</stp>
        <tr r="H15" s="1"/>
      </tp>
      <tp t="s">
        <v>#N/A Requesting Data...3918772769</v>
        <stp/>
        <stp>BDP|7593475273217938050</stp>
        <tr r="H12" s="1"/>
      </tp>
      <tp t="s">
        <v>#N/A Requesting Data...3739826405</v>
        <stp/>
        <stp>BDP|9318097390986337543</stp>
        <tr r="J43" s="1"/>
      </tp>
      <tp t="s">
        <v>#N/A Requesting Data...3618877491</v>
        <stp/>
        <stp>BDP|5710963389140725721</stp>
        <tr r="T23" s="1"/>
      </tp>
      <tp t="s">
        <v>#N/A Requesting Data...3841780292</v>
        <stp/>
        <stp>BDP|4067438180678887363</stp>
        <tr r="H48" s="1"/>
      </tp>
      <tp t="s">
        <v>#N/A Requesting Data...3851599158</v>
        <stp/>
        <stp>BDP|6138598421631498301</stp>
        <tr r="Y10" s="1"/>
      </tp>
      <tp t="s">
        <v>#N/A N/A</v>
        <stp/>
        <stp>BDP|5368722349220547505</stp>
        <tr r="AJ26" s="1"/>
        <tr r="AJ14" s="1"/>
        <tr r="AJ7" s="1"/>
        <tr r="AJ11" s="1"/>
        <tr r="AJ12" s="1"/>
      </tp>
      <tp t="s">
        <v>#N/A Requesting Data...4047451759</v>
        <stp/>
        <stp>BDP|9946684163578903263</stp>
        <tr r="AA57" s="1"/>
      </tp>
      <tp t="s">
        <v>#N/A Requesting Data...4162732815</v>
        <stp/>
        <stp>BDP|9164021292625110628</stp>
        <tr r="W39" s="1"/>
      </tp>
      <tp t="s">
        <v>#N/A Requesting Data...3857847478</v>
        <stp/>
        <stp>BDP|4810068469558659935</stp>
        <tr r="D51" s="1"/>
      </tp>
      <tp t="s">
        <v>#N/A Requesting Data...3897643419</v>
        <stp/>
        <stp>BDP|9034701199494990020</stp>
        <tr r="E3" s="1"/>
      </tp>
      <tp t="s">
        <v>#N/A Requesting Data...4189603202</v>
        <stp/>
        <stp>BDP|3003233659067916010</stp>
        <tr r="D5" s="1"/>
      </tp>
      <tp t="s">
        <v>#N/A Requesting Data...3679874635</v>
        <stp/>
        <stp>BDP|2318864222493220868</stp>
        <tr r="J62" s="1"/>
      </tp>
      <tp t="s">
        <v>#N/A Requesting Data...3972622028</v>
        <stp/>
        <stp>BDP|8205652582345426029</stp>
        <tr r="AF26" s="1"/>
      </tp>
      <tp t="s">
        <v>#N/A Requesting Data...4017304817</v>
        <stp/>
        <stp>BDP|4886070752341921376</stp>
        <tr r="AC17" s="1"/>
      </tp>
      <tp t="s">
        <v>#N/A Requesting Data...4064539309</v>
        <stp/>
        <stp>BDP|2517338009267876543</stp>
        <tr r="R21" s="1"/>
      </tp>
      <tp t="s">
        <v>#N/A Requesting Data...3958857916</v>
        <stp/>
        <stp>BDP|2353492001872002781</stp>
        <tr r="U49" s="1"/>
      </tp>
      <tp t="s">
        <v>#N/A Requesting Data...4006101256</v>
        <stp/>
        <stp>BDP|9025993519741666350</stp>
        <tr r="M32" s="1"/>
      </tp>
      <tp t="s">
        <v>#N/A Requesting Data...4154340452</v>
        <stp/>
        <stp>BDP|4161659010257699716</stp>
        <tr r="S20" s="1"/>
      </tp>
      <tp t="s">
        <v>#N/A Requesting Data...3667030107</v>
        <stp/>
        <stp>BDP|8920552939224771910</stp>
        <tr r="K23" s="1"/>
      </tp>
      <tp t="s">
        <v>#N/A Requesting Data...3587676743</v>
        <stp/>
        <stp>BDP|7179400386351374977</stp>
        <tr r="L22" s="1"/>
      </tp>
      <tp t="s">
        <v>#N/A Requesting Data...3889948794</v>
        <stp/>
        <stp>BDP|8096138012722714950</stp>
        <tr r="AG9" s="1"/>
      </tp>
      <tp t="s">
        <v>#N/A Requesting Data...3816968892</v>
        <stp/>
        <stp>BDP|1398737073366024437</stp>
        <tr r="AE49" s="1"/>
      </tp>
      <tp t="s">
        <v>#N/A Requesting Data...4262200340</v>
        <stp/>
        <stp>BDP|7418714051516795032</stp>
        <tr r="O50" s="1"/>
      </tp>
      <tp t="s">
        <v>#N/A Requesting Data...3982210573</v>
        <stp/>
        <stp>BDP|9182358161276665939</stp>
        <tr r="P30" s="1"/>
      </tp>
      <tp t="s">
        <v>#N/A Requesting Data...3797987564</v>
        <stp/>
        <stp>BDP|4440028954603134134</stp>
        <tr r="T62" s="1"/>
      </tp>
      <tp t="s">
        <v>#N/A Requesting Data...3785051554</v>
        <stp/>
        <stp>BDP|6694038336483695550</stp>
        <tr r="U31" s="1"/>
      </tp>
      <tp t="s">
        <v>#N/A Requesting Data...4066129812</v>
        <stp/>
        <stp>BDP|4325765507864292409</stp>
        <tr r="Q29" s="1"/>
      </tp>
      <tp t="s">
        <v>#N/A Requesting Data...3764457833</v>
        <stp/>
        <stp>BDP|3452514000025755022</stp>
        <tr r="AA33" s="1"/>
      </tp>
      <tp t="s">
        <v>#N/A Requesting Data...4039246219</v>
        <stp/>
        <stp>BDP|3110119541177545254</stp>
        <tr r="C57" s="1"/>
      </tp>
      <tp t="s">
        <v>#N/A Requesting Data...3916334924</v>
        <stp/>
        <stp>BDP|8263748582360415417</stp>
        <tr r="Y28" s="1"/>
      </tp>
      <tp t="s">
        <v>#N/A Requesting Data...3598410111</v>
        <stp/>
        <stp>BDP|6407402682499533024</stp>
        <tr r="AA71" s="1"/>
      </tp>
      <tp t="s">
        <v>#N/A Requesting Data...4290147801</v>
        <stp/>
        <stp>BDP|9354840394792769954</stp>
        <tr r="E57" s="1"/>
      </tp>
      <tp t="s">
        <v>#N/A Requesting Data...4059813138</v>
        <stp/>
        <stp>BDP|8325696137168970656</stp>
        <tr r="AC21" s="1"/>
      </tp>
      <tp t="s">
        <v>#N/A Requesting Data...3840872792</v>
        <stp/>
        <stp>BDP|6599927733738075725</stp>
        <tr r="V75" s="1"/>
      </tp>
      <tp t="s">
        <v>#N/A Requesting Data...3894500062</v>
        <stp/>
        <stp>BDP|7940533548711348479</stp>
        <tr r="F58" s="1"/>
      </tp>
      <tp t="s">
        <v>#N/A Requesting Data...4236971411</v>
        <stp/>
        <stp>BDP|3081272345426058044</stp>
        <tr r="Y6" s="1"/>
      </tp>
      <tp t="s">
        <v>#N/A Requesting Data...4148681089</v>
        <stp/>
        <stp>BDP|8481307866479388771</stp>
        <tr r="Z68" s="1"/>
      </tp>
      <tp t="s">
        <v>#N/A Requesting Data...3879008706</v>
        <stp/>
        <stp>BDP|9862875616376777582</stp>
        <tr r="X51" s="1"/>
      </tp>
      <tp t="s">
        <v>#N/A Requesting Data...4100726598</v>
        <stp/>
        <stp>BDP|3111950196836254670</stp>
        <tr r="F12" s="1"/>
      </tp>
      <tp t="s">
        <v>#N/A Requesting Data...3931833488</v>
        <stp/>
        <stp>BDP|4095365536923503429</stp>
        <tr r="N23" s="1"/>
      </tp>
      <tp t="s">
        <v>#N/A Requesting Data...4030567458</v>
        <stp/>
        <stp>BDP|6178263555837345568</stp>
        <tr r="R39" s="1"/>
      </tp>
      <tp t="s">
        <v>#N/A Requesting Data...3870577811</v>
        <stp/>
        <stp>BDP|8966348994984873565</stp>
        <tr r="AF49" s="1"/>
      </tp>
      <tp t="s">
        <v>#N/A Requesting Data...3989792319</v>
        <stp/>
        <stp>BDP|9659351258678511495</stp>
        <tr r="S78" s="1"/>
      </tp>
      <tp t="s">
        <v>#N/A Requesting Data...3661947188</v>
        <stp/>
        <stp>BDP|3568716784408687723</stp>
        <tr r="P43" s="1"/>
      </tp>
      <tp t="s">
        <v>#N/A Requesting Data...4194048197</v>
        <stp/>
        <stp>BDP|9132910076032565674</stp>
        <tr r="T51" s="1"/>
      </tp>
      <tp t="s">
        <v>#N/A Requesting Data...4114923890</v>
        <stp/>
        <stp>BDP|1536104661550370536</stp>
        <tr r="AD74" s="1"/>
      </tp>
      <tp t="s">
        <v>#N/A Requesting Data...4188024776</v>
        <stp/>
        <stp>BDP|1560649205100999494</stp>
        <tr r="T14" s="1"/>
      </tp>
      <tp t="s">
        <v>#N/A Requesting Data...3774318159</v>
        <stp/>
        <stp>BDP|1513425207190744637</stp>
        <tr r="X46" s="1"/>
      </tp>
      <tp t="s">
        <v>#N/A Requesting Data...4025705301</v>
        <stp/>
        <stp>BDP|2303518882398735423</stp>
        <tr r="P34" s="1"/>
      </tp>
      <tp t="s">
        <v>#N/A Requesting Data...3620729254</v>
        <stp/>
        <stp>BDP|3101709906493688448</stp>
        <tr r="N12" s="1"/>
      </tp>
      <tp t="s">
        <v>#N/A Requesting Data...3692381185</v>
        <stp/>
        <stp>BDP|8546789100048036482</stp>
        <tr r="F76" s="1"/>
      </tp>
      <tp t="s">
        <v>#N/A Requesting Data...3811104666</v>
        <stp/>
        <stp>BDP|5364347380579299402</stp>
        <tr r="O9" s="1"/>
      </tp>
      <tp t="s">
        <v>#N/A Requesting Data...3780247252</v>
        <stp/>
        <stp>BDP|2251201759635612382</stp>
        <tr r="C30" s="1"/>
      </tp>
    </main>
    <main first="bofaddin.rtdserver">
      <tp t="s">
        <v>#N/A Requesting Data...3636511583</v>
        <stp/>
        <stp>BDP|15919942564691119</stp>
        <tr r="AD24" s="1"/>
      </tp>
      <tp t="s">
        <v>#N/A Requesting Data...3622745445</v>
        <stp/>
        <stp>BDP|90018342449230514</stp>
        <tr r="I53" s="1"/>
      </tp>
      <tp t="s">
        <v>#N/A Requesting Data...3605465347</v>
        <stp/>
        <stp>BDP|43339836223169822</stp>
        <tr r="D73" s="1"/>
      </tp>
      <tp t="s">
        <v>#N/A Requesting Data...3762747963</v>
        <stp/>
        <stp>BDP|15365981200105043</stp>
        <tr r="AC35" s="1"/>
      </tp>
      <tp t="s">
        <v>#N/A Requesting Data...4064200503</v>
        <stp/>
        <stp>BDP|36682285830532588</stp>
        <tr r="AA24" s="1"/>
      </tp>
    </main>
    <main first="bofaddin.rtdserver">
      <tp t="s">
        <v>#N/A Requesting Data...3608778358</v>
        <stp/>
        <stp>BDP|35897885128170208</stp>
        <tr r="H77" s="1"/>
      </tp>
      <tp t="s">
        <v>#N/A Requesting Data...3865459652</v>
        <stp/>
        <stp>BDP|98761770408683294</stp>
        <tr r="AD9" s="1"/>
      </tp>
    </main>
    <main first="bofaddin.rtdserver">
      <tp t="s">
        <v>#N/A Requesting Data...3866138761</v>
        <stp/>
        <stp>BDP|43338634734602931</stp>
        <tr r="W14" s="1"/>
      </tp>
    </main>
    <main first="bofaddin.rtdserver">
      <tp t="s">
        <v>#N/A Requesting Data...3611331790</v>
        <stp/>
        <stp>BDP|94720658488713620</stp>
        <tr r="AC68" s="1"/>
      </tp>
    </main>
    <main first="bofaddin.rtdserver">
      <tp t="s">
        <v>#N/A Requesting Data...3956624343</v>
        <stp/>
        <stp>BDP|71736349705900968</stp>
        <tr r="O22" s="1"/>
      </tp>
      <tp t="s">
        <v>#N/A Requesting Data...4287480454</v>
        <stp/>
        <stp>BDP|78093691635239310</stp>
        <tr r="X27" s="1"/>
      </tp>
    </main>
    <main first="bofaddin.rtdserver">
      <tp t="s">
        <v>#N/A Requesting Data...3779763519</v>
        <stp/>
        <stp>BDP|68267211747345477</stp>
        <tr r="C72" s="1"/>
      </tp>
      <tp t="s">
        <v>#N/A Requesting Data...4088599491</v>
        <stp/>
        <stp>BDP|15392263972176436</stp>
        <tr r="AH15" s="1"/>
      </tp>
    </main>
    <main first="bofaddin.rtdserver">
      <tp t="s">
        <v>#N/A Requesting Data...3748665498</v>
        <stp/>
        <stp>BDP|61337011014038407</stp>
        <tr r="R43" s="1"/>
      </tp>
      <tp t="s">
        <v>#N/A Requesting Data...3682061410</v>
        <stp/>
        <stp>BDP|68410170191322769</stp>
        <tr r="AG50" s="1"/>
      </tp>
      <tp t="s">
        <v>#N/A Requesting Data...3893464459</v>
        <stp/>
        <stp>BDP|29908219218862594</stp>
        <tr r="D54" s="1"/>
      </tp>
    </main>
    <main first="bofaddin.rtdserver">
      <tp t="s">
        <v>#N/A Requesting Data...4130994297</v>
        <stp/>
        <stp>BDP|90415436563326073</stp>
        <tr r="K20" s="1"/>
      </tp>
      <tp t="s">
        <v>#N/A Requesting Data...3906479572</v>
        <stp/>
        <stp>BDP|79374578545802561</stp>
        <tr r="O20" s="1"/>
      </tp>
    </main>
    <main first="bofaddin.rtdserver">
      <tp t="s">
        <v>#N/A Requesting Data...3854594379</v>
        <stp/>
        <stp>BDP|81067434366575236</stp>
        <tr r="AA32" s="1"/>
      </tp>
    </main>
    <main first="bofaddin.rtdserver">
      <tp t="s">
        <v>#N/A Requesting Data...4084241881</v>
        <stp/>
        <stp>BDP|64093808660093659</stp>
        <tr r="Q63" s="1"/>
      </tp>
      <tp t="s">
        <v>#N/A Requesting Data...3984882611</v>
        <stp/>
        <stp>BDP|72124403085807261</stp>
        <tr r="X40" s="1"/>
      </tp>
      <tp t="s">
        <v>#N/A Requesting Data...3678128504</v>
        <stp/>
        <stp>BDP|162990219914924967</stp>
        <tr r="Z23" s="1"/>
      </tp>
      <tp t="s">
        <v>#N/A Requesting Data...4094159536</v>
        <stp/>
        <stp>BDP|691487331040234231</stp>
        <tr r="AD62" s="1"/>
      </tp>
      <tp t="s">
        <v>#N/A Requesting Data...4249533777</v>
        <stp/>
        <stp>BDP|565993504314730810</stp>
        <tr r="N27" s="1"/>
      </tp>
      <tp t="s">
        <v>#N/A Requesting Data...4141544748</v>
        <stp/>
        <stp>BDP|874188176233191080</stp>
        <tr r="AF63" s="1"/>
      </tp>
      <tp t="s">
        <v>#N/A Requesting Data...4155462524</v>
        <stp/>
        <stp>BDP|265717359162401567</stp>
        <tr r="C37" s="1"/>
      </tp>
      <tp t="s">
        <v>#N/A Requesting Data...4058473946</v>
        <stp/>
        <stp>BDP|644405323970924352</stp>
        <tr r="AD27" s="1"/>
      </tp>
      <tp t="s">
        <v>#N/A Requesting Data...4028429780</v>
        <stp/>
        <stp>BDP|400509613758485984</stp>
        <tr r="E5" s="1"/>
      </tp>
      <tp t="s">
        <v>#N/A Requesting Data...4272088939</v>
        <stp/>
        <stp>BDP|818320504136729025</stp>
        <tr r="Q12" s="1"/>
      </tp>
      <tp t="s">
        <v>#N/A Requesting Data...3819885666</v>
        <stp/>
        <stp>BDP|321200623956143359</stp>
        <tr r="K37" s="1"/>
      </tp>
      <tp t="s">
        <v>#N/A Requesting Data...4001047259</v>
        <stp/>
        <stp>BDP|737907507085450932</stp>
        <tr r="AC54" s="1"/>
      </tp>
      <tp t="s">
        <v>#N/A Requesting Data...4034581903</v>
        <stp/>
        <stp>BDP|497285769442531318</stp>
        <tr r="O5" s="1"/>
      </tp>
      <tp t="s">
        <v>#N/A Requesting Data...3780104602</v>
        <stp/>
        <stp>BDP|126125431064747343</stp>
        <tr r="Y26" s="1"/>
      </tp>
      <tp t="s">
        <v>#N/A Requesting Data...3650922429</v>
        <stp/>
        <stp>BDP|793405430600067240</stp>
        <tr r="V11" s="1"/>
      </tp>
      <tp t="s">
        <v>#N/A Requesting Data...3886238598</v>
        <stp/>
        <stp>BDP|107831588312030675</stp>
        <tr r="AF71" s="1"/>
      </tp>
      <tp t="s">
        <v>#N/A Requesting Data...3754648564</v>
        <stp/>
        <stp>BDP|342897593633203629</stp>
        <tr r="AH38" s="1"/>
      </tp>
      <tp t="s">
        <v>#N/A Requesting Data...3678857999</v>
        <stp/>
        <stp>BDP|152177868122130161</stp>
        <tr r="V55" s="1"/>
      </tp>
      <tp t="s">
        <v>#N/A Requesting Data...4175141113</v>
        <stp/>
        <stp>BDP|406171156693845380</stp>
        <tr r="L49" s="1"/>
      </tp>
      <tp t="s">
        <v>#N/A Requesting Data...3955735629</v>
        <stp/>
        <stp>BDP|201298483229079792</stp>
        <tr r="V6" s="1"/>
      </tp>
      <tp t="s">
        <v>#N/A Requesting Data...3955456033</v>
        <stp/>
        <stp>BDP|741609016756085531</stp>
        <tr r="Y40" s="1"/>
      </tp>
      <tp t="s">
        <v>#N/A Requesting Data...4148394251</v>
        <stp/>
        <stp>BDP|389375881009085673</stp>
        <tr r="AG48" s="1"/>
      </tp>
      <tp t="s">
        <v>#N/A Requesting Data...4224574025</v>
        <stp/>
        <stp>BDP|801937729087483848</stp>
        <tr r="AG16" s="1"/>
      </tp>
      <tp t="s">
        <v>#N/A Requesting Data...3889429465</v>
        <stp/>
        <stp>BDP|680898575659091164</stp>
        <tr r="C49" s="1"/>
      </tp>
      <tp t="s">
        <v>#N/A Requesting Data...3770535204</v>
        <stp/>
        <stp>BDP|587095912654537252</stp>
        <tr r="C24" s="1"/>
      </tp>
      <tp t="s">
        <v>#N/A Requesting Data...3805506408</v>
        <stp/>
        <stp>BDP|347282930947343162</stp>
        <tr r="AG31" s="1"/>
      </tp>
      <tp t="s">
        <v>#N/A Requesting Data...4172539388</v>
        <stp/>
        <stp>BDP|150177949852266065</stp>
        <tr r="AG52" s="1"/>
      </tp>
      <tp t="s">
        <v>#N/A Requesting Data...3712668077</v>
        <stp/>
        <stp>BDP|725709010113946292</stp>
        <tr r="V36" s="1"/>
      </tp>
      <tp t="s">
        <v>#N/A Requesting Data...3890621513</v>
        <stp/>
        <stp>BDP|524172575015083470</stp>
        <tr r="I49" s="1"/>
      </tp>
      <tp t="s">
        <v>#N/A Requesting Data...3976996060</v>
        <stp/>
        <stp>BDP|697169165559747919</stp>
        <tr r="AD33" s="1"/>
      </tp>
      <tp t="s">
        <v>#N/A Requesting Data...3744157777</v>
        <stp/>
        <stp>BDP|279384934532994549</stp>
        <tr r="S53" s="1"/>
      </tp>
      <tp t="s">
        <v>#N/A Requesting Data...4248579587</v>
        <stp/>
        <stp>BDP|233492892208029343</stp>
        <tr r="AA44" s="1"/>
      </tp>
      <tp t="s">
        <v>#N/A Requesting Data...3681005983</v>
        <stp/>
        <stp>BDP|862034052874395740</stp>
        <tr r="U55" s="1"/>
      </tp>
      <tp t="s">
        <v>#N/A Requesting Data...3904696924</v>
        <stp/>
        <stp>BDP|574589873694786076</stp>
        <tr r="O43" s="1"/>
      </tp>
      <tp t="s">
        <v>#N/A Requesting Data...4057501235</v>
        <stp/>
        <stp>BDP|259594761832675737</stp>
        <tr r="K69" s="1"/>
      </tp>
      <tp t="s">
        <v>#N/A Requesting Data...4167178891</v>
        <stp/>
        <stp>BDP|142270132926494188</stp>
        <tr r="S40" s="1"/>
      </tp>
      <tp t="s">
        <v>#N/A Requesting Data...4257351827</v>
        <stp/>
        <stp>BDP|116703838054121606</stp>
        <tr r="K8" s="1"/>
      </tp>
      <tp t="s">
        <v>#N/A Requesting Data...3935016570</v>
        <stp/>
        <stp>BDP|913277364104790644</stp>
        <tr r="AC46" s="1"/>
      </tp>
      <tp t="s">
        <v>#N/A Requesting Data...3742651359</v>
        <stp/>
        <stp>BDP|595272828047909162</stp>
        <tr r="S48" s="1"/>
      </tp>
      <tp t="s">
        <v>#N/A Requesting Data...3684798306</v>
        <stp/>
        <stp>BDP|963814473779556080</stp>
        <tr r="D22" s="1"/>
      </tp>
      <tp t="s">
        <v>#N/A Requesting Data...4005583066</v>
        <stp/>
        <stp>BDP|809652206024834457</stp>
        <tr r="F39" s="1"/>
      </tp>
      <tp t="s">
        <v>#N/A Requesting Data...3851697789</v>
        <stp/>
        <stp>BDP|974456069942143636</stp>
        <tr r="M44" s="1"/>
      </tp>
      <tp t="s">
        <v>#N/A Requesting Data...4162954905</v>
        <stp/>
        <stp>BDP|311996063188902126</stp>
        <tr r="E76" s="1"/>
      </tp>
      <tp t="s">
        <v>#N/A Requesting Data...3810064405</v>
        <stp/>
        <stp>BDP|629608157661856310</stp>
        <tr r="M29" s="1"/>
      </tp>
      <tp t="s">
        <v>#N/A Requesting Data...3967771133</v>
        <stp/>
        <stp>BDP|841083242666405328</stp>
        <tr r="R55" s="1"/>
      </tp>
      <tp t="s">
        <v>#N/A Requesting Data...3798235499</v>
        <stp/>
        <stp>BDP|240337252647546004</stp>
        <tr r="O42" s="1"/>
      </tp>
      <tp t="s">
        <v>#N/A Requesting Data...4072927354</v>
        <stp/>
        <stp>BDP|949166879136705137</stp>
        <tr r="I48" s="1"/>
      </tp>
      <tp t="s">
        <v>#N/A Requesting Data...4004889340</v>
        <stp/>
        <stp>BDP|394417305731492414</stp>
        <tr r="AA42" s="1"/>
      </tp>
      <tp t="s">
        <v>#N/A Requesting Data...3695603807</v>
        <stp/>
        <stp>BDP|400755335265339044</stp>
        <tr r="H43" s="1"/>
      </tp>
      <tp t="b">
        <v>0</v>
        <stp/>
        <stp>BSRCH|14411142137442740728</stp>
        <tr r="B1" s="1"/>
      </tp>
      <tp t="s">
        <v>#N/A Requesting Data...3790545948</v>
        <stp/>
        <stp>BDP|288010148241706502</stp>
        <tr r="O18" s="1"/>
      </tp>
      <tp t="s">
        <v>#N/A Requesting Data...4003969264</v>
        <stp/>
        <stp>BDP|668684584309179770</stp>
        <tr r="J29" s="1"/>
      </tp>
      <tp t="s">
        <v>#N/A Requesting Data...4218462680</v>
        <stp/>
        <stp>BDP|565490233043337433</stp>
        <tr r="Q3" s="1"/>
      </tp>
      <tp t="s">
        <v>#N/A Requesting Data...4265131451</v>
        <stp/>
        <stp>BDP|296953117621967917</stp>
        <tr r="R73" s="1"/>
      </tp>
      <tp t="s">
        <v>#N/A Requesting Data...4046529878</v>
        <stp/>
        <stp>BDP|261806753128969505</stp>
        <tr r="AG43" s="1"/>
      </tp>
      <tp t="s">
        <v>#N/A Requesting Data...3920383180</v>
        <stp/>
        <stp>BDP|409488575437821484</stp>
        <tr r="V43" s="1"/>
      </tp>
      <tp t="s">
        <v>#N/A Requesting Data...4086207855</v>
        <stp/>
        <stp>BDP|425259521517953729</stp>
        <tr r="J30" s="1"/>
      </tp>
      <tp t="s">
        <v>#N/A Requesting Data...3840336927</v>
        <stp/>
        <stp>BDP|130770943346301505</stp>
        <tr r="S55" s="1"/>
      </tp>
      <tp t="s">
        <v>#N/A Requesting Data...4059248507</v>
        <stp/>
        <stp>BDP|860433005066127281</stp>
        <tr r="V52" s="1"/>
      </tp>
      <tp t="s">
        <v>#N/A Requesting Data...4265866949</v>
        <stp/>
        <stp>BDP|424933680641506038</stp>
        <tr r="AB48" s="1"/>
      </tp>
      <tp t="s">
        <v>#N/A Requesting Data...4110116119</v>
        <stp/>
        <stp>BDP|153367569716666390</stp>
        <tr r="K3" s="1"/>
      </tp>
      <tp t="s">
        <v>#N/A Requesting Data...3795419934</v>
        <stp/>
        <stp>BDP|444080549805683118</stp>
        <tr r="X61" s="1"/>
      </tp>
      <tp t="s">
        <v>#N/A Requesting Data...4251112217</v>
        <stp/>
        <stp>BDP|947171710880840048</stp>
        <tr r="Y47" s="1"/>
      </tp>
      <tp t="s">
        <v>#N/A Requesting Data...3830870211</v>
        <stp/>
        <stp>BDP|728059590470919984</stp>
        <tr r="AA76" s="1"/>
      </tp>
      <tp t="s">
        <v>#N/A Requesting Data...3705718127</v>
        <stp/>
        <stp>BDP|923966831170472948</stp>
        <tr r="G34" s="1"/>
      </tp>
      <tp t="s">
        <v>#N/A Requesting Data...4218948999</v>
        <stp/>
        <stp>BDP|838319167756773038</stp>
        <tr r="Y75" s="1"/>
      </tp>
      <tp t="s">
        <v>#N/A Requesting Data...3831409841</v>
        <stp/>
        <stp>BDP|350003144332627559</stp>
        <tr r="M31" s="1"/>
      </tp>
      <tp t="s">
        <v>#N/A Requesting Data...4114428460</v>
        <stp/>
        <stp>BDP|639679713692577638</stp>
        <tr r="V50" s="1"/>
      </tp>
      <tp t="s">
        <v>#N/A Requesting Data...3856713949</v>
        <stp/>
        <stp>BDP|193320355377277219</stp>
        <tr r="D21" s="1"/>
      </tp>
      <tp t="s">
        <v>#N/A Requesting Data...4072823830</v>
        <stp/>
        <stp>BDP|528770609347412390</stp>
        <tr r="V17" s="1"/>
      </tp>
      <tp t="s">
        <v>#N/A Requesting Data...3749204590</v>
        <stp/>
        <stp>BDP|127771079270167382</stp>
        <tr r="AE44" s="1"/>
      </tp>
      <tp t="s">
        <v>#N/A Requesting Data...4024001327</v>
        <stp/>
        <stp>BDP|530725774797137456</stp>
        <tr r="Y71" s="1"/>
      </tp>
      <tp t="s">
        <v>#N/A Requesting Data...4012125619</v>
        <stp/>
        <stp>BDP|699925388976115594</stp>
        <tr r="R12" s="1"/>
      </tp>
      <tp t="s">
        <v>#N/A Requesting Data...4146421868</v>
        <stp/>
        <stp>BDP|170374414733041320</stp>
        <tr r="H69" s="1"/>
      </tp>
      <tp t="s">
        <v>#N/A Requesting Data...4247428761</v>
        <stp/>
        <stp>BDP|334061564343520889</stp>
        <tr r="Z65" s="1"/>
      </tp>
      <tp t="s">
        <v>#N/A Requesting Data...4119172442</v>
        <stp/>
        <stp>BDP|293606986326009585</stp>
        <tr r="AB70" s="1"/>
      </tp>
      <tp t="s">
        <v>#N/A Requesting Data...4047991656</v>
        <stp/>
        <stp>BDP|622604981813052095</stp>
        <tr r="AG47" s="1"/>
      </tp>
      <tp t="s">
        <v>#N/A Requesting Data...3887476061</v>
        <stp/>
        <stp>BDP|584122497485190097</stp>
        <tr r="R47" s="1"/>
      </tp>
      <tp t="s">
        <v>#N/A Requesting Data...4143549598</v>
        <stp/>
        <stp>BDP|968772924770032838</stp>
        <tr r="K10" s="1"/>
      </tp>
      <tp t="s">
        <v>#N/A Requesting Data...4291276650</v>
        <stp/>
        <stp>BDP|129160992163700689</stp>
        <tr r="U56" s="1"/>
      </tp>
      <tp t="s">
        <v>#N/A Requesting Data...4100045830</v>
        <stp/>
        <stp>BDP|881224304437284870</stp>
        <tr r="C6" s="1"/>
      </tp>
      <tp t="s">
        <v>#N/A Requesting Data...3774285279</v>
        <stp/>
        <stp>BDP|968914367415357787</stp>
        <tr r="G12" s="1"/>
      </tp>
      <tp t="s">
        <v>#N/A Requesting Data...4120640397</v>
        <stp/>
        <stp>BDP|136811770164551613</stp>
        <tr r="F8" s="1"/>
      </tp>
      <tp t="s">
        <v>#N/A Requesting Data...3890578838</v>
        <stp/>
        <stp>BDP|337536893328534965</stp>
        <tr r="H63" s="1"/>
      </tp>
      <tp t="s">
        <v>#N/A Requesting Data...3976268490</v>
        <stp/>
        <stp>BDP|524511815488604177</stp>
        <tr r="AC59" s="1"/>
      </tp>
      <tp t="s">
        <v>#N/A Requesting Data...3907586940</v>
        <stp/>
        <stp>BDP|362106565672753801</stp>
        <tr r="AD64" s="1"/>
      </tp>
      <tp t="s">
        <v>#N/A Requesting Data...4135063810</v>
        <stp/>
        <stp>BDP|849693263655432853</stp>
        <tr r="O11" s="1"/>
      </tp>
      <tp t="s">
        <v>#N/A Requesting Data...3916385682</v>
        <stp/>
        <stp>BDP|966730858708248733</stp>
        <tr r="D68" s="1"/>
      </tp>
      <tp t="s">
        <v>#N/A Requesting Data...4051990961</v>
        <stp/>
        <stp>BDP|565199511338560454</stp>
        <tr r="AA14" s="1"/>
      </tp>
      <tp t="s">
        <v>#N/A Requesting Data...4036729665</v>
        <stp/>
        <stp>BDP|189348521529383482</stp>
        <tr r="T22" s="1"/>
      </tp>
      <tp t="s">
        <v>#N/A Requesting Data...4092417447</v>
        <stp/>
        <stp>BDP|632796973318067493</stp>
        <tr r="Z70" s="1"/>
      </tp>
      <tp t="s">
        <v>#N/A Requesting Data...3758314120</v>
        <stp/>
        <stp>BDP|863193354608573033</stp>
        <tr r="X3" s="1"/>
      </tp>
      <tp t="s">
        <v>#N/A Requesting Data...4262061801</v>
        <stp/>
        <stp>BDP|457169071380686998</stp>
        <tr r="I14" s="1"/>
      </tp>
      <tp t="s">
        <v>#N/A Requesting Data...3822855674</v>
        <stp/>
        <stp>BDP|102056197552943447</stp>
        <tr r="AA17" s="1"/>
      </tp>
      <tp t="s">
        <v>#N/A Requesting Data...4008582187</v>
        <stp/>
        <stp>BDP|909369990946071354</stp>
        <tr r="D18" s="1"/>
      </tp>
      <tp t="s">
        <v>#N/A Requesting Data...3789021141</v>
        <stp/>
        <stp>BDP|614439971065370897</stp>
        <tr r="C2" s="1"/>
      </tp>
      <tp t="s">
        <v>#N/A Requesting Data...4216540572</v>
        <stp/>
        <stp>BDP|580792415401075911</stp>
        <tr r="Y65" s="1"/>
      </tp>
      <tp t="s">
        <v>#N/A Requesting Data...4091613143</v>
        <stp/>
        <stp>BDP|107961478040109046</stp>
        <tr r="AA10" s="1"/>
      </tp>
      <tp t="s">
        <v>#N/A Requesting Data...3768647163</v>
        <stp/>
        <stp>BDP|329742800259538085</stp>
        <tr r="Z14" s="1"/>
      </tp>
    </main>
    <main first="bofaddin.rtdserver">
      <tp t="s">
        <v>#N/A Requesting Data...3812886963</v>
        <stp/>
        <stp>BDP|416455498446118267</stp>
        <tr r="T2" s="1"/>
      </tp>
      <tp t="s">
        <v>#N/A Requesting Data...4016293523</v>
        <stp/>
        <stp>BDP|891427754968146076</stp>
        <tr r="D10" s="1"/>
      </tp>
      <tp t="s">
        <v>#N/A Requesting Data...4118954416</v>
        <stp/>
        <stp>BDP|928855756087506364</stp>
        <tr r="K43" s="1"/>
      </tp>
      <tp t="s">
        <v>#N/A Requesting Data...3837283734</v>
        <stp/>
        <stp>BDP|298782173571294823</stp>
        <tr r="T35" s="1"/>
      </tp>
      <tp t="s">
        <v>#N/A Requesting Data...4187422819</v>
        <stp/>
        <stp>BDP|983175645798378434</stp>
        <tr r="H29" s="1"/>
      </tp>
      <tp t="s">
        <v>#N/A Requesting Data...3970188303</v>
        <stp/>
        <stp>BDP|285846569676484198</stp>
        <tr r="AC34" s="1"/>
      </tp>
      <tp t="s">
        <v>#N/A Requesting Data...3763836684</v>
        <stp/>
        <stp>BDP|767818492078019066</stp>
        <tr r="L33" s="1"/>
      </tp>
      <tp t="s">
        <v>#N/A Requesting Data...4277857408</v>
        <stp/>
        <stp>BDP|461172818929148095</stp>
        <tr r="U23" s="1"/>
      </tp>
      <tp t="s">
        <v>#N/A Requesting Data...3968707640</v>
        <stp/>
        <stp>BDP|595598426486851976</stp>
        <tr r="W56" s="1"/>
      </tp>
      <tp t="s">
        <v>#N/A Requesting Data...3906772767</v>
        <stp/>
        <stp>BDP|680865576560308724</stp>
        <tr r="AF25" s="1"/>
      </tp>
      <tp t="s">
        <v>#N/A Requesting Data...4235266174</v>
        <stp/>
        <stp>BDP|391810235013336045</stp>
        <tr r="M13" s="1"/>
      </tp>
      <tp t="s">
        <v>#N/A Requesting Data...3954462878</v>
        <stp/>
        <stp>BDP|299392331673677803</stp>
        <tr r="O23" s="1"/>
      </tp>
      <tp t="s">
        <v>#N/A Requesting Data...4149572986</v>
        <stp/>
        <stp>BDP|176750850868821131</stp>
        <tr r="N71" s="1"/>
      </tp>
      <tp t="s">
        <v>#N/A Requesting Data...4289287618</v>
        <stp/>
        <stp>BDP|403958628282467255</stp>
        <tr r="P79" s="1"/>
      </tp>
      <tp t="s">
        <v>#N/A Requesting Data...4011306435</v>
        <stp/>
        <stp>BDP|875150991642203155</stp>
        <tr r="D24" s="1"/>
      </tp>
      <tp t="s">
        <v>#N/A Requesting Data...4140297517</v>
        <stp/>
        <stp>BDP|480467793276601035</stp>
        <tr r="AG70" s="1"/>
      </tp>
      <tp t="s">
        <v>#N/A Requesting Data...4256397805</v>
        <stp/>
        <stp>BDP|588993709874768668</stp>
        <tr r="AD47" s="1"/>
      </tp>
      <tp t="s">
        <v>#N/A Requesting Data...4141486907</v>
        <stp/>
        <stp>BDP|456144080830839288</stp>
        <tr r="AA31" s="1"/>
      </tp>
      <tp t="s">
        <v>#N/A Requesting Data...4011673408</v>
        <stp/>
        <stp>BDP|457558220734524860</stp>
        <tr r="K29" s="1"/>
      </tp>
      <tp t="s">
        <v>#N/A Requesting Data...4094010229</v>
        <stp/>
        <stp>BDP|278675063762514912</stp>
        <tr r="N17" s="1"/>
      </tp>
      <tp t="s">
        <v>#N/A Requesting Data...4138880883</v>
        <stp/>
        <stp>BDP|353656766753212819</stp>
        <tr r="G66" s="1"/>
      </tp>
      <tp t="s">
        <v>#N/A Requesting Data...4253209164</v>
        <stp/>
        <stp>BDP|631209080724559505</stp>
        <tr r="R57" s="1"/>
      </tp>
      <tp t="s">
        <v>#N/A Requesting Data...3897915904</v>
        <stp/>
        <stp>BDP|467896677647688212</stp>
        <tr r="K35" s="1"/>
      </tp>
      <tp t="s">
        <v>#N/A Requesting Data...3920583143</v>
        <stp/>
        <stp>BDP|607323089486567750</stp>
        <tr r="AE38" s="1"/>
      </tp>
      <tp t="s">
        <v>#N/A Requesting Data...4016934667</v>
        <stp/>
        <stp>BDP|623733550418437071</stp>
        <tr r="D29" s="1"/>
      </tp>
      <tp t="s">
        <v>#N/A Requesting Data...3924645301</v>
        <stp/>
        <stp>BDP|544431818259927611</stp>
        <tr r="AA38" s="1"/>
      </tp>
      <tp t="s">
        <v>#N/A Requesting Data...3818337123</v>
        <stp/>
        <stp>BDP|584049165649071536</stp>
        <tr r="H4" s="1"/>
      </tp>
      <tp t="s">
        <v>#N/A Requesting Data...4282710423</v>
        <stp/>
        <stp>BDP|776907621553878297</stp>
        <tr r="L9" s="1"/>
      </tp>
      <tp t="s">
        <v>#N/A Requesting Data...3984848809</v>
        <stp/>
        <stp>BDP|329531686443015413</stp>
        <tr r="S72" s="1"/>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volatileDependencies" Target="volatileDependenci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oomberglp-my.sharepoint.com/personal/tsiqueira4_bloomberg_com/Documents/Desktop/master_thesis_economics/referencias/Templates%20xls/XBDCF.xls" TargetMode="External"/><Relationship Id="rId1" Type="http://schemas.openxmlformats.org/officeDocument/2006/relationships/externalLinkPath" Target="/personal/tsiqueira4_bloomberg_com/Documents/Desktop/master_thesis_economics/referencias/Templates%20xls/XBDC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SIQUE~1/AppData/Local/Temp/BLOOMB~1/data/XC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Information"/>
      <sheetName val="Capex and Deprec"/>
      <sheetName val="Sales and EBITDA"/>
      <sheetName val="Inv in Working Cap"/>
      <sheetName val="Cash Flow"/>
      <sheetName val="WACC"/>
      <sheetName val="Target Price"/>
      <sheetName val="Sensitivity"/>
      <sheetName val="LayOut"/>
      <sheetName val="DB"/>
      <sheetName val="Data - Equity Index"/>
      <sheetName val="Data - Growth Rate Index"/>
      <sheetName val="Graphs"/>
      <sheetName val="Estimates Break Down"/>
      <sheetName val="Help"/>
      <sheetName val="CompanyDebt"/>
    </sheetNames>
    <sheetDataSet>
      <sheetData sheetId="0">
        <row r="6">
          <cell r="C6" t="str">
            <v>PETR4 BS EQUITY</v>
          </cell>
        </row>
        <row r="8">
          <cell r="C8">
            <v>38687</v>
          </cell>
        </row>
        <row r="9">
          <cell r="C9">
            <v>41347</v>
          </cell>
        </row>
        <row r="14">
          <cell r="C14" t="str">
            <v>BRL</v>
          </cell>
        </row>
        <row r="18">
          <cell r="C18">
            <v>5.0599999999999999E-2</v>
          </cell>
        </row>
        <row r="22">
          <cell r="C22">
            <v>1</v>
          </cell>
          <cell r="D22">
            <v>0</v>
          </cell>
        </row>
        <row r="27">
          <cell r="C27">
            <v>10</v>
          </cell>
          <cell r="D27">
            <v>0</v>
          </cell>
        </row>
      </sheetData>
      <sheetData sheetId="1"/>
      <sheetData sheetId="2"/>
      <sheetData sheetId="3"/>
      <sheetData sheetId="4">
        <row r="3">
          <cell r="M3">
            <v>2005</v>
          </cell>
        </row>
        <row r="4">
          <cell r="M4">
            <v>9</v>
          </cell>
        </row>
        <row r="10">
          <cell r="C10">
            <v>2005</v>
          </cell>
        </row>
        <row r="11">
          <cell r="C11">
            <v>2006</v>
          </cell>
        </row>
        <row r="12">
          <cell r="C12">
            <v>2007</v>
          </cell>
        </row>
        <row r="13">
          <cell r="C13">
            <v>2008</v>
          </cell>
        </row>
        <row r="14">
          <cell r="C14">
            <v>2009</v>
          </cell>
        </row>
        <row r="15">
          <cell r="C15">
            <v>2010</v>
          </cell>
        </row>
        <row r="16">
          <cell r="C16">
            <v>2011</v>
          </cell>
        </row>
        <row r="17">
          <cell r="C17">
            <v>2012</v>
          </cell>
        </row>
        <row r="18">
          <cell r="C18">
            <v>2013</v>
          </cell>
        </row>
        <row r="19">
          <cell r="C19">
            <v>2014</v>
          </cell>
        </row>
        <row r="20">
          <cell r="C20">
            <v>2015</v>
          </cell>
        </row>
        <row r="21">
          <cell r="C21">
            <v>2016</v>
          </cell>
        </row>
        <row r="22">
          <cell r="C22">
            <v>2017</v>
          </cell>
        </row>
        <row r="23">
          <cell r="C23">
            <v>2018</v>
          </cell>
        </row>
        <row r="24">
          <cell r="C24">
            <v>2019</v>
          </cell>
        </row>
        <row r="25">
          <cell r="C25">
            <v>2020</v>
          </cell>
        </row>
      </sheetData>
      <sheetData sheetId="5"/>
      <sheetData sheetId="6">
        <row r="24">
          <cell r="E24">
            <v>6.820743880473743</v>
          </cell>
        </row>
      </sheetData>
      <sheetData sheetId="7">
        <row r="5">
          <cell r="M5" t="b">
            <v>1</v>
          </cell>
        </row>
        <row r="6">
          <cell r="D6">
            <v>24.694379614572814</v>
          </cell>
          <cell r="E6">
            <v>26.859705972904617</v>
          </cell>
          <cell r="F6">
            <v>29.666239705181603</v>
          </cell>
          <cell r="G6">
            <v>33.337081036635972</v>
          </cell>
          <cell r="H6">
            <v>37.197255429327356</v>
          </cell>
          <cell r="I6">
            <v>42.09295472463269</v>
          </cell>
          <cell r="J6">
            <v>48.370882424243497</v>
          </cell>
        </row>
        <row r="7">
          <cell r="M7" t="b">
            <v>1</v>
          </cell>
        </row>
        <row r="8">
          <cell r="D8">
            <v>-9.700935279191123</v>
          </cell>
          <cell r="E8">
            <v>1.5877239513614576</v>
          </cell>
          <cell r="F8">
            <v>15.698548554549891</v>
          </cell>
          <cell r="G8">
            <v>33.337081036635972</v>
          </cell>
          <cell r="H8">
            <v>50.975613025491398</v>
          </cell>
          <cell r="I8">
            <v>72.14185203847174</v>
          </cell>
          <cell r="J8">
            <v>97.541334021102514</v>
          </cell>
        </row>
        <row r="9">
          <cell r="M9" t="b">
            <v>1</v>
          </cell>
        </row>
        <row r="10">
          <cell r="D10">
            <v>55.893108326823807</v>
          </cell>
          <cell r="E10">
            <v>49.976774752293743</v>
          </cell>
          <cell r="F10">
            <v>42.581354905447292</v>
          </cell>
          <cell r="G10">
            <v>33.337081036635972</v>
          </cell>
          <cell r="H10">
            <v>24.092810945337003</v>
          </cell>
          <cell r="I10">
            <v>12.999678654774875</v>
          </cell>
          <cell r="J10">
            <v>-0.31207000326726014</v>
          </cell>
        </row>
        <row r="11">
          <cell r="M11" t="b">
            <v>1</v>
          </cell>
        </row>
        <row r="12">
          <cell r="D12">
            <v>34.055847283130717</v>
          </cell>
          <cell r="E12">
            <v>33.867318296870266</v>
          </cell>
          <cell r="F12">
            <v>33.63165516299231</v>
          </cell>
          <cell r="G12">
            <v>33.337080116720315</v>
          </cell>
          <cell r="H12">
            <v>33.04250478668402</v>
          </cell>
          <cell r="I12">
            <v>32.689012203924975</v>
          </cell>
          <cell r="J12">
            <v>32.264819925347297</v>
          </cell>
        </row>
        <row r="13">
          <cell r="M13" t="b">
            <v>1</v>
          </cell>
        </row>
        <row r="14">
          <cell r="D14">
            <v>34.613232050341978</v>
          </cell>
          <cell r="E14">
            <v>34.278505013885891</v>
          </cell>
          <cell r="F14">
            <v>33.860093613121471</v>
          </cell>
          <cell r="G14">
            <v>33.337081036635972</v>
          </cell>
          <cell r="H14">
            <v>32.814070843020438</v>
          </cell>
          <cell r="I14">
            <v>32.186454040765895</v>
          </cell>
          <cell r="J14">
            <v>31.433316864663656</v>
          </cell>
        </row>
        <row r="15">
          <cell r="M15" t="b">
            <v>1</v>
          </cell>
        </row>
        <row r="16">
          <cell r="D16">
            <v>34.908978886441894</v>
          </cell>
          <cell r="E16">
            <v>34.49667845848353</v>
          </cell>
          <cell r="F16">
            <v>33.981302481113502</v>
          </cell>
          <cell r="G16">
            <v>33.337081036635972</v>
          </cell>
          <cell r="H16">
            <v>32.69286137505788</v>
          </cell>
          <cell r="I16">
            <v>31.919797326795663</v>
          </cell>
          <cell r="J16">
            <v>30.992118776207406</v>
          </cell>
        </row>
        <row r="17">
          <cell r="M17" t="b">
            <v>1</v>
          </cell>
        </row>
        <row r="18">
          <cell r="D18">
            <v>32.260977262177754</v>
          </cell>
          <cell r="E18">
            <v>32.543233377730736</v>
          </cell>
          <cell r="F18">
            <v>32.89605620945872</v>
          </cell>
          <cell r="G18">
            <v>33.337081036635972</v>
          </cell>
          <cell r="H18">
            <v>33.778110005130266</v>
          </cell>
          <cell r="I18">
            <v>34.307340771172591</v>
          </cell>
          <cell r="J18">
            <v>34.942419837007016</v>
          </cell>
        </row>
        <row r="19">
          <cell r="M19" t="b">
            <v>1</v>
          </cell>
        </row>
        <row r="20">
          <cell r="D20">
            <v>31.950278044800648</v>
          </cell>
          <cell r="E20">
            <v>32.292608428424188</v>
          </cell>
          <cell r="F20">
            <v>32.741223763257345</v>
          </cell>
          <cell r="G20">
            <v>33.337081036635972</v>
          </cell>
          <cell r="H20">
            <v>33.975861454489305</v>
          </cell>
          <cell r="I20">
            <v>34.805876189955114</v>
          </cell>
          <cell r="J20">
            <v>35.906548648250741</v>
          </cell>
        </row>
        <row r="21">
          <cell r="M21" t="b">
            <v>1</v>
          </cell>
        </row>
        <row r="22">
          <cell r="D22">
            <v>30.898863027519369</v>
          </cell>
          <cell r="E22">
            <v>31.468827046680914</v>
          </cell>
          <cell r="F22">
            <v>32.203898415425797</v>
          </cell>
          <cell r="G22">
            <v>33.15996631028559</v>
          </cell>
          <cell r="H22">
            <v>34.15998577561659</v>
          </cell>
          <cell r="I22">
            <v>35.422261854456188</v>
          </cell>
          <cell r="J22">
            <v>37.034373945219507</v>
          </cell>
        </row>
        <row r="23">
          <cell r="M23" t="b">
            <v>1</v>
          </cell>
        </row>
        <row r="24">
          <cell r="D24">
            <v>37.002724470935334</v>
          </cell>
          <cell r="E24">
            <v>35.980663030447865</v>
          </cell>
          <cell r="F24">
            <v>34.763215336522862</v>
          </cell>
          <cell r="G24">
            <v>33.328295867200232</v>
          </cell>
          <cell r="H24">
            <v>31.981824733530157</v>
          </cell>
          <cell r="I24">
            <v>30.472013371264755</v>
          </cell>
          <cell r="J24">
            <v>28.797382029382749</v>
          </cell>
        </row>
        <row r="25">
          <cell r="M25" t="b">
            <v>1</v>
          </cell>
        </row>
        <row r="26">
          <cell r="D26">
            <v>78.748026362700827</v>
          </cell>
          <cell r="E26">
            <v>59.818343534529717</v>
          </cell>
          <cell r="F26">
            <v>44.972084981635099</v>
          </cell>
          <cell r="G26">
            <v>33.337085663276568</v>
          </cell>
          <cell r="H26">
            <v>25.744111579776575</v>
          </cell>
          <cell r="I26">
            <v>19.558287535409256</v>
          </cell>
          <cell r="J26">
            <v>14.541695998704274</v>
          </cell>
        </row>
      </sheetData>
      <sheetData sheetId="8"/>
      <sheetData sheetId="9">
        <row r="2">
          <cell r="B2" t="str">
            <v>ABEV3 BS</v>
          </cell>
        </row>
        <row r="3">
          <cell r="B3" t="str">
            <v>ALOS3 BS</v>
          </cell>
        </row>
        <row r="4">
          <cell r="B4" t="str">
            <v>AMOB3 BS</v>
          </cell>
        </row>
        <row r="5">
          <cell r="B5" t="str">
            <v>ASAI3 BS</v>
          </cell>
        </row>
        <row r="6">
          <cell r="B6" t="str">
            <v>AURE3 BS</v>
          </cell>
        </row>
        <row r="7">
          <cell r="B7" t="str">
            <v>AZUL4 BS</v>
          </cell>
        </row>
        <row r="8">
          <cell r="B8" t="str">
            <v>AZZA3 BS</v>
          </cell>
        </row>
        <row r="9">
          <cell r="B9" t="str">
            <v>B3SA3 BS</v>
          </cell>
        </row>
        <row r="10">
          <cell r="B10" t="str">
            <v>BBAS3 BS</v>
          </cell>
        </row>
        <row r="11">
          <cell r="B11" t="str">
            <v>BBDC3 BS</v>
          </cell>
        </row>
        <row r="12">
          <cell r="B12" t="str">
            <v>BBDC4 BS</v>
          </cell>
        </row>
        <row r="13">
          <cell r="B13" t="str">
            <v>BBSE3 BS</v>
          </cell>
        </row>
        <row r="14">
          <cell r="B14" t="str">
            <v>BEEF3 BS</v>
          </cell>
        </row>
        <row r="15">
          <cell r="B15" t="str">
            <v>BPAC11 BS</v>
          </cell>
        </row>
        <row r="16">
          <cell r="B16" t="str">
            <v>BRAP4 BS</v>
          </cell>
        </row>
        <row r="17">
          <cell r="B17" t="str">
            <v>BRAV3 BS</v>
          </cell>
        </row>
        <row r="18">
          <cell r="B18" t="str">
            <v>BRFS3 BS</v>
          </cell>
        </row>
        <row r="19">
          <cell r="B19" t="str">
            <v>BRKM5 BS</v>
          </cell>
        </row>
        <row r="20">
          <cell r="B20" t="str">
            <v>CCRO3 BS</v>
          </cell>
        </row>
        <row r="21">
          <cell r="B21" t="str">
            <v>CMIG4 BS</v>
          </cell>
        </row>
        <row r="22">
          <cell r="B22" t="str">
            <v>CMIN3 BS</v>
          </cell>
        </row>
        <row r="23">
          <cell r="B23" t="str">
            <v>COGN3 BS</v>
          </cell>
        </row>
        <row r="24">
          <cell r="B24" t="str">
            <v>CPFE3 BS</v>
          </cell>
        </row>
        <row r="25">
          <cell r="B25" t="str">
            <v>CPLE6 BS</v>
          </cell>
        </row>
        <row r="26">
          <cell r="B26" t="str">
            <v>CRFB3 BS</v>
          </cell>
        </row>
        <row r="27">
          <cell r="B27" t="str">
            <v>CSAN3 BS</v>
          </cell>
        </row>
        <row r="28">
          <cell r="B28" t="str">
            <v>CSNA3 BS</v>
          </cell>
        </row>
        <row r="29">
          <cell r="B29" t="str">
            <v>CVCB3 BS</v>
          </cell>
        </row>
        <row r="30">
          <cell r="B30" t="str">
            <v>CXSE3 BS</v>
          </cell>
        </row>
        <row r="31">
          <cell r="B31" t="str">
            <v>CYRE3 BS</v>
          </cell>
        </row>
        <row r="32">
          <cell r="B32" t="str">
            <v>EGIE3 BS</v>
          </cell>
        </row>
        <row r="33">
          <cell r="B33" t="str">
            <v>ELET3 BS</v>
          </cell>
        </row>
        <row r="34">
          <cell r="B34" t="str">
            <v>ELET6 BS</v>
          </cell>
        </row>
        <row r="35">
          <cell r="B35" t="str">
            <v>EMBR3 BS</v>
          </cell>
        </row>
        <row r="36">
          <cell r="B36" t="str">
            <v>ENEV3 BS</v>
          </cell>
        </row>
        <row r="37">
          <cell r="B37" t="str">
            <v>ENGI11 BS</v>
          </cell>
        </row>
        <row r="38">
          <cell r="B38" t="str">
            <v>EQTL3 BS</v>
          </cell>
        </row>
        <row r="39">
          <cell r="B39" t="str">
            <v>FLRY3 BS</v>
          </cell>
        </row>
        <row r="40">
          <cell r="B40" t="str">
            <v>GGBR4 BS</v>
          </cell>
        </row>
        <row r="41">
          <cell r="B41" t="str">
            <v>GOAU4 BS</v>
          </cell>
        </row>
        <row r="42">
          <cell r="B42" t="str">
            <v>HAPV3 BS</v>
          </cell>
        </row>
        <row r="43">
          <cell r="B43" t="str">
            <v>HYPE3 BS</v>
          </cell>
        </row>
        <row r="44">
          <cell r="B44" t="str">
            <v>IGTI11 BS</v>
          </cell>
        </row>
        <row r="45">
          <cell r="B45" t="str">
            <v>IRBR3 BS</v>
          </cell>
        </row>
        <row r="46">
          <cell r="B46" t="str">
            <v>ISAE4 BS</v>
          </cell>
        </row>
        <row r="47">
          <cell r="B47" t="str">
            <v>ITSA4 BS</v>
          </cell>
        </row>
        <row r="48">
          <cell r="B48" t="str">
            <v>ITUB4 BS</v>
          </cell>
        </row>
        <row r="49">
          <cell r="B49" t="str">
            <v>JBSS3 BS</v>
          </cell>
        </row>
        <row r="50">
          <cell r="B50" t="str">
            <v>KLBN11 BS</v>
          </cell>
        </row>
        <row r="51">
          <cell r="B51" t="str">
            <v>LREN3 BS</v>
          </cell>
        </row>
        <row r="52">
          <cell r="B52" t="str">
            <v>LWSA3 BS</v>
          </cell>
        </row>
        <row r="53">
          <cell r="B53" t="str">
            <v>MGLU3 BS</v>
          </cell>
        </row>
        <row r="54">
          <cell r="B54" t="str">
            <v>MRFG3 BS</v>
          </cell>
        </row>
        <row r="55">
          <cell r="B55" t="str">
            <v>MRVE3 BS</v>
          </cell>
        </row>
        <row r="56">
          <cell r="B56" t="str">
            <v>MULT3 BS</v>
          </cell>
        </row>
        <row r="57">
          <cell r="B57" t="str">
            <v>NTCO3 BS</v>
          </cell>
        </row>
        <row r="58">
          <cell r="B58" t="str">
            <v>PCAR3 BS</v>
          </cell>
        </row>
        <row r="59">
          <cell r="B59" t="str">
            <v>PETR3 BS</v>
          </cell>
        </row>
        <row r="60">
          <cell r="B60" t="str">
            <v>PETR4 BS</v>
          </cell>
        </row>
        <row r="61">
          <cell r="B61" t="str">
            <v>PETZ3 BS</v>
          </cell>
        </row>
        <row r="62">
          <cell r="B62" t="str">
            <v>POMO4 BS</v>
          </cell>
        </row>
        <row r="63">
          <cell r="B63" t="str">
            <v>PRIO3 BS</v>
          </cell>
        </row>
        <row r="64">
          <cell r="B64" t="str">
            <v>PSSA3 BS</v>
          </cell>
        </row>
        <row r="65">
          <cell r="B65" t="str">
            <v>RADL3 BS</v>
          </cell>
        </row>
        <row r="66">
          <cell r="B66" t="str">
            <v>RAIL3 BS</v>
          </cell>
        </row>
        <row r="67">
          <cell r="B67" t="str">
            <v>RAIZ4 BS</v>
          </cell>
        </row>
        <row r="68">
          <cell r="B68" t="str">
            <v>RDOR3 BS</v>
          </cell>
        </row>
        <row r="69">
          <cell r="B69" t="str">
            <v>RECV3 BS</v>
          </cell>
        </row>
        <row r="70">
          <cell r="B70" t="str">
            <v>RENT3 BS</v>
          </cell>
        </row>
        <row r="71">
          <cell r="B71" t="str">
            <v>SANB11 BS</v>
          </cell>
        </row>
        <row r="72">
          <cell r="B72" t="str">
            <v>SBSP3 BS</v>
          </cell>
        </row>
        <row r="73">
          <cell r="B73" t="str">
            <v>SLCE3 BS</v>
          </cell>
        </row>
        <row r="74">
          <cell r="B74" t="str">
            <v>SMTO3 BS</v>
          </cell>
        </row>
        <row r="75">
          <cell r="B75" t="str">
            <v>STBP3 BS</v>
          </cell>
        </row>
        <row r="76">
          <cell r="B76" t="str">
            <v>SUZB3 BS</v>
          </cell>
        </row>
        <row r="77">
          <cell r="B77" t="str">
            <v>TAEE11 BS</v>
          </cell>
        </row>
        <row r="78">
          <cell r="B78" t="str">
            <v>TIMS3 BS</v>
          </cell>
        </row>
        <row r="79">
          <cell r="B79" t="str">
            <v>TOTS3 BS</v>
          </cell>
        </row>
        <row r="80">
          <cell r="B80" t="str">
            <v>UGPA3 BS</v>
          </cell>
        </row>
        <row r="81">
          <cell r="B81" t="str">
            <v>USIM5 BS</v>
          </cell>
        </row>
        <row r="82">
          <cell r="B82" t="str">
            <v>VALE3 BS</v>
          </cell>
        </row>
        <row r="83">
          <cell r="B83" t="str">
            <v>VAMO3 BS</v>
          </cell>
        </row>
        <row r="84">
          <cell r="B84" t="str">
            <v>VBBR3 BS</v>
          </cell>
        </row>
        <row r="85">
          <cell r="B85" t="str">
            <v>VIVA3 BS</v>
          </cell>
        </row>
        <row r="86">
          <cell r="B86" t="str">
            <v>VIVT3 BS</v>
          </cell>
        </row>
        <row r="87">
          <cell r="B87" t="str">
            <v>WEGE3 BS</v>
          </cell>
        </row>
        <row r="88">
          <cell r="B88" t="str">
            <v>YDUQ3 BS</v>
          </cell>
        </row>
      </sheetData>
      <sheetData sheetId="10">
        <row r="2">
          <cell r="A2" t="str">
            <v>SPX Index</v>
          </cell>
        </row>
        <row r="3">
          <cell r="A3" t="str">
            <v>INDU Index</v>
          </cell>
        </row>
        <row r="4">
          <cell r="A4" t="str">
            <v>ESA Index</v>
          </cell>
        </row>
        <row r="5">
          <cell r="A5" t="str">
            <v>DAX Index</v>
          </cell>
        </row>
        <row r="6">
          <cell r="A6" t="str">
            <v>SX5E Index</v>
          </cell>
        </row>
        <row r="7">
          <cell r="A7" t="str">
            <v>VIX Index</v>
          </cell>
        </row>
        <row r="8">
          <cell r="A8" t="str">
            <v>NKY Index</v>
          </cell>
        </row>
        <row r="9">
          <cell r="A9" t="str">
            <v>UKX Index</v>
          </cell>
        </row>
        <row r="10">
          <cell r="A10" t="str">
            <v>HSI Index</v>
          </cell>
        </row>
        <row r="11">
          <cell r="A11" t="str">
            <v>SHCOMP Index</v>
          </cell>
        </row>
        <row r="12">
          <cell r="A12" t="str">
            <v>CAC Index</v>
          </cell>
        </row>
        <row r="13">
          <cell r="A13" t="str">
            <v>SXXP Index</v>
          </cell>
        </row>
        <row r="14">
          <cell r="A14" t="str">
            <v>TPX Index</v>
          </cell>
        </row>
        <row r="15">
          <cell r="A15" t="str">
            <v>HSCEI Index</v>
          </cell>
        </row>
        <row r="16">
          <cell r="A16" t="str">
            <v>CCMP Index</v>
          </cell>
        </row>
        <row r="17">
          <cell r="A17" t="str">
            <v>IBOV Index</v>
          </cell>
        </row>
        <row r="18">
          <cell r="A18" t="str">
            <v>NIFTY Index</v>
          </cell>
        </row>
        <row r="19">
          <cell r="A19" t="str">
            <v>AS51 Index</v>
          </cell>
        </row>
        <row r="20">
          <cell r="A20" t="str">
            <v>NDX Index</v>
          </cell>
        </row>
        <row r="21">
          <cell r="A21" t="str">
            <v>FTSEMIB Index</v>
          </cell>
        </row>
        <row r="22">
          <cell r="A22" t="str">
            <v>SMI Index</v>
          </cell>
        </row>
        <row r="23">
          <cell r="A23" t="str">
            <v>IBEX Index</v>
          </cell>
        </row>
        <row r="24">
          <cell r="A24" t="str">
            <v>RTY Index</v>
          </cell>
        </row>
        <row r="25">
          <cell r="A25" t="str">
            <v>SPXFAST Index</v>
          </cell>
        </row>
        <row r="26">
          <cell r="A26" t="str">
            <v>KOSPI Index</v>
          </cell>
        </row>
        <row r="27">
          <cell r="A27" t="str">
            <v>MXWO Index</v>
          </cell>
        </row>
        <row r="28">
          <cell r="A28" t="str">
            <v>TWSE Index</v>
          </cell>
        </row>
        <row r="29">
          <cell r="A29" t="str">
            <v>EUR003M Index</v>
          </cell>
        </row>
        <row r="30">
          <cell r="A30" t="str">
            <v>SPTSX Index</v>
          </cell>
        </row>
        <row r="31">
          <cell r="A31" t="str">
            <v>OMX Index</v>
          </cell>
        </row>
        <row r="32">
          <cell r="A32" t="str">
            <v>V2X Index</v>
          </cell>
        </row>
        <row r="33">
          <cell r="A33" t="str">
            <v>AEX Index</v>
          </cell>
        </row>
        <row r="34">
          <cell r="A34" t="str">
            <v>GJGB10 Index</v>
          </cell>
        </row>
        <row r="35">
          <cell r="A35" t="str">
            <v>SENSEX Index</v>
          </cell>
        </row>
        <row r="36">
          <cell r="A36" t="str">
            <v>MXEF Index</v>
          </cell>
        </row>
        <row r="37">
          <cell r="A37" t="str">
            <v>CDXIG519 Curncy</v>
          </cell>
        </row>
        <row r="38">
          <cell r="A38" t="str">
            <v>FSSTI Index</v>
          </cell>
        </row>
        <row r="39">
          <cell r="A39" t="str">
            <v>BDIY Index</v>
          </cell>
        </row>
        <row r="40">
          <cell r="A40" t="str">
            <v>ITRXEBE Curncy</v>
          </cell>
        </row>
        <row r="41">
          <cell r="A41" t="str">
            <v>ITRXEXE Curncy</v>
          </cell>
        </row>
        <row r="42">
          <cell r="A42" t="str">
            <v>JCI Index</v>
          </cell>
        </row>
        <row r="43">
          <cell r="A43" t="str">
            <v>RTSI$ Index</v>
          </cell>
        </row>
        <row r="44">
          <cell r="A44" t="str">
            <v>MEXBOL Index</v>
          </cell>
        </row>
        <row r="45">
          <cell r="A45" t="str">
            <v>INDEXCF Index</v>
          </cell>
        </row>
        <row r="46">
          <cell r="A46" t="str">
            <v>FBMKLCI Index</v>
          </cell>
        </row>
        <row r="47">
          <cell r="A47" t="str">
            <v>CXPHY519 Curncy</v>
          </cell>
        </row>
        <row r="48">
          <cell r="A48" t="str">
            <v>KOSPI2 Index</v>
          </cell>
        </row>
        <row r="49">
          <cell r="A49" t="str">
            <v>IBOXUMAE Curncy</v>
          </cell>
        </row>
        <row r="50">
          <cell r="A50" t="str">
            <v>ITXEX518 Curncy</v>
          </cell>
        </row>
        <row r="51">
          <cell r="A51" t="str">
            <v>DJI Index</v>
          </cell>
        </row>
        <row r="52">
          <cell r="A52" t="str">
            <v>SHSZ300 Index</v>
          </cell>
        </row>
        <row r="53">
          <cell r="A53" t="str">
            <v>SX7P Index</v>
          </cell>
        </row>
        <row r="54">
          <cell r="A54" t="str">
            <v>NIA Index</v>
          </cell>
        </row>
        <row r="55">
          <cell r="A55" t="str">
            <v>SX7E Index</v>
          </cell>
        </row>
        <row r="56">
          <cell r="A56" t="str">
            <v>ASE Index</v>
          </cell>
        </row>
        <row r="57">
          <cell r="A57" t="str">
            <v>SOX Index</v>
          </cell>
        </row>
        <row r="58">
          <cell r="A58" t="str">
            <v>ITXEB518 Curncy</v>
          </cell>
        </row>
        <row r="59">
          <cell r="A59" t="str">
            <v>TSEREIT Index</v>
          </cell>
        </row>
        <row r="60">
          <cell r="A60" t="str">
            <v>NFP TCH Index</v>
          </cell>
        </row>
        <row r="61">
          <cell r="A61" t="str">
            <v>EURR002W Index</v>
          </cell>
        </row>
      </sheetData>
      <sheetData sheetId="11">
        <row r="2">
          <cell r="A2" t="str">
            <v>CPI IPCA YoY</v>
          </cell>
        </row>
        <row r="3">
          <cell r="A3" t="str">
            <v>CPI IPCA MoM</v>
          </cell>
        </row>
        <row r="4">
          <cell r="A4" t="str">
            <v>IGP-M Y0Y</v>
          </cell>
        </row>
        <row r="5">
          <cell r="A5" t="str">
            <v>IGP-M MoM</v>
          </cell>
        </row>
        <row r="6">
          <cell r="A6" t="str">
            <v>IGPM Weekly</v>
          </cell>
        </row>
        <row r="7">
          <cell r="A7" t="str">
            <v>IGP-DI YoY</v>
          </cell>
        </row>
        <row r="8">
          <cell r="A8" t="str">
            <v>IGP-DI MoM</v>
          </cell>
        </row>
        <row r="9">
          <cell r="A9" t="str">
            <v>CPI INPC YoY</v>
          </cell>
        </row>
        <row r="10">
          <cell r="A10" t="str">
            <v>CPI INPC MoM</v>
          </cell>
        </row>
        <row r="11">
          <cell r="A11" t="str">
            <v>CPI IPC YoY</v>
          </cell>
        </row>
        <row r="12">
          <cell r="A12" t="str">
            <v>CPI IPC MoM</v>
          </cell>
        </row>
        <row r="13">
          <cell r="A13" t="str">
            <v>CPI IPCS Weekly</v>
          </cell>
        </row>
        <row r="14">
          <cell r="A14" t="str">
            <v>CPI Fipe MoM</v>
          </cell>
        </row>
        <row r="15">
          <cell r="A15" t="str">
            <v>CPI Fipe Weekly</v>
          </cell>
        </row>
      </sheetData>
      <sheetData sheetId="12"/>
      <sheetData sheetId="13">
        <row r="1">
          <cell r="W1" t="str">
            <v>BEST CAPEX</v>
          </cell>
          <cell r="Y1" t="b">
            <v>0</v>
          </cell>
        </row>
        <row r="2">
          <cell r="W2">
            <v>2013</v>
          </cell>
          <cell r="X2" t="str">
            <v>Y</v>
          </cell>
        </row>
        <row r="16">
          <cell r="H16" t="str">
            <v>Christian Audi</v>
          </cell>
          <cell r="I16" t="str">
            <v>04/17/15</v>
          </cell>
          <cell r="J16" t="str">
            <v>PERM DENIED</v>
          </cell>
          <cell r="K16" t="str">
            <v>PERM DENIED</v>
          </cell>
          <cell r="L16" t="str">
            <v>PERM DENIED</v>
          </cell>
          <cell r="M16" t="str">
            <v>PERM DENIED</v>
          </cell>
        </row>
        <row r="17">
          <cell r="G17" t="str">
            <v>UBS</v>
          </cell>
          <cell r="H17" t="str">
            <v>Lilyanna Yang</v>
          </cell>
          <cell r="I17" t="str">
            <v>04/13/15</v>
          </cell>
          <cell r="J17" t="str">
            <v>PERM DENIED</v>
          </cell>
          <cell r="K17" t="str">
            <v>PERM DENIED</v>
          </cell>
          <cell r="L17" t="str">
            <v>PERM DENIED</v>
          </cell>
          <cell r="M17" t="str">
            <v>PERM DENIED</v>
          </cell>
        </row>
        <row r="18">
          <cell r="G18" t="str">
            <v>Itau BBA Securities</v>
          </cell>
          <cell r="H18" t="str">
            <v>Paula Rotta</v>
          </cell>
          <cell r="I18" t="str">
            <v>04/07/15</v>
          </cell>
          <cell r="J18" t="str">
            <v>PERM DENIED</v>
          </cell>
          <cell r="K18" t="str">
            <v>PERM DENIED</v>
          </cell>
          <cell r="L18" t="str">
            <v>PERM DENIED</v>
          </cell>
          <cell r="M18" t="str">
            <v>PERM DENIED</v>
          </cell>
        </row>
        <row r="19">
          <cell r="G19" t="str">
            <v>JP Morgan</v>
          </cell>
          <cell r="H19" t="str">
            <v>Felipe Santos</v>
          </cell>
          <cell r="I19" t="str">
            <v>04/07/15</v>
          </cell>
          <cell r="J19" t="str">
            <v>PERM DENIED</v>
          </cell>
          <cell r="K19" t="str">
            <v>PERM DENIED</v>
          </cell>
          <cell r="L19" t="str">
            <v>PERM DENIED</v>
          </cell>
          <cell r="M19" t="str">
            <v>PERM DENIED</v>
          </cell>
        </row>
        <row r="20">
          <cell r="G20" t="str">
            <v>Societe Generale</v>
          </cell>
          <cell r="H20" t="str">
            <v>John Herrlin</v>
          </cell>
          <cell r="I20" t="str">
            <v>03/25/15</v>
          </cell>
          <cell r="J20" t="str">
            <v>PERM DENIED</v>
          </cell>
          <cell r="K20" t="str">
            <v>PERM DENIED</v>
          </cell>
          <cell r="L20" t="str">
            <v>PERM DENIED</v>
          </cell>
          <cell r="M20" t="str">
            <v>PERM DENIED</v>
          </cell>
        </row>
        <row r="21">
          <cell r="G21" t="str">
            <v>Morningstar</v>
          </cell>
          <cell r="H21" t="str">
            <v>Allen Good</v>
          </cell>
          <cell r="I21" t="str">
            <v>03/17/15</v>
          </cell>
          <cell r="J21" t="str">
            <v>PERM DENIED</v>
          </cell>
          <cell r="K21" t="str">
            <v>PERM DENIED</v>
          </cell>
          <cell r="L21" t="str">
            <v>PERM DENIED</v>
          </cell>
          <cell r="M21" t="str">
            <v>PERM DENIED</v>
          </cell>
        </row>
        <row r="22">
          <cell r="G22" t="str">
            <v>Erste Group</v>
          </cell>
          <cell r="H22" t="str">
            <v>Hans Engel</v>
          </cell>
          <cell r="I22" t="str">
            <v>03/09/15</v>
          </cell>
          <cell r="J22" t="str">
            <v/>
          </cell>
          <cell r="K22" t="str">
            <v/>
          </cell>
          <cell r="L22" t="str">
            <v>-120609.000</v>
          </cell>
          <cell r="M22" t="str">
            <v>-6830.000</v>
          </cell>
        </row>
        <row r="23">
          <cell r="G23" t="str">
            <v>GBM Grupo Bursatil Mexicano</v>
          </cell>
          <cell r="H23" t="str">
            <v>Mariana de Barros Bertone</v>
          </cell>
          <cell r="I23" t="str">
            <v>02/23/15</v>
          </cell>
          <cell r="J23" t="str">
            <v>PERM DENIED</v>
          </cell>
          <cell r="K23" t="str">
            <v>PERM DENIED</v>
          </cell>
          <cell r="L23" t="str">
            <v>PERM DENIED</v>
          </cell>
          <cell r="M23" t="str">
            <v>PERM DENIED</v>
          </cell>
        </row>
        <row r="24">
          <cell r="G24" t="str">
            <v>Bradesco BBI</v>
          </cell>
          <cell r="H24" t="str">
            <v>Auro Rozenbaum</v>
          </cell>
          <cell r="I24" t="str">
            <v>02/19/15</v>
          </cell>
          <cell r="J24" t="str">
            <v>-95581.000</v>
          </cell>
          <cell r="K24" t="str">
            <v>1684.000</v>
          </cell>
          <cell r="L24" t="str">
            <v>-93334.000</v>
          </cell>
          <cell r="M24" t="str">
            <v>6274.000</v>
          </cell>
        </row>
        <row r="25">
          <cell r="G25" t="str">
            <v>HSBC</v>
          </cell>
          <cell r="H25" t="str">
            <v>Luiz Carvalho</v>
          </cell>
          <cell r="I25" t="str">
            <v>01/29/15</v>
          </cell>
          <cell r="J25" t="str">
            <v>PERM DENIED</v>
          </cell>
          <cell r="K25" t="str">
            <v>PERM DENIED</v>
          </cell>
          <cell r="L25" t="str">
            <v>PERM DENIED</v>
          </cell>
          <cell r="M25" t="str">
            <v>PERM DENIED</v>
          </cell>
        </row>
        <row r="26">
          <cell r="G26" t="str">
            <v>Deutsche Bank</v>
          </cell>
          <cell r="H26" t="str">
            <v>Eduardo Vieira</v>
          </cell>
          <cell r="I26" t="str">
            <v>01/14/15</v>
          </cell>
          <cell r="J26" t="str">
            <v>PERM DENIED</v>
          </cell>
          <cell r="K26" t="str">
            <v>PERM DENIED</v>
          </cell>
          <cell r="L26" t="str">
            <v>PERM DENIED</v>
          </cell>
          <cell r="M26" t="str">
            <v>PERM DENIED</v>
          </cell>
        </row>
        <row r="27">
          <cell r="G27" t="str">
            <v>Banco BTG Pactual</v>
          </cell>
          <cell r="H27" t="str">
            <v>Gustavo Gattass</v>
          </cell>
          <cell r="I27" t="str">
            <v>11/07/14</v>
          </cell>
          <cell r="J27" t="str">
            <v>PERM DENIED</v>
          </cell>
          <cell r="K27" t="str">
            <v>PERM DENIED</v>
          </cell>
          <cell r="L27" t="str">
            <v>PERM DENIED</v>
          </cell>
          <cell r="M27" t="str">
            <v>PERM DENIED</v>
          </cell>
        </row>
        <row r="28">
          <cell r="G28" t="str">
            <v>Votorantim CTVM Research</v>
          </cell>
          <cell r="H28" t="str">
            <v>Leonardo Alves</v>
          </cell>
          <cell r="I28" t="str">
            <v>10/29/14</v>
          </cell>
          <cell r="J28" t="str">
            <v>-104920.000</v>
          </cell>
          <cell r="K28" t="str">
            <v>0.000</v>
          </cell>
          <cell r="L28" t="str">
            <v>-92383.000</v>
          </cell>
          <cell r="M28" t="str">
            <v>11314.000</v>
          </cell>
        </row>
        <row r="29">
          <cell r="G29" t="str">
            <v>TD Cowen</v>
          </cell>
          <cell r="H29" t="str">
            <v>Asit Sen</v>
          </cell>
          <cell r="I29" t="str">
            <v>09/10/14</v>
          </cell>
          <cell r="J29" t="str">
            <v>PERM DENIED</v>
          </cell>
          <cell r="K29" t="str">
            <v>PERM DENIED</v>
          </cell>
          <cell r="L29" t="str">
            <v>PERM DENIED</v>
          </cell>
          <cell r="M29" t="str">
            <v>PERM DENIED</v>
          </cell>
        </row>
        <row r="30">
          <cell r="G30" t="str">
            <v>VTB Capital</v>
          </cell>
          <cell r="H30" t="str">
            <v/>
          </cell>
          <cell r="I30" t="str">
            <v>01/23/14</v>
          </cell>
          <cell r="J30" t="str">
            <v>-101399.000</v>
          </cell>
          <cell r="K30" t="str">
            <v>-1882.000</v>
          </cell>
          <cell r="L30" t="str">
            <v/>
          </cell>
          <cell r="M30" t="str">
            <v/>
          </cell>
        </row>
        <row r="31">
          <cell r="G31" t="str">
            <v>Prime Executions</v>
          </cell>
          <cell r="H31" t="str">
            <v>Chris Kettenmann</v>
          </cell>
          <cell r="I31" t="str">
            <v>10/29/13</v>
          </cell>
          <cell r="J31" t="str">
            <v>-76048.000</v>
          </cell>
          <cell r="K31" t="str">
            <v>-5999.000</v>
          </cell>
          <cell r="L31" t="str">
            <v/>
          </cell>
          <cell r="M31" t="str">
            <v/>
          </cell>
        </row>
        <row r="32">
          <cell r="G32" t="str">
            <v>Company Data</v>
          </cell>
          <cell r="H32" t="str">
            <v>Company Guidance</v>
          </cell>
          <cell r="I32" t="str">
            <v>04/29/13</v>
          </cell>
          <cell r="J32" t="str">
            <v>-96249.602</v>
          </cell>
          <cell r="K32" t="str">
            <v>NA</v>
          </cell>
          <cell r="L32" t="str">
            <v/>
          </cell>
          <cell r="M32" t="str">
            <v/>
          </cell>
        </row>
      </sheetData>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Recommendations"/>
      <sheetName val="Earnings Estimates"/>
      <sheetName val="HELP"/>
      <sheetName val="XCAR"/>
    </sheetNames>
    <sheetDataSet>
      <sheetData sheetId="0">
        <row r="7">
          <cell r="C7" t="str">
            <v>IBM US</v>
          </cell>
        </row>
      </sheetData>
      <sheetData sheetId="1"/>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CBD16-A1B5-4761-977F-2738853852DB}">
  <sheetPr codeName="Sheet1"/>
  <dimension ref="B1:AK79"/>
  <sheetViews>
    <sheetView topLeftCell="Y1" workbookViewId="0">
      <selection activeCell="AD1" sqref="AD1"/>
    </sheetView>
  </sheetViews>
  <sheetFormatPr defaultRowHeight="15" x14ac:dyDescent="0.25"/>
  <cols>
    <col min="1" max="2" width="14.5703125" bestFit="1" customWidth="1"/>
    <col min="3" max="3" width="29.28515625" bestFit="1" customWidth="1"/>
    <col min="4" max="4" width="19.28515625" bestFit="1" customWidth="1"/>
    <col min="5" max="5" width="23.85546875" bestFit="1" customWidth="1"/>
    <col min="6" max="6" width="19.28515625" bestFit="1" customWidth="1"/>
    <col min="7" max="7" width="23.85546875" bestFit="1" customWidth="1"/>
    <col min="8" max="10" width="19.28515625" bestFit="1" customWidth="1"/>
    <col min="11" max="15" width="19.28515625" customWidth="1"/>
    <col min="16" max="16" width="19.28515625" bestFit="1" customWidth="1"/>
    <col min="17" max="17" width="32.28515625" bestFit="1" customWidth="1"/>
    <col min="18" max="19" width="19.28515625" bestFit="1" customWidth="1"/>
    <col min="20" max="20" width="24" bestFit="1" customWidth="1"/>
    <col min="21" max="21" width="19.28515625" bestFit="1" customWidth="1"/>
    <col min="22" max="22" width="30.85546875" bestFit="1" customWidth="1"/>
    <col min="23" max="23" width="38.42578125" bestFit="1" customWidth="1"/>
    <col min="24" max="24" width="32" bestFit="1" customWidth="1"/>
    <col min="25" max="25" width="34.42578125" bestFit="1" customWidth="1"/>
    <col min="26" max="26" width="22.5703125" bestFit="1" customWidth="1"/>
    <col min="27" max="27" width="24.28515625" bestFit="1" customWidth="1"/>
    <col min="28" max="29" width="19.28515625" bestFit="1" customWidth="1"/>
    <col min="30" max="30" width="30.42578125" bestFit="1" customWidth="1"/>
    <col min="31" max="31" width="19.28515625" bestFit="1" customWidth="1"/>
    <col min="32" max="33" width="19.28515625" customWidth="1"/>
    <col min="34" max="34" width="30.42578125" bestFit="1" customWidth="1"/>
    <col min="35" max="35" width="20.28515625" bestFit="1" customWidth="1"/>
    <col min="36" max="36" width="11.28515625" bestFit="1" customWidth="1"/>
    <col min="37" max="37" width="7.42578125" bestFit="1" customWidth="1"/>
  </cols>
  <sheetData>
    <row r="1" spans="2:37" ht="45" x14ac:dyDescent="0.25">
      <c r="B1" t="str">
        <f>_xll.BSRCH("fi:supra_national_brl","cols=1;rows=79")</f>
        <v>id</v>
      </c>
      <c r="C1" s="1" t="s">
        <v>0</v>
      </c>
      <c r="D1" s="1" t="s">
        <v>1</v>
      </c>
      <c r="E1" s="1" t="s">
        <v>2</v>
      </c>
      <c r="F1" s="1" t="s">
        <v>3</v>
      </c>
      <c r="G1" s="1" t="s">
        <v>4</v>
      </c>
      <c r="H1" s="1" t="s">
        <v>5</v>
      </c>
      <c r="I1" s="1" t="s">
        <v>6</v>
      </c>
      <c r="J1" s="1" t="s">
        <v>7</v>
      </c>
      <c r="K1" s="1" t="s">
        <v>103</v>
      </c>
      <c r="L1" s="1" t="s">
        <v>104</v>
      </c>
      <c r="M1" s="1" t="s">
        <v>105</v>
      </c>
      <c r="N1" s="1" t="s">
        <v>23</v>
      </c>
      <c r="O1" s="1" t="s">
        <v>106</v>
      </c>
      <c r="P1" s="1" t="s">
        <v>9</v>
      </c>
      <c r="Q1" s="1" t="s">
        <v>10</v>
      </c>
      <c r="R1" s="1" t="s">
        <v>11</v>
      </c>
      <c r="S1" s="1" t="s">
        <v>12</v>
      </c>
      <c r="T1" s="1" t="s">
        <v>13</v>
      </c>
      <c r="U1" s="1" t="s">
        <v>14</v>
      </c>
      <c r="V1" s="1" t="s">
        <v>15</v>
      </c>
      <c r="W1" s="1" t="s">
        <v>16</v>
      </c>
      <c r="X1" s="1" t="s">
        <v>17</v>
      </c>
      <c r="Y1" s="1" t="s">
        <v>18</v>
      </c>
      <c r="Z1" s="1" t="s">
        <v>19</v>
      </c>
      <c r="AA1" s="1" t="s">
        <v>20</v>
      </c>
      <c r="AB1" s="1" t="s">
        <v>21</v>
      </c>
      <c r="AC1" s="1" t="s">
        <v>22</v>
      </c>
      <c r="AD1" s="1" t="s">
        <v>24</v>
      </c>
      <c r="AE1" s="1" t="s">
        <v>25</v>
      </c>
      <c r="AF1" s="1" t="s">
        <v>8</v>
      </c>
      <c r="AG1" s="1" t="s">
        <v>99</v>
      </c>
      <c r="AH1" s="1" t="s">
        <v>26</v>
      </c>
      <c r="AI1" s="1" t="s">
        <v>27</v>
      </c>
      <c r="AJ1" s="1" t="s">
        <v>28</v>
      </c>
      <c r="AK1" s="2" t="s">
        <v>29</v>
      </c>
    </row>
    <row r="2" spans="2:37" x14ac:dyDescent="0.25">
      <c r="B2" t="s">
        <v>141</v>
      </c>
      <c r="C2" t="str" cm="1">
        <f t="array" ref="C2">_xll.BDP($B2,C$1)</f>
        <v>INTL BK RECON &amp; DEVELOP</v>
      </c>
      <c r="D2" t="str" cm="1">
        <f t="array" ref="D2">_xll.BDP($B2,D$1)</f>
        <v>BBG00YVHSJW6</v>
      </c>
      <c r="E2" t="str" cm="1">
        <f t="array" ref="E2">_xll.BDP($B2,E$1)</f>
        <v>XS2288097640</v>
      </c>
      <c r="F2" t="str" cm="1">
        <f t="array" ref="F2">_xll.BDP($B2,F$1)</f>
        <v>1/22/2021</v>
      </c>
      <c r="G2" t="str" cm="1">
        <f t="array" ref="G2">_xll.BDP($B2,G$1)</f>
        <v>1/22/2026</v>
      </c>
      <c r="H2" t="str" cm="1">
        <f t="array" ref="H2">_xll.BDP($B2,H$1)</f>
        <v>BRL</v>
      </c>
      <c r="I2" t="str" cm="1">
        <f t="array" ref="I2">_xll.BDP($B2,I$1)</f>
        <v>FIXED</v>
      </c>
      <c r="J2" cm="1">
        <f t="array" ref="J2">_xll.BDP($B2,J$1)</f>
        <v>5</v>
      </c>
      <c r="K2" t="str" cm="1">
        <f t="array" ref="K2">_xll.BDP($B2,K$1)</f>
        <v>#N/A Field Not Applicable</v>
      </c>
      <c r="L2" t="str" cm="1">
        <f t="array" ref="L2">_xll.BDP($B2,L$1)</f>
        <v>N</v>
      </c>
      <c r="M2" cm="1">
        <f t="array" ref="M2">_xll.BDP($B2,M$1)</f>
        <v>1</v>
      </c>
      <c r="N2" t="str" cm="1">
        <f t="array" ref="N2">_xll.BDP($B2,N$1)</f>
        <v>STREET CONVENTION</v>
      </c>
      <c r="O2" t="str" cm="1">
        <f t="array" ref="O2">_xll.BDP($B2,O$1)</f>
        <v>#N/A Field Not Applicable</v>
      </c>
      <c r="P2" t="str" cm="1">
        <f t="array" ref="P2">_xll.BDP($B2,P$1)</f>
        <v>AAA</v>
      </c>
      <c r="Q2" t="str" cm="1">
        <f t="array" ref="Q2">_xll.BDP($B2,Q$1)</f>
        <v>Aaa</v>
      </c>
      <c r="R2" t="str" cm="1">
        <f t="array" ref="R2">_xll.BDP($B2,R$1)</f>
        <v>#N/A N/A</v>
      </c>
      <c r="S2" cm="1">
        <f t="array" ref="S2">_xll.BDP($B2,S$1)</f>
        <v>1</v>
      </c>
      <c r="T2" cm="1">
        <f t="array" ref="T2">_xll.BDP($B2,T$1)</f>
        <v>-145.2719431448422</v>
      </c>
      <c r="U2" cm="1">
        <f t="array" ref="U2">_xll.BDP($B2,U$1)</f>
        <v>13.376131000000001</v>
      </c>
      <c r="V2" cm="1">
        <f t="array" ref="V2">_xll.BDP($B2,V$1)</f>
        <v>10</v>
      </c>
      <c r="W2" cm="1">
        <f t="array" ref="W2">_xll.BDP($B2,W$1)</f>
        <v>12090000</v>
      </c>
      <c r="X2" t="str" cm="1">
        <f t="array" ref="X2">_xll.BDP($B2,X$1)</f>
        <v>8176888Z US</v>
      </c>
      <c r="Y2" t="str" cm="1">
        <f t="array" ref="Y2">_xll.BDP($B2,Y$1)</f>
        <v>Supranational</v>
      </c>
      <c r="Z2" t="str" cm="1">
        <f t="array" ref="Z2">_xll.BDP($B2,Z$1)</f>
        <v>Government</v>
      </c>
      <c r="AA2" t="str" cm="1">
        <f t="array" ref="AA2">_xll.BDP($B2,AA$1)</f>
        <v>Multi-National</v>
      </c>
      <c r="AB2" t="str" cm="1">
        <f t="array" ref="AB2">_xll.BDP($B2,AB$1)</f>
        <v>EURO MTN</v>
      </c>
      <c r="AC2" t="str" cm="1">
        <f t="array" ref="AC2">_xll.BDP($B2,AC$1)</f>
        <v>SNAT</v>
      </c>
      <c r="AD2" t="str" cm="1">
        <f t="array" ref="AD2">_xll.BDP($B2,AD$1)</f>
        <v>1/22/2022</v>
      </c>
      <c r="AE2" t="str" cm="1">
        <f t="array" ref="AE2">_xll.BDP($B2,AE$1)</f>
        <v>AT MATURITY</v>
      </c>
      <c r="AF2" cm="1">
        <f t="array" ref="AF2">_xll.BDP($B2,AF$1)</f>
        <v>1000000000</v>
      </c>
      <c r="AG2" cm="1">
        <f t="array" ref="AG2">_xll.BDP($B2,AG$1)</f>
        <v>1000000000</v>
      </c>
      <c r="AH2" t="str" cm="1">
        <f t="array" ref="AH2">_xll.BDP($B2,AH$1)</f>
        <v>International</v>
      </c>
      <c r="AI2" t="str" cm="1">
        <f t="array" ref="AI2">_xll.BDP($X2 &amp; " Equity",AI$1)</f>
        <v>#N/A N/A</v>
      </c>
      <c r="AJ2" t="str" cm="1">
        <f t="array" ref="AJ2">_xll.BDP($X2 &amp; " Equity",AJ$1)</f>
        <v>US</v>
      </c>
      <c r="AK2" t="str" cm="1">
        <f t="array" ref="AK2">_xll.BDS($X2&amp;"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 spans="2:37" x14ac:dyDescent="0.25">
      <c r="B3" t="s">
        <v>142</v>
      </c>
      <c r="C3" t="str" cm="1">
        <f t="array" ref="C3">_xll.BDP($B3,C$1)</f>
        <v>INTL FINANCE CORP</v>
      </c>
      <c r="D3" t="str" cm="1">
        <f t="array" ref="D3">_xll.BDP($B3,D$1)</f>
        <v>BBG01F3NFDL3</v>
      </c>
      <c r="E3" t="str" cm="1">
        <f t="array" ref="E3">_xll.BDP($B3,E$1)</f>
        <v>XS2586778115</v>
      </c>
      <c r="F3" t="str" cm="1">
        <f t="array" ref="F3">_xll.BDP($B3,F$1)</f>
        <v>2/15/2023</v>
      </c>
      <c r="G3" t="str" cm="1">
        <f t="array" ref="G3">_xll.BDP($B3,G$1)</f>
        <v>2/15/2028</v>
      </c>
      <c r="H3" t="str" cm="1">
        <f t="array" ref="H3">_xll.BDP($B3,H$1)</f>
        <v>BRL</v>
      </c>
      <c r="I3" t="str" cm="1">
        <f t="array" ref="I3">_xll.BDP($B3,I$1)</f>
        <v>FIXED</v>
      </c>
      <c r="J3" cm="1">
        <f t="array" ref="J3">_xll.BDP($B3,J$1)</f>
        <v>10.75</v>
      </c>
      <c r="K3" t="str" cm="1">
        <f t="array" ref="K3">_xll.BDP($B3,K$1)</f>
        <v>#N/A Field Not Applicable</v>
      </c>
      <c r="L3" t="str" cm="1">
        <f t="array" ref="L3">_xll.BDP($B3,L$1)</f>
        <v>N</v>
      </c>
      <c r="M3" cm="1">
        <f t="array" ref="M3">_xll.BDP($B3,M$1)</f>
        <v>1</v>
      </c>
      <c r="N3" t="str" cm="1">
        <f t="array" ref="N3">_xll.BDP($B3,N$1)</f>
        <v>STREET CONVENTION</v>
      </c>
      <c r="O3" t="str" cm="1">
        <f t="array" ref="O3">_xll.BDP($B3,O$1)</f>
        <v>#N/A Field Not Applicable</v>
      </c>
      <c r="P3" t="str" cm="1">
        <f t="array" ref="P3">_xll.BDP($B3,P$1)</f>
        <v>AAA</v>
      </c>
      <c r="Q3" t="str" cm="1">
        <f t="array" ref="Q3">_xll.BDP($B3,Q$1)</f>
        <v>Aaa</v>
      </c>
      <c r="R3" t="str" cm="1">
        <f t="array" ref="R3">_xll.BDP($B3,R$1)</f>
        <v>#N/A N/A</v>
      </c>
      <c r="S3" cm="1">
        <f t="array" ref="S3">_xll.BDP($B3,S$1)</f>
        <v>1</v>
      </c>
      <c r="T3" cm="1">
        <f t="array" ref="T3">_xll.BDP($B3,T$1)</f>
        <v>-117.59951128866729</v>
      </c>
      <c r="U3" cm="1">
        <f t="array" ref="U3">_xll.BDP($B3,U$1)</f>
        <v>12.282848</v>
      </c>
      <c r="V3" cm="1">
        <f t="array" ref="V3">_xll.BDP($B3,V$1)</f>
        <v>19</v>
      </c>
      <c r="W3" cm="1">
        <f t="array" ref="W3">_xll.BDP($B3,W$1)</f>
        <v>27900000</v>
      </c>
      <c r="X3" t="str" cm="1">
        <f t="array" ref="X3">_xll.BDP($B3,X$1)</f>
        <v>8176888Z US</v>
      </c>
      <c r="Y3" t="str" cm="1">
        <f t="array" ref="Y3">_xll.BDP($B3,Y$1)</f>
        <v>Supranational</v>
      </c>
      <c r="Z3" t="str" cm="1">
        <f t="array" ref="Z3">_xll.BDP($B3,Z$1)</f>
        <v>Government</v>
      </c>
      <c r="AA3" t="str" cm="1">
        <f t="array" ref="AA3">_xll.BDP($B3,AA$1)</f>
        <v>Multi-National</v>
      </c>
      <c r="AB3" t="str" cm="1">
        <f t="array" ref="AB3">_xll.BDP($B3,AB$1)</f>
        <v>EURO MTN</v>
      </c>
      <c r="AC3" t="str" cm="1">
        <f t="array" ref="AC3">_xll.BDP($B3,AC$1)</f>
        <v>SNAT</v>
      </c>
      <c r="AD3" t="str" cm="1">
        <f t="array" ref="AD3">_xll.BDP($B3,AD$1)</f>
        <v>2/15/2024</v>
      </c>
      <c r="AE3" t="str" cm="1">
        <f t="array" ref="AE3">_xll.BDP($B3,AE$1)</f>
        <v>AT MATURITY</v>
      </c>
      <c r="AF3" cm="1">
        <f t="array" ref="AF3">_xll.BDP($B3,AF$1)</f>
        <v>1575000000</v>
      </c>
      <c r="AG3" cm="1">
        <f t="array" ref="AG3">_xll.BDP($B3,AG$1)</f>
        <v>1575000000</v>
      </c>
      <c r="AH3" t="str" cm="1">
        <f t="array" ref="AH3">_xll.BDP($B3,AH$1)</f>
        <v>International</v>
      </c>
      <c r="AI3" t="str" cm="1">
        <f t="array" ref="AI3">_xll.BDP($X3 &amp; " Equity",AI$1)</f>
        <v>#N/A N/A</v>
      </c>
      <c r="AJ3" t="str" cm="1">
        <f t="array" ref="AJ3">_xll.BDP($X3 &amp; " Equity",AJ$1)</f>
        <v>US</v>
      </c>
      <c r="AK3" t="str" cm="1">
        <f t="array" ref="AK3">_xll.BDS($X3&amp;"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4" spans="2:37" x14ac:dyDescent="0.25">
      <c r="B4" t="s">
        <v>143</v>
      </c>
      <c r="C4" t="str" cm="1">
        <f t="array" ref="C4">_xll.BDP($B4,C$1)</f>
        <v>INTL BK RECON &amp; DEVELOP</v>
      </c>
      <c r="D4" t="str" cm="1">
        <f t="array" ref="D4">_xll.BDP($B4,D$1)</f>
        <v>BBG014VSFH73</v>
      </c>
      <c r="E4" t="str" cm="1">
        <f t="array" ref="E4">_xll.BDP($B4,E$1)</f>
        <v>XS2439224705</v>
      </c>
      <c r="F4" t="str" cm="1">
        <f t="array" ref="F4">_xll.BDP($B4,F$1)</f>
        <v>2/9/2022</v>
      </c>
      <c r="G4" t="str" cm="1">
        <f t="array" ref="G4">_xll.BDP($B4,G$1)</f>
        <v>2/9/2029</v>
      </c>
      <c r="H4" t="str" cm="1">
        <f t="array" ref="H4">_xll.BDP($B4,H$1)</f>
        <v>BRL</v>
      </c>
      <c r="I4" t="str" cm="1">
        <f t="array" ref="I4">_xll.BDP($B4,I$1)</f>
        <v>FIXED</v>
      </c>
      <c r="J4" cm="1">
        <f t="array" ref="J4">_xll.BDP($B4,J$1)</f>
        <v>9.5</v>
      </c>
      <c r="K4" t="str" cm="1">
        <f t="array" ref="K4">_xll.BDP($B4,K$1)</f>
        <v>#N/A Field Not Applicable</v>
      </c>
      <c r="L4" t="str" cm="1">
        <f t="array" ref="L4">_xll.BDP($B4,L$1)</f>
        <v>N</v>
      </c>
      <c r="M4" cm="1">
        <f t="array" ref="M4">_xll.BDP($B4,M$1)</f>
        <v>1</v>
      </c>
      <c r="N4" t="str" cm="1">
        <f t="array" ref="N4">_xll.BDP($B4,N$1)</f>
        <v>STREET CONVENTION</v>
      </c>
      <c r="O4" t="str" cm="1">
        <f t="array" ref="O4">_xll.BDP($B4,O$1)</f>
        <v>#N/A Field Not Applicable</v>
      </c>
      <c r="P4" t="str" cm="1">
        <f t="array" ref="P4">_xll.BDP($B4,P$1)</f>
        <v>AAA</v>
      </c>
      <c r="Q4" t="str" cm="1">
        <f t="array" ref="Q4">_xll.BDP($B4,Q$1)</f>
        <v>Aaa</v>
      </c>
      <c r="R4" t="str" cm="1">
        <f t="array" ref="R4">_xll.BDP($B4,R$1)</f>
        <v>#N/A N/A</v>
      </c>
      <c r="S4" cm="1">
        <f t="array" ref="S4">_xll.BDP($B4,S$1)</f>
        <v>1</v>
      </c>
      <c r="T4" cm="1">
        <f t="array" ref="T4">_xll.BDP($B4,T$1)</f>
        <v>-145.54389962679099</v>
      </c>
      <c r="U4" cm="1">
        <f t="array" ref="U4">_xll.BDP($B4,U$1)</f>
        <v>11.973841999999999</v>
      </c>
      <c r="V4" cm="1">
        <f t="array" ref="V4">_xll.BDP($B4,V$1)</f>
        <v>60</v>
      </c>
      <c r="W4" cm="1">
        <f t="array" ref="W4">_xll.BDP($B4,W$1)</f>
        <v>14700000</v>
      </c>
      <c r="X4" t="str" cm="1">
        <f t="array" ref="X4">_xll.BDP($B4,X$1)</f>
        <v>8176888Z US</v>
      </c>
      <c r="Y4" t="str" cm="1">
        <f t="array" ref="Y4">_xll.BDP($B4,Y$1)</f>
        <v>Supranational</v>
      </c>
      <c r="Z4" t="str" cm="1">
        <f t="array" ref="Z4">_xll.BDP($B4,Z$1)</f>
        <v>Government</v>
      </c>
      <c r="AA4" t="str" cm="1">
        <f t="array" ref="AA4">_xll.BDP($B4,AA$1)</f>
        <v>Multi-National</v>
      </c>
      <c r="AB4" t="str" cm="1">
        <f t="array" ref="AB4">_xll.BDP($B4,AB$1)</f>
        <v>EURO MTN</v>
      </c>
      <c r="AC4" t="str" cm="1">
        <f t="array" ref="AC4">_xll.BDP($B4,AC$1)</f>
        <v>SNAT</v>
      </c>
      <c r="AD4" t="str" cm="1">
        <f t="array" ref="AD4">_xll.BDP($B4,AD$1)</f>
        <v>2/9/2023</v>
      </c>
      <c r="AE4" t="str" cm="1">
        <f t="array" ref="AE4">_xll.BDP($B4,AE$1)</f>
        <v>AT MATURITY</v>
      </c>
      <c r="AF4" cm="1">
        <f t="array" ref="AF4">_xll.BDP($B4,AF$1)</f>
        <v>1230000000</v>
      </c>
      <c r="AG4" cm="1">
        <f t="array" ref="AG4">_xll.BDP($B4,AG$1)</f>
        <v>1230000000</v>
      </c>
      <c r="AH4" t="str" cm="1">
        <f t="array" ref="AH4">_xll.BDP($B4,AH$1)</f>
        <v>International</v>
      </c>
      <c r="AI4" t="str" cm="1">
        <f t="array" ref="AI4">_xll.BDP($X4 &amp; " Equity",AI$1)</f>
        <v>#N/A N/A</v>
      </c>
      <c r="AJ4" t="str" cm="1">
        <f t="array" ref="AJ4">_xll.BDP($X4 &amp; " Equity",AJ$1)</f>
        <v>US</v>
      </c>
      <c r="AK4" t="str" cm="1">
        <f t="array" ref="AK4">_xll.BDS($X4&amp;"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5" spans="2:37" x14ac:dyDescent="0.25">
      <c r="B5" t="s">
        <v>144</v>
      </c>
      <c r="C5" t="str" cm="1">
        <f t="array" ref="C5">_xll.BDP($B5,C$1)</f>
        <v>INTL BK RECON &amp; DEVELOP</v>
      </c>
      <c r="D5" t="str" cm="1">
        <f t="array" ref="D5">_xll.BDP($B5,D$1)</f>
        <v>BBG01DZ1HQG6</v>
      </c>
      <c r="E5" t="str" cm="1">
        <f t="array" ref="E5">_xll.BDP($B5,E$1)</f>
        <v>XS2582388349</v>
      </c>
      <c r="F5" t="str" cm="1">
        <f t="array" ref="F5">_xll.BDP($B5,F$1)</f>
        <v>2/8/2023</v>
      </c>
      <c r="G5" t="str" cm="1">
        <f t="array" ref="G5">_xll.BDP($B5,G$1)</f>
        <v>2/8/2038</v>
      </c>
      <c r="H5" t="str" cm="1">
        <f t="array" ref="H5">_xll.BDP($B5,H$1)</f>
        <v>BRL</v>
      </c>
      <c r="I5" t="str" cm="1">
        <f t="array" ref="I5">_xll.BDP($B5,I$1)</f>
        <v>ZERO COUPON</v>
      </c>
      <c r="J5" cm="1">
        <f t="array" ref="J5">_xll.BDP($B5,J$1)</f>
        <v>0</v>
      </c>
      <c r="K5" t="str" cm="1">
        <f t="array" ref="K5">_xll.BDP($B5,K$1)</f>
        <v>#N/A Field Not Applicable</v>
      </c>
      <c r="L5" t="str" cm="1">
        <f t="array" ref="L5">_xll.BDP($B5,L$1)</f>
        <v>N</v>
      </c>
      <c r="M5" cm="1">
        <f t="array" ref="M5">_xll.BDP($B5,M$1)</f>
        <v>1</v>
      </c>
      <c r="N5" t="str" cm="1">
        <f t="array" ref="N5">_xll.BDP($B5,N$1)</f>
        <v>STREET CONVENTION</v>
      </c>
      <c r="O5" t="str" cm="1">
        <f t="array" ref="O5">_xll.BDP($B5,O$1)</f>
        <v>#N/A Field Not Applicable</v>
      </c>
      <c r="P5" t="str" cm="1">
        <f t="array" ref="P5">_xll.BDP($B5,P$1)</f>
        <v>AAA</v>
      </c>
      <c r="Q5" t="str" cm="1">
        <f t="array" ref="Q5">_xll.BDP($B5,Q$1)</f>
        <v>Aaa</v>
      </c>
      <c r="R5" t="str" cm="1">
        <f t="array" ref="R5">_xll.BDP($B5,R$1)</f>
        <v>#N/A N/A</v>
      </c>
      <c r="S5" t="str" cm="1">
        <f t="array" ref="S5">_xll.BDP($B5,S$1)</f>
        <v>#N/A Field Not Applicable</v>
      </c>
      <c r="T5" cm="1">
        <f t="array" ref="T5">_xll.BDP($B5,T$1)</f>
        <v>-251.28373924252045</v>
      </c>
      <c r="U5" cm="1">
        <f t="array" ref="U5">_xll.BDP($B5,U$1)</f>
        <v>11.386663</v>
      </c>
      <c r="V5" cm="1">
        <f t="array" ref="V5">_xll.BDP($B5,V$1)</f>
        <v>2</v>
      </c>
      <c r="W5" cm="1">
        <f t="array" ref="W5">_xll.BDP($B5,W$1)</f>
        <v>60000000</v>
      </c>
      <c r="X5" t="str" cm="1">
        <f t="array" ref="X5">_xll.BDP($B5,X$1)</f>
        <v>8176888Z US</v>
      </c>
      <c r="Y5" t="str" cm="1">
        <f t="array" ref="Y5">_xll.BDP($B5,Y$1)</f>
        <v>Supranational</v>
      </c>
      <c r="Z5" t="str" cm="1">
        <f t="array" ref="Z5">_xll.BDP($B5,Z$1)</f>
        <v>Government</v>
      </c>
      <c r="AA5" t="str" cm="1">
        <f t="array" ref="AA5">_xll.BDP($B5,AA$1)</f>
        <v>Multi-National</v>
      </c>
      <c r="AB5" t="str" cm="1">
        <f t="array" ref="AB5">_xll.BDP($B5,AB$1)</f>
        <v>EURO MTN</v>
      </c>
      <c r="AC5" t="str" cm="1">
        <f t="array" ref="AC5">_xll.BDP($B5,AC$1)</f>
        <v>SNAT</v>
      </c>
      <c r="AD5" t="str" cm="1">
        <f t="array" ref="AD5">_xll.BDP($B5,AD$1)</f>
        <v>#N/A Field Not Applicable</v>
      </c>
      <c r="AE5" t="str" cm="1">
        <f t="array" ref="AE5">_xll.BDP($B5,AE$1)</f>
        <v>AT MATURITY</v>
      </c>
      <c r="AF5" cm="1">
        <f t="array" ref="AF5">_xll.BDP($B5,AF$1)</f>
        <v>5400000000</v>
      </c>
      <c r="AG5" cm="1">
        <f t="array" ref="AG5">_xll.BDP($B5,AG$1)</f>
        <v>5400000000</v>
      </c>
      <c r="AH5" t="str" cm="1">
        <f t="array" ref="AH5">_xll.BDP($B5,AH$1)</f>
        <v>International</v>
      </c>
      <c r="AI5" t="str" cm="1">
        <f t="array" ref="AI5">_xll.BDP($X5 &amp; " Equity",AI$1)</f>
        <v>#N/A N/A</v>
      </c>
      <c r="AJ5" t="str" cm="1">
        <f t="array" ref="AJ5">_xll.BDP($X5 &amp; " Equity",AJ$1)</f>
        <v>US</v>
      </c>
      <c r="AK5" t="str" cm="1">
        <f t="array" ref="AK5">_xll.BDS($X5&amp;"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 spans="2:37" x14ac:dyDescent="0.25">
      <c r="B6" t="s">
        <v>145</v>
      </c>
      <c r="C6" t="str" cm="1">
        <f t="array" ref="C6">_xll.BDP($B6,C$1)</f>
        <v>EUROPEAN BK RECON &amp; DEV</v>
      </c>
      <c r="D6" t="str" cm="1">
        <f t="array" ref="D6">_xll.BDP($B6,D$1)</f>
        <v>BBG014T1JB47</v>
      </c>
      <c r="E6" t="str" cm="1">
        <f t="array" ref="E6">_xll.BDP($B6,E$1)</f>
        <v>XS2438631710</v>
      </c>
      <c r="F6" t="str" cm="1">
        <f t="array" ref="F6">_xll.BDP($B6,F$1)</f>
        <v>2/2/2022</v>
      </c>
      <c r="G6" t="str" cm="1">
        <f t="array" ref="G6">_xll.BDP($B6,G$1)</f>
        <v>2/2/2032</v>
      </c>
      <c r="H6" t="str" cm="1">
        <f t="array" ref="H6">_xll.BDP($B6,H$1)</f>
        <v>BRL</v>
      </c>
      <c r="I6" t="str" cm="1">
        <f t="array" ref="I6">_xll.BDP($B6,I$1)</f>
        <v>ZERO COUPON</v>
      </c>
      <c r="J6" cm="1">
        <f t="array" ref="J6">_xll.BDP($B6,J$1)</f>
        <v>0</v>
      </c>
      <c r="K6" t="str" cm="1">
        <f t="array" ref="K6">_xll.BDP($B6,K$1)</f>
        <v>#N/A Field Not Applicable</v>
      </c>
      <c r="L6" t="str" cm="1">
        <f t="array" ref="L6">_xll.BDP($B6,L$1)</f>
        <v>N</v>
      </c>
      <c r="M6" cm="1">
        <f t="array" ref="M6">_xll.BDP($B6,M$1)</f>
        <v>1</v>
      </c>
      <c r="N6" t="str" cm="1">
        <f t="array" ref="N6">_xll.BDP($B6,N$1)</f>
        <v>STREET CONVENTION</v>
      </c>
      <c r="O6" t="str" cm="1">
        <f t="array" ref="O6">_xll.BDP($B6,O$1)</f>
        <v>#N/A Field Not Applicable</v>
      </c>
      <c r="P6" t="str" cm="1">
        <f t="array" ref="P6">_xll.BDP($B6,P$1)</f>
        <v>AAA</v>
      </c>
      <c r="Q6" t="str" cm="1">
        <f t="array" ref="Q6">_xll.BDP($B6,Q$1)</f>
        <v>NR</v>
      </c>
      <c r="R6" t="str" cm="1">
        <f t="array" ref="R6">_xll.BDP($B6,R$1)</f>
        <v>AAA</v>
      </c>
      <c r="S6" t="str" cm="1">
        <f t="array" ref="S6">_xll.BDP($B6,S$1)</f>
        <v>#N/A Field Not Applicable</v>
      </c>
      <c r="T6" cm="1">
        <f t="array" ref="T6">_xll.BDP($B6,T$1)</f>
        <v>-178.58334565393062</v>
      </c>
      <c r="U6" cm="1">
        <f t="array" ref="U6">_xll.BDP($B6,U$1)</f>
        <v>11.975929000000001</v>
      </c>
      <c r="V6" cm="1">
        <f t="array" ref="V6">_xll.BDP($B6,V$1)</f>
        <v>2</v>
      </c>
      <c r="W6" cm="1">
        <f t="array" ref="W6">_xll.BDP($B6,W$1)</f>
        <v>8100000</v>
      </c>
      <c r="X6" t="str" cm="1">
        <f t="array" ref="X6">_xll.BDP($B6,X$1)</f>
        <v>6044Z LN</v>
      </c>
      <c r="Y6" t="str" cm="1">
        <f t="array" ref="Y6">_xll.BDP($B6,Y$1)</f>
        <v>Supranational</v>
      </c>
      <c r="Z6" t="str" cm="1">
        <f t="array" ref="Z6">_xll.BDP($B6,Z$1)</f>
        <v>Government</v>
      </c>
      <c r="AA6" t="str" cm="1">
        <f t="array" ref="AA6">_xll.BDP($B6,AA$1)</f>
        <v>Multi-National</v>
      </c>
      <c r="AB6" t="str" cm="1">
        <f t="array" ref="AB6">_xll.BDP($B6,AB$1)</f>
        <v>EURO MTN</v>
      </c>
      <c r="AC6" t="str" cm="1">
        <f t="array" ref="AC6">_xll.BDP($B6,AC$1)</f>
        <v>SNAT</v>
      </c>
      <c r="AD6" t="str" cm="1">
        <f t="array" ref="AD6">_xll.BDP($B6,AD$1)</f>
        <v>#N/A Field Not Applicable</v>
      </c>
      <c r="AE6" t="str" cm="1">
        <f t="array" ref="AE6">_xll.BDP($B6,AE$1)</f>
        <v>AT MATURITY</v>
      </c>
      <c r="AF6" cm="1">
        <f t="array" ref="AF6">_xll.BDP($B6,AF$1)</f>
        <v>1355000000</v>
      </c>
      <c r="AG6" cm="1">
        <f t="array" ref="AG6">_xll.BDP($B6,AG$1)</f>
        <v>1355000000</v>
      </c>
      <c r="AH6" t="str" cm="1">
        <f t="array" ref="AH6">_xll.BDP($B6,AH$1)</f>
        <v>International</v>
      </c>
      <c r="AI6" t="str" cm="1">
        <f t="array" ref="AI6">_xll.BDP($X6 &amp; " Equity",AI$1)</f>
        <v>#N/A N/A</v>
      </c>
      <c r="AJ6" t="str" cm="1">
        <f t="array" ref="AJ6">_xll.BDP($X6 &amp; " Equity",AJ$1)</f>
        <v>LN</v>
      </c>
      <c r="AK6" t="str" cm="1">
        <f t="array" ref="AK6">_xll.BDS($X6&amp;"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7" spans="2:37" x14ac:dyDescent="0.25">
      <c r="B7" t="s">
        <v>146</v>
      </c>
      <c r="C7" t="str" cm="1">
        <f t="array" ref="C7">_xll.BDP($B7,C$1)</f>
        <v>EUROPEAN INVESTMENT BANK</v>
      </c>
      <c r="D7" t="str" cm="1">
        <f t="array" ref="D7">_xll.BDP($B7,D$1)</f>
        <v>BBG014MX0D59</v>
      </c>
      <c r="E7" t="str" cm="1">
        <f t="array" ref="E7">_xll.BDP($B7,E$1)</f>
        <v>XS2436920321</v>
      </c>
      <c r="F7" t="str" cm="1">
        <f t="array" ref="F7">_xll.BDP($B7,F$1)</f>
        <v>1/28/2022</v>
      </c>
      <c r="G7" t="str" cm="1">
        <f t="array" ref="G7">_xll.BDP($B7,G$1)</f>
        <v>1/28/2027</v>
      </c>
      <c r="H7" t="str" cm="1">
        <f t="array" ref="H7">_xll.BDP($B7,H$1)</f>
        <v>BRL</v>
      </c>
      <c r="I7" t="str" cm="1">
        <f t="array" ref="I7">_xll.BDP($B7,I$1)</f>
        <v>FIXED</v>
      </c>
      <c r="J7" cm="1">
        <f t="array" ref="J7">_xll.BDP($B7,J$1)</f>
        <v>9.25</v>
      </c>
      <c r="K7" t="str" cm="1">
        <f t="array" ref="K7">_xll.BDP($B7,K$1)</f>
        <v>#N/A Field Not Applicable</v>
      </c>
      <c r="L7" t="str" cm="1">
        <f t="array" ref="L7">_xll.BDP($B7,L$1)</f>
        <v>N</v>
      </c>
      <c r="M7" cm="1">
        <f t="array" ref="M7">_xll.BDP($B7,M$1)</f>
        <v>1</v>
      </c>
      <c r="N7" t="str" cm="1">
        <f t="array" ref="N7">_xll.BDP($B7,N$1)</f>
        <v>STREET CONVENTION</v>
      </c>
      <c r="O7" t="str" cm="1">
        <f t="array" ref="O7">_xll.BDP($B7,O$1)</f>
        <v>#N/A Field Not Applicable</v>
      </c>
      <c r="P7" t="str" cm="1">
        <f t="array" ref="P7">_xll.BDP($B7,P$1)</f>
        <v>AAA</v>
      </c>
      <c r="Q7" t="str" cm="1">
        <f t="array" ref="Q7">_xll.BDP($B7,Q$1)</f>
        <v>Aaa</v>
      </c>
      <c r="R7" t="str" cm="1">
        <f t="array" ref="R7">_xll.BDP($B7,R$1)</f>
        <v>AAA</v>
      </c>
      <c r="S7" cm="1">
        <f t="array" ref="S7">_xll.BDP($B7,S$1)</f>
        <v>1</v>
      </c>
      <c r="T7" cm="1">
        <f t="array" ref="T7">_xll.BDP($B7,T$1)</f>
        <v>-147.064459090479</v>
      </c>
      <c r="U7" cm="1">
        <f t="array" ref="U7">_xll.BDP($B7,U$1)</f>
        <v>12.675189</v>
      </c>
      <c r="V7" cm="1">
        <f t="array" ref="V7">_xll.BDP($B7,V$1)</f>
        <v>159</v>
      </c>
      <c r="W7" cm="1">
        <f t="array" ref="W7">_xll.BDP($B7,W$1)</f>
        <v>12585000</v>
      </c>
      <c r="X7" t="str" cm="1">
        <f t="array" ref="X7">_xll.BDP($B7,X$1)</f>
        <v>654429Z LX</v>
      </c>
      <c r="Y7" t="str" cm="1">
        <f t="array" ref="Y7">_xll.BDP($B7,Y$1)</f>
        <v>Supranational</v>
      </c>
      <c r="Z7" t="str" cm="1">
        <f t="array" ref="Z7">_xll.BDP($B7,Z$1)</f>
        <v>Government</v>
      </c>
      <c r="AA7" t="str" cm="1">
        <f t="array" ref="AA7">_xll.BDP($B7,AA$1)</f>
        <v>Multi-National</v>
      </c>
      <c r="AB7" t="str" cm="1">
        <f t="array" ref="AB7">_xll.BDP($B7,AB$1)</f>
        <v>EURO MTN</v>
      </c>
      <c r="AC7" t="str" cm="1">
        <f t="array" ref="AC7">_xll.BDP($B7,AC$1)</f>
        <v>SNAT</v>
      </c>
      <c r="AD7" t="str" cm="1">
        <f t="array" ref="AD7">_xll.BDP($B7,AD$1)</f>
        <v>1/28/2023</v>
      </c>
      <c r="AE7" t="str" cm="1">
        <f t="array" ref="AE7">_xll.BDP($B7,AE$1)</f>
        <v>AT MATURITY</v>
      </c>
      <c r="AF7" cm="1">
        <f t="array" ref="AF7">_xll.BDP($B7,AF$1)</f>
        <v>610000000</v>
      </c>
      <c r="AG7" cm="1">
        <f t="array" ref="AG7">_xll.BDP($B7,AG$1)</f>
        <v>610000000</v>
      </c>
      <c r="AH7" t="str" cm="1">
        <f t="array" ref="AH7">_xll.BDP($B7,AH$1)</f>
        <v>International</v>
      </c>
      <c r="AI7" t="str" cm="1">
        <f t="array" ref="AI7">_xll.BDP($X7 &amp; " Equity",AI$1)</f>
        <v>#N/A N/A</v>
      </c>
      <c r="AJ7" t="str" cm="1">
        <f t="array" ref="AJ7">_xll.BDP($X7 &amp; " Equity",AJ$1)</f>
        <v>LX</v>
      </c>
      <c r="AK7" t="str" cm="1">
        <f t="array" ref="AK7">_xll.BDS($X7&amp;" Equity",AK$1,"FILL=NA","Aggregate=y")</f>
        <v>European Investment Bank operates as a financing institution. The Bank offers project loans, bonds, venture capital, transport infrastructure, project funding, guarantees, microfinance, equity investment, and urban development solutions. European Investment Bank serves clients worldwide.</v>
      </c>
    </row>
    <row r="8" spans="2:37" x14ac:dyDescent="0.25">
      <c r="B8" t="s">
        <v>147</v>
      </c>
      <c r="C8" t="str" cm="1">
        <f t="array" ref="C8">_xll.BDP($B8,C$1)</f>
        <v>INTL BK RECON &amp; DEVELOP</v>
      </c>
      <c r="D8" t="str" cm="1">
        <f t="array" ref="D8">_xll.BDP($B8,D$1)</f>
        <v>BBG01Q40QW52</v>
      </c>
      <c r="E8" t="str" cm="1">
        <f t="array" ref="E8">_xll.BDP($B8,E$1)</f>
        <v>XS2913418377</v>
      </c>
      <c r="F8" t="str" cm="1">
        <f t="array" ref="F8">_xll.BDP($B8,F$1)</f>
        <v>10/9/2024</v>
      </c>
      <c r="G8" t="str" cm="1">
        <f t="array" ref="G8">_xll.BDP($B8,G$1)</f>
        <v>10/9/2031</v>
      </c>
      <c r="H8" t="str" cm="1">
        <f t="array" ref="H8">_xll.BDP($B8,H$1)</f>
        <v>BRL</v>
      </c>
      <c r="I8" t="str" cm="1">
        <f t="array" ref="I8">_xll.BDP($B8,I$1)</f>
        <v>FIXED</v>
      </c>
      <c r="J8" cm="1">
        <f t="array" ref="J8">_xll.BDP($B8,J$1)</f>
        <v>10.75</v>
      </c>
      <c r="K8" t="str" cm="1">
        <f t="array" ref="K8">_xll.BDP($B8,K$1)</f>
        <v>#N/A Field Not Applicable</v>
      </c>
      <c r="L8" t="str" cm="1">
        <f t="array" ref="L8">_xll.BDP($B8,L$1)</f>
        <v>N</v>
      </c>
      <c r="M8" cm="1">
        <f t="array" ref="M8">_xll.BDP($B8,M$1)</f>
        <v>1</v>
      </c>
      <c r="N8" t="str" cm="1">
        <f t="array" ref="N8">_xll.BDP($B8,N$1)</f>
        <v>STREET CONVENTION</v>
      </c>
      <c r="O8" t="str" cm="1">
        <f t="array" ref="O8">_xll.BDP($B8,O$1)</f>
        <v>#N/A Field Not Applicable</v>
      </c>
      <c r="P8" t="str" cm="1">
        <f t="array" ref="P8">_xll.BDP($B8,P$1)</f>
        <v>AAA</v>
      </c>
      <c r="Q8" t="str" cm="1">
        <f t="array" ref="Q8">_xll.BDP($B8,Q$1)</f>
        <v>Aaa</v>
      </c>
      <c r="R8" t="str" cm="1">
        <f t="array" ref="R8">_xll.BDP($B8,R$1)</f>
        <v>#N/A N/A</v>
      </c>
      <c r="S8" cm="1">
        <f t="array" ref="S8">_xll.BDP($B8,S$1)</f>
        <v>1</v>
      </c>
      <c r="T8" cm="1">
        <f t="array" ref="T8">_xll.BDP($B8,T$1)</f>
        <v>-185.54687823727926</v>
      </c>
      <c r="U8" cm="1">
        <f t="array" ref="U8">_xll.BDP($B8,U$1)</f>
        <v>11.908365</v>
      </c>
      <c r="V8" cm="1">
        <f t="array" ref="V8">_xll.BDP($B8,V$1)</f>
        <v>7</v>
      </c>
      <c r="W8" cm="1">
        <f t="array" ref="W8">_xll.BDP($B8,W$1)</f>
        <v>290000</v>
      </c>
      <c r="X8" t="str" cm="1">
        <f t="array" ref="X8">_xll.BDP($B8,X$1)</f>
        <v>8176888Z US</v>
      </c>
      <c r="Y8" t="str" cm="1">
        <f t="array" ref="Y8">_xll.BDP($B8,Y$1)</f>
        <v>Supranational</v>
      </c>
      <c r="Z8" t="str" cm="1">
        <f t="array" ref="Z8">_xll.BDP($B8,Z$1)</f>
        <v>Government</v>
      </c>
      <c r="AA8" t="str" cm="1">
        <f t="array" ref="AA8">_xll.BDP($B8,AA$1)</f>
        <v>Multi-National</v>
      </c>
      <c r="AB8" t="str" cm="1">
        <f t="array" ref="AB8">_xll.BDP($B8,AB$1)</f>
        <v>EURO MTN</v>
      </c>
      <c r="AC8" t="str" cm="1">
        <f t="array" ref="AC8">_xll.BDP($B8,AC$1)</f>
        <v>SNAT</v>
      </c>
      <c r="AD8" t="str" cm="1">
        <f t="array" ref="AD8">_xll.BDP($B8,AD$1)</f>
        <v>10/9/2025</v>
      </c>
      <c r="AE8" t="str" cm="1">
        <f t="array" ref="AE8">_xll.BDP($B8,AE$1)</f>
        <v>AT MATURITY</v>
      </c>
      <c r="AF8" cm="1">
        <f t="array" ref="AF8">_xll.BDP($B8,AF$1)</f>
        <v>450000000</v>
      </c>
      <c r="AG8" cm="1">
        <f t="array" ref="AG8">_xll.BDP($B8,AG$1)</f>
        <v>450000000</v>
      </c>
      <c r="AH8" t="str" cm="1">
        <f t="array" ref="AH8">_xll.BDP($B8,AH$1)</f>
        <v>International</v>
      </c>
      <c r="AI8" t="str" cm="1">
        <f t="array" ref="AI8">_xll.BDP($X8 &amp; " Equity",AI$1)</f>
        <v>#N/A N/A</v>
      </c>
      <c r="AJ8" t="str" cm="1">
        <f t="array" ref="AJ8">_xll.BDP($X8 &amp; " Equity",AJ$1)</f>
        <v>US</v>
      </c>
      <c r="AK8" t="str" cm="1">
        <f t="array" ref="AK8">_xll.BDS($X8&amp;"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9" spans="2:37" x14ac:dyDescent="0.25">
      <c r="B9" t="s">
        <v>148</v>
      </c>
      <c r="C9" t="str" cm="1">
        <f t="array" ref="C9">_xll.BDP($B9,C$1)</f>
        <v>INTL FINANCE CORP</v>
      </c>
      <c r="D9" t="str" cm="1">
        <f t="array" ref="D9">_xll.BDP($B9,D$1)</f>
        <v>BBG00ZCLNCT9</v>
      </c>
      <c r="E9" t="str" cm="1">
        <f t="array" ref="E9">_xll.BDP($B9,E$1)</f>
        <v>XS2306852828</v>
      </c>
      <c r="F9" t="str" cm="1">
        <f t="array" ref="F9">_xll.BDP($B9,F$1)</f>
        <v>2/25/2021</v>
      </c>
      <c r="G9" t="str" cm="1">
        <f t="array" ref="G9">_xll.BDP($B9,G$1)</f>
        <v>2/25/2041</v>
      </c>
      <c r="H9" t="str" cm="1">
        <f t="array" ref="H9">_xll.BDP($B9,H$1)</f>
        <v>BRL</v>
      </c>
      <c r="I9" t="str" cm="1">
        <f t="array" ref="I9">_xll.BDP($B9,I$1)</f>
        <v>ZERO COUPON</v>
      </c>
      <c r="J9" cm="1">
        <f t="array" ref="J9">_xll.BDP($B9,J$1)</f>
        <v>0</v>
      </c>
      <c r="K9" t="str" cm="1">
        <f t="array" ref="K9">_xll.BDP($B9,K$1)</f>
        <v>#N/A Field Not Applicable</v>
      </c>
      <c r="L9" t="str" cm="1">
        <f t="array" ref="L9">_xll.BDP($B9,L$1)</f>
        <v>N</v>
      </c>
      <c r="M9" cm="1">
        <f t="array" ref="M9">_xll.BDP($B9,M$1)</f>
        <v>1</v>
      </c>
      <c r="N9" t="str" cm="1">
        <f t="array" ref="N9">_xll.BDP($B9,N$1)</f>
        <v>STREET CONVENTION</v>
      </c>
      <c r="O9" t="str" cm="1">
        <f t="array" ref="O9">_xll.BDP($B9,O$1)</f>
        <v>#N/A Field Not Applicable</v>
      </c>
      <c r="P9" t="str" cm="1">
        <f t="array" ref="P9">_xll.BDP($B9,P$1)</f>
        <v>AAA</v>
      </c>
      <c r="Q9" t="str" cm="1">
        <f t="array" ref="Q9">_xll.BDP($B9,Q$1)</f>
        <v>Aaa</v>
      </c>
      <c r="R9" t="str" cm="1">
        <f t="array" ref="R9">_xll.BDP($B9,R$1)</f>
        <v>#N/A N/A</v>
      </c>
      <c r="S9" t="str" cm="1">
        <f t="array" ref="S9">_xll.BDP($B9,S$1)</f>
        <v>#N/A Field Not Applicable</v>
      </c>
      <c r="T9" cm="1">
        <f t="array" ref="T9">_xll.BDP($B9,T$1)</f>
        <v>-260.7515807946138</v>
      </c>
      <c r="U9" cm="1">
        <f t="array" ref="U9">_xll.BDP($B9,U$1)</f>
        <v>11.291983999999999</v>
      </c>
      <c r="V9" cm="1">
        <f t="array" ref="V9">_xll.BDP($B9,V$1)</f>
        <v>0</v>
      </c>
      <c r="W9" t="str" cm="1">
        <f t="array" ref="W9">_xll.BDP($B9,W$1)</f>
        <v>#N/A N/A</v>
      </c>
      <c r="X9" t="str" cm="1">
        <f t="array" ref="X9">_xll.BDP($B9,X$1)</f>
        <v>8176888Z US</v>
      </c>
      <c r="Y9" t="str" cm="1">
        <f t="array" ref="Y9">_xll.BDP($B9,Y$1)</f>
        <v>Supranational</v>
      </c>
      <c r="Z9" t="str" cm="1">
        <f t="array" ref="Z9">_xll.BDP($B9,Z$1)</f>
        <v>Government</v>
      </c>
      <c r="AA9" t="str" cm="1">
        <f t="array" ref="AA9">_xll.BDP($B9,AA$1)</f>
        <v>Multi-National</v>
      </c>
      <c r="AB9" t="str" cm="1">
        <f t="array" ref="AB9">_xll.BDP($B9,AB$1)</f>
        <v>EURO MTN</v>
      </c>
      <c r="AC9" t="str" cm="1">
        <f t="array" ref="AC9">_xll.BDP($B9,AC$1)</f>
        <v>SNAT</v>
      </c>
      <c r="AD9" t="str" cm="1">
        <f t="array" ref="AD9">_xll.BDP($B9,AD$1)</f>
        <v>#N/A Field Not Applicable</v>
      </c>
      <c r="AE9" t="str" cm="1">
        <f t="array" ref="AE9">_xll.BDP($B9,AE$1)</f>
        <v>AT MATURITY</v>
      </c>
      <c r="AF9" cm="1">
        <f t="array" ref="AF9">_xll.BDP($B9,AF$1)</f>
        <v>1000000000</v>
      </c>
      <c r="AG9" cm="1">
        <f t="array" ref="AG9">_xll.BDP($B9,AG$1)</f>
        <v>1000000000</v>
      </c>
      <c r="AH9" t="str" cm="1">
        <f t="array" ref="AH9">_xll.BDP($B9,AH$1)</f>
        <v>International</v>
      </c>
      <c r="AI9" t="str" cm="1">
        <f t="array" ref="AI9">_xll.BDP($X9 &amp; " Equity",AI$1)</f>
        <v>#N/A N/A</v>
      </c>
      <c r="AJ9" t="str" cm="1">
        <f t="array" ref="AJ9">_xll.BDP($X9 &amp; " Equity",AJ$1)</f>
        <v>US</v>
      </c>
      <c r="AK9" t="str" cm="1">
        <f t="array" ref="AK9">_xll.BDS($X9&amp;"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10" spans="2:37" x14ac:dyDescent="0.25">
      <c r="B10" t="s">
        <v>149</v>
      </c>
      <c r="C10" t="str" cm="1">
        <f t="array" ref="C10">_xll.BDP($B10,C$1)</f>
        <v>ASIAN DEVELOPMENT BANK</v>
      </c>
      <c r="D10" t="str" cm="1">
        <f t="array" ref="D10">_xll.BDP($B10,D$1)</f>
        <v>BBG00Z1J94V7</v>
      </c>
      <c r="E10" t="str" cm="1">
        <f t="array" ref="E10">_xll.BDP($B10,E$1)</f>
        <v>XS2294853697</v>
      </c>
      <c r="F10" t="str" cm="1">
        <f t="array" ref="F10">_xll.BDP($B10,F$1)</f>
        <v>2/5/2021</v>
      </c>
      <c r="G10" t="str" cm="1">
        <f t="array" ref="G10">_xll.BDP($B10,G$1)</f>
        <v>2/5/2026</v>
      </c>
      <c r="H10" t="str" cm="1">
        <f t="array" ref="H10">_xll.BDP($B10,H$1)</f>
        <v>BRL</v>
      </c>
      <c r="I10" t="str" cm="1">
        <f t="array" ref="I10">_xll.BDP($B10,I$1)</f>
        <v>FIXED</v>
      </c>
      <c r="J10" cm="1">
        <f t="array" ref="J10">_xll.BDP($B10,J$1)</f>
        <v>6</v>
      </c>
      <c r="K10" t="str" cm="1">
        <f t="array" ref="K10">_xll.BDP($B10,K$1)</f>
        <v>#N/A Field Not Applicable</v>
      </c>
      <c r="L10" t="str" cm="1">
        <f t="array" ref="L10">_xll.BDP($B10,L$1)</f>
        <v>N</v>
      </c>
      <c r="M10" cm="1">
        <f t="array" ref="M10">_xll.BDP($B10,M$1)</f>
        <v>1</v>
      </c>
      <c r="N10" t="str" cm="1">
        <f t="array" ref="N10">_xll.BDP($B10,N$1)</f>
        <v>STREET CONVENTION</v>
      </c>
      <c r="O10" t="str" cm="1">
        <f t="array" ref="O10">_xll.BDP($B10,O$1)</f>
        <v>#N/A Field Not Applicable</v>
      </c>
      <c r="P10" t="str" cm="1">
        <f t="array" ref="P10">_xll.BDP($B10,P$1)</f>
        <v>#N/A N/A</v>
      </c>
      <c r="Q10" t="str" cm="1">
        <f t="array" ref="Q10">_xll.BDP($B10,Q$1)</f>
        <v>Aaa</v>
      </c>
      <c r="R10" t="str" cm="1">
        <f t="array" ref="R10">_xll.BDP($B10,R$1)</f>
        <v>AAA</v>
      </c>
      <c r="S10" cm="1">
        <f t="array" ref="S10">_xll.BDP($B10,S$1)</f>
        <v>1</v>
      </c>
      <c r="T10" cm="1">
        <f t="array" ref="T10">_xll.BDP($B10,T$1)</f>
        <v>-110.9426996599769</v>
      </c>
      <c r="U10" cm="1">
        <f t="array" ref="U10">_xll.BDP($B10,U$1)</f>
        <v>13.719423000000001</v>
      </c>
      <c r="V10" cm="1">
        <f t="array" ref="V10">_xll.BDP($B10,V$1)</f>
        <v>6</v>
      </c>
      <c r="W10" cm="1">
        <f t="array" ref="W10">_xll.BDP($B10,W$1)</f>
        <v>40300000</v>
      </c>
      <c r="X10" t="str" cm="1">
        <f t="array" ref="X10">_xll.BDP($B10,X$1)</f>
        <v>81074Z PM</v>
      </c>
      <c r="Y10" t="str" cm="1">
        <f t="array" ref="Y10">_xll.BDP($B10,Y$1)</f>
        <v>Supranational</v>
      </c>
      <c r="Z10" t="str" cm="1">
        <f t="array" ref="Z10">_xll.BDP($B10,Z$1)</f>
        <v>Government</v>
      </c>
      <c r="AA10" t="str" cm="1">
        <f t="array" ref="AA10">_xll.BDP($B10,AA$1)</f>
        <v>Multi-National</v>
      </c>
      <c r="AB10" t="str" cm="1">
        <f t="array" ref="AB10">_xll.BDP($B10,AB$1)</f>
        <v>GLOBAL</v>
      </c>
      <c r="AC10" t="str" cm="1">
        <f t="array" ref="AC10">_xll.BDP($B10,AC$1)</f>
        <v>SNAT</v>
      </c>
      <c r="AD10" t="str" cm="1">
        <f t="array" ref="AD10">_xll.BDP($B10,AD$1)</f>
        <v>2/5/2022</v>
      </c>
      <c r="AE10" t="str" cm="1">
        <f t="array" ref="AE10">_xll.BDP($B10,AE$1)</f>
        <v>AT MATURITY</v>
      </c>
      <c r="AF10" cm="1">
        <f t="array" ref="AF10">_xll.BDP($B10,AF$1)</f>
        <v>400000000</v>
      </c>
      <c r="AG10" cm="1">
        <f t="array" ref="AG10">_xll.BDP($B10,AG$1)</f>
        <v>400000000</v>
      </c>
      <c r="AH10" t="str" cm="1">
        <f t="array" ref="AH10">_xll.BDP($B10,AH$1)</f>
        <v>International</v>
      </c>
      <c r="AI10" t="str" cm="1">
        <f t="array" ref="AI10">_xll.BDP($X10 &amp; " Equity",AI$1)</f>
        <v>#N/A N/A</v>
      </c>
      <c r="AJ10" t="str" cm="1">
        <f t="array" ref="AJ10">_xll.BDP($X10 &amp; " Equity",AJ$1)</f>
        <v>PM</v>
      </c>
      <c r="AK10" t="str" cm="1">
        <f t="array" ref="AK10">_xll.BDS($X10&amp;" Equity",AK$1,"FILL=NA","Aggregate=y")</f>
        <v>Asian Development Bank operates as a multilateral development financial institution. The Company provides economic development and cooperation, emphasizes agriculture, energy, capital market development, transportation, communications, and social infrastructure projects. Asian Development Bank conducts business in Philippines.</v>
      </c>
    </row>
    <row r="11" spans="2:37" x14ac:dyDescent="0.25">
      <c r="B11" t="s">
        <v>150</v>
      </c>
      <c r="C11" t="str" cm="1">
        <f t="array" ref="C11">_xll.BDP($B11,C$1)</f>
        <v>EUROPEAN INVESTMENT BANK</v>
      </c>
      <c r="D11" t="str" cm="1">
        <f t="array" ref="D11">_xll.BDP($B11,D$1)</f>
        <v>BBG012NX1GV5</v>
      </c>
      <c r="E11" t="str" cm="1">
        <f t="array" ref="E11">_xll.BDP($B11,E$1)</f>
        <v>XS2391850703</v>
      </c>
      <c r="F11" t="str" cm="1">
        <f t="array" ref="F11">_xll.BDP($B11,F$1)</f>
        <v>9/30/2021</v>
      </c>
      <c r="G11" t="str" cm="1">
        <f t="array" ref="G11">_xll.BDP($B11,G$1)</f>
        <v>9/30/2026</v>
      </c>
      <c r="H11" t="str" cm="1">
        <f t="array" ref="H11">_xll.BDP($B11,H$1)</f>
        <v>BRL</v>
      </c>
      <c r="I11" t="str" cm="1">
        <f t="array" ref="I11">_xll.BDP($B11,I$1)</f>
        <v>FIXED</v>
      </c>
      <c r="J11" cm="1">
        <f t="array" ref="J11">_xll.BDP($B11,J$1)</f>
        <v>8</v>
      </c>
      <c r="K11" t="str" cm="1">
        <f t="array" ref="K11">_xll.BDP($B11,K$1)</f>
        <v>#N/A Field Not Applicable</v>
      </c>
      <c r="L11" t="str" cm="1">
        <f t="array" ref="L11">_xll.BDP($B11,L$1)</f>
        <v>N</v>
      </c>
      <c r="M11" cm="1">
        <f t="array" ref="M11">_xll.BDP($B11,M$1)</f>
        <v>1</v>
      </c>
      <c r="N11" t="str" cm="1">
        <f t="array" ref="N11">_xll.BDP($B11,N$1)</f>
        <v>STREET CONVENTION</v>
      </c>
      <c r="O11" t="str" cm="1">
        <f t="array" ref="O11">_xll.BDP($B11,O$1)</f>
        <v>#N/A Field Not Applicable</v>
      </c>
      <c r="P11" t="str" cm="1">
        <f t="array" ref="P11">_xll.BDP($B11,P$1)</f>
        <v>AAA</v>
      </c>
      <c r="Q11" t="str" cm="1">
        <f t="array" ref="Q11">_xll.BDP($B11,Q$1)</f>
        <v>Aaa</v>
      </c>
      <c r="R11" t="str" cm="1">
        <f t="array" ref="R11">_xll.BDP($B11,R$1)</f>
        <v>AAA</v>
      </c>
      <c r="S11" cm="1">
        <f t="array" ref="S11">_xll.BDP($B11,S$1)</f>
        <v>1</v>
      </c>
      <c r="T11" cm="1">
        <f t="array" ref="T11">_xll.BDP($B11,T$1)</f>
        <v>-129.32222208486638</v>
      </c>
      <c r="U11" cm="1">
        <f t="array" ref="U11">_xll.BDP($B11,U$1)</f>
        <v>13.124008999999999</v>
      </c>
      <c r="V11" cm="1">
        <f t="array" ref="V11">_xll.BDP($B11,V$1)</f>
        <v>117</v>
      </c>
      <c r="W11" cm="1">
        <f t="array" ref="W11">_xll.BDP($B11,W$1)</f>
        <v>7695000</v>
      </c>
      <c r="X11" t="str" cm="1">
        <f t="array" ref="X11">_xll.BDP($B11,X$1)</f>
        <v>654429Z LX</v>
      </c>
      <c r="Y11" t="str" cm="1">
        <f t="array" ref="Y11">_xll.BDP($B11,Y$1)</f>
        <v>Supranational</v>
      </c>
      <c r="Z11" t="str" cm="1">
        <f t="array" ref="Z11">_xll.BDP($B11,Z$1)</f>
        <v>Government</v>
      </c>
      <c r="AA11" t="str" cm="1">
        <f t="array" ref="AA11">_xll.BDP($B11,AA$1)</f>
        <v>Multi-National</v>
      </c>
      <c r="AB11" t="str" cm="1">
        <f t="array" ref="AB11">_xll.BDP($B11,AB$1)</f>
        <v>EURO MTN</v>
      </c>
      <c r="AC11" t="str" cm="1">
        <f t="array" ref="AC11">_xll.BDP($B11,AC$1)</f>
        <v>SNAT</v>
      </c>
      <c r="AD11" t="str" cm="1">
        <f t="array" ref="AD11">_xll.BDP($B11,AD$1)</f>
        <v>9/30/2022</v>
      </c>
      <c r="AE11" t="str" cm="1">
        <f t="array" ref="AE11">_xll.BDP($B11,AE$1)</f>
        <v>AT MATURITY</v>
      </c>
      <c r="AF11" cm="1">
        <f t="array" ref="AF11">_xll.BDP($B11,AF$1)</f>
        <v>325000000</v>
      </c>
      <c r="AG11" cm="1">
        <f t="array" ref="AG11">_xll.BDP($B11,AG$1)</f>
        <v>325000000</v>
      </c>
      <c r="AH11" t="str" cm="1">
        <f t="array" ref="AH11">_xll.BDP($B11,AH$1)</f>
        <v>International</v>
      </c>
      <c r="AI11" t="str" cm="1">
        <f t="array" ref="AI11">_xll.BDP($X11 &amp; " Equity",AI$1)</f>
        <v>#N/A N/A</v>
      </c>
      <c r="AJ11" t="str" cm="1">
        <f t="array" ref="AJ11">_xll.BDP($X11 &amp; " Equity",AJ$1)</f>
        <v>LX</v>
      </c>
      <c r="AK11" t="str" cm="1">
        <f t="array" ref="AK11">_xll.BDS($X11&amp;" Equity",AK$1,"FILL=NA","Aggregate=y")</f>
        <v>European Investment Bank operates as a financing institution. The Bank offers project loans, bonds, venture capital, transport infrastructure, project funding, guarantees, microfinance, equity investment, and urban development solutions. European Investment Bank serves clients worldwide.</v>
      </c>
    </row>
    <row r="12" spans="2:37" x14ac:dyDescent="0.25">
      <c r="B12" t="s">
        <v>151</v>
      </c>
      <c r="C12" t="str" cm="1">
        <f t="array" ref="C12">_xll.BDP($B12,C$1)</f>
        <v>EUROPEAN INVESTMENT BANK</v>
      </c>
      <c r="D12" t="str" cm="1">
        <f t="array" ref="D12">_xll.BDP($B12,D$1)</f>
        <v>BBG00XY88236</v>
      </c>
      <c r="E12" t="str" cm="1">
        <f t="array" ref="E12">_xll.BDP($B12,E$1)</f>
        <v>XS2249882064</v>
      </c>
      <c r="F12" t="str" cm="1">
        <f t="array" ref="F12">_xll.BDP($B12,F$1)</f>
        <v>10/29/2020</v>
      </c>
      <c r="G12" t="str" cm="1">
        <f t="array" ref="G12">_xll.BDP($B12,G$1)</f>
        <v>10/29/2025</v>
      </c>
      <c r="H12" t="str" cm="1">
        <f t="array" ref="H12">_xll.BDP($B12,H$1)</f>
        <v>BRL</v>
      </c>
      <c r="I12" t="str" cm="1">
        <f t="array" ref="I12">_xll.BDP($B12,I$1)</f>
        <v>FIXED</v>
      </c>
      <c r="J12" cm="1">
        <f t="array" ref="J12">_xll.BDP($B12,J$1)</f>
        <v>4.75</v>
      </c>
      <c r="K12" t="str" cm="1">
        <f t="array" ref="K12">_xll.BDP($B12,K$1)</f>
        <v>#N/A Field Not Applicable</v>
      </c>
      <c r="L12" t="str" cm="1">
        <f t="array" ref="L12">_xll.BDP($B12,L$1)</f>
        <v>N</v>
      </c>
      <c r="M12" cm="1">
        <f t="array" ref="M12">_xll.BDP($B12,M$1)</f>
        <v>1</v>
      </c>
      <c r="N12" t="str" cm="1">
        <f t="array" ref="N12">_xll.BDP($B12,N$1)</f>
        <v>STREET CONVENTION</v>
      </c>
      <c r="O12" t="str" cm="1">
        <f t="array" ref="O12">_xll.BDP($B12,O$1)</f>
        <v>#N/A Field Not Applicable</v>
      </c>
      <c r="P12" t="str" cm="1">
        <f t="array" ref="P12">_xll.BDP($B12,P$1)</f>
        <v>AAA</v>
      </c>
      <c r="Q12" t="str" cm="1">
        <f t="array" ref="Q12">_xll.BDP($B12,Q$1)</f>
        <v>Aaa</v>
      </c>
      <c r="R12" t="str" cm="1">
        <f t="array" ref="R12">_xll.BDP($B12,R$1)</f>
        <v>AAA</v>
      </c>
      <c r="S12" cm="1">
        <f t="array" ref="S12">_xll.BDP($B12,S$1)</f>
        <v>1</v>
      </c>
      <c r="T12" cm="1">
        <f t="array" ref="T12">_xll.BDP($B12,T$1)</f>
        <v>-167.0746233854457</v>
      </c>
      <c r="U12" cm="1">
        <f t="array" ref="U12">_xll.BDP($B12,U$1)</f>
        <v>13.158104</v>
      </c>
      <c r="V12" cm="1">
        <f t="array" ref="V12">_xll.BDP($B12,V$1)</f>
        <v>170</v>
      </c>
      <c r="W12" cm="1">
        <f t="array" ref="W12">_xll.BDP($B12,W$1)</f>
        <v>22105000</v>
      </c>
      <c r="X12" t="str" cm="1">
        <f t="array" ref="X12">_xll.BDP($B12,X$1)</f>
        <v>654429Z LX</v>
      </c>
      <c r="Y12" t="str" cm="1">
        <f t="array" ref="Y12">_xll.BDP($B12,Y$1)</f>
        <v>Supranational</v>
      </c>
      <c r="Z12" t="str" cm="1">
        <f t="array" ref="Z12">_xll.BDP($B12,Z$1)</f>
        <v>Government</v>
      </c>
      <c r="AA12" t="str" cm="1">
        <f t="array" ref="AA12">_xll.BDP($B12,AA$1)</f>
        <v>Multi-National</v>
      </c>
      <c r="AB12" t="str" cm="1">
        <f t="array" ref="AB12">_xll.BDP($B12,AB$1)</f>
        <v>EURO MTN</v>
      </c>
      <c r="AC12" t="str" cm="1">
        <f t="array" ref="AC12">_xll.BDP($B12,AC$1)</f>
        <v>SNAT</v>
      </c>
      <c r="AD12" t="str" cm="1">
        <f t="array" ref="AD12">_xll.BDP($B12,AD$1)</f>
        <v>10/29/2021</v>
      </c>
      <c r="AE12" t="str" cm="1">
        <f t="array" ref="AE12">_xll.BDP($B12,AE$1)</f>
        <v>AT MATURITY</v>
      </c>
      <c r="AF12" cm="1">
        <f t="array" ref="AF12">_xll.BDP($B12,AF$1)</f>
        <v>865000000</v>
      </c>
      <c r="AG12" cm="1">
        <f t="array" ref="AG12">_xll.BDP($B12,AG$1)</f>
        <v>865000000</v>
      </c>
      <c r="AH12" t="str" cm="1">
        <f t="array" ref="AH12">_xll.BDP($B12,AH$1)</f>
        <v>International</v>
      </c>
      <c r="AI12" t="str" cm="1">
        <f t="array" ref="AI12">_xll.BDP($X12 &amp; " Equity",AI$1)</f>
        <v>#N/A N/A</v>
      </c>
      <c r="AJ12" t="str" cm="1">
        <f t="array" ref="AJ12">_xll.BDP($X12 &amp; " Equity",AJ$1)</f>
        <v>LX</v>
      </c>
      <c r="AK12" t="str" cm="1">
        <f t="array" ref="AK12">_xll.BDS($X12&amp;" Equity",AK$1,"FILL=NA","Aggregate=y")</f>
        <v>European Investment Bank operates as a financing institution. The Bank offers project loans, bonds, venture capital, transport infrastructure, project funding, guarantees, microfinance, equity investment, and urban development solutions. European Investment Bank serves clients worldwide.</v>
      </c>
    </row>
    <row r="13" spans="2:37" x14ac:dyDescent="0.25">
      <c r="B13" t="s">
        <v>152</v>
      </c>
      <c r="C13" t="str" cm="1">
        <f t="array" ref="C13">_xll.BDP($B13,C$1)</f>
        <v>AFRICAN DEVELOPMENT BANK</v>
      </c>
      <c r="D13" t="str" cm="1">
        <f t="array" ref="D13">_xll.BDP($B13,D$1)</f>
        <v>BBG015DJKW53</v>
      </c>
      <c r="E13" t="str" cm="1">
        <f t="array" ref="E13">_xll.BDP($B13,E$1)</f>
        <v>XS2447948824</v>
      </c>
      <c r="F13" t="str" cm="1">
        <f t="array" ref="F13">_xll.BDP($B13,F$1)</f>
        <v>2/24/2022</v>
      </c>
      <c r="G13" t="str" cm="1">
        <f t="array" ref="G13">_xll.BDP($B13,G$1)</f>
        <v>2/24/2042</v>
      </c>
      <c r="H13" t="str" cm="1">
        <f t="array" ref="H13">_xll.BDP($B13,H$1)</f>
        <v>BRL</v>
      </c>
      <c r="I13" t="str" cm="1">
        <f t="array" ref="I13">_xll.BDP($B13,I$1)</f>
        <v>ZERO COUPON</v>
      </c>
      <c r="J13" cm="1">
        <f t="array" ref="J13">_xll.BDP($B13,J$1)</f>
        <v>0</v>
      </c>
      <c r="K13" t="str" cm="1">
        <f t="array" ref="K13">_xll.BDP($B13,K$1)</f>
        <v>#N/A Field Not Applicable</v>
      </c>
      <c r="L13" t="str" cm="1">
        <f t="array" ref="L13">_xll.BDP($B13,L$1)</f>
        <v>N</v>
      </c>
      <c r="M13" cm="1">
        <f t="array" ref="M13">_xll.BDP($B13,M$1)</f>
        <v>1</v>
      </c>
      <c r="N13" t="str" cm="1">
        <f t="array" ref="N13">_xll.BDP($B13,N$1)</f>
        <v>STREET CONVENTION</v>
      </c>
      <c r="O13" t="str" cm="1">
        <f t="array" ref="O13">_xll.BDP($B13,O$1)</f>
        <v>#N/A Field Not Applicable</v>
      </c>
      <c r="P13" t="str" cm="1">
        <f t="array" ref="P13">_xll.BDP($B13,P$1)</f>
        <v>AAA</v>
      </c>
      <c r="Q13" t="str" cm="1">
        <f t="array" ref="Q13">_xll.BDP($B13,Q$1)</f>
        <v>Aaa</v>
      </c>
      <c r="R13" t="str" cm="1">
        <f t="array" ref="R13">_xll.BDP($B13,R$1)</f>
        <v>AAA</v>
      </c>
      <c r="S13" t="str" cm="1">
        <f t="array" ref="S13">_xll.BDP($B13,S$1)</f>
        <v>#N/A Field Not Applicable</v>
      </c>
      <c r="T13" cm="1">
        <f t="array" ref="T13">_xll.BDP($B13,T$1)</f>
        <v>-255.52818288848923</v>
      </c>
      <c r="U13" cm="1">
        <f t="array" ref="U13">_xll.BDP($B13,U$1)</f>
        <v>11.344218</v>
      </c>
      <c r="V13" cm="1">
        <f t="array" ref="V13">_xll.BDP($B13,V$1)</f>
        <v>0</v>
      </c>
      <c r="W13" t="str" cm="1">
        <f t="array" ref="W13">_xll.BDP($B13,W$1)</f>
        <v>#N/A N/A</v>
      </c>
      <c r="X13" t="str" cm="1">
        <f t="array" ref="X13">_xll.BDP($B13,X$1)</f>
        <v>1598Z TU</v>
      </c>
      <c r="Y13" t="str" cm="1">
        <f t="array" ref="Y13">_xll.BDP($B13,Y$1)</f>
        <v>Supranational</v>
      </c>
      <c r="Z13" t="str" cm="1">
        <f t="array" ref="Z13">_xll.BDP($B13,Z$1)</f>
        <v>Government</v>
      </c>
      <c r="AA13" t="str" cm="1">
        <f t="array" ref="AA13">_xll.BDP($B13,AA$1)</f>
        <v>Multi-National</v>
      </c>
      <c r="AB13" t="str" cm="1">
        <f t="array" ref="AB13">_xll.BDP($B13,AB$1)</f>
        <v>EURO NON-DOLLAR</v>
      </c>
      <c r="AC13" t="str" cm="1">
        <f t="array" ref="AC13">_xll.BDP($B13,AC$1)</f>
        <v>SNAT</v>
      </c>
      <c r="AD13" t="str" cm="1">
        <f t="array" ref="AD13">_xll.BDP($B13,AD$1)</f>
        <v>#N/A Field Not Applicable</v>
      </c>
      <c r="AE13" t="str" cm="1">
        <f t="array" ref="AE13">_xll.BDP($B13,AE$1)</f>
        <v>AT MATURITY</v>
      </c>
      <c r="AF13" cm="1">
        <f t="array" ref="AF13">_xll.BDP($B13,AF$1)</f>
        <v>1025000000</v>
      </c>
      <c r="AG13" cm="1">
        <f t="array" ref="AG13">_xll.BDP($B13,AG$1)</f>
        <v>1025000000</v>
      </c>
      <c r="AH13" t="str" cm="1">
        <f t="array" ref="AH13">_xll.BDP($B13,AH$1)</f>
        <v>International</v>
      </c>
      <c r="AI13" t="str" cm="1">
        <f t="array" ref="AI13">_xll.BDP($X13 &amp; " Equity",AI$1)</f>
        <v>#N/A N/A</v>
      </c>
      <c r="AJ13" t="str" cm="1">
        <f t="array" ref="AJ13">_xll.BDP($X13 &amp; " Equity",AJ$1)</f>
        <v>TU</v>
      </c>
      <c r="AK13" t="str" cm="1">
        <f t="array" ref="AK13">_xll.BDS($X13&amp;"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14" spans="2:37" x14ac:dyDescent="0.25">
      <c r="B14" t="s">
        <v>153</v>
      </c>
      <c r="C14" t="str" cm="1">
        <f t="array" ref="C14">_xll.BDP($B14,C$1)</f>
        <v>EUROPEAN INVESTMENT BANK</v>
      </c>
      <c r="D14" t="str" cm="1">
        <f t="array" ref="D14">_xll.BDP($B14,D$1)</f>
        <v>BBG01S8BF8X4</v>
      </c>
      <c r="E14" t="str" cm="1">
        <f t="array" ref="E14">_xll.BDP($B14,E$1)</f>
        <v>EU000A3L6Q42</v>
      </c>
      <c r="F14" t="str" cm="1">
        <f t="array" ref="F14">_xll.BDP($B14,F$1)</f>
        <v>2/20/2025</v>
      </c>
      <c r="G14" t="str" cm="1">
        <f t="array" ref="G14">_xll.BDP($B14,G$1)</f>
        <v>2/20/2035</v>
      </c>
      <c r="H14" t="str" cm="1">
        <f t="array" ref="H14">_xll.BDP($B14,H$1)</f>
        <v>BRL</v>
      </c>
      <c r="I14" t="str" cm="1">
        <f t="array" ref="I14">_xll.BDP($B14,I$1)</f>
        <v>ZERO COUPON</v>
      </c>
      <c r="J14" cm="1">
        <f t="array" ref="J14">_xll.BDP($B14,J$1)</f>
        <v>0</v>
      </c>
      <c r="K14" t="str" cm="1">
        <f t="array" ref="K14">_xll.BDP($B14,K$1)</f>
        <v>#N/A Field Not Applicable</v>
      </c>
      <c r="L14" t="str" cm="1">
        <f t="array" ref="L14">_xll.BDP($B14,L$1)</f>
        <v>N</v>
      </c>
      <c r="M14" cm="1">
        <f t="array" ref="M14">_xll.BDP($B14,M$1)</f>
        <v>1</v>
      </c>
      <c r="N14" t="str" cm="1">
        <f t="array" ref="N14">_xll.BDP($B14,N$1)</f>
        <v>STREET CONVENTION</v>
      </c>
      <c r="O14" t="str" cm="1">
        <f t="array" ref="O14">_xll.BDP($B14,O$1)</f>
        <v>#N/A Field Not Applicable</v>
      </c>
      <c r="P14" t="str" cm="1">
        <f t="array" ref="P14">_xll.BDP($B14,P$1)</f>
        <v>AAA</v>
      </c>
      <c r="Q14" t="str" cm="1">
        <f t="array" ref="Q14">_xll.BDP($B14,Q$1)</f>
        <v>Aaa</v>
      </c>
      <c r="R14" t="str" cm="1">
        <f t="array" ref="R14">_xll.BDP($B14,R$1)</f>
        <v>AAA</v>
      </c>
      <c r="S14" t="str" cm="1">
        <f t="array" ref="S14">_xll.BDP($B14,S$1)</f>
        <v>#N/A Field Not Applicable</v>
      </c>
      <c r="T14" cm="1">
        <f t="array" ref="T14">_xll.BDP($B14,T$1)</f>
        <v>-220.7993844621802</v>
      </c>
      <c r="U14" cm="1">
        <f t="array" ref="U14">_xll.BDP($B14,U$1)</f>
        <v>11.691506</v>
      </c>
      <c r="V14" cm="1">
        <f t="array" ref="V14">_xll.BDP($B14,V$1)</f>
        <v>0</v>
      </c>
      <c r="W14" t="str" cm="1">
        <f t="array" ref="W14">_xll.BDP($B14,W$1)</f>
        <v>#N/A N/A</v>
      </c>
      <c r="X14" t="str" cm="1">
        <f t="array" ref="X14">_xll.BDP($B14,X$1)</f>
        <v>654429Z LX</v>
      </c>
      <c r="Y14" t="str" cm="1">
        <f t="array" ref="Y14">_xll.BDP($B14,Y$1)</f>
        <v>Supranational</v>
      </c>
      <c r="Z14" t="str" cm="1">
        <f t="array" ref="Z14">_xll.BDP($B14,Z$1)</f>
        <v>Government</v>
      </c>
      <c r="AA14" t="str" cm="1">
        <f t="array" ref="AA14">_xll.BDP($B14,AA$1)</f>
        <v>Multi-National</v>
      </c>
      <c r="AB14" t="str" cm="1">
        <f t="array" ref="AB14">_xll.BDP($B14,AB$1)</f>
        <v>EURO MTN</v>
      </c>
      <c r="AC14" t="str" cm="1">
        <f t="array" ref="AC14">_xll.BDP($B14,AC$1)</f>
        <v>SNAT</v>
      </c>
      <c r="AD14" t="str" cm="1">
        <f t="array" ref="AD14">_xll.BDP($B14,AD$1)</f>
        <v>#N/A Field Not Applicable</v>
      </c>
      <c r="AE14" t="str" cm="1">
        <f t="array" ref="AE14">_xll.BDP($B14,AE$1)</f>
        <v>AT MATURITY</v>
      </c>
      <c r="AF14" cm="1">
        <f t="array" ref="AF14">_xll.BDP($B14,AF$1)</f>
        <v>1800000000</v>
      </c>
      <c r="AG14" cm="1">
        <f t="array" ref="AG14">_xll.BDP($B14,AG$1)</f>
        <v>1800000000</v>
      </c>
      <c r="AH14" t="str" cm="1">
        <f t="array" ref="AH14">_xll.BDP($B14,AH$1)</f>
        <v>International</v>
      </c>
      <c r="AI14" t="str" cm="1">
        <f t="array" ref="AI14">_xll.BDP($X14 &amp; " Equity",AI$1)</f>
        <v>#N/A N/A</v>
      </c>
      <c r="AJ14" t="str" cm="1">
        <f t="array" ref="AJ14">_xll.BDP($X14 &amp; " Equity",AJ$1)</f>
        <v>LX</v>
      </c>
      <c r="AK14" t="str" cm="1">
        <f t="array" ref="AK14">_xll.BDS($X14&amp;" Equity",AK$1,"FILL=NA","Aggregate=y")</f>
        <v>European Investment Bank operates as a financing institution. The Bank offers project loans, bonds, venture capital, transport infrastructure, project funding, guarantees, microfinance, equity investment, and urban development solutions. European Investment Bank serves clients worldwide.</v>
      </c>
    </row>
    <row r="15" spans="2:37" x14ac:dyDescent="0.25">
      <c r="B15" t="s">
        <v>154</v>
      </c>
      <c r="C15" t="str" cm="1">
        <f t="array" ref="C15">_xll.BDP($B15,C$1)</f>
        <v>INTL BK RECON &amp; DEVELOP</v>
      </c>
      <c r="D15" t="str" cm="1">
        <f t="array" ref="D15">_xll.BDP($B15,D$1)</f>
        <v>BBG017GBLZ37</v>
      </c>
      <c r="E15" t="str" cm="1">
        <f t="array" ref="E15">_xll.BDP($B15,E$1)</f>
        <v>XS2483844176</v>
      </c>
      <c r="F15" t="str" cm="1">
        <f t="array" ref="F15">_xll.BDP($B15,F$1)</f>
        <v>5/26/2022</v>
      </c>
      <c r="G15" t="str" cm="1">
        <f t="array" ref="G15">_xll.BDP($B15,G$1)</f>
        <v>5/26/2037</v>
      </c>
      <c r="H15" t="str" cm="1">
        <f t="array" ref="H15">_xll.BDP($B15,H$1)</f>
        <v>BRL</v>
      </c>
      <c r="I15" t="str" cm="1">
        <f t="array" ref="I15">_xll.BDP($B15,I$1)</f>
        <v>ZERO COUPON</v>
      </c>
      <c r="J15" cm="1">
        <f t="array" ref="J15">_xll.BDP($B15,J$1)</f>
        <v>0</v>
      </c>
      <c r="K15" t="str" cm="1">
        <f t="array" ref="K15">_xll.BDP($B15,K$1)</f>
        <v>#N/A Field Not Applicable</v>
      </c>
      <c r="L15" t="str" cm="1">
        <f t="array" ref="L15">_xll.BDP($B15,L$1)</f>
        <v>N</v>
      </c>
      <c r="M15" cm="1">
        <f t="array" ref="M15">_xll.BDP($B15,M$1)</f>
        <v>1</v>
      </c>
      <c r="N15" t="str" cm="1">
        <f t="array" ref="N15">_xll.BDP($B15,N$1)</f>
        <v>STREET CONVENTION</v>
      </c>
      <c r="O15" t="str" cm="1">
        <f t="array" ref="O15">_xll.BDP($B15,O$1)</f>
        <v>#N/A Field Not Applicable</v>
      </c>
      <c r="P15" t="str" cm="1">
        <f t="array" ref="P15">_xll.BDP($B15,P$1)</f>
        <v>AAA</v>
      </c>
      <c r="Q15" t="str" cm="1">
        <f t="array" ref="Q15">_xll.BDP($B15,Q$1)</f>
        <v>Aaa</v>
      </c>
      <c r="R15" t="str" cm="1">
        <f t="array" ref="R15">_xll.BDP($B15,R$1)</f>
        <v>#N/A N/A</v>
      </c>
      <c r="S15" t="str" cm="1">
        <f t="array" ref="S15">_xll.BDP($B15,S$1)</f>
        <v>#N/A Field Not Applicable</v>
      </c>
      <c r="T15" cm="1">
        <f t="array" ref="T15">_xll.BDP($B15,T$1)</f>
        <v>-219.64785366303855</v>
      </c>
      <c r="U15" cm="1">
        <f t="array" ref="U15">_xll.BDP($B15,U$1)</f>
        <v>11.703021</v>
      </c>
      <c r="V15" cm="1">
        <f t="array" ref="V15">_xll.BDP($B15,V$1)</f>
        <v>0</v>
      </c>
      <c r="W15" t="str" cm="1">
        <f t="array" ref="W15">_xll.BDP($B15,W$1)</f>
        <v>#N/A N/A</v>
      </c>
      <c r="X15" t="str" cm="1">
        <f t="array" ref="X15">_xll.BDP($B15,X$1)</f>
        <v>8176888Z US</v>
      </c>
      <c r="Y15" t="str" cm="1">
        <f t="array" ref="Y15">_xll.BDP($B15,Y$1)</f>
        <v>Supranational</v>
      </c>
      <c r="Z15" t="str" cm="1">
        <f t="array" ref="Z15">_xll.BDP($B15,Z$1)</f>
        <v>Government</v>
      </c>
      <c r="AA15" t="str" cm="1">
        <f t="array" ref="AA15">_xll.BDP($B15,AA$1)</f>
        <v>Multi-National</v>
      </c>
      <c r="AB15" t="str" cm="1">
        <f t="array" ref="AB15">_xll.BDP($B15,AB$1)</f>
        <v>EURO MTN</v>
      </c>
      <c r="AC15" t="str" cm="1">
        <f t="array" ref="AC15">_xll.BDP($B15,AC$1)</f>
        <v>SNAT</v>
      </c>
      <c r="AD15" t="str" cm="1">
        <f t="array" ref="AD15">_xll.BDP($B15,AD$1)</f>
        <v>#N/A Field Not Applicable</v>
      </c>
      <c r="AE15" t="str" cm="1">
        <f t="array" ref="AE15">_xll.BDP($B15,AE$1)</f>
        <v>AT MATURITY</v>
      </c>
      <c r="AF15" cm="1">
        <f t="array" ref="AF15">_xll.BDP($B15,AF$1)</f>
        <v>1300000000</v>
      </c>
      <c r="AG15" cm="1">
        <f t="array" ref="AG15">_xll.BDP($B15,AG$1)</f>
        <v>1300000000</v>
      </c>
      <c r="AH15" t="str" cm="1">
        <f t="array" ref="AH15">_xll.BDP($B15,AH$1)</f>
        <v>International</v>
      </c>
      <c r="AI15" t="str" cm="1">
        <f t="array" ref="AI15">_xll.BDP($X15 &amp; " Equity",AI$1)</f>
        <v>#N/A N/A</v>
      </c>
      <c r="AJ15" t="str" cm="1">
        <f t="array" ref="AJ15">_xll.BDP($X15 &amp; " Equity",AJ$1)</f>
        <v>US</v>
      </c>
      <c r="AK15" t="str" cm="1">
        <f t="array" ref="AK15">_xll.BDS($X15&amp;"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16" spans="2:37" x14ac:dyDescent="0.25">
      <c r="B16" t="s">
        <v>155</v>
      </c>
      <c r="C16" t="str" cm="1">
        <f t="array" ref="C16">_xll.BDP($B16,C$1)</f>
        <v>INTL BK RECON &amp; DEVELOP</v>
      </c>
      <c r="D16" t="str" cm="1">
        <f t="array" ref="D16">_xll.BDP($B16,D$1)</f>
        <v>BBG00YT63006</v>
      </c>
      <c r="E16" t="str" cm="1">
        <f t="array" ref="E16">_xll.BDP($B16,E$1)</f>
        <v>XS2285181074</v>
      </c>
      <c r="F16" t="str" cm="1">
        <f t="array" ref="F16">_xll.BDP($B16,F$1)</f>
        <v>1/15/2021</v>
      </c>
      <c r="G16" t="str" cm="1">
        <f t="array" ref="G16">_xll.BDP($B16,G$1)</f>
        <v>1/14/2028</v>
      </c>
      <c r="H16" t="str" cm="1">
        <f t="array" ref="H16">_xll.BDP($B16,H$1)</f>
        <v>BRL</v>
      </c>
      <c r="I16" t="str" cm="1">
        <f t="array" ref="I16">_xll.BDP($B16,I$1)</f>
        <v>FIXED</v>
      </c>
      <c r="J16" cm="1">
        <f t="array" ref="J16">_xll.BDP($B16,J$1)</f>
        <v>5.75</v>
      </c>
      <c r="K16" t="str" cm="1">
        <f t="array" ref="K16">_xll.BDP($B16,K$1)</f>
        <v>#N/A Field Not Applicable</v>
      </c>
      <c r="L16" t="str" cm="1">
        <f t="array" ref="L16">_xll.BDP($B16,L$1)</f>
        <v>N</v>
      </c>
      <c r="M16" cm="1">
        <f t="array" ref="M16">_xll.BDP($B16,M$1)</f>
        <v>1</v>
      </c>
      <c r="N16" t="str" cm="1">
        <f t="array" ref="N16">_xll.BDP($B16,N$1)</f>
        <v>STREET CONVENTION</v>
      </c>
      <c r="O16" t="str" cm="1">
        <f t="array" ref="O16">_xll.BDP($B16,O$1)</f>
        <v>#N/A Field Not Applicable</v>
      </c>
      <c r="P16" t="str" cm="1">
        <f t="array" ref="P16">_xll.BDP($B16,P$1)</f>
        <v>#N/A N/A</v>
      </c>
      <c r="Q16" t="str" cm="1">
        <f t="array" ref="Q16">_xll.BDP($B16,Q$1)</f>
        <v>Aaa</v>
      </c>
      <c r="R16" t="str" cm="1">
        <f t="array" ref="R16">_xll.BDP($B16,R$1)</f>
        <v>#N/A N/A</v>
      </c>
      <c r="S16" cm="1">
        <f t="array" ref="S16">_xll.BDP($B16,S$1)</f>
        <v>1</v>
      </c>
      <c r="T16" cm="1">
        <f t="array" ref="T16">_xll.BDP($B16,T$1)</f>
        <v>-121.07407470112115</v>
      </c>
      <c r="U16" cm="1">
        <f t="array" ref="U16">_xll.BDP($B16,U$1)</f>
        <v>12.252053999999999</v>
      </c>
      <c r="V16" cm="1">
        <f t="array" ref="V16">_xll.BDP($B16,V$1)</f>
        <v>10</v>
      </c>
      <c r="W16" cm="1">
        <f t="array" ref="W16">_xll.BDP($B16,W$1)</f>
        <v>2720000</v>
      </c>
      <c r="X16" t="str" cm="1">
        <f t="array" ref="X16">_xll.BDP($B16,X$1)</f>
        <v>8176888Z US</v>
      </c>
      <c r="Y16" t="str" cm="1">
        <f t="array" ref="Y16">_xll.BDP($B16,Y$1)</f>
        <v>Supranational</v>
      </c>
      <c r="Z16" t="str" cm="1">
        <f t="array" ref="Z16">_xll.BDP($B16,Z$1)</f>
        <v>Government</v>
      </c>
      <c r="AA16" t="str" cm="1">
        <f t="array" ref="AA16">_xll.BDP($B16,AA$1)</f>
        <v>Multi-National</v>
      </c>
      <c r="AB16" t="str" cm="1">
        <f t="array" ref="AB16">_xll.BDP($B16,AB$1)</f>
        <v>EURO MTN</v>
      </c>
      <c r="AC16" t="str" cm="1">
        <f t="array" ref="AC16">_xll.BDP($B16,AC$1)</f>
        <v>SNAT</v>
      </c>
      <c r="AD16" t="str" cm="1">
        <f t="array" ref="AD16">_xll.BDP($B16,AD$1)</f>
        <v>1/14/2022</v>
      </c>
      <c r="AE16" t="str" cm="1">
        <f t="array" ref="AE16">_xll.BDP($B16,AE$1)</f>
        <v>AT MATURITY</v>
      </c>
      <c r="AF16" cm="1">
        <f t="array" ref="AF16">_xll.BDP($B16,AF$1)</f>
        <v>600000000</v>
      </c>
      <c r="AG16" cm="1">
        <f t="array" ref="AG16">_xll.BDP($B16,AG$1)</f>
        <v>600000000</v>
      </c>
      <c r="AH16" t="str" cm="1">
        <f t="array" ref="AH16">_xll.BDP($B16,AH$1)</f>
        <v>International</v>
      </c>
      <c r="AI16" t="str" cm="1">
        <f t="array" ref="AI16">_xll.BDP($X16 &amp; " Equity",AI$1)</f>
        <v>#N/A N/A</v>
      </c>
      <c r="AJ16" t="str" cm="1">
        <f t="array" ref="AJ16">_xll.BDP($X16 &amp; " Equity",AJ$1)</f>
        <v>US</v>
      </c>
      <c r="AK16" t="str" cm="1">
        <f t="array" ref="AK16">_xll.BDS($X16&amp;"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17" spans="2:37" x14ac:dyDescent="0.25">
      <c r="B17" t="s">
        <v>156</v>
      </c>
      <c r="C17" t="str" cm="1">
        <f t="array" ref="C17">_xll.BDP($B17,C$1)</f>
        <v>EUROPEAN BK RECON &amp; DEV</v>
      </c>
      <c r="D17" t="str" cm="1">
        <f t="array" ref="D17">_xll.BDP($B17,D$1)</f>
        <v>BBG017CKB3D2</v>
      </c>
      <c r="E17" t="str" cm="1">
        <f t="array" ref="E17">_xll.BDP($B17,E$1)</f>
        <v>XS2481558414</v>
      </c>
      <c r="F17" t="str" cm="1">
        <f t="array" ref="F17">_xll.BDP($B17,F$1)</f>
        <v>5/19/2022</v>
      </c>
      <c r="G17" t="str" cm="1">
        <f t="array" ref="G17">_xll.BDP($B17,G$1)</f>
        <v>5/19/2028</v>
      </c>
      <c r="H17" t="str" cm="1">
        <f t="array" ref="H17">_xll.BDP($B17,H$1)</f>
        <v>BRL</v>
      </c>
      <c r="I17" t="str" cm="1">
        <f t="array" ref="I17">_xll.BDP($B17,I$1)</f>
        <v>ZERO COUPON</v>
      </c>
      <c r="J17" cm="1">
        <f t="array" ref="J17">_xll.BDP($B17,J$1)</f>
        <v>0</v>
      </c>
      <c r="K17" t="str" cm="1">
        <f t="array" ref="K17">_xll.BDP($B17,K$1)</f>
        <v>#N/A Field Not Applicable</v>
      </c>
      <c r="L17" t="str" cm="1">
        <f t="array" ref="L17">_xll.BDP($B17,L$1)</f>
        <v>N</v>
      </c>
      <c r="M17" cm="1">
        <f t="array" ref="M17">_xll.BDP($B17,M$1)</f>
        <v>1</v>
      </c>
      <c r="N17" t="str" cm="1">
        <f t="array" ref="N17">_xll.BDP($B17,N$1)</f>
        <v>STREET CONVENTION</v>
      </c>
      <c r="O17" t="str" cm="1">
        <f t="array" ref="O17">_xll.BDP($B17,O$1)</f>
        <v>#N/A Field Not Applicable</v>
      </c>
      <c r="P17" t="str" cm="1">
        <f t="array" ref="P17">_xll.BDP($B17,P$1)</f>
        <v>AAA</v>
      </c>
      <c r="Q17" t="str" cm="1">
        <f t="array" ref="Q17">_xll.BDP($B17,Q$1)</f>
        <v>#N/A N/A</v>
      </c>
      <c r="R17" t="str" cm="1">
        <f t="array" ref="R17">_xll.BDP($B17,R$1)</f>
        <v>AAA</v>
      </c>
      <c r="S17" t="str" cm="1">
        <f t="array" ref="S17">_xll.BDP($B17,S$1)</f>
        <v>#N/A Field Not Applicable</v>
      </c>
      <c r="T17" cm="1">
        <f t="array" ref="T17">_xll.BDP($B17,T$1)</f>
        <v>-118.00379244360393</v>
      </c>
      <c r="U17" cm="1">
        <f t="array" ref="U17">_xll.BDP($B17,U$1)</f>
        <v>12.267196</v>
      </c>
      <c r="V17" cm="1">
        <f t="array" ref="V17">_xll.BDP($B17,V$1)</f>
        <v>0</v>
      </c>
      <c r="W17" t="str" cm="1">
        <f t="array" ref="W17">_xll.BDP($B17,W$1)</f>
        <v>#N/A N/A</v>
      </c>
      <c r="X17" t="str" cm="1">
        <f t="array" ref="X17">_xll.BDP($B17,X$1)</f>
        <v>6044Z LN</v>
      </c>
      <c r="Y17" t="str" cm="1">
        <f t="array" ref="Y17">_xll.BDP($B17,Y$1)</f>
        <v>Supranational</v>
      </c>
      <c r="Z17" t="str" cm="1">
        <f t="array" ref="Z17">_xll.BDP($B17,Z$1)</f>
        <v>Government</v>
      </c>
      <c r="AA17" t="str" cm="1">
        <f t="array" ref="AA17">_xll.BDP($B17,AA$1)</f>
        <v>Multi-National</v>
      </c>
      <c r="AB17" t="str" cm="1">
        <f t="array" ref="AB17">_xll.BDP($B17,AB$1)</f>
        <v>EURO MTN</v>
      </c>
      <c r="AC17" t="str" cm="1">
        <f t="array" ref="AC17">_xll.BDP($B17,AC$1)</f>
        <v>SNAT</v>
      </c>
      <c r="AD17" t="str" cm="1">
        <f t="array" ref="AD17">_xll.BDP($B17,AD$1)</f>
        <v>#N/A Field Not Applicable</v>
      </c>
      <c r="AE17" t="str" cm="1">
        <f t="array" ref="AE17">_xll.BDP($B17,AE$1)</f>
        <v>AT MATURITY</v>
      </c>
      <c r="AF17" cm="1">
        <f t="array" ref="AF17">_xll.BDP($B17,AF$1)</f>
        <v>325000000</v>
      </c>
      <c r="AG17" cm="1">
        <f t="array" ref="AG17">_xll.BDP($B17,AG$1)</f>
        <v>325000000</v>
      </c>
      <c r="AH17" t="str" cm="1">
        <f t="array" ref="AH17">_xll.BDP($B17,AH$1)</f>
        <v>International</v>
      </c>
      <c r="AI17" t="str" cm="1">
        <f t="array" ref="AI17">_xll.BDP($X17 &amp; " Equity",AI$1)</f>
        <v>#N/A N/A</v>
      </c>
      <c r="AJ17" t="str" cm="1">
        <f t="array" ref="AJ17">_xll.BDP($X17 &amp; " Equity",AJ$1)</f>
        <v>LN</v>
      </c>
      <c r="AK17" t="str" cm="1">
        <f t="array" ref="AK17">_xll.BDS($X17&amp;"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18" spans="2:37" x14ac:dyDescent="0.25">
      <c r="B18" t="s">
        <v>157</v>
      </c>
      <c r="C18" t="str" cm="1">
        <f t="array" ref="C18">_xll.BDP($B18,C$1)</f>
        <v>INTL FINANCE CORP</v>
      </c>
      <c r="D18" t="str" cm="1">
        <f t="array" ref="D18">_xll.BDP($B18,D$1)</f>
        <v>BBG00TTFRDX7</v>
      </c>
      <c r="E18" t="str" cm="1">
        <f t="array" ref="E18">_xll.BDP($B18,E$1)</f>
        <v>XS2177447179</v>
      </c>
      <c r="F18" t="str" cm="1">
        <f t="array" ref="F18">_xll.BDP($B18,F$1)</f>
        <v>5/20/2020</v>
      </c>
      <c r="G18" t="str" cm="1">
        <f t="array" ref="G18">_xll.BDP($B18,G$1)</f>
        <v>5/20/2030</v>
      </c>
      <c r="H18" t="str" cm="1">
        <f t="array" ref="H18">_xll.BDP($B18,H$1)</f>
        <v>BRL</v>
      </c>
      <c r="I18" t="str" cm="1">
        <f t="array" ref="I18">_xll.BDP($B18,I$1)</f>
        <v>ZERO COUPON</v>
      </c>
      <c r="J18" cm="1">
        <f t="array" ref="J18">_xll.BDP($B18,J$1)</f>
        <v>0</v>
      </c>
      <c r="K18" t="str" cm="1">
        <f t="array" ref="K18">_xll.BDP($B18,K$1)</f>
        <v>#N/A Field Not Applicable</v>
      </c>
      <c r="L18" t="str" cm="1">
        <f t="array" ref="L18">_xll.BDP($B18,L$1)</f>
        <v>N</v>
      </c>
      <c r="M18" cm="1">
        <f t="array" ref="M18">_xll.BDP($B18,M$1)</f>
        <v>1</v>
      </c>
      <c r="N18" t="str" cm="1">
        <f t="array" ref="N18">_xll.BDP($B18,N$1)</f>
        <v>STREET CONVENTION</v>
      </c>
      <c r="O18" t="str" cm="1">
        <f t="array" ref="O18">_xll.BDP($B18,O$1)</f>
        <v>#N/A Field Not Applicable</v>
      </c>
      <c r="P18" t="str" cm="1">
        <f t="array" ref="P18">_xll.BDP($B18,P$1)</f>
        <v>AAA</v>
      </c>
      <c r="Q18" t="str" cm="1">
        <f t="array" ref="Q18">_xll.BDP($B18,Q$1)</f>
        <v>Aaa</v>
      </c>
      <c r="R18" t="str" cm="1">
        <f t="array" ref="R18">_xll.BDP($B18,R$1)</f>
        <v>#N/A N/A</v>
      </c>
      <c r="S18" t="str" cm="1">
        <f t="array" ref="S18">_xll.BDP($B18,S$1)</f>
        <v>#N/A Field Not Applicable</v>
      </c>
      <c r="T18" cm="1">
        <f t="array" ref="T18">_xll.BDP($B18,T$1)</f>
        <v>-164.6863879830745</v>
      </c>
      <c r="U18" cm="1">
        <f t="array" ref="U18">_xll.BDP($B18,U$1)</f>
        <v>11.96391</v>
      </c>
      <c r="V18" cm="1">
        <f t="array" ref="V18">_xll.BDP($B18,V$1)</f>
        <v>8</v>
      </c>
      <c r="W18" cm="1">
        <f t="array" ref="W18">_xll.BDP($B18,W$1)</f>
        <v>1030000</v>
      </c>
      <c r="X18" t="str" cm="1">
        <f t="array" ref="X18">_xll.BDP($B18,X$1)</f>
        <v>8176888Z US</v>
      </c>
      <c r="Y18" t="str" cm="1">
        <f t="array" ref="Y18">_xll.BDP($B18,Y$1)</f>
        <v>Supranational</v>
      </c>
      <c r="Z18" t="str" cm="1">
        <f t="array" ref="Z18">_xll.BDP($B18,Z$1)</f>
        <v>Government</v>
      </c>
      <c r="AA18" t="str" cm="1">
        <f t="array" ref="AA18">_xll.BDP($B18,AA$1)</f>
        <v>Multi-National</v>
      </c>
      <c r="AB18" t="str" cm="1">
        <f t="array" ref="AB18">_xll.BDP($B18,AB$1)</f>
        <v>EURO MTN</v>
      </c>
      <c r="AC18" t="str" cm="1">
        <f t="array" ref="AC18">_xll.BDP($B18,AC$1)</f>
        <v>SNAT</v>
      </c>
      <c r="AD18" t="str" cm="1">
        <f t="array" ref="AD18">_xll.BDP($B18,AD$1)</f>
        <v>#N/A Field Not Applicable</v>
      </c>
      <c r="AE18" t="str" cm="1">
        <f t="array" ref="AE18">_xll.BDP($B18,AE$1)</f>
        <v>AT MATURITY</v>
      </c>
      <c r="AF18" cm="1">
        <f t="array" ref="AF18">_xll.BDP($B18,AF$1)</f>
        <v>500000000</v>
      </c>
      <c r="AG18" cm="1">
        <f t="array" ref="AG18">_xll.BDP($B18,AG$1)</f>
        <v>500000000</v>
      </c>
      <c r="AH18" t="str" cm="1">
        <f t="array" ref="AH18">_xll.BDP($B18,AH$1)</f>
        <v>International</v>
      </c>
      <c r="AI18" t="str" cm="1">
        <f t="array" ref="AI18">_xll.BDP($X18 &amp; " Equity",AI$1)</f>
        <v>#N/A N/A</v>
      </c>
      <c r="AJ18" t="str" cm="1">
        <f t="array" ref="AJ18">_xll.BDP($X18 &amp; " Equity",AJ$1)</f>
        <v>US</v>
      </c>
      <c r="AK18" t="str" cm="1">
        <f t="array" ref="AK18">_xll.BDS($X18&amp;"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19" spans="2:37" x14ac:dyDescent="0.25">
      <c r="B19" t="s">
        <v>158</v>
      </c>
      <c r="C19" t="str" cm="1">
        <f t="array" ref="C19">_xll.BDP($B19,C$1)</f>
        <v>INTL BK RECON &amp; DEVELOP</v>
      </c>
      <c r="D19" t="str" cm="1">
        <f t="array" ref="D19">_xll.BDP($B19,D$1)</f>
        <v>BBG01RPVSFX3</v>
      </c>
      <c r="E19" t="str" cm="1">
        <f t="array" ref="E19">_xll.BDP($B19,E$1)</f>
        <v>XS2978923550</v>
      </c>
      <c r="F19" t="str" cm="1">
        <f t="array" ref="F19">_xll.BDP($B19,F$1)</f>
        <v>1/16/2025</v>
      </c>
      <c r="G19" t="str" cm="1">
        <f t="array" ref="G19">_xll.BDP($B19,G$1)</f>
        <v>1/16/2030</v>
      </c>
      <c r="H19" t="str" cm="1">
        <f t="array" ref="H19">_xll.BDP($B19,H$1)</f>
        <v>BRL</v>
      </c>
      <c r="I19" t="str" cm="1">
        <f t="array" ref="I19">_xll.BDP($B19,I$1)</f>
        <v>FIXED</v>
      </c>
      <c r="J19" cm="1">
        <f t="array" ref="J19">_xll.BDP($B19,J$1)</f>
        <v>12.5</v>
      </c>
      <c r="K19" t="str" cm="1">
        <f t="array" ref="K19">_xll.BDP($B19,K$1)</f>
        <v>#N/A Field Not Applicable</v>
      </c>
      <c r="L19" t="str" cm="1">
        <f t="array" ref="L19">_xll.BDP($B19,L$1)</f>
        <v>N</v>
      </c>
      <c r="M19" cm="1">
        <f t="array" ref="M19">_xll.BDP($B19,M$1)</f>
        <v>1</v>
      </c>
      <c r="N19" t="str" cm="1">
        <f t="array" ref="N19">_xll.BDP($B19,N$1)</f>
        <v>STREET CONVENTION</v>
      </c>
      <c r="O19" t="str" cm="1">
        <f t="array" ref="O19">_xll.BDP($B19,O$1)</f>
        <v>#N/A Field Not Applicable</v>
      </c>
      <c r="P19" t="str" cm="1">
        <f t="array" ref="P19">_xll.BDP($B19,P$1)</f>
        <v>AAA</v>
      </c>
      <c r="Q19" t="str" cm="1">
        <f t="array" ref="Q19">_xll.BDP($B19,Q$1)</f>
        <v>Aaa</v>
      </c>
      <c r="R19" t="str" cm="1">
        <f t="array" ref="R19">_xll.BDP($B19,R$1)</f>
        <v>#N/A N/A</v>
      </c>
      <c r="S19" cm="1">
        <f t="array" ref="S19">_xll.BDP($B19,S$1)</f>
        <v>1</v>
      </c>
      <c r="T19" cm="1">
        <f t="array" ref="T19">_xll.BDP($B19,T$1)</f>
        <v>-138.39093999226523</v>
      </c>
      <c r="U19" cm="1">
        <f t="array" ref="U19">_xll.BDP($B19,U$1)</f>
        <v>12.140131999999999</v>
      </c>
      <c r="V19" cm="1">
        <f t="array" ref="V19">_xll.BDP($B19,V$1)</f>
        <v>3</v>
      </c>
      <c r="W19" cm="1">
        <f t="array" ref="W19">_xll.BDP($B19,W$1)</f>
        <v>230000</v>
      </c>
      <c r="X19" t="str" cm="1">
        <f t="array" ref="X19">_xll.BDP($B19,X$1)</f>
        <v>8176888Z US</v>
      </c>
      <c r="Y19" t="str" cm="1">
        <f t="array" ref="Y19">_xll.BDP($B19,Y$1)</f>
        <v>Supranational</v>
      </c>
      <c r="Z19" t="str" cm="1">
        <f t="array" ref="Z19">_xll.BDP($B19,Z$1)</f>
        <v>Government</v>
      </c>
      <c r="AA19" t="str" cm="1">
        <f t="array" ref="AA19">_xll.BDP($B19,AA$1)</f>
        <v>Multi-National</v>
      </c>
      <c r="AB19" t="str" cm="1">
        <f t="array" ref="AB19">_xll.BDP($B19,AB$1)</f>
        <v>EURO MTN</v>
      </c>
      <c r="AC19" t="str" cm="1">
        <f t="array" ref="AC19">_xll.BDP($B19,AC$1)</f>
        <v>SNAT</v>
      </c>
      <c r="AD19" t="str" cm="1">
        <f t="array" ref="AD19">_xll.BDP($B19,AD$1)</f>
        <v>1/16/2026</v>
      </c>
      <c r="AE19" t="str" cm="1">
        <f t="array" ref="AE19">_xll.BDP($B19,AE$1)</f>
        <v>AT MATURITY</v>
      </c>
      <c r="AF19" cm="1">
        <f t="array" ref="AF19">_xll.BDP($B19,AF$1)</f>
        <v>200000000</v>
      </c>
      <c r="AG19" cm="1">
        <f t="array" ref="AG19">_xll.BDP($B19,AG$1)</f>
        <v>200000000</v>
      </c>
      <c r="AH19" t="str" cm="1">
        <f t="array" ref="AH19">_xll.BDP($B19,AH$1)</f>
        <v>International</v>
      </c>
      <c r="AI19" t="str" cm="1">
        <f t="array" ref="AI19">_xll.BDP($X19 &amp; " Equity",AI$1)</f>
        <v>#N/A N/A</v>
      </c>
      <c r="AJ19" t="str" cm="1">
        <f t="array" ref="AJ19">_xll.BDP($X19 &amp; " Equity",AJ$1)</f>
        <v>US</v>
      </c>
      <c r="AK19" t="str" cm="1">
        <f t="array" ref="AK19">_xll.BDS($X19&amp;"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0" spans="2:37" x14ac:dyDescent="0.25">
      <c r="B20" t="s">
        <v>159</v>
      </c>
      <c r="C20" t="str" cm="1">
        <f t="array" ref="C20">_xll.BDP($B20,C$1)</f>
        <v>ASIAN DEVELOPMENT BANK</v>
      </c>
      <c r="D20" t="str" cm="1">
        <f t="array" ref="D20">_xll.BDP($B20,D$1)</f>
        <v>BBG01FP67Z09</v>
      </c>
      <c r="E20" t="str" cm="1">
        <f t="array" ref="E20">_xll.BDP($B20,E$1)</f>
        <v>XS2595780946</v>
      </c>
      <c r="F20" t="str" cm="1">
        <f t="array" ref="F20">_xll.BDP($B20,F$1)</f>
        <v>3/17/2023</v>
      </c>
      <c r="G20" t="str" cm="1">
        <f t="array" ref="G20">_xll.BDP($B20,G$1)</f>
        <v>3/17/2033</v>
      </c>
      <c r="H20" t="str" cm="1">
        <f t="array" ref="H20">_xll.BDP($B20,H$1)</f>
        <v>BRL</v>
      </c>
      <c r="I20" t="str" cm="1">
        <f t="array" ref="I20">_xll.BDP($B20,I$1)</f>
        <v>FIXED</v>
      </c>
      <c r="J20" cm="1">
        <f t="array" ref="J20">_xll.BDP($B20,J$1)</f>
        <v>11.5</v>
      </c>
      <c r="K20" t="str" cm="1">
        <f t="array" ref="K20">_xll.BDP($B20,K$1)</f>
        <v>#N/A Field Not Applicable</v>
      </c>
      <c r="L20" t="str" cm="1">
        <f t="array" ref="L20">_xll.BDP($B20,L$1)</f>
        <v>N</v>
      </c>
      <c r="M20" cm="1">
        <f t="array" ref="M20">_xll.BDP($B20,M$1)</f>
        <v>1</v>
      </c>
      <c r="N20" t="str" cm="1">
        <f t="array" ref="N20">_xll.BDP($B20,N$1)</f>
        <v>STREET CONVENTION</v>
      </c>
      <c r="O20" t="str" cm="1">
        <f t="array" ref="O20">_xll.BDP($B20,O$1)</f>
        <v>#N/A Field Not Applicable</v>
      </c>
      <c r="P20" t="str" cm="1">
        <f t="array" ref="P20">_xll.BDP($B20,P$1)</f>
        <v>AAA</v>
      </c>
      <c r="Q20" t="str" cm="1">
        <f t="array" ref="Q20">_xll.BDP($B20,Q$1)</f>
        <v>Aaa</v>
      </c>
      <c r="R20" t="str" cm="1">
        <f t="array" ref="R20">_xll.BDP($B20,R$1)</f>
        <v>#N/A N/A</v>
      </c>
      <c r="S20" cm="1">
        <f t="array" ref="S20">_xll.BDP($B20,S$1)</f>
        <v>1</v>
      </c>
      <c r="T20" cm="1">
        <f t="array" ref="T20">_xll.BDP($B20,T$1)</f>
        <v>-216.47670993689357</v>
      </c>
      <c r="U20" cm="1">
        <f t="array" ref="U20">_xll.BDP($B20,U$1)</f>
        <v>11.605797000000001</v>
      </c>
      <c r="V20" cm="1">
        <f t="array" ref="V20">_xll.BDP($B20,V$1)</f>
        <v>0</v>
      </c>
      <c r="W20" t="str" cm="1">
        <f t="array" ref="W20">_xll.BDP($B20,W$1)</f>
        <v>#N/A N/A</v>
      </c>
      <c r="X20" t="str" cm="1">
        <f t="array" ref="X20">_xll.BDP($B20,X$1)</f>
        <v>81074Z PM</v>
      </c>
      <c r="Y20" t="str" cm="1">
        <f t="array" ref="Y20">_xll.BDP($B20,Y$1)</f>
        <v>Supranational</v>
      </c>
      <c r="Z20" t="str" cm="1">
        <f t="array" ref="Z20">_xll.BDP($B20,Z$1)</f>
        <v>Government</v>
      </c>
      <c r="AA20" t="str" cm="1">
        <f t="array" ref="AA20">_xll.BDP($B20,AA$1)</f>
        <v>Multi-National</v>
      </c>
      <c r="AB20" t="str" cm="1">
        <f t="array" ref="AB20">_xll.BDP($B20,AB$1)</f>
        <v>EURO MTN</v>
      </c>
      <c r="AC20" t="str" cm="1">
        <f t="array" ref="AC20">_xll.BDP($B20,AC$1)</f>
        <v>SNAT</v>
      </c>
      <c r="AD20" t="str" cm="1">
        <f t="array" ref="AD20">_xll.BDP($B20,AD$1)</f>
        <v>3/17/2024</v>
      </c>
      <c r="AE20" t="str" cm="1">
        <f t="array" ref="AE20">_xll.BDP($B20,AE$1)</f>
        <v>AT MATURITY</v>
      </c>
      <c r="AF20" cm="1">
        <f t="array" ref="AF20">_xll.BDP($B20,AF$1)</f>
        <v>200000000</v>
      </c>
      <c r="AG20" cm="1">
        <f t="array" ref="AG20">_xll.BDP($B20,AG$1)</f>
        <v>200000000</v>
      </c>
      <c r="AH20" t="str" cm="1">
        <f t="array" ref="AH20">_xll.BDP($B20,AH$1)</f>
        <v>International</v>
      </c>
      <c r="AI20" t="str" cm="1">
        <f t="array" ref="AI20">_xll.BDP($X20 &amp; " Equity",AI$1)</f>
        <v>#N/A N/A</v>
      </c>
      <c r="AJ20" t="str" cm="1">
        <f t="array" ref="AJ20">_xll.BDP($X20 &amp; " Equity",AJ$1)</f>
        <v>PM</v>
      </c>
      <c r="AK20" t="str" cm="1">
        <f t="array" ref="AK20">_xll.BDS($X20&amp;" Equity",AK$1,"FILL=NA","Aggregate=y")</f>
        <v>Asian Development Bank operates as a multilateral development financial institution. The Company provides economic development and cooperation, emphasizes agriculture, energy, capital market development, transportation, communications, and social infrastructure projects. Asian Development Bank conducts business in Philippines.</v>
      </c>
    </row>
    <row r="21" spans="2:37" x14ac:dyDescent="0.25">
      <c r="B21" t="s">
        <v>160</v>
      </c>
      <c r="C21" t="str" cm="1">
        <f t="array" ref="C21">_xll.BDP($B21,C$1)</f>
        <v>INTL FINANCE CORP</v>
      </c>
      <c r="D21" t="str" cm="1">
        <f t="array" ref="D21">_xll.BDP($B21,D$1)</f>
        <v>BBG01SGMMMH0</v>
      </c>
      <c r="E21" t="str" cm="1">
        <f t="array" ref="E21">_xll.BDP($B21,E$1)</f>
        <v>XS3013977395</v>
      </c>
      <c r="F21" t="str" cm="1">
        <f t="array" ref="F21">_xll.BDP($B21,F$1)</f>
        <v>2/27/2025</v>
      </c>
      <c r="G21" t="str" cm="1">
        <f t="array" ref="G21">_xll.BDP($B21,G$1)</f>
        <v>8/27/2029</v>
      </c>
      <c r="H21" t="str" cm="1">
        <f t="array" ref="H21">_xll.BDP($B21,H$1)</f>
        <v>BRL</v>
      </c>
      <c r="I21" t="str" cm="1">
        <f t="array" ref="I21">_xll.BDP($B21,I$1)</f>
        <v>FIXED</v>
      </c>
      <c r="J21" cm="1">
        <f t="array" ref="J21">_xll.BDP($B21,J$1)</f>
        <v>12.75</v>
      </c>
      <c r="K21" t="str" cm="1">
        <f t="array" ref="K21">_xll.BDP($B21,K$1)</f>
        <v>#N/A Field Not Applicable</v>
      </c>
      <c r="L21" t="str" cm="1">
        <f t="array" ref="L21">_xll.BDP($B21,L$1)</f>
        <v>N</v>
      </c>
      <c r="M21" cm="1">
        <f t="array" ref="M21">_xll.BDP($B21,M$1)</f>
        <v>1</v>
      </c>
      <c r="N21" t="str" cm="1">
        <f t="array" ref="N21">_xll.BDP($B21,N$1)</f>
        <v>STREET CONVENTION</v>
      </c>
      <c r="O21" t="str" cm="1">
        <f t="array" ref="O21">_xll.BDP($B21,O$1)</f>
        <v>#N/A Field Not Applicable</v>
      </c>
      <c r="P21" t="str" cm="1">
        <f t="array" ref="P21">_xll.BDP($B21,P$1)</f>
        <v>AAA</v>
      </c>
      <c r="Q21" t="str" cm="1">
        <f t="array" ref="Q21">_xll.BDP($B21,Q$1)</f>
        <v>Aaa</v>
      </c>
      <c r="R21" t="str" cm="1">
        <f t="array" ref="R21">_xll.BDP($B21,R$1)</f>
        <v>#N/A N/A</v>
      </c>
      <c r="S21" cm="1">
        <f t="array" ref="S21">_xll.BDP($B21,S$1)</f>
        <v>1</v>
      </c>
      <c r="T21" cm="1">
        <f t="array" ref="T21">_xll.BDP($B21,T$1)</f>
        <v>-133.64043026951347</v>
      </c>
      <c r="U21" cm="1">
        <f t="array" ref="U21">_xll.BDP($B21,U$1)</f>
        <v>12.144316999999999</v>
      </c>
      <c r="V21" t="str" cm="1">
        <f t="array" ref="V21">_xll.BDP($B21,V$1)</f>
        <v>#N/A N/A</v>
      </c>
      <c r="W21" t="str" cm="1">
        <f t="array" ref="W21">_xll.BDP($B21,W$1)</f>
        <v>#N/A N/A</v>
      </c>
      <c r="X21" t="str" cm="1">
        <f t="array" ref="X21">_xll.BDP($B21,X$1)</f>
        <v>8176888Z US</v>
      </c>
      <c r="Y21" t="str" cm="1">
        <f t="array" ref="Y21">_xll.BDP($B21,Y$1)</f>
        <v>Supranational</v>
      </c>
      <c r="Z21" t="str" cm="1">
        <f t="array" ref="Z21">_xll.BDP($B21,Z$1)</f>
        <v>Government</v>
      </c>
      <c r="AA21" t="str" cm="1">
        <f t="array" ref="AA21">_xll.BDP($B21,AA$1)</f>
        <v>Multi-National</v>
      </c>
      <c r="AB21" t="str" cm="1">
        <f t="array" ref="AB21">_xll.BDP($B21,AB$1)</f>
        <v>EURO MTN</v>
      </c>
      <c r="AC21" t="str" cm="1">
        <f t="array" ref="AC21">_xll.BDP($B21,AC$1)</f>
        <v>SNAT</v>
      </c>
      <c r="AD21" t="str" cm="1">
        <f t="array" ref="AD21">_xll.BDP($B21,AD$1)</f>
        <v>8/27/2025</v>
      </c>
      <c r="AE21" t="str" cm="1">
        <f t="array" ref="AE21">_xll.BDP($B21,AE$1)</f>
        <v>AT MATURITY</v>
      </c>
      <c r="AF21" cm="1">
        <f t="array" ref="AF21">_xll.BDP($B21,AF$1)</f>
        <v>600000000</v>
      </c>
      <c r="AG21" cm="1">
        <f t="array" ref="AG21">_xll.BDP($B21,AG$1)</f>
        <v>600000000</v>
      </c>
      <c r="AH21" t="str" cm="1">
        <f t="array" ref="AH21">_xll.BDP($B21,AH$1)</f>
        <v>International</v>
      </c>
      <c r="AI21" t="str" cm="1">
        <f t="array" ref="AI21">_xll.BDP($X21 &amp; " Equity",AI$1)</f>
        <v>#N/A N/A</v>
      </c>
      <c r="AJ21" t="str" cm="1">
        <f t="array" ref="AJ21">_xll.BDP($X21 &amp; " Equity",AJ$1)</f>
        <v>US</v>
      </c>
      <c r="AK21" t="str" cm="1">
        <f t="array" ref="AK21">_xll.BDS($X21&amp;"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2" spans="2:37" x14ac:dyDescent="0.25">
      <c r="B22" t="s">
        <v>161</v>
      </c>
      <c r="C22" t="str" cm="1">
        <f t="array" ref="C22">_xll.BDP($B22,C$1)</f>
        <v>INTL BK RECON &amp; DEVELOP</v>
      </c>
      <c r="D22" t="str" cm="1">
        <f t="array" ref="D22">_xll.BDP($B22,D$1)</f>
        <v>BBG01Q792JW5</v>
      </c>
      <c r="E22" t="str" cm="1">
        <f t="array" ref="E22">_xll.BDP($B22,E$1)</f>
        <v>XS2920414112</v>
      </c>
      <c r="F22" t="str" cm="1">
        <f t="array" ref="F22">_xll.BDP($B22,F$1)</f>
        <v>10/17/2024</v>
      </c>
      <c r="G22" t="str" cm="1">
        <f t="array" ref="G22">_xll.BDP($B22,G$1)</f>
        <v>10/17/2029</v>
      </c>
      <c r="H22" t="str" cm="1">
        <f t="array" ref="H22">_xll.BDP($B22,H$1)</f>
        <v>BRL</v>
      </c>
      <c r="I22" t="str" cm="1">
        <f t="array" ref="I22">_xll.BDP($B22,I$1)</f>
        <v>FIXED</v>
      </c>
      <c r="J22" cm="1">
        <f t="array" ref="J22">_xll.BDP($B22,J$1)</f>
        <v>10</v>
      </c>
      <c r="K22" t="str" cm="1">
        <f t="array" ref="K22">_xll.BDP($B22,K$1)</f>
        <v>#N/A Field Not Applicable</v>
      </c>
      <c r="L22" t="str" cm="1">
        <f t="array" ref="L22">_xll.BDP($B22,L$1)</f>
        <v>N</v>
      </c>
      <c r="M22" cm="1">
        <f t="array" ref="M22">_xll.BDP($B22,M$1)</f>
        <v>1</v>
      </c>
      <c r="N22" t="str" cm="1">
        <f t="array" ref="N22">_xll.BDP($B22,N$1)</f>
        <v>STREET CONVENTION</v>
      </c>
      <c r="O22" t="str" cm="1">
        <f t="array" ref="O22">_xll.BDP($B22,O$1)</f>
        <v>#N/A Field Not Applicable</v>
      </c>
      <c r="P22" t="str" cm="1">
        <f t="array" ref="P22">_xll.BDP($B22,P$1)</f>
        <v>AAA</v>
      </c>
      <c r="Q22" t="str" cm="1">
        <f t="array" ref="Q22">_xll.BDP($B22,Q$1)</f>
        <v>Aaa</v>
      </c>
      <c r="R22" t="str" cm="1">
        <f t="array" ref="R22">_xll.BDP($B22,R$1)</f>
        <v>#N/A N/A</v>
      </c>
      <c r="S22" cm="1">
        <f t="array" ref="S22">_xll.BDP($B22,S$1)</f>
        <v>1</v>
      </c>
      <c r="T22" cm="1">
        <f t="array" ref="T22">_xll.BDP($B22,T$1)</f>
        <v>-141.46567611998205</v>
      </c>
      <c r="U22" cm="1">
        <f t="array" ref="U22">_xll.BDP($B22,U$1)</f>
        <v>12.079248</v>
      </c>
      <c r="V22" cm="1">
        <f t="array" ref="V22">_xll.BDP($B22,V$1)</f>
        <v>0</v>
      </c>
      <c r="W22" t="str" cm="1">
        <f t="array" ref="W22">_xll.BDP($B22,W$1)</f>
        <v>#N/A N/A</v>
      </c>
      <c r="X22" t="str" cm="1">
        <f t="array" ref="X22">_xll.BDP($B22,X$1)</f>
        <v>8176888Z US</v>
      </c>
      <c r="Y22" t="str" cm="1">
        <f t="array" ref="Y22">_xll.BDP($B22,Y$1)</f>
        <v>Supranational</v>
      </c>
      <c r="Z22" t="str" cm="1">
        <f t="array" ref="Z22">_xll.BDP($B22,Z$1)</f>
        <v>Government</v>
      </c>
      <c r="AA22" t="str" cm="1">
        <f t="array" ref="AA22">_xll.BDP($B22,AA$1)</f>
        <v>Multi-National</v>
      </c>
      <c r="AB22" t="str" cm="1">
        <f t="array" ref="AB22">_xll.BDP($B22,AB$1)</f>
        <v>EURO MTN</v>
      </c>
      <c r="AC22" t="str" cm="1">
        <f t="array" ref="AC22">_xll.BDP($B22,AC$1)</f>
        <v>SNAT</v>
      </c>
      <c r="AD22" t="str" cm="1">
        <f t="array" ref="AD22">_xll.BDP($B22,AD$1)</f>
        <v>10/17/2025</v>
      </c>
      <c r="AE22" t="str" cm="1">
        <f t="array" ref="AE22">_xll.BDP($B22,AE$1)</f>
        <v>AT MATURITY</v>
      </c>
      <c r="AF22" cm="1">
        <f t="array" ref="AF22">_xll.BDP($B22,AF$1)</f>
        <v>650000000</v>
      </c>
      <c r="AG22" cm="1">
        <f t="array" ref="AG22">_xll.BDP($B22,AG$1)</f>
        <v>650000000</v>
      </c>
      <c r="AH22" t="str" cm="1">
        <f t="array" ref="AH22">_xll.BDP($B22,AH$1)</f>
        <v>International</v>
      </c>
      <c r="AI22" t="str" cm="1">
        <f t="array" ref="AI22">_xll.BDP($X22 &amp; " Equity",AI$1)</f>
        <v>#N/A N/A</v>
      </c>
      <c r="AJ22" t="str" cm="1">
        <f t="array" ref="AJ22">_xll.BDP($X22 &amp; " Equity",AJ$1)</f>
        <v>US</v>
      </c>
      <c r="AK22" t="str" cm="1">
        <f t="array" ref="AK22">_xll.BDS($X22&amp;"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3" spans="2:37" x14ac:dyDescent="0.25">
      <c r="B23" t="s">
        <v>162</v>
      </c>
      <c r="C23" t="str" cm="1">
        <f t="array" ref="C23">_xll.BDP($B23,C$1)</f>
        <v>INTL BK RECON &amp; DEVELOP</v>
      </c>
      <c r="D23" t="str" cm="1">
        <f t="array" ref="D23">_xll.BDP($B23,D$1)</f>
        <v>BBG01FRQ5VG7</v>
      </c>
      <c r="E23" t="str" cm="1">
        <f t="array" ref="E23">_xll.BDP($B23,E$1)</f>
        <v>XS2598069503</v>
      </c>
      <c r="F23" t="str" cm="1">
        <f t="array" ref="F23">_xll.BDP($B23,F$1)</f>
        <v>3/16/2023</v>
      </c>
      <c r="G23" t="str" cm="1">
        <f t="array" ref="G23">_xll.BDP($B23,G$1)</f>
        <v>3/16/2038</v>
      </c>
      <c r="H23" t="str" cm="1">
        <f t="array" ref="H23">_xll.BDP($B23,H$1)</f>
        <v>BRL</v>
      </c>
      <c r="I23" t="str" cm="1">
        <f t="array" ref="I23">_xll.BDP($B23,I$1)</f>
        <v>ZERO COUPON</v>
      </c>
      <c r="J23" cm="1">
        <f t="array" ref="J23">_xll.BDP($B23,J$1)</f>
        <v>0</v>
      </c>
      <c r="K23" t="str" cm="1">
        <f t="array" ref="K23">_xll.BDP($B23,K$1)</f>
        <v>#N/A Field Not Applicable</v>
      </c>
      <c r="L23" t="str" cm="1">
        <f t="array" ref="L23">_xll.BDP($B23,L$1)</f>
        <v>N</v>
      </c>
      <c r="M23" cm="1">
        <f t="array" ref="M23">_xll.BDP($B23,M$1)</f>
        <v>1</v>
      </c>
      <c r="N23" t="str" cm="1">
        <f t="array" ref="N23">_xll.BDP($B23,N$1)</f>
        <v>STREET CONVENTION</v>
      </c>
      <c r="O23" t="str" cm="1">
        <f t="array" ref="O23">_xll.BDP($B23,O$1)</f>
        <v>#N/A Field Not Applicable</v>
      </c>
      <c r="P23" t="str" cm="1">
        <f t="array" ref="P23">_xll.BDP($B23,P$1)</f>
        <v>AAA</v>
      </c>
      <c r="Q23" t="str" cm="1">
        <f t="array" ref="Q23">_xll.BDP($B23,Q$1)</f>
        <v>Aaa</v>
      </c>
      <c r="R23" t="str" cm="1">
        <f t="array" ref="R23">_xll.BDP($B23,R$1)</f>
        <v>#N/A N/A</v>
      </c>
      <c r="S23" t="str" cm="1">
        <f t="array" ref="S23">_xll.BDP($B23,S$1)</f>
        <v>#N/A Field Not Applicable</v>
      </c>
      <c r="T23" cm="1">
        <f t="array" ref="T23">_xll.BDP($B23,T$1)</f>
        <v>-227.86600179803375</v>
      </c>
      <c r="U23" cm="1">
        <f t="array" ref="U23">_xll.BDP($B23,U$1)</f>
        <v>11.620839999999999</v>
      </c>
      <c r="V23" cm="1">
        <f t="array" ref="V23">_xll.BDP($B23,V$1)</f>
        <v>0</v>
      </c>
      <c r="W23" t="str" cm="1">
        <f t="array" ref="W23">_xll.BDP($B23,W$1)</f>
        <v>#N/A N/A</v>
      </c>
      <c r="X23" t="str" cm="1">
        <f t="array" ref="X23">_xll.BDP($B23,X$1)</f>
        <v>8176888Z US</v>
      </c>
      <c r="Y23" t="str" cm="1">
        <f t="array" ref="Y23">_xll.BDP($B23,Y$1)</f>
        <v>Supranational</v>
      </c>
      <c r="Z23" t="str" cm="1">
        <f t="array" ref="Z23">_xll.BDP($B23,Z$1)</f>
        <v>Government</v>
      </c>
      <c r="AA23" t="str" cm="1">
        <f t="array" ref="AA23">_xll.BDP($B23,AA$1)</f>
        <v>Multi-National</v>
      </c>
      <c r="AB23" t="str" cm="1">
        <f t="array" ref="AB23">_xll.BDP($B23,AB$1)</f>
        <v>EURO MTN</v>
      </c>
      <c r="AC23" t="str" cm="1">
        <f t="array" ref="AC23">_xll.BDP($B23,AC$1)</f>
        <v>SNAT</v>
      </c>
      <c r="AD23" t="str" cm="1">
        <f t="array" ref="AD23">_xll.BDP($B23,AD$1)</f>
        <v>#N/A Field Not Applicable</v>
      </c>
      <c r="AE23" t="str" cm="1">
        <f t="array" ref="AE23">_xll.BDP($B23,AE$1)</f>
        <v>AT MATURITY</v>
      </c>
      <c r="AF23" cm="1">
        <f t="array" ref="AF23">_xll.BDP($B23,AF$1)</f>
        <v>430000000</v>
      </c>
      <c r="AG23" cm="1">
        <f t="array" ref="AG23">_xll.BDP($B23,AG$1)</f>
        <v>430000000</v>
      </c>
      <c r="AH23" t="str" cm="1">
        <f t="array" ref="AH23">_xll.BDP($B23,AH$1)</f>
        <v>International</v>
      </c>
      <c r="AI23" t="str" cm="1">
        <f t="array" ref="AI23">_xll.BDP($X23 &amp; " Equity",AI$1)</f>
        <v>#N/A N/A</v>
      </c>
      <c r="AJ23" t="str" cm="1">
        <f t="array" ref="AJ23">_xll.BDP($X23 &amp; " Equity",AJ$1)</f>
        <v>US</v>
      </c>
      <c r="AK23" t="str" cm="1">
        <f t="array" ref="AK23">_xll.BDS($X23&amp;"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4" spans="2:37" x14ac:dyDescent="0.25">
      <c r="B24" t="s">
        <v>163</v>
      </c>
      <c r="C24" t="str" cm="1">
        <f t="array" ref="C24">_xll.BDP($B24,C$1)</f>
        <v>INTL FINANCE CORP</v>
      </c>
      <c r="D24" t="str" cm="1">
        <f t="array" ref="D24">_xll.BDP($B24,D$1)</f>
        <v>BBG00NPJW013</v>
      </c>
      <c r="E24" t="str" cm="1">
        <f t="array" ref="E24">_xll.BDP($B24,E$1)</f>
        <v>XS1969787396</v>
      </c>
      <c r="F24" t="str" cm="1">
        <f t="array" ref="F24">_xll.BDP($B24,F$1)</f>
        <v>3/27/2019</v>
      </c>
      <c r="G24" t="str" cm="1">
        <f t="array" ref="G24">_xll.BDP($B24,G$1)</f>
        <v>3/27/2026</v>
      </c>
      <c r="H24" t="str" cm="1">
        <f t="array" ref="H24">_xll.BDP($B24,H$1)</f>
        <v>BRL</v>
      </c>
      <c r="I24" t="str" cm="1">
        <f t="array" ref="I24">_xll.BDP($B24,I$1)</f>
        <v>FIXED</v>
      </c>
      <c r="J24" cm="1">
        <f t="array" ref="J24">_xll.BDP($B24,J$1)</f>
        <v>6.5</v>
      </c>
      <c r="K24" t="str" cm="1">
        <f t="array" ref="K24">_xll.BDP($B24,K$1)</f>
        <v>#N/A Field Not Applicable</v>
      </c>
      <c r="L24" t="str" cm="1">
        <f t="array" ref="L24">_xll.BDP($B24,L$1)</f>
        <v>N</v>
      </c>
      <c r="M24" cm="1">
        <f t="array" ref="M24">_xll.BDP($B24,M$1)</f>
        <v>1</v>
      </c>
      <c r="N24" t="str" cm="1">
        <f t="array" ref="N24">_xll.BDP($B24,N$1)</f>
        <v>STREET CONVENTION</v>
      </c>
      <c r="O24" t="str" cm="1">
        <f t="array" ref="O24">_xll.BDP($B24,O$1)</f>
        <v>#N/A Field Not Applicable</v>
      </c>
      <c r="P24" t="str" cm="1">
        <f t="array" ref="P24">_xll.BDP($B24,P$1)</f>
        <v>AAA</v>
      </c>
      <c r="Q24" t="str" cm="1">
        <f t="array" ref="Q24">_xll.BDP($B24,Q$1)</f>
        <v>Aaa</v>
      </c>
      <c r="R24" t="str" cm="1">
        <f t="array" ref="R24">_xll.BDP($B24,R$1)</f>
        <v>#N/A N/A</v>
      </c>
      <c r="S24" cm="1">
        <f t="array" ref="S24">_xll.BDP($B24,S$1)</f>
        <v>1</v>
      </c>
      <c r="T24" cm="1">
        <f t="array" ref="T24">_xll.BDP($B24,T$1)</f>
        <v>-129.68020666112886</v>
      </c>
      <c r="U24" cm="1">
        <f t="array" ref="U24">_xll.BDP($B24,U$1)</f>
        <v>13.532048</v>
      </c>
      <c r="V24" cm="1">
        <f t="array" ref="V24">_xll.BDP($B24,V$1)</f>
        <v>3</v>
      </c>
      <c r="W24" cm="1">
        <f t="array" ref="W24">_xll.BDP($B24,W$1)</f>
        <v>260000</v>
      </c>
      <c r="X24" t="str" cm="1">
        <f t="array" ref="X24">_xll.BDP($B24,X$1)</f>
        <v>8176888Z US</v>
      </c>
      <c r="Y24" t="str" cm="1">
        <f t="array" ref="Y24">_xll.BDP($B24,Y$1)</f>
        <v>Supranational</v>
      </c>
      <c r="Z24" t="str" cm="1">
        <f t="array" ref="Z24">_xll.BDP($B24,Z$1)</f>
        <v>Government</v>
      </c>
      <c r="AA24" t="str" cm="1">
        <f t="array" ref="AA24">_xll.BDP($B24,AA$1)</f>
        <v>Multi-National</v>
      </c>
      <c r="AB24" t="str" cm="1">
        <f t="array" ref="AB24">_xll.BDP($B24,AB$1)</f>
        <v>EURO MTN</v>
      </c>
      <c r="AC24" t="str" cm="1">
        <f t="array" ref="AC24">_xll.BDP($B24,AC$1)</f>
        <v>SNAT</v>
      </c>
      <c r="AD24" t="str" cm="1">
        <f t="array" ref="AD24">_xll.BDP($B24,AD$1)</f>
        <v>3/27/2020</v>
      </c>
      <c r="AE24" t="str" cm="1">
        <f t="array" ref="AE24">_xll.BDP($B24,AE$1)</f>
        <v>AT MATURITY</v>
      </c>
      <c r="AF24" cm="1">
        <f t="array" ref="AF24">_xll.BDP($B24,AF$1)</f>
        <v>350000000</v>
      </c>
      <c r="AG24" cm="1">
        <f t="array" ref="AG24">_xll.BDP($B24,AG$1)</f>
        <v>350000000</v>
      </c>
      <c r="AH24" t="str" cm="1">
        <f t="array" ref="AH24">_xll.BDP($B24,AH$1)</f>
        <v>International</v>
      </c>
      <c r="AI24" t="str" cm="1">
        <f t="array" ref="AI24">_xll.BDP($X24 &amp; " Equity",AI$1)</f>
        <v>#N/A N/A</v>
      </c>
      <c r="AJ24" t="str" cm="1">
        <f t="array" ref="AJ24">_xll.BDP($X24 &amp; " Equity",AJ$1)</f>
        <v>US</v>
      </c>
      <c r="AK24" t="str" cm="1">
        <f t="array" ref="AK24">_xll.BDS($X24&amp;"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5" spans="2:37" x14ac:dyDescent="0.25">
      <c r="B25" t="s">
        <v>164</v>
      </c>
      <c r="C25" t="str" cm="1">
        <f t="array" ref="C25">_xll.BDP($B25,C$1)</f>
        <v>INTL BK RECON &amp; DEVELOP</v>
      </c>
      <c r="D25" t="str" cm="1">
        <f t="array" ref="D25">_xll.BDP($B25,D$1)</f>
        <v>BBG00GSNR3Q9</v>
      </c>
      <c r="E25" t="str" cm="1">
        <f t="array" ref="E25">_xll.BDP($B25,E$1)</f>
        <v>XS1623002703</v>
      </c>
      <c r="F25" t="str" cm="1">
        <f t="array" ref="F25">_xll.BDP($B25,F$1)</f>
        <v>5/31/2017</v>
      </c>
      <c r="G25" t="str" cm="1">
        <f t="array" ref="G25">_xll.BDP($B25,G$1)</f>
        <v>6/30/2025</v>
      </c>
      <c r="H25" t="str" cm="1">
        <f t="array" ref="H25">_xll.BDP($B25,H$1)</f>
        <v>BRL</v>
      </c>
      <c r="I25" t="str" cm="1">
        <f t="array" ref="I25">_xll.BDP($B25,I$1)</f>
        <v>ZERO COUPON</v>
      </c>
      <c r="J25" cm="1">
        <f t="array" ref="J25">_xll.BDP($B25,J$1)</f>
        <v>0</v>
      </c>
      <c r="K25" t="str" cm="1">
        <f t="array" ref="K25">_xll.BDP($B25,K$1)</f>
        <v>#N/A Field Not Applicable</v>
      </c>
      <c r="L25" t="str" cm="1">
        <f t="array" ref="L25">_xll.BDP($B25,L$1)</f>
        <v>N</v>
      </c>
      <c r="M25" cm="1">
        <f t="array" ref="M25">_xll.BDP($B25,M$1)</f>
        <v>1</v>
      </c>
      <c r="N25" t="str" cm="1">
        <f t="array" ref="N25">_xll.BDP($B25,N$1)</f>
        <v>STREET CONVENTION</v>
      </c>
      <c r="O25" t="str" cm="1">
        <f t="array" ref="O25">_xll.BDP($B25,O$1)</f>
        <v>#N/A Field Not Applicable</v>
      </c>
      <c r="P25" t="str" cm="1">
        <f t="array" ref="P25">_xll.BDP($B25,P$1)</f>
        <v>#N/A N/A</v>
      </c>
      <c r="Q25" t="str" cm="1">
        <f t="array" ref="Q25">_xll.BDP($B25,Q$1)</f>
        <v>#N/A N/A</v>
      </c>
      <c r="R25" t="str" cm="1">
        <f t="array" ref="R25">_xll.BDP($B25,R$1)</f>
        <v>#N/A N/A</v>
      </c>
      <c r="S25" t="str" cm="1">
        <f t="array" ref="S25">_xll.BDP($B25,S$1)</f>
        <v>#N/A Field Not Applicable</v>
      </c>
      <c r="T25" cm="1">
        <f t="array" ref="T25">_xll.BDP($B25,T$1)</f>
        <v>-757.8013076278113</v>
      </c>
      <c r="U25" cm="1">
        <f t="array" ref="U25">_xll.BDP($B25,U$1)</f>
        <v>7.2508369999999998</v>
      </c>
      <c r="V25" cm="1">
        <f t="array" ref="V25">_xll.BDP($B25,V$1)</f>
        <v>3</v>
      </c>
      <c r="W25" cm="1">
        <f t="array" ref="W25">_xll.BDP($B25,W$1)</f>
        <v>930000</v>
      </c>
      <c r="X25" t="str" cm="1">
        <f t="array" ref="X25">_xll.BDP($B25,X$1)</f>
        <v>8176888Z US</v>
      </c>
      <c r="Y25" t="str" cm="1">
        <f t="array" ref="Y25">_xll.BDP($B25,Y$1)</f>
        <v>Supranational</v>
      </c>
      <c r="Z25" t="str" cm="1">
        <f t="array" ref="Z25">_xll.BDP($B25,Z$1)</f>
        <v>Government</v>
      </c>
      <c r="AA25" t="str" cm="1">
        <f t="array" ref="AA25">_xll.BDP($B25,AA$1)</f>
        <v>Multi-National</v>
      </c>
      <c r="AB25" t="str" cm="1">
        <f t="array" ref="AB25">_xll.BDP($B25,AB$1)</f>
        <v>EURO MTN</v>
      </c>
      <c r="AC25" t="str" cm="1">
        <f t="array" ref="AC25">_xll.BDP($B25,AC$1)</f>
        <v>SNAT</v>
      </c>
      <c r="AD25" t="str" cm="1">
        <f t="array" ref="AD25">_xll.BDP($B25,AD$1)</f>
        <v>#N/A Field Not Applicable</v>
      </c>
      <c r="AE25" t="str" cm="1">
        <f t="array" ref="AE25">_xll.BDP($B25,AE$1)</f>
        <v>AT MATURITY</v>
      </c>
      <c r="AF25" cm="1">
        <f t="array" ref="AF25">_xll.BDP($B25,AF$1)</f>
        <v>395000000</v>
      </c>
      <c r="AG25" cm="1">
        <f t="array" ref="AG25">_xll.BDP($B25,AG$1)</f>
        <v>395000000</v>
      </c>
      <c r="AH25" t="str" cm="1">
        <f t="array" ref="AH25">_xll.BDP($B25,AH$1)</f>
        <v>International</v>
      </c>
      <c r="AI25" t="str" cm="1">
        <f t="array" ref="AI25">_xll.BDP($X25 &amp; " Equity",AI$1)</f>
        <v>#N/A N/A</v>
      </c>
      <c r="AJ25" t="str" cm="1">
        <f t="array" ref="AJ25">_xll.BDP($X25 &amp; " Equity",AJ$1)</f>
        <v>US</v>
      </c>
      <c r="AK25" t="str" cm="1">
        <f t="array" ref="AK25">_xll.BDS($X25&amp;"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6" spans="2:37" x14ac:dyDescent="0.25">
      <c r="B26" t="s">
        <v>165</v>
      </c>
      <c r="C26" t="str" cm="1">
        <f t="array" ref="C26">_xll.BDP($B26,C$1)</f>
        <v>EUROPEAN INVESTMENT BANK</v>
      </c>
      <c r="D26" t="str" cm="1">
        <f t="array" ref="D26">_xll.BDP($B26,D$1)</f>
        <v>BBG00V4VDW67</v>
      </c>
      <c r="E26" t="str" cm="1">
        <f t="array" ref="E26">_xll.BDP($B26,E$1)</f>
        <v>XS2183142798</v>
      </c>
      <c r="F26" t="str" cm="1">
        <f t="array" ref="F26">_xll.BDP($B26,F$1)</f>
        <v>6/12/2020</v>
      </c>
      <c r="G26" t="str" cm="1">
        <f t="array" ref="G26">_xll.BDP($B26,G$1)</f>
        <v>6/12/2025</v>
      </c>
      <c r="H26" t="str" cm="1">
        <f t="array" ref="H26">_xll.BDP($B26,H$1)</f>
        <v>BRL</v>
      </c>
      <c r="I26" t="str" cm="1">
        <f t="array" ref="I26">_xll.BDP($B26,I$1)</f>
        <v>ZERO COUPON</v>
      </c>
      <c r="J26" cm="1">
        <f t="array" ref="J26">_xll.BDP($B26,J$1)</f>
        <v>0</v>
      </c>
      <c r="K26" t="str" cm="1">
        <f t="array" ref="K26">_xll.BDP($B26,K$1)</f>
        <v>#N/A Field Not Applicable</v>
      </c>
      <c r="L26" t="str" cm="1">
        <f t="array" ref="L26">_xll.BDP($B26,L$1)</f>
        <v>N</v>
      </c>
      <c r="M26" cm="1">
        <f t="array" ref="M26">_xll.BDP($B26,M$1)</f>
        <v>1</v>
      </c>
      <c r="N26" t="str" cm="1">
        <f t="array" ref="N26">_xll.BDP($B26,N$1)</f>
        <v>STREET CONVENTION</v>
      </c>
      <c r="O26" t="str" cm="1">
        <f t="array" ref="O26">_xll.BDP($B26,O$1)</f>
        <v>#N/A Field Not Applicable</v>
      </c>
      <c r="P26" t="str" cm="1">
        <f t="array" ref="P26">_xll.BDP($B26,P$1)</f>
        <v>NR</v>
      </c>
      <c r="Q26" t="str" cm="1">
        <f t="array" ref="Q26">_xll.BDP($B26,Q$1)</f>
        <v>WR</v>
      </c>
      <c r="R26" t="str" cm="1">
        <f t="array" ref="R26">_xll.BDP($B26,R$1)</f>
        <v>NR</v>
      </c>
      <c r="S26" t="str" cm="1">
        <f t="array" ref="S26">_xll.BDP($B26,S$1)</f>
        <v>#N/A Field Not Applicable</v>
      </c>
      <c r="T26" t="str" cm="1">
        <f t="array" ref="T26">_xll.BDP($B26,T$1)</f>
        <v>#N/A N/A</v>
      </c>
      <c r="U26" t="str" cm="1">
        <f t="array" ref="U26">_xll.BDP($B26,U$1)</f>
        <v>#N/A N/A</v>
      </c>
      <c r="V26" t="str" cm="1">
        <f t="array" ref="V26">_xll.BDP($B26,V$1)</f>
        <v>#N/A N/A</v>
      </c>
      <c r="W26" t="str" cm="1">
        <f t="array" ref="W26">_xll.BDP($B26,W$1)</f>
        <v>#N/A N/A</v>
      </c>
      <c r="X26" t="str" cm="1">
        <f t="array" ref="X26">_xll.BDP($B26,X$1)</f>
        <v>654429Z LX</v>
      </c>
      <c r="Y26" t="str" cm="1">
        <f t="array" ref="Y26">_xll.BDP($B26,Y$1)</f>
        <v>Supranational</v>
      </c>
      <c r="Z26" t="str" cm="1">
        <f t="array" ref="Z26">_xll.BDP($B26,Z$1)</f>
        <v>Government</v>
      </c>
      <c r="AA26" t="str" cm="1">
        <f t="array" ref="AA26">_xll.BDP($B26,AA$1)</f>
        <v>Multi-National</v>
      </c>
      <c r="AB26" t="str" cm="1">
        <f t="array" ref="AB26">_xll.BDP($B26,AB$1)</f>
        <v>EURO MTN</v>
      </c>
      <c r="AC26" t="str" cm="1">
        <f t="array" ref="AC26">_xll.BDP($B26,AC$1)</f>
        <v>SNAT</v>
      </c>
      <c r="AD26" t="str" cm="1">
        <f t="array" ref="AD26">_xll.BDP($B26,AD$1)</f>
        <v>#N/A Field Not Applicable</v>
      </c>
      <c r="AE26" t="str" cm="1">
        <f t="array" ref="AE26">_xll.BDP($B26,AE$1)</f>
        <v>AT MATURITY</v>
      </c>
      <c r="AF26" cm="1">
        <f t="array" ref="AF26">_xll.BDP($B26,AF$1)</f>
        <v>500000000</v>
      </c>
      <c r="AG26" cm="1">
        <f t="array" ref="AG26">_xll.BDP($B26,AG$1)</f>
        <v>0</v>
      </c>
      <c r="AH26" t="str" cm="1">
        <f t="array" ref="AH26">_xll.BDP($B26,AH$1)</f>
        <v>International</v>
      </c>
      <c r="AI26" t="str" cm="1">
        <f t="array" ref="AI26">_xll.BDP($X26 &amp; " Equity",AI$1)</f>
        <v>#N/A N/A</v>
      </c>
      <c r="AJ26" t="str" cm="1">
        <f t="array" ref="AJ26">_xll.BDP($X26 &amp; " Equity",AJ$1)</f>
        <v>LX</v>
      </c>
      <c r="AK26" t="str" cm="1">
        <f t="array" ref="AK26">_xll.BDS($X26&amp;" Equity",AK$1,"FILL=NA","Aggregate=y")</f>
        <v>European Investment Bank operates as a financing institution. The Bank offers project loans, bonds, venture capital, transport infrastructure, project funding, guarantees, microfinance, equity investment, and urban development solutions. European Investment Bank serves clients worldwide.</v>
      </c>
    </row>
    <row r="27" spans="2:37" x14ac:dyDescent="0.25">
      <c r="B27" t="s">
        <v>166</v>
      </c>
      <c r="C27" t="str" cm="1">
        <f t="array" ref="C27">_xll.BDP($B27,C$1)</f>
        <v>INTL FINANCE CORP</v>
      </c>
      <c r="D27" t="str" cm="1">
        <f t="array" ref="D27">_xll.BDP($B27,D$1)</f>
        <v>BBG00GQVJKW7</v>
      </c>
      <c r="E27" t="str" cm="1">
        <f t="array" ref="E27">_xll.BDP($B27,E$1)</f>
        <v>XS1621760302</v>
      </c>
      <c r="F27" t="str" cm="1">
        <f t="array" ref="F27">_xll.BDP($B27,F$1)</f>
        <v>5/26/2017</v>
      </c>
      <c r="G27" t="str" cm="1">
        <f t="array" ref="G27">_xll.BDP($B27,G$1)</f>
        <v>5/26/2027</v>
      </c>
      <c r="H27" t="str" cm="1">
        <f t="array" ref="H27">_xll.BDP($B27,H$1)</f>
        <v>BRL</v>
      </c>
      <c r="I27" t="str" cm="1">
        <f t="array" ref="I27">_xll.BDP($B27,I$1)</f>
        <v>ZERO COUPON</v>
      </c>
      <c r="J27" cm="1">
        <f t="array" ref="J27">_xll.BDP($B27,J$1)</f>
        <v>0</v>
      </c>
      <c r="K27" t="str" cm="1">
        <f t="array" ref="K27">_xll.BDP($B27,K$1)</f>
        <v>#N/A Field Not Applicable</v>
      </c>
      <c r="L27" t="str" cm="1">
        <f t="array" ref="L27">_xll.BDP($B27,L$1)</f>
        <v>N</v>
      </c>
      <c r="M27" cm="1">
        <f t="array" ref="M27">_xll.BDP($B27,M$1)</f>
        <v>1</v>
      </c>
      <c r="N27" t="str" cm="1">
        <f t="array" ref="N27">_xll.BDP($B27,N$1)</f>
        <v>STREET CONVENTION</v>
      </c>
      <c r="O27" t="str" cm="1">
        <f t="array" ref="O27">_xll.BDP($B27,O$1)</f>
        <v>#N/A Field Not Applicable</v>
      </c>
      <c r="P27" t="str" cm="1">
        <f t="array" ref="P27">_xll.BDP($B27,P$1)</f>
        <v>AAA</v>
      </c>
      <c r="Q27" t="str" cm="1">
        <f t="array" ref="Q27">_xll.BDP($B27,Q$1)</f>
        <v>Aaa</v>
      </c>
      <c r="R27" t="str" cm="1">
        <f t="array" ref="R27">_xll.BDP($B27,R$1)</f>
        <v>#N/A N/A</v>
      </c>
      <c r="S27" t="str" cm="1">
        <f t="array" ref="S27">_xll.BDP($B27,S$1)</f>
        <v>#N/A Field Not Applicable</v>
      </c>
      <c r="T27" cm="1">
        <f t="array" ref="T27">_xll.BDP($B27,T$1)</f>
        <v>-124.42103228918543</v>
      </c>
      <c r="U27" cm="1">
        <f t="array" ref="U27">_xll.BDP($B27,U$1)</f>
        <v>12.651350000000001</v>
      </c>
      <c r="V27" cm="1">
        <f t="array" ref="V27">_xll.BDP($B27,V$1)</f>
        <v>0</v>
      </c>
      <c r="W27" t="str" cm="1">
        <f t="array" ref="W27">_xll.BDP($B27,W$1)</f>
        <v>#N/A N/A</v>
      </c>
      <c r="X27" t="str" cm="1">
        <f t="array" ref="X27">_xll.BDP($B27,X$1)</f>
        <v>8176888Z US</v>
      </c>
      <c r="Y27" t="str" cm="1">
        <f t="array" ref="Y27">_xll.BDP($B27,Y$1)</f>
        <v>Supranational</v>
      </c>
      <c r="Z27" t="str" cm="1">
        <f t="array" ref="Z27">_xll.BDP($B27,Z$1)</f>
        <v>Government</v>
      </c>
      <c r="AA27" t="str" cm="1">
        <f t="array" ref="AA27">_xll.BDP($B27,AA$1)</f>
        <v>Multi-National</v>
      </c>
      <c r="AB27" t="str" cm="1">
        <f t="array" ref="AB27">_xll.BDP($B27,AB$1)</f>
        <v>EURO NON-DOLLAR</v>
      </c>
      <c r="AC27" t="str" cm="1">
        <f t="array" ref="AC27">_xll.BDP($B27,AC$1)</f>
        <v>SNAT</v>
      </c>
      <c r="AD27" t="str" cm="1">
        <f t="array" ref="AD27">_xll.BDP($B27,AD$1)</f>
        <v>#N/A Field Not Applicable</v>
      </c>
      <c r="AE27" t="str" cm="1">
        <f t="array" ref="AE27">_xll.BDP($B27,AE$1)</f>
        <v>AT MATURITY</v>
      </c>
      <c r="AF27" cm="1">
        <f t="array" ref="AF27">_xll.BDP($B27,AF$1)</f>
        <v>675000000</v>
      </c>
      <c r="AG27" cm="1">
        <f t="array" ref="AG27">_xll.BDP($B27,AG$1)</f>
        <v>675000000</v>
      </c>
      <c r="AH27" t="str" cm="1">
        <f t="array" ref="AH27">_xll.BDP($B27,AH$1)</f>
        <v>International</v>
      </c>
      <c r="AI27" t="str" cm="1">
        <f t="array" ref="AI27">_xll.BDP($X27 &amp; " Equity",AI$1)</f>
        <v>#N/A N/A</v>
      </c>
      <c r="AJ27" t="str" cm="1">
        <f t="array" ref="AJ27">_xll.BDP($X27 &amp; " Equity",AJ$1)</f>
        <v>US</v>
      </c>
      <c r="AK27" t="str" cm="1">
        <f t="array" ref="AK27">_xll.BDS($X27&amp;"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8" spans="2:37" x14ac:dyDescent="0.25">
      <c r="B28" t="s">
        <v>167</v>
      </c>
      <c r="C28" t="str" cm="1">
        <f t="array" ref="C28">_xll.BDP($B28,C$1)</f>
        <v>INTL FINANCE CORP</v>
      </c>
      <c r="D28" t="str" cm="1">
        <f t="array" ref="D28">_xll.BDP($B28,D$1)</f>
        <v>BBG01D2X37V2</v>
      </c>
      <c r="E28" t="str" cm="1">
        <f t="array" ref="E28">_xll.BDP($B28,E$1)</f>
        <v>XS2582194143</v>
      </c>
      <c r="F28" t="str" cm="1">
        <f t="array" ref="F28">_xll.BDP($B28,F$1)</f>
        <v>2/3/2023</v>
      </c>
      <c r="G28" t="str" cm="1">
        <f t="array" ref="G28">_xll.BDP($B28,G$1)</f>
        <v>2/3/2027</v>
      </c>
      <c r="H28" t="str" cm="1">
        <f t="array" ref="H28">_xll.BDP($B28,H$1)</f>
        <v>BRL</v>
      </c>
      <c r="I28" t="str" cm="1">
        <f t="array" ref="I28">_xll.BDP($B28,I$1)</f>
        <v>FIXED</v>
      </c>
      <c r="J28" cm="1">
        <f t="array" ref="J28">_xll.BDP($B28,J$1)</f>
        <v>10</v>
      </c>
      <c r="K28" t="str" cm="1">
        <f t="array" ref="K28">_xll.BDP($B28,K$1)</f>
        <v>#N/A Field Not Applicable</v>
      </c>
      <c r="L28" t="str" cm="1">
        <f t="array" ref="L28">_xll.BDP($B28,L$1)</f>
        <v>N</v>
      </c>
      <c r="M28" cm="1">
        <f t="array" ref="M28">_xll.BDP($B28,M$1)</f>
        <v>1</v>
      </c>
      <c r="N28" t="str" cm="1">
        <f t="array" ref="N28">_xll.BDP($B28,N$1)</f>
        <v>STREET CONVENTION</v>
      </c>
      <c r="O28" t="str" cm="1">
        <f t="array" ref="O28">_xll.BDP($B28,O$1)</f>
        <v>#N/A Field Not Applicable</v>
      </c>
      <c r="P28" t="str" cm="1">
        <f t="array" ref="P28">_xll.BDP($B28,P$1)</f>
        <v>AAA</v>
      </c>
      <c r="Q28" t="str" cm="1">
        <f t="array" ref="Q28">_xll.BDP($B28,Q$1)</f>
        <v>Aaa</v>
      </c>
      <c r="R28" t="str" cm="1">
        <f t="array" ref="R28">_xll.BDP($B28,R$1)</f>
        <v>#N/A N/A</v>
      </c>
      <c r="S28" cm="1">
        <f t="array" ref="S28">_xll.BDP($B28,S$1)</f>
        <v>1</v>
      </c>
      <c r="T28" cm="1">
        <f t="array" ref="T28">_xll.BDP($B28,T$1)</f>
        <v>-101.60946267760522</v>
      </c>
      <c r="U28" cm="1">
        <f t="array" ref="U28">_xll.BDP($B28,U$1)</f>
        <v>13.116168999999999</v>
      </c>
      <c r="V28" cm="1">
        <f t="array" ref="V28">_xll.BDP($B28,V$1)</f>
        <v>0</v>
      </c>
      <c r="W28" t="str" cm="1">
        <f t="array" ref="W28">_xll.BDP($B28,W$1)</f>
        <v>#N/A N/A</v>
      </c>
      <c r="X28" t="str" cm="1">
        <f t="array" ref="X28">_xll.BDP($B28,X$1)</f>
        <v>8176888Z US</v>
      </c>
      <c r="Y28" t="str" cm="1">
        <f t="array" ref="Y28">_xll.BDP($B28,Y$1)</f>
        <v>Supranational</v>
      </c>
      <c r="Z28" t="str" cm="1">
        <f t="array" ref="Z28">_xll.BDP($B28,Z$1)</f>
        <v>Government</v>
      </c>
      <c r="AA28" t="str" cm="1">
        <f t="array" ref="AA28">_xll.BDP($B28,AA$1)</f>
        <v>Multi-National</v>
      </c>
      <c r="AB28" t="str" cm="1">
        <f t="array" ref="AB28">_xll.BDP($B28,AB$1)</f>
        <v>EURO MTN</v>
      </c>
      <c r="AC28" t="str" cm="1">
        <f t="array" ref="AC28">_xll.BDP($B28,AC$1)</f>
        <v>SNAT</v>
      </c>
      <c r="AD28" t="str" cm="1">
        <f t="array" ref="AD28">_xll.BDP($B28,AD$1)</f>
        <v>2/3/2024</v>
      </c>
      <c r="AE28" t="str" cm="1">
        <f t="array" ref="AE28">_xll.BDP($B28,AE$1)</f>
        <v>AT MATURITY</v>
      </c>
      <c r="AF28" cm="1">
        <f t="array" ref="AF28">_xll.BDP($B28,AF$1)</f>
        <v>300000000</v>
      </c>
      <c r="AG28" cm="1">
        <f t="array" ref="AG28">_xll.BDP($B28,AG$1)</f>
        <v>300000000</v>
      </c>
      <c r="AH28" t="str" cm="1">
        <f t="array" ref="AH28">_xll.BDP($B28,AH$1)</f>
        <v>International</v>
      </c>
      <c r="AI28" t="str" cm="1">
        <f t="array" ref="AI28">_xll.BDP($X28 &amp; " Equity",AI$1)</f>
        <v>#N/A N/A</v>
      </c>
      <c r="AJ28" t="str" cm="1">
        <f t="array" ref="AJ28">_xll.BDP($X28 &amp; " Equity",AJ$1)</f>
        <v>US</v>
      </c>
      <c r="AK28" t="str" cm="1">
        <f t="array" ref="AK28">_xll.BDS($X28&amp;"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29" spans="2:37" x14ac:dyDescent="0.25">
      <c r="B29" t="s">
        <v>168</v>
      </c>
      <c r="C29" t="str" cm="1">
        <f t="array" ref="C29">_xll.BDP($B29,C$1)</f>
        <v>INTL BK RECON &amp; DEVELOP</v>
      </c>
      <c r="D29" t="str" cm="1">
        <f t="array" ref="D29">_xll.BDP($B29,D$1)</f>
        <v>BBG014G31013</v>
      </c>
      <c r="E29" t="str" cm="1">
        <f t="array" ref="E29">_xll.BDP($B29,E$1)</f>
        <v>XS2431032403</v>
      </c>
      <c r="F29" t="str" cm="1">
        <f t="array" ref="F29">_xll.BDP($B29,F$1)</f>
        <v>1/21/2022</v>
      </c>
      <c r="G29" t="str" cm="1">
        <f t="array" ref="G29">_xll.BDP($B29,G$1)</f>
        <v>1/21/2027</v>
      </c>
      <c r="H29" t="str" cm="1">
        <f t="array" ref="H29">_xll.BDP($B29,H$1)</f>
        <v>BRL</v>
      </c>
      <c r="I29" t="str" cm="1">
        <f t="array" ref="I29">_xll.BDP($B29,I$1)</f>
        <v>FIXED</v>
      </c>
      <c r="J29" cm="1">
        <f t="array" ref="J29">_xll.BDP($B29,J$1)</f>
        <v>9.75</v>
      </c>
      <c r="K29" t="str" cm="1">
        <f t="array" ref="K29">_xll.BDP($B29,K$1)</f>
        <v>#N/A Field Not Applicable</v>
      </c>
      <c r="L29" t="str" cm="1">
        <f t="array" ref="L29">_xll.BDP($B29,L$1)</f>
        <v>N</v>
      </c>
      <c r="M29" cm="1">
        <f t="array" ref="M29">_xll.BDP($B29,M$1)</f>
        <v>1</v>
      </c>
      <c r="N29" t="str" cm="1">
        <f t="array" ref="N29">_xll.BDP($B29,N$1)</f>
        <v>STREET CONVENTION</v>
      </c>
      <c r="O29" t="str" cm="1">
        <f t="array" ref="O29">_xll.BDP($B29,O$1)</f>
        <v>#N/A Field Not Applicable</v>
      </c>
      <c r="P29" t="str" cm="1">
        <f t="array" ref="P29">_xll.BDP($B29,P$1)</f>
        <v>AAA</v>
      </c>
      <c r="Q29" t="str" cm="1">
        <f t="array" ref="Q29">_xll.BDP($B29,Q$1)</f>
        <v>Aaa</v>
      </c>
      <c r="R29" t="str" cm="1">
        <f t="array" ref="R29">_xll.BDP($B29,R$1)</f>
        <v>#N/A N/A</v>
      </c>
      <c r="S29" cm="1">
        <f t="array" ref="S29">_xll.BDP($B29,S$1)</f>
        <v>1</v>
      </c>
      <c r="T29" cm="1">
        <f t="array" ref="T29">_xll.BDP($B29,T$1)</f>
        <v>-105.76575613575905</v>
      </c>
      <c r="U29" cm="1">
        <f t="array" ref="U29">_xll.BDP($B29,U$1)</f>
        <v>13.104008</v>
      </c>
      <c r="V29" cm="1">
        <f t="array" ref="V29">_xll.BDP($B29,V$1)</f>
        <v>3</v>
      </c>
      <c r="W29" cm="1">
        <f t="array" ref="W29">_xll.BDP($B29,W$1)</f>
        <v>130000</v>
      </c>
      <c r="X29" t="str" cm="1">
        <f t="array" ref="X29">_xll.BDP($B29,X$1)</f>
        <v>8176888Z US</v>
      </c>
      <c r="Y29" t="str" cm="1">
        <f t="array" ref="Y29">_xll.BDP($B29,Y$1)</f>
        <v>Supranational</v>
      </c>
      <c r="Z29" t="str" cm="1">
        <f t="array" ref="Z29">_xll.BDP($B29,Z$1)</f>
        <v>Government</v>
      </c>
      <c r="AA29" t="str" cm="1">
        <f t="array" ref="AA29">_xll.BDP($B29,AA$1)</f>
        <v>Multi-National</v>
      </c>
      <c r="AB29" t="str" cm="1">
        <f t="array" ref="AB29">_xll.BDP($B29,AB$1)</f>
        <v>EURO MTN</v>
      </c>
      <c r="AC29" t="str" cm="1">
        <f t="array" ref="AC29">_xll.BDP($B29,AC$1)</f>
        <v>SNAT</v>
      </c>
      <c r="AD29" t="str" cm="1">
        <f t="array" ref="AD29">_xll.BDP($B29,AD$1)</f>
        <v>1/21/2023</v>
      </c>
      <c r="AE29" t="str" cm="1">
        <f t="array" ref="AE29">_xll.BDP($B29,AE$1)</f>
        <v>AT MATURITY</v>
      </c>
      <c r="AF29" cm="1">
        <f t="array" ref="AF29">_xll.BDP($B29,AF$1)</f>
        <v>150000000</v>
      </c>
      <c r="AG29" cm="1">
        <f t="array" ref="AG29">_xll.BDP($B29,AG$1)</f>
        <v>150000000</v>
      </c>
      <c r="AH29" t="str" cm="1">
        <f t="array" ref="AH29">_xll.BDP($B29,AH$1)</f>
        <v>International</v>
      </c>
      <c r="AI29" t="str" cm="1">
        <f t="array" ref="AI29">_xll.BDP($X29 &amp; " Equity",AI$1)</f>
        <v>#N/A N/A</v>
      </c>
      <c r="AJ29" t="str" cm="1">
        <f t="array" ref="AJ29">_xll.BDP($X29 &amp; " Equity",AJ$1)</f>
        <v>US</v>
      </c>
      <c r="AK29" t="str" cm="1">
        <f t="array" ref="AK29">_xll.BDS($X29&amp;"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0" spans="2:37" x14ac:dyDescent="0.25">
      <c r="B30" t="s">
        <v>169</v>
      </c>
      <c r="C30" t="str" cm="1">
        <f t="array" ref="C30">_xll.BDP($B30,C$1)</f>
        <v>INTL BK RECON &amp; DEVELOP</v>
      </c>
      <c r="D30" t="str" cm="1">
        <f t="array" ref="D30">_xll.BDP($B30,D$1)</f>
        <v>BBG01K1FK5J5</v>
      </c>
      <c r="E30" t="str" cm="1">
        <f t="array" ref="E30">_xll.BDP($B30,E$1)</f>
        <v>XS2716750547</v>
      </c>
      <c r="F30" t="str" cm="1">
        <f t="array" ref="F30">_xll.BDP($B30,F$1)</f>
        <v>11/10/2023</v>
      </c>
      <c r="G30" t="str" cm="1">
        <f t="array" ref="G30">_xll.BDP($B30,G$1)</f>
        <v>11/10/2038</v>
      </c>
      <c r="H30" t="str" cm="1">
        <f t="array" ref="H30">_xll.BDP($B30,H$1)</f>
        <v>BRL</v>
      </c>
      <c r="I30" t="str" cm="1">
        <f t="array" ref="I30">_xll.BDP($B30,I$1)</f>
        <v>ZERO COUPON</v>
      </c>
      <c r="J30" cm="1">
        <f t="array" ref="J30">_xll.BDP($B30,J$1)</f>
        <v>0</v>
      </c>
      <c r="K30" t="str" cm="1">
        <f t="array" ref="K30">_xll.BDP($B30,K$1)</f>
        <v>#N/A Field Not Applicable</v>
      </c>
      <c r="L30" t="str" cm="1">
        <f t="array" ref="L30">_xll.BDP($B30,L$1)</f>
        <v>N</v>
      </c>
      <c r="M30" cm="1">
        <f t="array" ref="M30">_xll.BDP($B30,M$1)</f>
        <v>1</v>
      </c>
      <c r="N30" t="str" cm="1">
        <f t="array" ref="N30">_xll.BDP($B30,N$1)</f>
        <v>STREET CONVENTION</v>
      </c>
      <c r="O30" t="str" cm="1">
        <f t="array" ref="O30">_xll.BDP($B30,O$1)</f>
        <v>#N/A Field Not Applicable</v>
      </c>
      <c r="P30" t="str" cm="1">
        <f t="array" ref="P30">_xll.BDP($B30,P$1)</f>
        <v>AAA</v>
      </c>
      <c r="Q30" t="str" cm="1">
        <f t="array" ref="Q30">_xll.BDP($B30,Q$1)</f>
        <v>Aaa</v>
      </c>
      <c r="R30" t="str" cm="1">
        <f t="array" ref="R30">_xll.BDP($B30,R$1)</f>
        <v>#N/A N/A</v>
      </c>
      <c r="S30" t="str" cm="1">
        <f t="array" ref="S30">_xll.BDP($B30,S$1)</f>
        <v>#N/A Field Not Applicable</v>
      </c>
      <c r="T30" cm="1">
        <f t="array" ref="T30">_xll.BDP($B30,T$1)</f>
        <v>-260.58624867369087</v>
      </c>
      <c r="U30" cm="1">
        <f t="array" ref="U30">_xll.BDP($B30,U$1)</f>
        <v>11.293638</v>
      </c>
      <c r="V30" cm="1">
        <f t="array" ref="V30">_xll.BDP($B30,V$1)</f>
        <v>0</v>
      </c>
      <c r="W30" t="str" cm="1">
        <f t="array" ref="W30">_xll.BDP($B30,W$1)</f>
        <v>#N/A N/A</v>
      </c>
      <c r="X30" t="str" cm="1">
        <f t="array" ref="X30">_xll.BDP($B30,X$1)</f>
        <v>8176888Z US</v>
      </c>
      <c r="Y30" t="str" cm="1">
        <f t="array" ref="Y30">_xll.BDP($B30,Y$1)</f>
        <v>Supranational</v>
      </c>
      <c r="Z30" t="str" cm="1">
        <f t="array" ref="Z30">_xll.BDP($B30,Z$1)</f>
        <v>Government</v>
      </c>
      <c r="AA30" t="str" cm="1">
        <f t="array" ref="AA30">_xll.BDP($B30,AA$1)</f>
        <v>Multi-National</v>
      </c>
      <c r="AB30" t="str" cm="1">
        <f t="array" ref="AB30">_xll.BDP($B30,AB$1)</f>
        <v>EURO MTN</v>
      </c>
      <c r="AC30" t="str" cm="1">
        <f t="array" ref="AC30">_xll.BDP($B30,AC$1)</f>
        <v>SNAT</v>
      </c>
      <c r="AD30" t="str" cm="1">
        <f t="array" ref="AD30">_xll.BDP($B30,AD$1)</f>
        <v>#N/A Field Not Applicable</v>
      </c>
      <c r="AE30" t="str" cm="1">
        <f t="array" ref="AE30">_xll.BDP($B30,AE$1)</f>
        <v>AT MATURITY</v>
      </c>
      <c r="AF30" cm="1">
        <f t="array" ref="AF30">_xll.BDP($B30,AF$1)</f>
        <v>1200000000</v>
      </c>
      <c r="AG30" cm="1">
        <f t="array" ref="AG30">_xll.BDP($B30,AG$1)</f>
        <v>1200000000</v>
      </c>
      <c r="AH30" t="str" cm="1">
        <f t="array" ref="AH30">_xll.BDP($B30,AH$1)</f>
        <v>International</v>
      </c>
      <c r="AI30" t="str" cm="1">
        <f t="array" ref="AI30">_xll.BDP($X30 &amp; " Equity",AI$1)</f>
        <v>#N/A N/A</v>
      </c>
      <c r="AJ30" t="str" cm="1">
        <f t="array" ref="AJ30">_xll.BDP($X30 &amp; " Equity",AJ$1)</f>
        <v>US</v>
      </c>
      <c r="AK30" t="str" cm="1">
        <f t="array" ref="AK30">_xll.BDS($X30&amp;"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1" spans="2:37" x14ac:dyDescent="0.25">
      <c r="B31" t="s">
        <v>170</v>
      </c>
      <c r="C31" t="str" cm="1">
        <f t="array" ref="C31">_xll.BDP($B31,C$1)</f>
        <v>INTL FINANCE CORP</v>
      </c>
      <c r="D31" t="str" cm="1">
        <f t="array" ref="D31">_xll.BDP($B31,D$1)</f>
        <v>BBG00Z160PG4</v>
      </c>
      <c r="E31" t="str" cm="1">
        <f t="array" ref="E31">_xll.BDP($B31,E$1)</f>
        <v>XS2293889759</v>
      </c>
      <c r="F31" t="str" cm="1">
        <f t="array" ref="F31">_xll.BDP($B31,F$1)</f>
        <v>2/4/2021</v>
      </c>
      <c r="G31" t="str" cm="1">
        <f t="array" ref="G31">_xll.BDP($B31,G$1)</f>
        <v>2/4/2028</v>
      </c>
      <c r="H31" t="str" cm="1">
        <f t="array" ref="H31">_xll.BDP($B31,H$1)</f>
        <v>BRL</v>
      </c>
      <c r="I31" t="str" cm="1">
        <f t="array" ref="I31">_xll.BDP($B31,I$1)</f>
        <v>FIXED</v>
      </c>
      <c r="J31" cm="1">
        <f t="array" ref="J31">_xll.BDP($B31,J$1)</f>
        <v>6.25</v>
      </c>
      <c r="K31" t="str" cm="1">
        <f t="array" ref="K31">_xll.BDP($B31,K$1)</f>
        <v>#N/A Field Not Applicable</v>
      </c>
      <c r="L31" t="str" cm="1">
        <f t="array" ref="L31">_xll.BDP($B31,L$1)</f>
        <v>N</v>
      </c>
      <c r="M31" cm="1">
        <f t="array" ref="M31">_xll.BDP($B31,M$1)</f>
        <v>1</v>
      </c>
      <c r="N31" t="str" cm="1">
        <f t="array" ref="N31">_xll.BDP($B31,N$1)</f>
        <v>STREET CONVENTION</v>
      </c>
      <c r="O31" t="str" cm="1">
        <f t="array" ref="O31">_xll.BDP($B31,O$1)</f>
        <v>#N/A Field Not Applicable</v>
      </c>
      <c r="P31" t="str" cm="1">
        <f t="array" ref="P31">_xll.BDP($B31,P$1)</f>
        <v>AAA</v>
      </c>
      <c r="Q31" t="str" cm="1">
        <f t="array" ref="Q31">_xll.BDP($B31,Q$1)</f>
        <v>Aaa</v>
      </c>
      <c r="R31" t="str" cm="1">
        <f t="array" ref="R31">_xll.BDP($B31,R$1)</f>
        <v>#N/A N/A</v>
      </c>
      <c r="S31" cm="1">
        <f t="array" ref="S31">_xll.BDP($B31,S$1)</f>
        <v>1</v>
      </c>
      <c r="T31" cm="1">
        <f t="array" ref="T31">_xll.BDP($B31,T$1)</f>
        <v>-110.49780999652032</v>
      </c>
      <c r="U31" cm="1">
        <f t="array" ref="U31">_xll.BDP($B31,U$1)</f>
        <v>12.355223000000001</v>
      </c>
      <c r="V31" cm="1">
        <f t="array" ref="V31">_xll.BDP($B31,V$1)</f>
        <v>0</v>
      </c>
      <c r="W31" t="str" cm="1">
        <f t="array" ref="W31">_xll.BDP($B31,W$1)</f>
        <v>#N/A N/A</v>
      </c>
      <c r="X31" t="str" cm="1">
        <f t="array" ref="X31">_xll.BDP($B31,X$1)</f>
        <v>8176888Z US</v>
      </c>
      <c r="Y31" t="str" cm="1">
        <f t="array" ref="Y31">_xll.BDP($B31,Y$1)</f>
        <v>Supranational</v>
      </c>
      <c r="Z31" t="str" cm="1">
        <f t="array" ref="Z31">_xll.BDP($B31,Z$1)</f>
        <v>Government</v>
      </c>
      <c r="AA31" t="str" cm="1">
        <f t="array" ref="AA31">_xll.BDP($B31,AA$1)</f>
        <v>Multi-National</v>
      </c>
      <c r="AB31" t="str" cm="1">
        <f t="array" ref="AB31">_xll.BDP($B31,AB$1)</f>
        <v>EURO MTN</v>
      </c>
      <c r="AC31" t="str" cm="1">
        <f t="array" ref="AC31">_xll.BDP($B31,AC$1)</f>
        <v>SNAT</v>
      </c>
      <c r="AD31" t="str" cm="1">
        <f t="array" ref="AD31">_xll.BDP($B31,AD$1)</f>
        <v>2/4/2022</v>
      </c>
      <c r="AE31" t="str" cm="1">
        <f t="array" ref="AE31">_xll.BDP($B31,AE$1)</f>
        <v>AT MATURITY</v>
      </c>
      <c r="AF31" cm="1">
        <f t="array" ref="AF31">_xll.BDP($B31,AF$1)</f>
        <v>200000000</v>
      </c>
      <c r="AG31" cm="1">
        <f t="array" ref="AG31">_xll.BDP($B31,AG$1)</f>
        <v>200000000</v>
      </c>
      <c r="AH31" t="str" cm="1">
        <f t="array" ref="AH31">_xll.BDP($B31,AH$1)</f>
        <v>International</v>
      </c>
      <c r="AI31" t="str" cm="1">
        <f t="array" ref="AI31">_xll.BDP($X31 &amp; " Equity",AI$1)</f>
        <v>#N/A N/A</v>
      </c>
      <c r="AJ31" t="str" cm="1">
        <f t="array" ref="AJ31">_xll.BDP($X31 &amp; " Equity",AJ$1)</f>
        <v>US</v>
      </c>
      <c r="AK31" t="str" cm="1">
        <f t="array" ref="AK31">_xll.BDS($X31&amp;"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2" spans="2:37" x14ac:dyDescent="0.25">
      <c r="B32" t="s">
        <v>171</v>
      </c>
      <c r="C32" t="str" cm="1">
        <f t="array" ref="C32">_xll.BDP($B32,C$1)</f>
        <v>EUROPEAN BK RECON &amp; DEV</v>
      </c>
      <c r="D32" t="str" cm="1">
        <f t="array" ref="D32">_xll.BDP($B32,D$1)</f>
        <v>BBG01SW1CQS8</v>
      </c>
      <c r="E32" t="str" cm="1">
        <f t="array" ref="E32">_xll.BDP($B32,E$1)</f>
        <v>XS3032031687</v>
      </c>
      <c r="F32" t="str" cm="1">
        <f t="array" ref="F32">_xll.BDP($B32,F$1)</f>
        <v>3/27/2025</v>
      </c>
      <c r="G32" t="str" cm="1">
        <f t="array" ref="G32">_xll.BDP($B32,G$1)</f>
        <v>3/27/2033</v>
      </c>
      <c r="H32" t="str" cm="1">
        <f t="array" ref="H32">_xll.BDP($B32,H$1)</f>
        <v>BRL</v>
      </c>
      <c r="I32" t="str" cm="1">
        <f t="array" ref="I32">_xll.BDP($B32,I$1)</f>
        <v>ZERO COUPON</v>
      </c>
      <c r="J32" cm="1">
        <f t="array" ref="J32">_xll.BDP($B32,J$1)</f>
        <v>0</v>
      </c>
      <c r="K32" t="str" cm="1">
        <f t="array" ref="K32">_xll.BDP($B32,K$1)</f>
        <v>#N/A Field Not Applicable</v>
      </c>
      <c r="L32" t="str" cm="1">
        <f t="array" ref="L32">_xll.BDP($B32,L$1)</f>
        <v>N</v>
      </c>
      <c r="M32" cm="1">
        <f t="array" ref="M32">_xll.BDP($B32,M$1)</f>
        <v>1</v>
      </c>
      <c r="N32" t="str" cm="1">
        <f t="array" ref="N32">_xll.BDP($B32,N$1)</f>
        <v>STREET CONVENTION</v>
      </c>
      <c r="O32" t="str" cm="1">
        <f t="array" ref="O32">_xll.BDP($B32,O$1)</f>
        <v>#N/A Field Not Applicable</v>
      </c>
      <c r="P32" t="str" cm="1">
        <f t="array" ref="P32">_xll.BDP($B32,P$1)</f>
        <v>AAA</v>
      </c>
      <c r="Q32" t="str" cm="1">
        <f t="array" ref="Q32">_xll.BDP($B32,Q$1)</f>
        <v>Aaa</v>
      </c>
      <c r="R32" t="str" cm="1">
        <f t="array" ref="R32">_xll.BDP($B32,R$1)</f>
        <v>#N/A N/A</v>
      </c>
      <c r="S32" t="str" cm="1">
        <f t="array" ref="S32">_xll.BDP($B32,S$1)</f>
        <v>#N/A Field Not Applicable</v>
      </c>
      <c r="T32" cm="1">
        <f t="array" ref="T32">_xll.BDP($B32,T$1)</f>
        <v>-75.489780656389982</v>
      </c>
      <c r="U32" cm="1">
        <f t="array" ref="U32">_xll.BDP($B32,U$1)</f>
        <v>13.25976</v>
      </c>
      <c r="V32" cm="1">
        <f t="array" ref="V32">_xll.BDP($B32,V$1)</f>
        <v>0</v>
      </c>
      <c r="W32" t="str" cm="1">
        <f t="array" ref="W32">_xll.BDP($B32,W$1)</f>
        <v>#N/A N/A</v>
      </c>
      <c r="X32" t="str" cm="1">
        <f t="array" ref="X32">_xll.BDP($B32,X$1)</f>
        <v>6044Z LN</v>
      </c>
      <c r="Y32" t="str" cm="1">
        <f t="array" ref="Y32">_xll.BDP($B32,Y$1)</f>
        <v>Supranational</v>
      </c>
      <c r="Z32" t="str" cm="1">
        <f t="array" ref="Z32">_xll.BDP($B32,Z$1)</f>
        <v>Government</v>
      </c>
      <c r="AA32" t="str" cm="1">
        <f t="array" ref="AA32">_xll.BDP($B32,AA$1)</f>
        <v>Multi-National</v>
      </c>
      <c r="AB32" t="str" cm="1">
        <f t="array" ref="AB32">_xll.BDP($B32,AB$1)</f>
        <v>EURO NON-DOLLAR</v>
      </c>
      <c r="AC32" t="str" cm="1">
        <f t="array" ref="AC32">_xll.BDP($B32,AC$1)</f>
        <v>SNAT</v>
      </c>
      <c r="AD32" t="str" cm="1">
        <f t="array" ref="AD32">_xll.BDP($B32,AD$1)</f>
        <v>#N/A Field Not Applicable</v>
      </c>
      <c r="AE32" t="str" cm="1">
        <f t="array" ref="AE32">_xll.BDP($B32,AE$1)</f>
        <v>CALLABLE</v>
      </c>
      <c r="AF32" cm="1">
        <f t="array" ref="AF32">_xll.BDP($B32,AF$1)</f>
        <v>320400400</v>
      </c>
      <c r="AG32" cm="1">
        <f t="array" ref="AG32">_xll.BDP($B32,AG$1)</f>
        <v>320400400</v>
      </c>
      <c r="AH32" t="str" cm="1">
        <f t="array" ref="AH32">_xll.BDP($B32,AH$1)</f>
        <v>International</v>
      </c>
      <c r="AI32" t="str" cm="1">
        <f t="array" ref="AI32">_xll.BDP($X32 &amp; " Equity",AI$1)</f>
        <v>#N/A N/A</v>
      </c>
      <c r="AJ32" t="str" cm="1">
        <f t="array" ref="AJ32">_xll.BDP($X32 &amp; " Equity",AJ$1)</f>
        <v>LN</v>
      </c>
      <c r="AK32" t="str" cm="1">
        <f t="array" ref="AK32">_xll.BDS($X32&amp;"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33" spans="2:37" x14ac:dyDescent="0.25">
      <c r="B33" t="s">
        <v>172</v>
      </c>
      <c r="C33" t="str" cm="1">
        <f t="array" ref="C33">_xll.BDP($B33,C$1)</f>
        <v>INTL FINANCE CORP</v>
      </c>
      <c r="D33" t="str" cm="1">
        <f t="array" ref="D33">_xll.BDP($B33,D$1)</f>
        <v>BBG00VZQLDW8</v>
      </c>
      <c r="E33" t="str" cm="1">
        <f t="array" ref="E33">_xll.BDP($B33,E$1)</f>
        <v>XS2206548260</v>
      </c>
      <c r="F33" t="str" cm="1">
        <f t="array" ref="F33">_xll.BDP($B33,F$1)</f>
        <v>7/16/2020</v>
      </c>
      <c r="G33" t="str" cm="1">
        <f t="array" ref="G33">_xll.BDP($B33,G$1)</f>
        <v>7/16/2025</v>
      </c>
      <c r="H33" t="str" cm="1">
        <f t="array" ref="H33">_xll.BDP($B33,H$1)</f>
        <v>BRL</v>
      </c>
      <c r="I33" t="str" cm="1">
        <f t="array" ref="I33">_xll.BDP($B33,I$1)</f>
        <v>FIXED</v>
      </c>
      <c r="J33" cm="1">
        <f t="array" ref="J33">_xll.BDP($B33,J$1)</f>
        <v>4.25</v>
      </c>
      <c r="K33" t="str" cm="1">
        <f t="array" ref="K33">_xll.BDP($B33,K$1)</f>
        <v>#N/A Field Not Applicable</v>
      </c>
      <c r="L33" t="str" cm="1">
        <f t="array" ref="L33">_xll.BDP($B33,L$1)</f>
        <v>N</v>
      </c>
      <c r="M33" cm="1">
        <f t="array" ref="M33">_xll.BDP($B33,M$1)</f>
        <v>1</v>
      </c>
      <c r="N33" t="str" cm="1">
        <f t="array" ref="N33">_xll.BDP($B33,N$1)</f>
        <v>STREET CONVENTION</v>
      </c>
      <c r="O33" t="str" cm="1">
        <f t="array" ref="O33">_xll.BDP($B33,O$1)</f>
        <v>#N/A Field Not Applicable</v>
      </c>
      <c r="P33" t="str" cm="1">
        <f t="array" ref="P33">_xll.BDP($B33,P$1)</f>
        <v>AAA</v>
      </c>
      <c r="Q33" t="str" cm="1">
        <f t="array" ref="Q33">_xll.BDP($B33,Q$1)</f>
        <v>Aaa</v>
      </c>
      <c r="R33" t="str" cm="1">
        <f t="array" ref="R33">_xll.BDP($B33,R$1)</f>
        <v>#N/A N/A</v>
      </c>
      <c r="S33" cm="1">
        <f t="array" ref="S33">_xll.BDP($B33,S$1)</f>
        <v>1</v>
      </c>
      <c r="T33" cm="1">
        <f t="array" ref="T33">_xll.BDP($B33,T$1)</f>
        <v>-160.64019822691566</v>
      </c>
      <c r="U33" cm="1">
        <f t="array" ref="U33">_xll.BDP($B33,U$1)</f>
        <v>13.222448</v>
      </c>
      <c r="V33" cm="1">
        <f t="array" ref="V33">_xll.BDP($B33,V$1)</f>
        <v>0</v>
      </c>
      <c r="W33" t="str" cm="1">
        <f t="array" ref="W33">_xll.BDP($B33,W$1)</f>
        <v>#N/A N/A</v>
      </c>
      <c r="X33" t="str" cm="1">
        <f t="array" ref="X33">_xll.BDP($B33,X$1)</f>
        <v>8176888Z US</v>
      </c>
      <c r="Y33" t="str" cm="1">
        <f t="array" ref="Y33">_xll.BDP($B33,Y$1)</f>
        <v>Supranational</v>
      </c>
      <c r="Z33" t="str" cm="1">
        <f t="array" ref="Z33">_xll.BDP($B33,Z$1)</f>
        <v>Government</v>
      </c>
      <c r="AA33" t="str" cm="1">
        <f t="array" ref="AA33">_xll.BDP($B33,AA$1)</f>
        <v>Multi-National</v>
      </c>
      <c r="AB33" t="str" cm="1">
        <f t="array" ref="AB33">_xll.BDP($B33,AB$1)</f>
        <v>EURO MTN</v>
      </c>
      <c r="AC33" t="str" cm="1">
        <f t="array" ref="AC33">_xll.BDP($B33,AC$1)</f>
        <v>SNAT</v>
      </c>
      <c r="AD33" t="str" cm="1">
        <f t="array" ref="AD33">_xll.BDP($B33,AD$1)</f>
        <v>7/16/2021</v>
      </c>
      <c r="AE33" t="str" cm="1">
        <f t="array" ref="AE33">_xll.BDP($B33,AE$1)</f>
        <v>AT MATURITY</v>
      </c>
      <c r="AF33" cm="1">
        <f t="array" ref="AF33">_xll.BDP($B33,AF$1)</f>
        <v>200000000</v>
      </c>
      <c r="AG33" cm="1">
        <f t="array" ref="AG33">_xll.BDP($B33,AG$1)</f>
        <v>200000000</v>
      </c>
      <c r="AH33" t="str" cm="1">
        <f t="array" ref="AH33">_xll.BDP($B33,AH$1)</f>
        <v>International</v>
      </c>
      <c r="AI33" t="str" cm="1">
        <f t="array" ref="AI33">_xll.BDP($X33 &amp; " Equity",AI$1)</f>
        <v>#N/A N/A</v>
      </c>
      <c r="AJ33" t="str" cm="1">
        <f t="array" ref="AJ33">_xll.BDP($X33 &amp; " Equity",AJ$1)</f>
        <v>US</v>
      </c>
      <c r="AK33" t="str" cm="1">
        <f t="array" ref="AK33">_xll.BDS($X33&amp;"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4" spans="2:37" x14ac:dyDescent="0.25">
      <c r="B34" t="s">
        <v>173</v>
      </c>
      <c r="C34" t="str" cm="1">
        <f t="array" ref="C34">_xll.BDP($B34,C$1)</f>
        <v>INTL BK RECON &amp; DEVELOP</v>
      </c>
      <c r="D34" t="str" cm="1">
        <f t="array" ref="D34">_xll.BDP($B34,D$1)</f>
        <v>BBG014HVLYY8</v>
      </c>
      <c r="E34" t="str" cm="1">
        <f t="array" ref="E34">_xll.BDP($B34,E$1)</f>
        <v>XS2433833071</v>
      </c>
      <c r="F34" t="str" cm="1">
        <f t="array" ref="F34">_xll.BDP($B34,F$1)</f>
        <v>1/19/2022</v>
      </c>
      <c r="G34" t="str" cm="1">
        <f t="array" ref="G34">_xll.BDP($B34,G$1)</f>
        <v>1/19/2029</v>
      </c>
      <c r="H34" t="str" cm="1">
        <f t="array" ref="H34">_xll.BDP($B34,H$1)</f>
        <v>BRL</v>
      </c>
      <c r="I34" t="str" cm="1">
        <f t="array" ref="I34">_xll.BDP($B34,I$1)</f>
        <v>ZERO COUPON</v>
      </c>
      <c r="J34" cm="1">
        <f t="array" ref="J34">_xll.BDP($B34,J$1)</f>
        <v>0</v>
      </c>
      <c r="K34" t="str" cm="1">
        <f t="array" ref="K34">_xll.BDP($B34,K$1)</f>
        <v>#N/A Field Not Applicable</v>
      </c>
      <c r="L34" t="str" cm="1">
        <f t="array" ref="L34">_xll.BDP($B34,L$1)</f>
        <v>N</v>
      </c>
      <c r="M34" cm="1">
        <f t="array" ref="M34">_xll.BDP($B34,M$1)</f>
        <v>1</v>
      </c>
      <c r="N34" t="str" cm="1">
        <f t="array" ref="N34">_xll.BDP($B34,N$1)</f>
        <v>STREET CONVENTION</v>
      </c>
      <c r="O34" t="str" cm="1">
        <f t="array" ref="O34">_xll.BDP($B34,O$1)</f>
        <v>#N/A Field Not Applicable</v>
      </c>
      <c r="P34" t="str" cm="1">
        <f t="array" ref="P34">_xll.BDP($B34,P$1)</f>
        <v>AAA</v>
      </c>
      <c r="Q34" t="str" cm="1">
        <f t="array" ref="Q34">_xll.BDP($B34,Q$1)</f>
        <v>Aaa</v>
      </c>
      <c r="R34" t="str" cm="1">
        <f t="array" ref="R34">_xll.BDP($B34,R$1)</f>
        <v>#N/A N/A</v>
      </c>
      <c r="S34" t="str" cm="1">
        <f t="array" ref="S34">_xll.BDP($B34,S$1)</f>
        <v>#N/A Field Not Applicable</v>
      </c>
      <c r="T34" cm="1">
        <f t="array" ref="T34">_xll.BDP($B34,T$1)</f>
        <v>-125.09710499590145</v>
      </c>
      <c r="U34" cm="1">
        <f t="array" ref="U34">_xll.BDP($B34,U$1)</f>
        <v>12.172882</v>
      </c>
      <c r="V34" cm="1">
        <f t="array" ref="V34">_xll.BDP($B34,V$1)</f>
        <v>4</v>
      </c>
      <c r="W34" cm="1">
        <f t="array" ref="W34">_xll.BDP($B34,W$1)</f>
        <v>24000000</v>
      </c>
      <c r="X34" t="str" cm="1">
        <f t="array" ref="X34">_xll.BDP($B34,X$1)</f>
        <v>8176888Z US</v>
      </c>
      <c r="Y34" t="str" cm="1">
        <f t="array" ref="Y34">_xll.BDP($B34,Y$1)</f>
        <v>Supranational</v>
      </c>
      <c r="Z34" t="str" cm="1">
        <f t="array" ref="Z34">_xll.BDP($B34,Z$1)</f>
        <v>Government</v>
      </c>
      <c r="AA34" t="str" cm="1">
        <f t="array" ref="AA34">_xll.BDP($B34,AA$1)</f>
        <v>Multi-National</v>
      </c>
      <c r="AB34" t="str" cm="1">
        <f t="array" ref="AB34">_xll.BDP($B34,AB$1)</f>
        <v>EURO MTN</v>
      </c>
      <c r="AC34" t="str" cm="1">
        <f t="array" ref="AC34">_xll.BDP($B34,AC$1)</f>
        <v>SNAT</v>
      </c>
      <c r="AD34" t="str" cm="1">
        <f t="array" ref="AD34">_xll.BDP($B34,AD$1)</f>
        <v>#N/A Field Not Applicable</v>
      </c>
      <c r="AE34" t="str" cm="1">
        <f t="array" ref="AE34">_xll.BDP($B34,AE$1)</f>
        <v>AT MATURITY</v>
      </c>
      <c r="AF34" cm="1">
        <f t="array" ref="AF34">_xll.BDP($B34,AF$1)</f>
        <v>150000000</v>
      </c>
      <c r="AG34" cm="1">
        <f t="array" ref="AG34">_xll.BDP($B34,AG$1)</f>
        <v>57990000</v>
      </c>
      <c r="AH34" t="str" cm="1">
        <f t="array" ref="AH34">_xll.BDP($B34,AH$1)</f>
        <v>International</v>
      </c>
      <c r="AI34" t="str" cm="1">
        <f t="array" ref="AI34">_xll.BDP($X34 &amp; " Equity",AI$1)</f>
        <v>#N/A N/A</v>
      </c>
      <c r="AJ34" t="str" cm="1">
        <f t="array" ref="AJ34">_xll.BDP($X34 &amp; " Equity",AJ$1)</f>
        <v>US</v>
      </c>
      <c r="AK34" t="str" cm="1">
        <f t="array" ref="AK34">_xll.BDS($X34&amp;"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5" spans="2:37" x14ac:dyDescent="0.25">
      <c r="B35" t="s">
        <v>174</v>
      </c>
      <c r="C35" t="str" cm="1">
        <f t="array" ref="C35">_xll.BDP($B35,C$1)</f>
        <v>ASIAN DEVELOPMENT BANK</v>
      </c>
      <c r="D35" t="str" cm="1">
        <f t="array" ref="D35">_xll.BDP($B35,D$1)</f>
        <v>BBG011ZTHNQ7</v>
      </c>
      <c r="E35" t="str" cm="1">
        <f t="array" ref="E35">_xll.BDP($B35,E$1)</f>
        <v>XS2373163711</v>
      </c>
      <c r="F35" t="str" cm="1">
        <f t="array" ref="F35">_xll.BDP($B35,F$1)</f>
        <v>8/12/2021</v>
      </c>
      <c r="G35" t="str" cm="1">
        <f t="array" ref="G35">_xll.BDP($B35,G$1)</f>
        <v>8/12/2031</v>
      </c>
      <c r="H35" t="str" cm="1">
        <f t="array" ref="H35">_xll.BDP($B35,H$1)</f>
        <v>BRL</v>
      </c>
      <c r="I35" t="str" cm="1">
        <f t="array" ref="I35">_xll.BDP($B35,I$1)</f>
        <v>FIXED</v>
      </c>
      <c r="J35" cm="1">
        <f t="array" ref="J35">_xll.BDP($B35,J$1)</f>
        <v>8</v>
      </c>
      <c r="K35" t="str" cm="1">
        <f t="array" ref="K35">_xll.BDP($B35,K$1)</f>
        <v>#N/A Field Not Applicable</v>
      </c>
      <c r="L35" t="str" cm="1">
        <f t="array" ref="L35">_xll.BDP($B35,L$1)</f>
        <v>N</v>
      </c>
      <c r="M35" cm="1">
        <f t="array" ref="M35">_xll.BDP($B35,M$1)</f>
        <v>1</v>
      </c>
      <c r="N35" t="str" cm="1">
        <f t="array" ref="N35">_xll.BDP($B35,N$1)</f>
        <v>STREET CONVENTION</v>
      </c>
      <c r="O35" t="str" cm="1">
        <f t="array" ref="O35">_xll.BDP($B35,O$1)</f>
        <v>#N/A Field Not Applicable</v>
      </c>
      <c r="P35" t="str" cm="1">
        <f t="array" ref="P35">_xll.BDP($B35,P$1)</f>
        <v>#N/A N/A</v>
      </c>
      <c r="Q35" t="str" cm="1">
        <f t="array" ref="Q35">_xll.BDP($B35,Q$1)</f>
        <v>#N/A N/A</v>
      </c>
      <c r="R35" t="str" cm="1">
        <f t="array" ref="R35">_xll.BDP($B35,R$1)</f>
        <v>#N/A N/A</v>
      </c>
      <c r="S35" cm="1">
        <f t="array" ref="S35">_xll.BDP($B35,S$1)</f>
        <v>1</v>
      </c>
      <c r="T35" cm="1">
        <f t="array" ref="T35">_xll.BDP($B35,T$1)</f>
        <v>-164.18353609672832</v>
      </c>
      <c r="U35" cm="1">
        <f t="array" ref="U35">_xll.BDP($B35,U$1)</f>
        <v>12.123034000000001</v>
      </c>
      <c r="V35" cm="1">
        <f t="array" ref="V35">_xll.BDP($B35,V$1)</f>
        <v>0</v>
      </c>
      <c r="W35" t="str" cm="1">
        <f t="array" ref="W35">_xll.BDP($B35,W$1)</f>
        <v>#N/A N/A</v>
      </c>
      <c r="X35" t="str" cm="1">
        <f t="array" ref="X35">_xll.BDP($B35,X$1)</f>
        <v>81074Z PM</v>
      </c>
      <c r="Y35" t="str" cm="1">
        <f t="array" ref="Y35">_xll.BDP($B35,Y$1)</f>
        <v>Supranational</v>
      </c>
      <c r="Z35" t="str" cm="1">
        <f t="array" ref="Z35">_xll.BDP($B35,Z$1)</f>
        <v>Government</v>
      </c>
      <c r="AA35" t="str" cm="1">
        <f t="array" ref="AA35">_xll.BDP($B35,AA$1)</f>
        <v>Multi-National</v>
      </c>
      <c r="AB35" t="str" cm="1">
        <f t="array" ref="AB35">_xll.BDP($B35,AB$1)</f>
        <v>EURO MTN</v>
      </c>
      <c r="AC35" t="str" cm="1">
        <f t="array" ref="AC35">_xll.BDP($B35,AC$1)</f>
        <v>SNAT</v>
      </c>
      <c r="AD35" t="str" cm="1">
        <f t="array" ref="AD35">_xll.BDP($B35,AD$1)</f>
        <v>8/12/2022</v>
      </c>
      <c r="AE35" t="str" cm="1">
        <f t="array" ref="AE35">_xll.BDP($B35,AE$1)</f>
        <v>AT MATURITY</v>
      </c>
      <c r="AF35" cm="1">
        <f t="array" ref="AF35">_xll.BDP($B35,AF$1)</f>
        <v>100000000</v>
      </c>
      <c r="AG35" cm="1">
        <f t="array" ref="AG35">_xll.BDP($B35,AG$1)</f>
        <v>100000000</v>
      </c>
      <c r="AH35" t="str" cm="1">
        <f t="array" ref="AH35">_xll.BDP($B35,AH$1)</f>
        <v>International</v>
      </c>
      <c r="AI35" t="str" cm="1">
        <f t="array" ref="AI35">_xll.BDP($X35 &amp; " Equity",AI$1)</f>
        <v>#N/A N/A</v>
      </c>
      <c r="AJ35" t="str" cm="1">
        <f t="array" ref="AJ35">_xll.BDP($X35 &amp; " Equity",AJ$1)</f>
        <v>PM</v>
      </c>
      <c r="AK35" t="str" cm="1">
        <f t="array" ref="AK35">_xll.BDS($X35&amp;" Equity",AK$1,"FILL=NA","Aggregate=y")</f>
        <v>Asian Development Bank operates as a multilateral development financial institution. The Company provides economic development and cooperation, emphasizes agriculture, energy, capital market development, transportation, communications, and social infrastructure projects. Asian Development Bank conducts business in Philippines.</v>
      </c>
    </row>
    <row r="36" spans="2:37" x14ac:dyDescent="0.25">
      <c r="B36" t="s">
        <v>175</v>
      </c>
      <c r="C36" t="str" cm="1">
        <f t="array" ref="C36">_xll.BDP($B36,C$1)</f>
        <v>INTL FINANCE CORP</v>
      </c>
      <c r="D36" t="str" cm="1">
        <f t="array" ref="D36">_xll.BDP($B36,D$1)</f>
        <v>BBG01RP3PPC9</v>
      </c>
      <c r="E36" t="str" cm="1">
        <f t="array" ref="E36">_xll.BDP($B36,E$1)</f>
        <v>XS2977993471</v>
      </c>
      <c r="F36" t="str" cm="1">
        <f t="array" ref="F36">_xll.BDP($B36,F$1)</f>
        <v>1/16/2025</v>
      </c>
      <c r="G36" t="str" cm="1">
        <f t="array" ref="G36">_xll.BDP($B36,G$1)</f>
        <v>1/16/2030</v>
      </c>
      <c r="H36" t="str" cm="1">
        <f t="array" ref="H36">_xll.BDP($B36,H$1)</f>
        <v>BRL</v>
      </c>
      <c r="I36" t="str" cm="1">
        <f t="array" ref="I36">_xll.BDP($B36,I$1)</f>
        <v>FIXED</v>
      </c>
      <c r="J36" cm="1">
        <f t="array" ref="J36">_xll.BDP($B36,J$1)</f>
        <v>11.5</v>
      </c>
      <c r="K36" t="str" cm="1">
        <f t="array" ref="K36">_xll.BDP($B36,K$1)</f>
        <v>#N/A Field Not Applicable</v>
      </c>
      <c r="L36" t="str" cm="1">
        <f t="array" ref="L36">_xll.BDP($B36,L$1)</f>
        <v>N</v>
      </c>
      <c r="M36" cm="1">
        <f t="array" ref="M36">_xll.BDP($B36,M$1)</f>
        <v>1</v>
      </c>
      <c r="N36" t="str" cm="1">
        <f t="array" ref="N36">_xll.BDP($B36,N$1)</f>
        <v>STREET CONVENTION</v>
      </c>
      <c r="O36" t="str" cm="1">
        <f t="array" ref="O36">_xll.BDP($B36,O$1)</f>
        <v>#N/A Field Not Applicable</v>
      </c>
      <c r="P36" t="str" cm="1">
        <f t="array" ref="P36">_xll.BDP($B36,P$1)</f>
        <v>AAA</v>
      </c>
      <c r="Q36" t="str" cm="1">
        <f t="array" ref="Q36">_xll.BDP($B36,Q$1)</f>
        <v>Aaa</v>
      </c>
      <c r="R36" t="str" cm="1">
        <f t="array" ref="R36">_xll.BDP($B36,R$1)</f>
        <v>#N/A N/A</v>
      </c>
      <c r="S36" cm="1">
        <f t="array" ref="S36">_xll.BDP($B36,S$1)</f>
        <v>1</v>
      </c>
      <c r="T36" cm="1">
        <f t="array" ref="T36">_xll.BDP($B36,T$1)</f>
        <v>-144.42936329986685</v>
      </c>
      <c r="U36" cm="1">
        <f t="array" ref="U36">_xll.BDP($B36,U$1)</f>
        <v>12.079748</v>
      </c>
      <c r="V36" cm="1">
        <f t="array" ref="V36">_xll.BDP($B36,V$1)</f>
        <v>1</v>
      </c>
      <c r="W36" cm="1">
        <f t="array" ref="W36">_xll.BDP($B36,W$1)</f>
        <v>5000000</v>
      </c>
      <c r="X36" t="str" cm="1">
        <f t="array" ref="X36">_xll.BDP($B36,X$1)</f>
        <v>8176888Z US</v>
      </c>
      <c r="Y36" t="str" cm="1">
        <f t="array" ref="Y36">_xll.BDP($B36,Y$1)</f>
        <v>Supranational</v>
      </c>
      <c r="Z36" t="str" cm="1">
        <f t="array" ref="Z36">_xll.BDP($B36,Z$1)</f>
        <v>Government</v>
      </c>
      <c r="AA36" t="str" cm="1">
        <f t="array" ref="AA36">_xll.BDP($B36,AA$1)</f>
        <v>Multi-National</v>
      </c>
      <c r="AB36" t="str" cm="1">
        <f t="array" ref="AB36">_xll.BDP($B36,AB$1)</f>
        <v>EURO MTN</v>
      </c>
      <c r="AC36" t="str" cm="1">
        <f t="array" ref="AC36">_xll.BDP($B36,AC$1)</f>
        <v>SNAT</v>
      </c>
      <c r="AD36" t="str" cm="1">
        <f t="array" ref="AD36">_xll.BDP($B36,AD$1)</f>
        <v>1/16/2026</v>
      </c>
      <c r="AE36" t="str" cm="1">
        <f t="array" ref="AE36">_xll.BDP($B36,AE$1)</f>
        <v>AT MATURITY</v>
      </c>
      <c r="AF36" cm="1">
        <f t="array" ref="AF36">_xll.BDP($B36,AF$1)</f>
        <v>325000000</v>
      </c>
      <c r="AG36" cm="1">
        <f t="array" ref="AG36">_xll.BDP($B36,AG$1)</f>
        <v>325000000</v>
      </c>
      <c r="AH36" t="str" cm="1">
        <f t="array" ref="AH36">_xll.BDP($B36,AH$1)</f>
        <v>International</v>
      </c>
      <c r="AI36" t="str" cm="1">
        <f t="array" ref="AI36">_xll.BDP($X36 &amp; " Equity",AI$1)</f>
        <v>#N/A N/A</v>
      </c>
      <c r="AJ36" t="str" cm="1">
        <f t="array" ref="AJ36">_xll.BDP($X36 &amp; " Equity",AJ$1)</f>
        <v>US</v>
      </c>
      <c r="AK36" t="str" cm="1">
        <f t="array" ref="AK36">_xll.BDS($X36&amp;"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7" spans="2:37" x14ac:dyDescent="0.25">
      <c r="B37" t="s">
        <v>176</v>
      </c>
      <c r="C37" t="str" cm="1">
        <f t="array" ref="C37">_xll.BDP($B37,C$1)</f>
        <v>INTL FINANCE CORP</v>
      </c>
      <c r="D37" t="str" cm="1">
        <f t="array" ref="D37">_xll.BDP($B37,D$1)</f>
        <v>BBG00Q6DBQ34</v>
      </c>
      <c r="E37" t="str" cm="1">
        <f t="array" ref="E37">_xll.BDP($B37,E$1)</f>
        <v>XS2051894322</v>
      </c>
      <c r="F37" t="str" cm="1">
        <f t="array" ref="F37">_xll.BDP($B37,F$1)</f>
        <v>9/12/2019</v>
      </c>
      <c r="G37" t="str" cm="1">
        <f t="array" ref="G37">_xll.BDP($B37,G$1)</f>
        <v>9/14/2026</v>
      </c>
      <c r="H37" t="str" cm="1">
        <f t="array" ref="H37">_xll.BDP($B37,H$1)</f>
        <v>BRL</v>
      </c>
      <c r="I37" t="str" cm="1">
        <f t="array" ref="I37">_xll.BDP($B37,I$1)</f>
        <v>FIXED</v>
      </c>
      <c r="J37" cm="1">
        <f t="array" ref="J37">_xll.BDP($B37,J$1)</f>
        <v>2</v>
      </c>
      <c r="K37" t="str" cm="1">
        <f t="array" ref="K37">_xll.BDP($B37,K$1)</f>
        <v>#N/A Field Not Applicable</v>
      </c>
      <c r="L37" t="str" cm="1">
        <f t="array" ref="L37">_xll.BDP($B37,L$1)</f>
        <v>N</v>
      </c>
      <c r="M37" cm="1">
        <f t="array" ref="M37">_xll.BDP($B37,M$1)</f>
        <v>1</v>
      </c>
      <c r="N37" t="str" cm="1">
        <f t="array" ref="N37">_xll.BDP($B37,N$1)</f>
        <v>STREET CONVENTION</v>
      </c>
      <c r="O37" t="str" cm="1">
        <f t="array" ref="O37">_xll.BDP($B37,O$1)</f>
        <v>#N/A Field Not Applicable</v>
      </c>
      <c r="P37" t="str" cm="1">
        <f t="array" ref="P37">_xll.BDP($B37,P$1)</f>
        <v>#N/A N/A</v>
      </c>
      <c r="Q37" t="str" cm="1">
        <f t="array" ref="Q37">_xll.BDP($B37,Q$1)</f>
        <v>#N/A N/A</v>
      </c>
      <c r="R37" t="str" cm="1">
        <f t="array" ref="R37">_xll.BDP($B37,R$1)</f>
        <v>#N/A N/A</v>
      </c>
      <c r="S37" cm="1">
        <f t="array" ref="S37">_xll.BDP($B37,S$1)</f>
        <v>1</v>
      </c>
      <c r="T37" cm="1">
        <f t="array" ref="T37">_xll.BDP($B37,T$1)</f>
        <v>-25.435327582273182</v>
      </c>
      <c r="U37" cm="1">
        <f t="array" ref="U37">_xll.BDP($B37,U$1)</f>
        <v>14.199064</v>
      </c>
      <c r="V37" cm="1">
        <f t="array" ref="V37">_xll.BDP($B37,V$1)</f>
        <v>0</v>
      </c>
      <c r="W37" t="str" cm="1">
        <f t="array" ref="W37">_xll.BDP($B37,W$1)</f>
        <v>#N/A N/A</v>
      </c>
      <c r="X37" t="str" cm="1">
        <f t="array" ref="X37">_xll.BDP($B37,X$1)</f>
        <v>8176888Z US</v>
      </c>
      <c r="Y37" t="str" cm="1">
        <f t="array" ref="Y37">_xll.BDP($B37,Y$1)</f>
        <v>Supranational</v>
      </c>
      <c r="Z37" t="str" cm="1">
        <f t="array" ref="Z37">_xll.BDP($B37,Z$1)</f>
        <v>Government</v>
      </c>
      <c r="AA37" t="str" cm="1">
        <f t="array" ref="AA37">_xll.BDP($B37,AA$1)</f>
        <v>Multi-National</v>
      </c>
      <c r="AB37" t="str" cm="1">
        <f t="array" ref="AB37">_xll.BDP($B37,AB$1)</f>
        <v>EURO MTN</v>
      </c>
      <c r="AC37" t="str" cm="1">
        <f t="array" ref="AC37">_xll.BDP($B37,AC$1)</f>
        <v>SNAT</v>
      </c>
      <c r="AD37" t="str" cm="1">
        <f t="array" ref="AD37">_xll.BDP($B37,AD$1)</f>
        <v>9/14/2020</v>
      </c>
      <c r="AE37" t="str" cm="1">
        <f t="array" ref="AE37">_xll.BDP($B37,AE$1)</f>
        <v>AT MATURITY</v>
      </c>
      <c r="AF37" cm="1">
        <f t="array" ref="AF37">_xll.BDP($B37,AF$1)</f>
        <v>123000000</v>
      </c>
      <c r="AG37" cm="1">
        <f t="array" ref="AG37">_xll.BDP($B37,AG$1)</f>
        <v>123000000</v>
      </c>
      <c r="AH37" t="str" cm="1">
        <f t="array" ref="AH37">_xll.BDP($B37,AH$1)</f>
        <v>International</v>
      </c>
      <c r="AI37" t="str" cm="1">
        <f t="array" ref="AI37">_xll.BDP($X37 &amp; " Equity",AI$1)</f>
        <v>#N/A N/A</v>
      </c>
      <c r="AJ37" t="str" cm="1">
        <f t="array" ref="AJ37">_xll.BDP($X37 &amp; " Equity",AJ$1)</f>
        <v>US</v>
      </c>
      <c r="AK37" t="str" cm="1">
        <f t="array" ref="AK37">_xll.BDS($X37&amp;"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8" spans="2:37" x14ac:dyDescent="0.25">
      <c r="B38" t="s">
        <v>177</v>
      </c>
      <c r="C38" t="str" cm="1">
        <f t="array" ref="C38">_xll.BDP($B38,C$1)</f>
        <v>INTL BK RECON &amp; DEVELOP</v>
      </c>
      <c r="D38" t="str" cm="1">
        <f t="array" ref="D38">_xll.BDP($B38,D$1)</f>
        <v>BBG01QLH9XZ0</v>
      </c>
      <c r="E38" t="str" cm="1">
        <f t="array" ref="E38">_xll.BDP($B38,E$1)</f>
        <v>XS2934329967</v>
      </c>
      <c r="F38" t="str" cm="1">
        <f t="array" ref="F38">_xll.BDP($B38,F$1)</f>
        <v>11/8/2024</v>
      </c>
      <c r="G38" t="str" cm="1">
        <f t="array" ref="G38">_xll.BDP($B38,G$1)</f>
        <v>11/8/2027</v>
      </c>
      <c r="H38" t="str" cm="1">
        <f t="array" ref="H38">_xll.BDP($B38,H$1)</f>
        <v>BRL</v>
      </c>
      <c r="I38" t="str" cm="1">
        <f t="array" ref="I38">_xll.BDP($B38,I$1)</f>
        <v>FIXED</v>
      </c>
      <c r="J38" cm="1">
        <f t="array" ref="J38">_xll.BDP($B38,J$1)</f>
        <v>10</v>
      </c>
      <c r="K38" t="str" cm="1">
        <f t="array" ref="K38">_xll.BDP($B38,K$1)</f>
        <v>#N/A Field Not Applicable</v>
      </c>
      <c r="L38" t="str" cm="1">
        <f t="array" ref="L38">_xll.BDP($B38,L$1)</f>
        <v>N</v>
      </c>
      <c r="M38" cm="1">
        <f t="array" ref="M38">_xll.BDP($B38,M$1)</f>
        <v>1</v>
      </c>
      <c r="N38" t="str" cm="1">
        <f t="array" ref="N38">_xll.BDP($B38,N$1)</f>
        <v>STREET CONVENTION</v>
      </c>
      <c r="O38" t="str" cm="1">
        <f t="array" ref="O38">_xll.BDP($B38,O$1)</f>
        <v>#N/A Field Not Applicable</v>
      </c>
      <c r="P38" t="str" cm="1">
        <f t="array" ref="P38">_xll.BDP($B38,P$1)</f>
        <v>AAA</v>
      </c>
      <c r="Q38" t="str" cm="1">
        <f t="array" ref="Q38">_xll.BDP($B38,Q$1)</f>
        <v>Aaa</v>
      </c>
      <c r="R38" t="str" cm="1">
        <f t="array" ref="R38">_xll.BDP($B38,R$1)</f>
        <v>#N/A N/A</v>
      </c>
      <c r="S38" cm="1">
        <f t="array" ref="S38">_xll.BDP($B38,S$1)</f>
        <v>1</v>
      </c>
      <c r="T38" cm="1">
        <f t="array" ref="T38">_xll.BDP($B38,T$1)</f>
        <v>-121.82648963393862</v>
      </c>
      <c r="U38" cm="1">
        <f t="array" ref="U38">_xll.BDP($B38,U$1)</f>
        <v>12.351965</v>
      </c>
      <c r="V38" cm="1">
        <f t="array" ref="V38">_xll.BDP($B38,V$1)</f>
        <v>4</v>
      </c>
      <c r="W38" cm="1">
        <f t="array" ref="W38">_xll.BDP($B38,W$1)</f>
        <v>6665000</v>
      </c>
      <c r="X38" t="str" cm="1">
        <f t="array" ref="X38">_xll.BDP($B38,X$1)</f>
        <v>8176888Z US</v>
      </c>
      <c r="Y38" t="str" cm="1">
        <f t="array" ref="Y38">_xll.BDP($B38,Y$1)</f>
        <v>Supranational</v>
      </c>
      <c r="Z38" t="str" cm="1">
        <f t="array" ref="Z38">_xll.BDP($B38,Z$1)</f>
        <v>Government</v>
      </c>
      <c r="AA38" t="str" cm="1">
        <f t="array" ref="AA38">_xll.BDP($B38,AA$1)</f>
        <v>Multi-National</v>
      </c>
      <c r="AB38" t="str" cm="1">
        <f t="array" ref="AB38">_xll.BDP($B38,AB$1)</f>
        <v>EURO MTN</v>
      </c>
      <c r="AC38" t="str" cm="1">
        <f t="array" ref="AC38">_xll.BDP($B38,AC$1)</f>
        <v>SNAT</v>
      </c>
      <c r="AD38" t="str" cm="1">
        <f t="array" ref="AD38">_xll.BDP($B38,AD$1)</f>
        <v>11/8/2025</v>
      </c>
      <c r="AE38" t="str" cm="1">
        <f t="array" ref="AE38">_xll.BDP($B38,AE$1)</f>
        <v>AT MATURITY</v>
      </c>
      <c r="AF38" cm="1">
        <f t="array" ref="AF38">_xll.BDP($B38,AF$1)</f>
        <v>400000000</v>
      </c>
      <c r="AG38" cm="1">
        <f t="array" ref="AG38">_xll.BDP($B38,AG$1)</f>
        <v>400000000</v>
      </c>
      <c r="AH38" t="str" cm="1">
        <f t="array" ref="AH38">_xll.BDP($B38,AH$1)</f>
        <v>International</v>
      </c>
      <c r="AI38" t="str" cm="1">
        <f t="array" ref="AI38">_xll.BDP($X38 &amp; " Equity",AI$1)</f>
        <v>#N/A N/A</v>
      </c>
      <c r="AJ38" t="str" cm="1">
        <f t="array" ref="AJ38">_xll.BDP($X38 &amp; " Equity",AJ$1)</f>
        <v>US</v>
      </c>
      <c r="AK38" t="str" cm="1">
        <f t="array" ref="AK38">_xll.BDS($X38&amp;"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39" spans="2:37" x14ac:dyDescent="0.25">
      <c r="B39" t="s">
        <v>178</v>
      </c>
      <c r="C39" t="str" cm="1">
        <f t="array" ref="C39">_xll.BDP($B39,C$1)</f>
        <v>INTER-AMERICAN DEVEL BK</v>
      </c>
      <c r="D39" t="str" cm="1">
        <f t="array" ref="D39">_xll.BDP($B39,D$1)</f>
        <v>BBG00ZCMCVW3</v>
      </c>
      <c r="E39" t="str" cm="1">
        <f t="array" ref="E39">_xll.BDP($B39,E$1)</f>
        <v>XS2307046354</v>
      </c>
      <c r="F39" t="str" cm="1">
        <f t="array" ref="F39">_xll.BDP($B39,F$1)</f>
        <v>3/4/2021</v>
      </c>
      <c r="G39" t="str" cm="1">
        <f t="array" ref="G39">_xll.BDP($B39,G$1)</f>
        <v>3/4/2031</v>
      </c>
      <c r="H39" t="str" cm="1">
        <f t="array" ref="H39">_xll.BDP($B39,H$1)</f>
        <v>BRL</v>
      </c>
      <c r="I39" t="str" cm="1">
        <f t="array" ref="I39">_xll.BDP($B39,I$1)</f>
        <v>FIXED</v>
      </c>
      <c r="J39" cm="1">
        <f t="array" ref="J39">_xll.BDP($B39,J$1)</f>
        <v>6.5</v>
      </c>
      <c r="K39" t="str" cm="1">
        <f t="array" ref="K39">_xll.BDP($B39,K$1)</f>
        <v>#N/A Field Not Applicable</v>
      </c>
      <c r="L39" t="str" cm="1">
        <f t="array" ref="L39">_xll.BDP($B39,L$1)</f>
        <v>N</v>
      </c>
      <c r="M39" cm="1">
        <f t="array" ref="M39">_xll.BDP($B39,M$1)</f>
        <v>1</v>
      </c>
      <c r="N39" t="str" cm="1">
        <f t="array" ref="N39">_xll.BDP($B39,N$1)</f>
        <v>STREET CONVENTION</v>
      </c>
      <c r="O39" t="str" cm="1">
        <f t="array" ref="O39">_xll.BDP($B39,O$1)</f>
        <v>#N/A Field Not Applicable</v>
      </c>
      <c r="P39" t="str" cm="1">
        <f t="array" ref="P39">_xll.BDP($B39,P$1)</f>
        <v>AAA</v>
      </c>
      <c r="Q39" t="str" cm="1">
        <f t="array" ref="Q39">_xll.BDP($B39,Q$1)</f>
        <v>Aaa</v>
      </c>
      <c r="R39" t="str" cm="1">
        <f t="array" ref="R39">_xll.BDP($B39,R$1)</f>
        <v>#N/A N/A</v>
      </c>
      <c r="S39" cm="1">
        <f t="array" ref="S39">_xll.BDP($B39,S$1)</f>
        <v>1</v>
      </c>
      <c r="T39" cm="1">
        <f t="array" ref="T39">_xll.BDP($B39,T$1)</f>
        <v>-167.87537304723764</v>
      </c>
      <c r="U39" cm="1">
        <f t="array" ref="U39">_xll.BDP($B39,U$1)</f>
        <v>12.088989</v>
      </c>
      <c r="V39" cm="1">
        <f t="array" ref="V39">_xll.BDP($B39,V$1)</f>
        <v>0</v>
      </c>
      <c r="W39" t="str" cm="1">
        <f t="array" ref="W39">_xll.BDP($B39,W$1)</f>
        <v>#N/A N/A</v>
      </c>
      <c r="X39" t="str" cm="1">
        <f t="array" ref="X39">_xll.BDP($B39,X$1)</f>
        <v>1814Z US</v>
      </c>
      <c r="Y39" t="str" cm="1">
        <f t="array" ref="Y39">_xll.BDP($B39,Y$1)</f>
        <v>Supranational</v>
      </c>
      <c r="Z39" t="str" cm="1">
        <f t="array" ref="Z39">_xll.BDP($B39,Z$1)</f>
        <v>Government</v>
      </c>
      <c r="AA39" t="str" cm="1">
        <f t="array" ref="AA39">_xll.BDP($B39,AA$1)</f>
        <v>Multi-National</v>
      </c>
      <c r="AB39" t="str" cm="1">
        <f t="array" ref="AB39">_xll.BDP($B39,AB$1)</f>
        <v>EURO MTN</v>
      </c>
      <c r="AC39" t="str" cm="1">
        <f t="array" ref="AC39">_xll.BDP($B39,AC$1)</f>
        <v>SNAT</v>
      </c>
      <c r="AD39" t="str" cm="1">
        <f t="array" ref="AD39">_xll.BDP($B39,AD$1)</f>
        <v>3/4/2022</v>
      </c>
      <c r="AE39" t="str" cm="1">
        <f t="array" ref="AE39">_xll.BDP($B39,AE$1)</f>
        <v>AT MATURITY</v>
      </c>
      <c r="AF39" cm="1">
        <f t="array" ref="AF39">_xll.BDP($B39,AF$1)</f>
        <v>200000000</v>
      </c>
      <c r="AG39" cm="1">
        <f t="array" ref="AG39">_xll.BDP($B39,AG$1)</f>
        <v>200000000</v>
      </c>
      <c r="AH39" t="str" cm="1">
        <f t="array" ref="AH39">_xll.BDP($B39,AH$1)</f>
        <v>International</v>
      </c>
      <c r="AI39" t="str" cm="1">
        <f t="array" ref="AI39">_xll.BDP($X39 &amp; " Equity",AI$1)</f>
        <v>#N/A N/A</v>
      </c>
      <c r="AJ39" t="str" cm="1">
        <f t="array" ref="AJ39">_xll.BDP($X39 &amp; " Equity",AJ$1)</f>
        <v>US</v>
      </c>
      <c r="AK39" t="str" cm="1">
        <f t="array" ref="AK39">_xll.BDS($X39&amp;" Equity",AK$1,"FILL=NA","Aggregate=y")</f>
        <v>Inter-American Development Bank operates as a multilateral development institution. The Bank conducts lending operations emphasizes agricultural, energy, and transportation industries, as well as focuses on poverty reduction, social equity, modernization, integration, and the environmental development. Inter-American Development conducts its business worldwide.</v>
      </c>
    </row>
    <row r="40" spans="2:37" x14ac:dyDescent="0.25">
      <c r="B40" t="s">
        <v>179</v>
      </c>
      <c r="C40" t="str" cm="1">
        <f t="array" ref="C40">_xll.BDP($B40,C$1)</f>
        <v>EUROPEAN BK RECON &amp; DEV</v>
      </c>
      <c r="D40" t="str" cm="1">
        <f t="array" ref="D40">_xll.BDP($B40,D$1)</f>
        <v>BBG01P2W76H1</v>
      </c>
      <c r="E40" t="str" cm="1">
        <f t="array" ref="E40">_xll.BDP($B40,E$1)</f>
        <v>XS2875795945</v>
      </c>
      <c r="F40" t="str" cm="1">
        <f t="array" ref="F40">_xll.BDP($B40,F$1)</f>
        <v>8/8/2024</v>
      </c>
      <c r="G40" t="str" cm="1">
        <f t="array" ref="G40">_xll.BDP($B40,G$1)</f>
        <v>1/8/2030</v>
      </c>
      <c r="H40" t="str" cm="1">
        <f t="array" ref="H40">_xll.BDP($B40,H$1)</f>
        <v>BRL</v>
      </c>
      <c r="I40" t="str" cm="1">
        <f t="array" ref="I40">_xll.BDP($B40,I$1)</f>
        <v>FIXED</v>
      </c>
      <c r="J40" cm="1">
        <f t="array" ref="J40">_xll.BDP($B40,J$1)</f>
        <v>8</v>
      </c>
      <c r="K40" t="str" cm="1">
        <f t="array" ref="K40">_xll.BDP($B40,K$1)</f>
        <v>#N/A Field Not Applicable</v>
      </c>
      <c r="L40" t="str" cm="1">
        <f t="array" ref="L40">_xll.BDP($B40,L$1)</f>
        <v>N</v>
      </c>
      <c r="M40" cm="1">
        <f t="array" ref="M40">_xll.BDP($B40,M$1)</f>
        <v>1</v>
      </c>
      <c r="N40" t="str" cm="1">
        <f t="array" ref="N40">_xll.BDP($B40,N$1)</f>
        <v>STREET CONVENTION</v>
      </c>
      <c r="O40" t="str" cm="1">
        <f t="array" ref="O40">_xll.BDP($B40,O$1)</f>
        <v>#N/A Field Not Applicable</v>
      </c>
      <c r="P40" t="str" cm="1">
        <f t="array" ref="P40">_xll.BDP($B40,P$1)</f>
        <v>#N/A N/A</v>
      </c>
      <c r="Q40" t="str" cm="1">
        <f t="array" ref="Q40">_xll.BDP($B40,Q$1)</f>
        <v>#N/A N/A</v>
      </c>
      <c r="R40" t="str" cm="1">
        <f t="array" ref="R40">_xll.BDP($B40,R$1)</f>
        <v>AAA</v>
      </c>
      <c r="S40" cm="1">
        <f t="array" ref="S40">_xll.BDP($B40,S$1)</f>
        <v>1</v>
      </c>
      <c r="T40" cm="1">
        <f t="array" ref="T40">_xll.BDP($B40,T$1)</f>
        <v>-142.60618496322746</v>
      </c>
      <c r="U40" cm="1">
        <f t="array" ref="U40">_xll.BDP($B40,U$1)</f>
        <v>12.092383999999999</v>
      </c>
      <c r="V40" t="str" cm="1">
        <f t="array" ref="V40">_xll.BDP($B40,V$1)</f>
        <v>#N/A N/A</v>
      </c>
      <c r="W40" t="str" cm="1">
        <f t="array" ref="W40">_xll.BDP($B40,W$1)</f>
        <v>#N/A N/A</v>
      </c>
      <c r="X40" t="str" cm="1">
        <f t="array" ref="X40">_xll.BDP($B40,X$1)</f>
        <v>6044Z LN</v>
      </c>
      <c r="Y40" t="str" cm="1">
        <f t="array" ref="Y40">_xll.BDP($B40,Y$1)</f>
        <v>Supranational</v>
      </c>
      <c r="Z40" t="str" cm="1">
        <f t="array" ref="Z40">_xll.BDP($B40,Z$1)</f>
        <v>Government</v>
      </c>
      <c r="AA40" t="str" cm="1">
        <f t="array" ref="AA40">_xll.BDP($B40,AA$1)</f>
        <v>Multi-National</v>
      </c>
      <c r="AB40" t="str" cm="1">
        <f t="array" ref="AB40">_xll.BDP($B40,AB$1)</f>
        <v>EURO MTN</v>
      </c>
      <c r="AC40" t="str" cm="1">
        <f t="array" ref="AC40">_xll.BDP($B40,AC$1)</f>
        <v>SNAT</v>
      </c>
      <c r="AD40" t="str" cm="1">
        <f t="array" ref="AD40">_xll.BDP($B40,AD$1)</f>
        <v>1/8/2025</v>
      </c>
      <c r="AE40" t="str" cm="1">
        <f t="array" ref="AE40">_xll.BDP($B40,AE$1)</f>
        <v>AT MATURITY</v>
      </c>
      <c r="AF40" cm="1">
        <f t="array" ref="AF40">_xll.BDP($B40,AF$1)</f>
        <v>600000000</v>
      </c>
      <c r="AG40" cm="1">
        <f t="array" ref="AG40">_xll.BDP($B40,AG$1)</f>
        <v>600000000</v>
      </c>
      <c r="AH40" t="str" cm="1">
        <f t="array" ref="AH40">_xll.BDP($B40,AH$1)</f>
        <v>International</v>
      </c>
      <c r="AI40" t="str" cm="1">
        <f t="array" ref="AI40">_xll.BDP($X40 &amp; " Equity",AI$1)</f>
        <v>#N/A N/A</v>
      </c>
      <c r="AJ40" t="str" cm="1">
        <f t="array" ref="AJ40">_xll.BDP($X40 &amp; " Equity",AJ$1)</f>
        <v>LN</v>
      </c>
      <c r="AK40" t="str" cm="1">
        <f t="array" ref="AK40">_xll.BDS($X40&amp;"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41" spans="2:37" x14ac:dyDescent="0.25">
      <c r="B41" t="s">
        <v>180</v>
      </c>
      <c r="C41" t="str" cm="1">
        <f t="array" ref="C41">_xll.BDP($B41,C$1)</f>
        <v>INTL BK RECON &amp; DEVELOP</v>
      </c>
      <c r="D41" t="str" cm="1">
        <f t="array" ref="D41">_xll.BDP($B41,D$1)</f>
        <v>BBG014HVLFW1</v>
      </c>
      <c r="E41" t="str" cm="1">
        <f t="array" ref="E41">_xll.BDP($B41,E$1)</f>
        <v>XS2433833238</v>
      </c>
      <c r="F41" t="str" cm="1">
        <f t="array" ref="F41">_xll.BDP($B41,F$1)</f>
        <v>1/20/2022</v>
      </c>
      <c r="G41" t="str" cm="1">
        <f t="array" ref="G41">_xll.BDP($B41,G$1)</f>
        <v>1/20/2026</v>
      </c>
      <c r="H41" t="str" cm="1">
        <f t="array" ref="H41">_xll.BDP($B41,H$1)</f>
        <v>BRL</v>
      </c>
      <c r="I41" t="str" cm="1">
        <f t="array" ref="I41">_xll.BDP($B41,I$1)</f>
        <v>FIXED</v>
      </c>
      <c r="J41" cm="1">
        <f t="array" ref="J41">_xll.BDP($B41,J$1)</f>
        <v>9.5</v>
      </c>
      <c r="K41" t="str" cm="1">
        <f t="array" ref="K41">_xll.BDP($B41,K$1)</f>
        <v>#N/A Field Not Applicable</v>
      </c>
      <c r="L41" t="str" cm="1">
        <f t="array" ref="L41">_xll.BDP($B41,L$1)</f>
        <v>N</v>
      </c>
      <c r="M41" cm="1">
        <f t="array" ref="M41">_xll.BDP($B41,M$1)</f>
        <v>1</v>
      </c>
      <c r="N41" t="str" cm="1">
        <f t="array" ref="N41">_xll.BDP($B41,N$1)</f>
        <v>STREET CONVENTION</v>
      </c>
      <c r="O41" t="str" cm="1">
        <f t="array" ref="O41">_xll.BDP($B41,O$1)</f>
        <v>#N/A Field Not Applicable</v>
      </c>
      <c r="P41" t="str" cm="1">
        <f t="array" ref="P41">_xll.BDP($B41,P$1)</f>
        <v>AAA</v>
      </c>
      <c r="Q41" t="str" cm="1">
        <f t="array" ref="Q41">_xll.BDP($B41,Q$1)</f>
        <v>Aaa</v>
      </c>
      <c r="R41" t="str" cm="1">
        <f t="array" ref="R41">_xll.BDP($B41,R$1)</f>
        <v>#N/A N/A</v>
      </c>
      <c r="S41" cm="1">
        <f t="array" ref="S41">_xll.BDP($B41,S$1)</f>
        <v>1</v>
      </c>
      <c r="T41" cm="1">
        <f t="array" ref="T41">_xll.BDP($B41,T$1)</f>
        <v>-119.77741988481867</v>
      </c>
      <c r="U41" cm="1">
        <f t="array" ref="U41">_xll.BDP($B41,U$1)</f>
        <v>13.631076</v>
      </c>
      <c r="V41" cm="1">
        <f t="array" ref="V41">_xll.BDP($B41,V$1)</f>
        <v>0</v>
      </c>
      <c r="W41" t="str" cm="1">
        <f t="array" ref="W41">_xll.BDP($B41,W$1)</f>
        <v>#N/A N/A</v>
      </c>
      <c r="X41" t="str" cm="1">
        <f t="array" ref="X41">_xll.BDP($B41,X$1)</f>
        <v>8176888Z US</v>
      </c>
      <c r="Y41" t="str" cm="1">
        <f t="array" ref="Y41">_xll.BDP($B41,Y$1)</f>
        <v>Supranational</v>
      </c>
      <c r="Z41" t="str" cm="1">
        <f t="array" ref="Z41">_xll.BDP($B41,Z$1)</f>
        <v>Government</v>
      </c>
      <c r="AA41" t="str" cm="1">
        <f t="array" ref="AA41">_xll.BDP($B41,AA$1)</f>
        <v>Multi-National</v>
      </c>
      <c r="AB41" t="str" cm="1">
        <f t="array" ref="AB41">_xll.BDP($B41,AB$1)</f>
        <v>EURO MTN</v>
      </c>
      <c r="AC41" t="str" cm="1">
        <f t="array" ref="AC41">_xll.BDP($B41,AC$1)</f>
        <v>SNAT</v>
      </c>
      <c r="AD41" t="str" cm="1">
        <f t="array" ref="AD41">_xll.BDP($B41,AD$1)</f>
        <v>1/20/2023</v>
      </c>
      <c r="AE41" t="str" cm="1">
        <f t="array" ref="AE41">_xll.BDP($B41,AE$1)</f>
        <v>AT MATURITY</v>
      </c>
      <c r="AF41" cm="1">
        <f t="array" ref="AF41">_xll.BDP($B41,AF$1)</f>
        <v>200000000</v>
      </c>
      <c r="AG41" cm="1">
        <f t="array" ref="AG41">_xll.BDP($B41,AG$1)</f>
        <v>200000000</v>
      </c>
      <c r="AH41" t="str" cm="1">
        <f t="array" ref="AH41">_xll.BDP($B41,AH$1)</f>
        <v>International</v>
      </c>
      <c r="AI41" t="str" cm="1">
        <f t="array" ref="AI41">_xll.BDP($X41 &amp; " Equity",AI$1)</f>
        <v>#N/A N/A</v>
      </c>
      <c r="AJ41" t="str" cm="1">
        <f t="array" ref="AJ41">_xll.BDP($X41 &amp; " Equity",AJ$1)</f>
        <v>US</v>
      </c>
      <c r="AK41" t="str" cm="1">
        <f t="array" ref="AK41">_xll.BDS($X41&amp;"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42" spans="2:37" x14ac:dyDescent="0.25">
      <c r="B42" t="s">
        <v>181</v>
      </c>
      <c r="C42" t="str" cm="1">
        <f t="array" ref="C42">_xll.BDP($B42,C$1)</f>
        <v>INTL BK RECON &amp; DEVELOP</v>
      </c>
      <c r="D42" t="str" cm="1">
        <f t="array" ref="D42">_xll.BDP($B42,D$1)</f>
        <v>BBG00PH0DC95</v>
      </c>
      <c r="E42" t="str" cm="1">
        <f t="array" ref="E42">_xll.BDP($B42,E$1)</f>
        <v>XS2019238679</v>
      </c>
      <c r="F42" t="str" cm="1">
        <f t="array" ref="F42">_xll.BDP($B42,F$1)</f>
        <v>7/1/2019</v>
      </c>
      <c r="G42" t="str" cm="1">
        <f t="array" ref="G42">_xll.BDP($B42,G$1)</f>
        <v>7/1/2026</v>
      </c>
      <c r="H42" t="str" cm="1">
        <f t="array" ref="H42">_xll.BDP($B42,H$1)</f>
        <v>BRL</v>
      </c>
      <c r="I42" t="str" cm="1">
        <f t="array" ref="I42">_xll.BDP($B42,I$1)</f>
        <v>ZERO COUPON</v>
      </c>
      <c r="J42" cm="1">
        <f t="array" ref="J42">_xll.BDP($B42,J$1)</f>
        <v>0</v>
      </c>
      <c r="K42" t="str" cm="1">
        <f t="array" ref="K42">_xll.BDP($B42,K$1)</f>
        <v>#N/A Field Not Applicable</v>
      </c>
      <c r="L42" t="str" cm="1">
        <f t="array" ref="L42">_xll.BDP($B42,L$1)</f>
        <v>N</v>
      </c>
      <c r="M42" cm="1">
        <f t="array" ref="M42">_xll.BDP($B42,M$1)</f>
        <v>1</v>
      </c>
      <c r="N42" t="str" cm="1">
        <f t="array" ref="N42">_xll.BDP($B42,N$1)</f>
        <v>STREET CONVENTION</v>
      </c>
      <c r="O42" t="str" cm="1">
        <f t="array" ref="O42">_xll.BDP($B42,O$1)</f>
        <v>#N/A Field Not Applicable</v>
      </c>
      <c r="P42" t="str" cm="1">
        <f t="array" ref="P42">_xll.BDP($B42,P$1)</f>
        <v>#N/A N/A</v>
      </c>
      <c r="Q42" t="str" cm="1">
        <f t="array" ref="Q42">_xll.BDP($B42,Q$1)</f>
        <v>Aaa</v>
      </c>
      <c r="R42" t="str" cm="1">
        <f t="array" ref="R42">_xll.BDP($B42,R$1)</f>
        <v>#N/A N/A</v>
      </c>
      <c r="S42" t="str" cm="1">
        <f t="array" ref="S42">_xll.BDP($B42,S$1)</f>
        <v>#N/A Field Not Applicable</v>
      </c>
      <c r="T42" cm="1">
        <f t="array" ref="T42">_xll.BDP($B42,T$1)</f>
        <v>-17.205057413130831</v>
      </c>
      <c r="U42" cm="1">
        <f t="array" ref="U42">_xll.BDP($B42,U$1)</f>
        <v>14.450990000000001</v>
      </c>
      <c r="V42" t="str" cm="1">
        <f t="array" ref="V42">_xll.BDP($B42,V$1)</f>
        <v>#N/A N/A</v>
      </c>
      <c r="W42" t="str" cm="1">
        <f t="array" ref="W42">_xll.BDP($B42,W$1)</f>
        <v>#N/A N/A</v>
      </c>
      <c r="X42" t="str" cm="1">
        <f t="array" ref="X42">_xll.BDP($B42,X$1)</f>
        <v>8176888Z US</v>
      </c>
      <c r="Y42" t="str" cm="1">
        <f t="array" ref="Y42">_xll.BDP($B42,Y$1)</f>
        <v>Supranational</v>
      </c>
      <c r="Z42" t="str" cm="1">
        <f t="array" ref="Z42">_xll.BDP($B42,Z$1)</f>
        <v>Government</v>
      </c>
      <c r="AA42" t="str" cm="1">
        <f t="array" ref="AA42">_xll.BDP($B42,AA$1)</f>
        <v>Multi-National</v>
      </c>
      <c r="AB42" t="str" cm="1">
        <f t="array" ref="AB42">_xll.BDP($B42,AB$1)</f>
        <v>EURO MTN</v>
      </c>
      <c r="AC42" t="str" cm="1">
        <f t="array" ref="AC42">_xll.BDP($B42,AC$1)</f>
        <v>SNAT</v>
      </c>
      <c r="AD42" t="str" cm="1">
        <f t="array" ref="AD42">_xll.BDP($B42,AD$1)</f>
        <v>#N/A Field Not Applicable</v>
      </c>
      <c r="AE42" t="str" cm="1">
        <f t="array" ref="AE42">_xll.BDP($B42,AE$1)</f>
        <v>AT MATURITY</v>
      </c>
      <c r="AF42" cm="1">
        <f t="array" ref="AF42">_xll.BDP($B42,AF$1)</f>
        <v>70000000</v>
      </c>
      <c r="AG42" cm="1">
        <f t="array" ref="AG42">_xll.BDP($B42,AG$1)</f>
        <v>70000000</v>
      </c>
      <c r="AH42" t="str" cm="1">
        <f t="array" ref="AH42">_xll.BDP($B42,AH$1)</f>
        <v>International</v>
      </c>
      <c r="AI42" t="str" cm="1">
        <f t="array" ref="AI42">_xll.BDP($X42 &amp; " Equity",AI$1)</f>
        <v>#N/A N/A</v>
      </c>
      <c r="AJ42" t="str" cm="1">
        <f t="array" ref="AJ42">_xll.BDP($X42 &amp; " Equity",AJ$1)</f>
        <v>US</v>
      </c>
      <c r="AK42" t="str" cm="1">
        <f t="array" ref="AK42">_xll.BDS($X42&amp;"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43" spans="2:37" x14ac:dyDescent="0.25">
      <c r="B43" t="s">
        <v>182</v>
      </c>
      <c r="C43" t="str" cm="1">
        <f t="array" ref="C43">_xll.BDP($B43,C$1)</f>
        <v>INTER-AMERICAN INVEST CO</v>
      </c>
      <c r="D43" t="str" cm="1">
        <f t="array" ref="D43">_xll.BDP($B43,D$1)</f>
        <v>BBG01NC0LQP6</v>
      </c>
      <c r="E43" t="str" cm="1">
        <f t="array" ref="E43">_xll.BDP($B43,E$1)</f>
        <v>XS2848649138</v>
      </c>
      <c r="F43" t="str" cm="1">
        <f t="array" ref="F43">_xll.BDP($B43,F$1)</f>
        <v>6/24/2024</v>
      </c>
      <c r="G43" t="str" cm="1">
        <f t="array" ref="G43">_xll.BDP($B43,G$1)</f>
        <v>6/24/2029</v>
      </c>
      <c r="H43" t="str" cm="1">
        <f t="array" ref="H43">_xll.BDP($B43,H$1)</f>
        <v>BRL</v>
      </c>
      <c r="I43" t="str" cm="1">
        <f t="array" ref="I43">_xll.BDP($B43,I$1)</f>
        <v>FIXED</v>
      </c>
      <c r="J43" cm="1">
        <f t="array" ref="J43">_xll.BDP($B43,J$1)</f>
        <v>11.4</v>
      </c>
      <c r="K43" t="str" cm="1">
        <f t="array" ref="K43">_xll.BDP($B43,K$1)</f>
        <v>#N/A Field Not Applicable</v>
      </c>
      <c r="L43" t="str" cm="1">
        <f t="array" ref="L43">_xll.BDP($B43,L$1)</f>
        <v>N</v>
      </c>
      <c r="M43" cm="1">
        <f t="array" ref="M43">_xll.BDP($B43,M$1)</f>
        <v>1</v>
      </c>
      <c r="N43" t="str" cm="1">
        <f t="array" ref="N43">_xll.BDP($B43,N$1)</f>
        <v>STREET CONVENTION</v>
      </c>
      <c r="O43" t="str" cm="1">
        <f t="array" ref="O43">_xll.BDP($B43,O$1)</f>
        <v>#N/A Field Not Applicable</v>
      </c>
      <c r="P43" t="str" cm="1">
        <f t="array" ref="P43">_xll.BDP($B43,P$1)</f>
        <v>#N/A N/A</v>
      </c>
      <c r="Q43" t="str" cm="1">
        <f t="array" ref="Q43">_xll.BDP($B43,Q$1)</f>
        <v>#N/A N/A</v>
      </c>
      <c r="R43" t="str" cm="1">
        <f t="array" ref="R43">_xll.BDP($B43,R$1)</f>
        <v>AAA</v>
      </c>
      <c r="S43" cm="1">
        <f t="array" ref="S43">_xll.BDP($B43,S$1)</f>
        <v>1</v>
      </c>
      <c r="T43" cm="1">
        <f t="array" ref="T43">_xll.BDP($B43,T$1)</f>
        <v>-130.7753340415058</v>
      </c>
      <c r="U43" cm="1">
        <f t="array" ref="U43">_xll.BDP($B43,U$1)</f>
        <v>12.156423999999999</v>
      </c>
      <c r="V43" t="str" cm="1">
        <f t="array" ref="V43">_xll.BDP($B43,V$1)</f>
        <v>#N/A N/A</v>
      </c>
      <c r="W43" t="str" cm="1">
        <f t="array" ref="W43">_xll.BDP($B43,W$1)</f>
        <v>#N/A N/A</v>
      </c>
      <c r="X43" t="str" cm="1">
        <f t="array" ref="X43">_xll.BDP($B43,X$1)</f>
        <v>1814Z US</v>
      </c>
      <c r="Y43" t="str" cm="1">
        <f t="array" ref="Y43">_xll.BDP($B43,Y$1)</f>
        <v>Supranational</v>
      </c>
      <c r="Z43" t="str" cm="1">
        <f t="array" ref="Z43">_xll.BDP($B43,Z$1)</f>
        <v>Government</v>
      </c>
      <c r="AA43" t="str" cm="1">
        <f t="array" ref="AA43">_xll.BDP($B43,AA$1)</f>
        <v>Multi-National</v>
      </c>
      <c r="AB43" t="str" cm="1">
        <f t="array" ref="AB43">_xll.BDP($B43,AB$1)</f>
        <v>EURO MTN</v>
      </c>
      <c r="AC43" t="str" cm="1">
        <f t="array" ref="AC43">_xll.BDP($B43,AC$1)</f>
        <v>SNAT</v>
      </c>
      <c r="AD43" t="str" cm="1">
        <f t="array" ref="AD43">_xll.BDP($B43,AD$1)</f>
        <v>6/24/2025</v>
      </c>
      <c r="AE43" t="str" cm="1">
        <f t="array" ref="AE43">_xll.BDP($B43,AE$1)</f>
        <v>AT MATURITY</v>
      </c>
      <c r="AF43" cm="1">
        <f t="array" ref="AF43">_xll.BDP($B43,AF$1)</f>
        <v>50000000</v>
      </c>
      <c r="AG43" cm="1">
        <f t="array" ref="AG43">_xll.BDP($B43,AG$1)</f>
        <v>50000000</v>
      </c>
      <c r="AH43" t="str" cm="1">
        <f t="array" ref="AH43">_xll.BDP($B43,AH$1)</f>
        <v>International</v>
      </c>
      <c r="AI43" t="str" cm="1">
        <f t="array" ref="AI43">_xll.BDP($X43 &amp; " Equity",AI$1)</f>
        <v>#N/A N/A</v>
      </c>
      <c r="AJ43" t="str" cm="1">
        <f t="array" ref="AJ43">_xll.BDP($X43 &amp; " Equity",AJ$1)</f>
        <v>US</v>
      </c>
      <c r="AK43" t="str" cm="1">
        <f t="array" ref="AK43">_xll.BDS($X43&amp;" Equity",AK$1,"FILL=NA","Aggregate=y")</f>
        <v>Inter-American Development Bank operates as a multilateral development institution. The Bank conducts lending operations emphasizes agricultural, energy, and transportation industries, as well as focuses on poverty reduction, social equity, modernization, integration, and the environmental development. Inter-American Development conducts its business worldwide.</v>
      </c>
    </row>
    <row r="44" spans="2:37" x14ac:dyDescent="0.25">
      <c r="B44" t="s">
        <v>183</v>
      </c>
      <c r="C44" t="str" cm="1">
        <f t="array" ref="C44">_xll.BDP($B44,C$1)</f>
        <v>INTL BK RECON &amp; DEVELOP</v>
      </c>
      <c r="D44" t="str" cm="1">
        <f t="array" ref="D44">_xll.BDP($B44,D$1)</f>
        <v>BBG01C8QHRB6</v>
      </c>
      <c r="E44" t="str" cm="1">
        <f t="array" ref="E44">_xll.BDP($B44,E$1)</f>
        <v>XS2575682450</v>
      </c>
      <c r="F44" t="str" cm="1">
        <f t="array" ref="F44">_xll.BDP($B44,F$1)</f>
        <v>1/13/2023</v>
      </c>
      <c r="G44" t="str" cm="1">
        <f t="array" ref="G44">_xll.BDP($B44,G$1)</f>
        <v>1/13/2026</v>
      </c>
      <c r="H44" t="str" cm="1">
        <f t="array" ref="H44">_xll.BDP($B44,H$1)</f>
        <v>BRL</v>
      </c>
      <c r="I44" t="str" cm="1">
        <f t="array" ref="I44">_xll.BDP($B44,I$1)</f>
        <v>FIXED</v>
      </c>
      <c r="J44" cm="1">
        <f t="array" ref="J44">_xll.BDP($B44,J$1)</f>
        <v>11.5</v>
      </c>
      <c r="K44" t="str" cm="1">
        <f t="array" ref="K44">_xll.BDP($B44,K$1)</f>
        <v>#N/A Field Not Applicable</v>
      </c>
      <c r="L44" t="str" cm="1">
        <f t="array" ref="L44">_xll.BDP($B44,L$1)</f>
        <v>N</v>
      </c>
      <c r="M44" cm="1">
        <f t="array" ref="M44">_xll.BDP($B44,M$1)</f>
        <v>1</v>
      </c>
      <c r="N44" t="str" cm="1">
        <f t="array" ref="N44">_xll.BDP($B44,N$1)</f>
        <v>STREET CONVENTION</v>
      </c>
      <c r="O44" t="str" cm="1">
        <f t="array" ref="O44">_xll.BDP($B44,O$1)</f>
        <v>#N/A Field Not Applicable</v>
      </c>
      <c r="P44" t="str" cm="1">
        <f t="array" ref="P44">_xll.BDP($B44,P$1)</f>
        <v>AAA</v>
      </c>
      <c r="Q44" t="str" cm="1">
        <f t="array" ref="Q44">_xll.BDP($B44,Q$1)</f>
        <v>Aaa</v>
      </c>
      <c r="R44" t="str" cm="1">
        <f t="array" ref="R44">_xll.BDP($B44,R$1)</f>
        <v>#N/A N/A</v>
      </c>
      <c r="S44" cm="1">
        <f t="array" ref="S44">_xll.BDP($B44,S$1)</f>
        <v>1</v>
      </c>
      <c r="T44" cm="1">
        <f t="array" ref="T44">_xll.BDP($B44,T$1)</f>
        <v>-109.30518294086173</v>
      </c>
      <c r="U44" cm="1">
        <f t="array" ref="U44">_xll.BDP($B44,U$1)</f>
        <v>13.735797999999999</v>
      </c>
      <c r="V44" t="str" cm="1">
        <f t="array" ref="V44">_xll.BDP($B44,V$1)</f>
        <v>#N/A N/A</v>
      </c>
      <c r="W44" t="str" cm="1">
        <f t="array" ref="W44">_xll.BDP($B44,W$1)</f>
        <v>#N/A N/A</v>
      </c>
      <c r="X44" t="str" cm="1">
        <f t="array" ref="X44">_xll.BDP($B44,X$1)</f>
        <v>8176888Z US</v>
      </c>
      <c r="Y44" t="str" cm="1">
        <f t="array" ref="Y44">_xll.BDP($B44,Y$1)</f>
        <v>Supranational</v>
      </c>
      <c r="Z44" t="str" cm="1">
        <f t="array" ref="Z44">_xll.BDP($B44,Z$1)</f>
        <v>Government</v>
      </c>
      <c r="AA44" t="str" cm="1">
        <f t="array" ref="AA44">_xll.BDP($B44,AA$1)</f>
        <v>Multi-National</v>
      </c>
      <c r="AB44" t="str" cm="1">
        <f t="array" ref="AB44">_xll.BDP($B44,AB$1)</f>
        <v>EURO MTN</v>
      </c>
      <c r="AC44" t="str" cm="1">
        <f t="array" ref="AC44">_xll.BDP($B44,AC$1)</f>
        <v>SNAT</v>
      </c>
      <c r="AD44" t="str" cm="1">
        <f t="array" ref="AD44">_xll.BDP($B44,AD$1)</f>
        <v>1/13/2024</v>
      </c>
      <c r="AE44" t="str" cm="1">
        <f t="array" ref="AE44">_xll.BDP($B44,AE$1)</f>
        <v>AT MATURITY</v>
      </c>
      <c r="AF44" cm="1">
        <f t="array" ref="AF44">_xll.BDP($B44,AF$1)</f>
        <v>150000000</v>
      </c>
      <c r="AG44" cm="1">
        <f t="array" ref="AG44">_xll.BDP($B44,AG$1)</f>
        <v>16360000</v>
      </c>
      <c r="AH44" t="str" cm="1">
        <f t="array" ref="AH44">_xll.BDP($B44,AH$1)</f>
        <v>International</v>
      </c>
      <c r="AI44" t="str" cm="1">
        <f t="array" ref="AI44">_xll.BDP($X44 &amp; " Equity",AI$1)</f>
        <v>#N/A N/A</v>
      </c>
      <c r="AJ44" t="str" cm="1">
        <f t="array" ref="AJ44">_xll.BDP($X44 &amp; " Equity",AJ$1)</f>
        <v>US</v>
      </c>
      <c r="AK44" t="str" cm="1">
        <f t="array" ref="AK44">_xll.BDS($X44&amp;"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45" spans="2:37" x14ac:dyDescent="0.25">
      <c r="B45" t="s">
        <v>184</v>
      </c>
      <c r="C45" t="str" cm="1">
        <f t="array" ref="C45">_xll.BDP($B45,C$1)</f>
        <v>AFRICAN DEVELOPMENT BANK</v>
      </c>
      <c r="D45" t="str" cm="1">
        <f t="array" ref="D45">_xll.BDP($B45,D$1)</f>
        <v>BBG01N0QGG98</v>
      </c>
      <c r="E45" t="str" cm="1">
        <f t="array" ref="E45">_xll.BDP($B45,E$1)</f>
        <v>XS2831196535</v>
      </c>
      <c r="F45" t="str" cm="1">
        <f t="array" ref="F45">_xll.BDP($B45,F$1)</f>
        <v>6/5/2024</v>
      </c>
      <c r="G45" t="str" cm="1">
        <f t="array" ref="G45">_xll.BDP($B45,G$1)</f>
        <v>6/5/2034</v>
      </c>
      <c r="H45" t="str" cm="1">
        <f t="array" ref="H45">_xll.BDP($B45,H$1)</f>
        <v>BRL</v>
      </c>
      <c r="I45" t="str" cm="1">
        <f t="array" ref="I45">_xll.BDP($B45,I$1)</f>
        <v>ZERO COUPON</v>
      </c>
      <c r="J45" cm="1">
        <f t="array" ref="J45">_xll.BDP($B45,J$1)</f>
        <v>0</v>
      </c>
      <c r="K45" t="str" cm="1">
        <f t="array" ref="K45">_xll.BDP($B45,K$1)</f>
        <v>#N/A Field Not Applicable</v>
      </c>
      <c r="L45" t="str" cm="1">
        <f t="array" ref="L45">_xll.BDP($B45,L$1)</f>
        <v>N</v>
      </c>
      <c r="M45" cm="1">
        <f t="array" ref="M45">_xll.BDP($B45,M$1)</f>
        <v>1</v>
      </c>
      <c r="N45" t="str" cm="1">
        <f t="array" ref="N45">_xll.BDP($B45,N$1)</f>
        <v>STREET CONVENTION</v>
      </c>
      <c r="O45" t="str" cm="1">
        <f t="array" ref="O45">_xll.BDP($B45,O$1)</f>
        <v>#N/A Field Not Applicable</v>
      </c>
      <c r="P45" t="str" cm="1">
        <f t="array" ref="P45">_xll.BDP($B45,P$1)</f>
        <v>AAA</v>
      </c>
      <c r="Q45" t="str" cm="1">
        <f t="array" ref="Q45">_xll.BDP($B45,Q$1)</f>
        <v>Aaa</v>
      </c>
      <c r="R45" t="str" cm="1">
        <f t="array" ref="R45">_xll.BDP($B45,R$1)</f>
        <v>AAA</v>
      </c>
      <c r="S45" t="str" cm="1">
        <f t="array" ref="S45">_xll.BDP($B45,S$1)</f>
        <v>#N/A Field Not Applicable</v>
      </c>
      <c r="T45" cm="1">
        <f t="array" ref="T45">_xll.BDP($B45,T$1)</f>
        <v>-176.36003270459815</v>
      </c>
      <c r="U45" cm="1">
        <f t="array" ref="U45">_xll.BDP($B45,U$1)</f>
        <v>12.094561000000001</v>
      </c>
      <c r="V45" t="str" cm="1">
        <f t="array" ref="V45">_xll.BDP($B45,V$1)</f>
        <v>#N/A N/A</v>
      </c>
      <c r="W45" t="str" cm="1">
        <f t="array" ref="W45">_xll.BDP($B45,W$1)</f>
        <v>#N/A N/A</v>
      </c>
      <c r="X45" t="str" cm="1">
        <f t="array" ref="X45">_xll.BDP($B45,X$1)</f>
        <v>1598Z TU</v>
      </c>
      <c r="Y45" t="str" cm="1">
        <f t="array" ref="Y45">_xll.BDP($B45,Y$1)</f>
        <v>Supranational</v>
      </c>
      <c r="Z45" t="str" cm="1">
        <f t="array" ref="Z45">_xll.BDP($B45,Z$1)</f>
        <v>Government</v>
      </c>
      <c r="AA45" t="str" cm="1">
        <f t="array" ref="AA45">_xll.BDP($B45,AA$1)</f>
        <v>Multi-National</v>
      </c>
      <c r="AB45" t="str" cm="1">
        <f t="array" ref="AB45">_xll.BDP($B45,AB$1)</f>
        <v>EURO MTN</v>
      </c>
      <c r="AC45" t="str" cm="1">
        <f t="array" ref="AC45">_xll.BDP($B45,AC$1)</f>
        <v>SNAT</v>
      </c>
      <c r="AD45" t="str" cm="1">
        <f t="array" ref="AD45">_xll.BDP($B45,AD$1)</f>
        <v>#N/A Field Not Applicable</v>
      </c>
      <c r="AE45" t="str" cm="1">
        <f t="array" ref="AE45">_xll.BDP($B45,AE$1)</f>
        <v>AT MATURITY</v>
      </c>
      <c r="AF45" cm="1">
        <f t="array" ref="AF45">_xll.BDP($B45,AF$1)</f>
        <v>550000000</v>
      </c>
      <c r="AG45" cm="1">
        <f t="array" ref="AG45">_xll.BDP($B45,AG$1)</f>
        <v>550000000</v>
      </c>
      <c r="AH45" t="str" cm="1">
        <f t="array" ref="AH45">_xll.BDP($B45,AH$1)</f>
        <v>International</v>
      </c>
      <c r="AI45" t="str" cm="1">
        <f t="array" ref="AI45">_xll.BDP($X45 &amp; " Equity",AI$1)</f>
        <v>#N/A N/A</v>
      </c>
      <c r="AJ45" t="str" cm="1">
        <f t="array" ref="AJ45">_xll.BDP($X45 &amp; " Equity",AJ$1)</f>
        <v>TU</v>
      </c>
      <c r="AK45" t="str" cm="1">
        <f t="array" ref="AK45">_xll.BDS($X45&amp;"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46" spans="2:37" x14ac:dyDescent="0.25">
      <c r="B46" t="s">
        <v>185</v>
      </c>
      <c r="C46" t="str" cm="1">
        <f t="array" ref="C46">_xll.BDP($B46,C$1)</f>
        <v>INTL FINANCE CORP</v>
      </c>
      <c r="D46" t="str" cm="1">
        <f t="array" ref="D46">_xll.BDP($B46,D$1)</f>
        <v>BBG00J6HDYG8</v>
      </c>
      <c r="E46" t="str" cm="1">
        <f t="array" ref="E46">_xll.BDP($B46,E$1)</f>
        <v>XS1719268317</v>
      </c>
      <c r="F46" t="str" cm="1">
        <f t="array" ref="F46">_xll.BDP($B46,F$1)</f>
        <v>11/17/2017</v>
      </c>
      <c r="G46" t="str" cm="1">
        <f t="array" ref="G46">_xll.BDP($B46,G$1)</f>
        <v>11/17/2027</v>
      </c>
      <c r="H46" t="str" cm="1">
        <f t="array" ref="H46">_xll.BDP($B46,H$1)</f>
        <v>BRL</v>
      </c>
      <c r="I46" t="str" cm="1">
        <f t="array" ref="I46">_xll.BDP($B46,I$1)</f>
        <v>FIXED</v>
      </c>
      <c r="J46" cm="1">
        <f t="array" ref="J46">_xll.BDP($B46,J$1)</f>
        <v>0.5</v>
      </c>
      <c r="K46" t="str" cm="1">
        <f t="array" ref="K46">_xll.BDP($B46,K$1)</f>
        <v>#N/A Field Not Applicable</v>
      </c>
      <c r="L46" t="str" cm="1">
        <f t="array" ref="L46">_xll.BDP($B46,L$1)</f>
        <v>N</v>
      </c>
      <c r="M46" cm="1">
        <f t="array" ref="M46">_xll.BDP($B46,M$1)</f>
        <v>1</v>
      </c>
      <c r="N46" t="str" cm="1">
        <f t="array" ref="N46">_xll.BDP($B46,N$1)</f>
        <v>STREET CONVENTION</v>
      </c>
      <c r="O46" t="str" cm="1">
        <f t="array" ref="O46">_xll.BDP($B46,O$1)</f>
        <v>#N/A Field Not Applicable</v>
      </c>
      <c r="P46" t="str" cm="1">
        <f t="array" ref="P46">_xll.BDP($B46,P$1)</f>
        <v>#N/A N/A</v>
      </c>
      <c r="Q46" t="str" cm="1">
        <f t="array" ref="Q46">_xll.BDP($B46,Q$1)</f>
        <v>#N/A N/A</v>
      </c>
      <c r="R46" t="str" cm="1">
        <f t="array" ref="R46">_xll.BDP($B46,R$1)</f>
        <v>#N/A N/A</v>
      </c>
      <c r="S46" cm="1">
        <f t="array" ref="S46">_xll.BDP($B46,S$1)</f>
        <v>1</v>
      </c>
      <c r="T46" cm="1">
        <f t="array" ref="T46">_xll.BDP($B46,T$1)</f>
        <v>-46.928270411605055</v>
      </c>
      <c r="U46" cm="1">
        <f t="array" ref="U46">_xll.BDP($B46,U$1)</f>
        <v>13.083309</v>
      </c>
      <c r="V46" t="str" cm="1">
        <f t="array" ref="V46">_xll.BDP($B46,V$1)</f>
        <v>#N/A N/A</v>
      </c>
      <c r="W46" t="str" cm="1">
        <f t="array" ref="W46">_xll.BDP($B46,W$1)</f>
        <v>#N/A N/A</v>
      </c>
      <c r="X46" t="str" cm="1">
        <f t="array" ref="X46">_xll.BDP($B46,X$1)</f>
        <v>8176888Z US</v>
      </c>
      <c r="Y46" t="str" cm="1">
        <f t="array" ref="Y46">_xll.BDP($B46,Y$1)</f>
        <v>Supranational</v>
      </c>
      <c r="Z46" t="str" cm="1">
        <f t="array" ref="Z46">_xll.BDP($B46,Z$1)</f>
        <v>Government</v>
      </c>
      <c r="AA46" t="str" cm="1">
        <f t="array" ref="AA46">_xll.BDP($B46,AA$1)</f>
        <v>Multi-National</v>
      </c>
      <c r="AB46" t="str" cm="1">
        <f t="array" ref="AB46">_xll.BDP($B46,AB$1)</f>
        <v>EURO MTN</v>
      </c>
      <c r="AC46" t="str" cm="1">
        <f t="array" ref="AC46">_xll.BDP($B46,AC$1)</f>
        <v>SNAT</v>
      </c>
      <c r="AD46" t="str" cm="1">
        <f t="array" ref="AD46">_xll.BDP($B46,AD$1)</f>
        <v>11/17/2018</v>
      </c>
      <c r="AE46" t="str" cm="1">
        <f t="array" ref="AE46">_xll.BDP($B46,AE$1)</f>
        <v>AT MATURITY</v>
      </c>
      <c r="AF46" cm="1">
        <f t="array" ref="AF46">_xll.BDP($B46,AF$1)</f>
        <v>57000000</v>
      </c>
      <c r="AG46" cm="1">
        <f t="array" ref="AG46">_xll.BDP($B46,AG$1)</f>
        <v>57000000</v>
      </c>
      <c r="AH46" t="str" cm="1">
        <f t="array" ref="AH46">_xll.BDP($B46,AH$1)</f>
        <v>International</v>
      </c>
      <c r="AI46" t="str" cm="1">
        <f t="array" ref="AI46">_xll.BDP($X46 &amp; " Equity",AI$1)</f>
        <v>#N/A N/A</v>
      </c>
      <c r="AJ46" t="str" cm="1">
        <f t="array" ref="AJ46">_xll.BDP($X46 &amp; " Equity",AJ$1)</f>
        <v>US</v>
      </c>
      <c r="AK46" t="str" cm="1">
        <f t="array" ref="AK46">_xll.BDS($X46&amp;"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47" spans="2:37" x14ac:dyDescent="0.25">
      <c r="B47" t="s">
        <v>186</v>
      </c>
      <c r="C47" t="str" cm="1">
        <f t="array" ref="C47">_xll.BDP($B47,C$1)</f>
        <v>ASIAN DEVELOPMENT BANK</v>
      </c>
      <c r="D47" t="str" cm="1">
        <f t="array" ref="D47">_xll.BDP($B47,D$1)</f>
        <v>BBG01FXVLQT8</v>
      </c>
      <c r="E47" t="str" cm="1">
        <f t="array" ref="E47">_xll.BDP($B47,E$1)</f>
        <v>XS2602450749</v>
      </c>
      <c r="F47" t="str" cm="1">
        <f t="array" ref="F47">_xll.BDP($B47,F$1)</f>
        <v>3/30/2023</v>
      </c>
      <c r="G47" t="str" cm="1">
        <f t="array" ref="G47">_xll.BDP($B47,G$1)</f>
        <v>3/30/2026</v>
      </c>
      <c r="H47" t="str" cm="1">
        <f t="array" ref="H47">_xll.BDP($B47,H$1)</f>
        <v>BRL</v>
      </c>
      <c r="I47" t="str" cm="1">
        <f t="array" ref="I47">_xll.BDP($B47,I$1)</f>
        <v>FIXED</v>
      </c>
      <c r="J47" cm="1">
        <f t="array" ref="J47">_xll.BDP($B47,J$1)</f>
        <v>10.5</v>
      </c>
      <c r="K47" t="str" cm="1">
        <f t="array" ref="K47">_xll.BDP($B47,K$1)</f>
        <v>#N/A Field Not Applicable</v>
      </c>
      <c r="L47" t="str" cm="1">
        <f t="array" ref="L47">_xll.BDP($B47,L$1)</f>
        <v>N</v>
      </c>
      <c r="M47" cm="1">
        <f t="array" ref="M47">_xll.BDP($B47,M$1)</f>
        <v>1</v>
      </c>
      <c r="N47" t="str" cm="1">
        <f t="array" ref="N47">_xll.BDP($B47,N$1)</f>
        <v>STREET CONVENTION</v>
      </c>
      <c r="O47" t="str" cm="1">
        <f t="array" ref="O47">_xll.BDP($B47,O$1)</f>
        <v>#N/A Field Not Applicable</v>
      </c>
      <c r="P47" t="str" cm="1">
        <f t="array" ref="P47">_xll.BDP($B47,P$1)</f>
        <v>#N/A N/A</v>
      </c>
      <c r="Q47" t="str" cm="1">
        <f t="array" ref="Q47">_xll.BDP($B47,Q$1)</f>
        <v>Aaa</v>
      </c>
      <c r="R47" t="str" cm="1">
        <f t="array" ref="R47">_xll.BDP($B47,R$1)</f>
        <v>#N/A N/A</v>
      </c>
      <c r="S47" cm="1">
        <f t="array" ref="S47">_xll.BDP($B47,S$1)</f>
        <v>1</v>
      </c>
      <c r="T47" cm="1">
        <f t="array" ref="T47">_xll.BDP($B47,T$1)</f>
        <v>-120.90222254855121</v>
      </c>
      <c r="U47" cm="1">
        <f t="array" ref="U47">_xll.BDP($B47,U$1)</f>
        <v>13.619828</v>
      </c>
      <c r="V47" t="str" cm="1">
        <f t="array" ref="V47">_xll.BDP($B47,V$1)</f>
        <v>#N/A N/A</v>
      </c>
      <c r="W47" t="str" cm="1">
        <f t="array" ref="W47">_xll.BDP($B47,W$1)</f>
        <v>#N/A N/A</v>
      </c>
      <c r="X47" t="str" cm="1">
        <f t="array" ref="X47">_xll.BDP($B47,X$1)</f>
        <v>81074Z PM</v>
      </c>
      <c r="Y47" t="str" cm="1">
        <f t="array" ref="Y47">_xll.BDP($B47,Y$1)</f>
        <v>Supranational</v>
      </c>
      <c r="Z47" t="str" cm="1">
        <f t="array" ref="Z47">_xll.BDP($B47,Z$1)</f>
        <v>Government</v>
      </c>
      <c r="AA47" t="str" cm="1">
        <f t="array" ref="AA47">_xll.BDP($B47,AA$1)</f>
        <v>Multi-National</v>
      </c>
      <c r="AB47" t="str" cm="1">
        <f t="array" ref="AB47">_xll.BDP($B47,AB$1)</f>
        <v>EURO MTN</v>
      </c>
      <c r="AC47" t="str" cm="1">
        <f t="array" ref="AC47">_xll.BDP($B47,AC$1)</f>
        <v>SNAT</v>
      </c>
      <c r="AD47" t="str" cm="1">
        <f t="array" ref="AD47">_xll.BDP($B47,AD$1)</f>
        <v>3/30/2024</v>
      </c>
      <c r="AE47" t="str" cm="1">
        <f t="array" ref="AE47">_xll.BDP($B47,AE$1)</f>
        <v>AT MATURITY</v>
      </c>
      <c r="AF47" cm="1">
        <f t="array" ref="AF47">_xll.BDP($B47,AF$1)</f>
        <v>110000000</v>
      </c>
      <c r="AG47" cm="1">
        <f t="array" ref="AG47">_xll.BDP($B47,AG$1)</f>
        <v>110000000</v>
      </c>
      <c r="AH47" t="str" cm="1">
        <f t="array" ref="AH47">_xll.BDP($B47,AH$1)</f>
        <v>International</v>
      </c>
      <c r="AI47" t="str" cm="1">
        <f t="array" ref="AI47">_xll.BDP($X47 &amp; " Equity",AI$1)</f>
        <v>#N/A N/A</v>
      </c>
      <c r="AJ47" t="str" cm="1">
        <f t="array" ref="AJ47">_xll.BDP($X47 &amp; " Equity",AJ$1)</f>
        <v>PM</v>
      </c>
      <c r="AK47" t="str" cm="1">
        <f t="array" ref="AK47">_xll.BDS($X47&amp;" Equity",AK$1,"FILL=NA","Aggregate=y")</f>
        <v>Asian Development Bank operates as a multilateral development financial institution. The Company provides economic development and cooperation, emphasizes agriculture, energy, capital market development, transportation, communications, and social infrastructure projects. Asian Development Bank conducts business in Philippines.</v>
      </c>
    </row>
    <row r="48" spans="2:37" x14ac:dyDescent="0.25">
      <c r="B48" t="s">
        <v>187</v>
      </c>
      <c r="C48" t="str" cm="1">
        <f t="array" ref="C48">_xll.BDP($B48,C$1)</f>
        <v>AFRICAN DEVELOPMENT BANK</v>
      </c>
      <c r="D48" t="str" cm="1">
        <f t="array" ref="D48">_xll.BDP($B48,D$1)</f>
        <v>BBG00HY8B0W9</v>
      </c>
      <c r="E48" t="str" cm="1">
        <f t="array" ref="E48">_xll.BDP($B48,E$1)</f>
        <v>XS1261825381</v>
      </c>
      <c r="F48" t="str" cm="1">
        <f t="array" ref="F48">_xll.BDP($B48,F$1)</f>
        <v>7/22/2015</v>
      </c>
      <c r="G48" t="str" cm="1">
        <f t="array" ref="G48">_xll.BDP($B48,G$1)</f>
        <v>7/22/2030</v>
      </c>
      <c r="H48" t="str" cm="1">
        <f t="array" ref="H48">_xll.BDP($B48,H$1)</f>
        <v>BRL</v>
      </c>
      <c r="I48" t="str" cm="1">
        <f t="array" ref="I48">_xll.BDP($B48,I$1)</f>
        <v>ZERO COUPON</v>
      </c>
      <c r="J48" cm="1">
        <f t="array" ref="J48">_xll.BDP($B48,J$1)</f>
        <v>0</v>
      </c>
      <c r="K48" t="str" cm="1">
        <f t="array" ref="K48">_xll.BDP($B48,K$1)</f>
        <v>#N/A Field Not Applicable</v>
      </c>
      <c r="L48" t="str" cm="1">
        <f t="array" ref="L48">_xll.BDP($B48,L$1)</f>
        <v>N</v>
      </c>
      <c r="M48" cm="1">
        <f t="array" ref="M48">_xll.BDP($B48,M$1)</f>
        <v>1</v>
      </c>
      <c r="N48" t="str" cm="1">
        <f t="array" ref="N48">_xll.BDP($B48,N$1)</f>
        <v>STREET CONVENTION</v>
      </c>
      <c r="O48" t="str" cm="1">
        <f t="array" ref="O48">_xll.BDP($B48,O$1)</f>
        <v>#N/A Field Not Applicable</v>
      </c>
      <c r="P48" t="str" cm="1">
        <f t="array" ref="P48">_xll.BDP($B48,P$1)</f>
        <v>AAA</v>
      </c>
      <c r="Q48" t="str" cm="1">
        <f t="array" ref="Q48">_xll.BDP($B48,Q$1)</f>
        <v>Aaa</v>
      </c>
      <c r="R48" t="str" cm="1">
        <f t="array" ref="R48">_xll.BDP($B48,R$1)</f>
        <v>AAA</v>
      </c>
      <c r="S48" t="str" cm="1">
        <f t="array" ref="S48">_xll.BDP($B48,S$1)</f>
        <v>#N/A Field Not Applicable</v>
      </c>
      <c r="T48" cm="1">
        <f t="array" ref="T48">_xll.BDP($B48,T$1)</f>
        <v>-142.95802171938038</v>
      </c>
      <c r="U48" cm="1">
        <f t="array" ref="U48">_xll.BDP($B48,U$1)</f>
        <v>12.225258999999999</v>
      </c>
      <c r="V48" t="str" cm="1">
        <f t="array" ref="V48">_xll.BDP($B48,V$1)</f>
        <v>#N/A N/A</v>
      </c>
      <c r="W48" t="str" cm="1">
        <f t="array" ref="W48">_xll.BDP($B48,W$1)</f>
        <v>#N/A N/A</v>
      </c>
      <c r="X48" t="str" cm="1">
        <f t="array" ref="X48">_xll.BDP($B48,X$1)</f>
        <v>1598Z TU</v>
      </c>
      <c r="Y48" t="str" cm="1">
        <f t="array" ref="Y48">_xll.BDP($B48,Y$1)</f>
        <v>Supranational</v>
      </c>
      <c r="Z48" t="str" cm="1">
        <f t="array" ref="Z48">_xll.BDP($B48,Z$1)</f>
        <v>Government</v>
      </c>
      <c r="AA48" t="str" cm="1">
        <f t="array" ref="AA48">_xll.BDP($B48,AA$1)</f>
        <v>Multi-National</v>
      </c>
      <c r="AB48" t="str" cm="1">
        <f t="array" ref="AB48">_xll.BDP($B48,AB$1)</f>
        <v>EURO NON-DOLLAR</v>
      </c>
      <c r="AC48" t="str" cm="1">
        <f t="array" ref="AC48">_xll.BDP($B48,AC$1)</f>
        <v>SNAT</v>
      </c>
      <c r="AD48" t="str" cm="1">
        <f t="array" ref="AD48">_xll.BDP($B48,AD$1)</f>
        <v>#N/A Field Not Applicable</v>
      </c>
      <c r="AE48" t="str" cm="1">
        <f t="array" ref="AE48">_xll.BDP($B48,AE$1)</f>
        <v>AT MATURITY</v>
      </c>
      <c r="AF48" cm="1">
        <f t="array" ref="AF48">_xll.BDP($B48,AF$1)</f>
        <v>330000000</v>
      </c>
      <c r="AG48" cm="1">
        <f t="array" ref="AG48">_xll.BDP($B48,AG$1)</f>
        <v>330000000</v>
      </c>
      <c r="AH48" t="str" cm="1">
        <f t="array" ref="AH48">_xll.BDP($B48,AH$1)</f>
        <v>International</v>
      </c>
      <c r="AI48" t="str" cm="1">
        <f t="array" ref="AI48">_xll.BDP($X48 &amp; " Equity",AI$1)</f>
        <v>#N/A N/A</v>
      </c>
      <c r="AJ48" t="str" cm="1">
        <f t="array" ref="AJ48">_xll.BDP($X48 &amp; " Equity",AJ$1)</f>
        <v>TU</v>
      </c>
      <c r="AK48" t="str" cm="1">
        <f t="array" ref="AK48">_xll.BDS($X48&amp;"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49" spans="2:37" x14ac:dyDescent="0.25">
      <c r="B49" t="s">
        <v>188</v>
      </c>
      <c r="C49" t="str" cm="1">
        <f t="array" ref="C49">_xll.BDP($B49,C$1)</f>
        <v>EUROPEAN BK RECON &amp; DEV</v>
      </c>
      <c r="D49" t="str" cm="1">
        <f t="array" ref="D49">_xll.BDP($B49,D$1)</f>
        <v>BBG01FP6J986</v>
      </c>
      <c r="E49" t="str" cm="1">
        <f t="array" ref="E49">_xll.BDP($B49,E$1)</f>
        <v>XS2595836755</v>
      </c>
      <c r="F49" t="str" cm="1">
        <f t="array" ref="F49">_xll.BDP($B49,F$1)</f>
        <v>3/7/2023</v>
      </c>
      <c r="G49" t="str" cm="1">
        <f t="array" ref="G49">_xll.BDP($B49,G$1)</f>
        <v>3/7/2028</v>
      </c>
      <c r="H49" t="str" cm="1">
        <f t="array" ref="H49">_xll.BDP($B49,H$1)</f>
        <v>BRL</v>
      </c>
      <c r="I49" t="str" cm="1">
        <f t="array" ref="I49">_xll.BDP($B49,I$1)</f>
        <v>ZERO COUPON</v>
      </c>
      <c r="J49" cm="1">
        <f t="array" ref="J49">_xll.BDP($B49,J$1)</f>
        <v>0</v>
      </c>
      <c r="K49" t="str" cm="1">
        <f t="array" ref="K49">_xll.BDP($B49,K$1)</f>
        <v>#N/A Field Not Applicable</v>
      </c>
      <c r="L49" t="str" cm="1">
        <f t="array" ref="L49">_xll.BDP($B49,L$1)</f>
        <v>N</v>
      </c>
      <c r="M49" cm="1">
        <f t="array" ref="M49">_xll.BDP($B49,M$1)</f>
        <v>1</v>
      </c>
      <c r="N49" t="str" cm="1">
        <f t="array" ref="N49">_xll.BDP($B49,N$1)</f>
        <v>STREET CONVENTION</v>
      </c>
      <c r="O49" t="str" cm="1">
        <f t="array" ref="O49">_xll.BDP($B49,O$1)</f>
        <v>#N/A Field Not Applicable</v>
      </c>
      <c r="P49" t="str" cm="1">
        <f t="array" ref="P49">_xll.BDP($B49,P$1)</f>
        <v>AAA</v>
      </c>
      <c r="Q49" t="str" cm="1">
        <f t="array" ref="Q49">_xll.BDP($B49,Q$1)</f>
        <v>#N/A N/A</v>
      </c>
      <c r="R49" t="str" cm="1">
        <f t="array" ref="R49">_xll.BDP($B49,R$1)</f>
        <v>AAA</v>
      </c>
      <c r="S49" t="str" cm="1">
        <f t="array" ref="S49">_xll.BDP($B49,S$1)</f>
        <v>#N/A Field Not Applicable</v>
      </c>
      <c r="T49" cm="1">
        <f t="array" ref="T49">_xll.BDP($B49,T$1)</f>
        <v>-124.31129050880543</v>
      </c>
      <c r="U49" cm="1">
        <f t="array" ref="U49">_xll.BDP($B49,U$1)</f>
        <v>12.213136</v>
      </c>
      <c r="V49" cm="1">
        <f t="array" ref="V49">_xll.BDP($B49,V$1)</f>
        <v>0</v>
      </c>
      <c r="W49" t="str" cm="1">
        <f t="array" ref="W49">_xll.BDP($B49,W$1)</f>
        <v>#N/A N/A</v>
      </c>
      <c r="X49" t="str" cm="1">
        <f t="array" ref="X49">_xll.BDP($B49,X$1)</f>
        <v>6044Z LN</v>
      </c>
      <c r="Y49" t="str" cm="1">
        <f t="array" ref="Y49">_xll.BDP($B49,Y$1)</f>
        <v>Supranational</v>
      </c>
      <c r="Z49" t="str" cm="1">
        <f t="array" ref="Z49">_xll.BDP($B49,Z$1)</f>
        <v>Government</v>
      </c>
      <c r="AA49" t="str" cm="1">
        <f t="array" ref="AA49">_xll.BDP($B49,AA$1)</f>
        <v>Multi-National</v>
      </c>
      <c r="AB49" t="str" cm="1">
        <f t="array" ref="AB49">_xll.BDP($B49,AB$1)</f>
        <v>EURO MTN</v>
      </c>
      <c r="AC49" t="str" cm="1">
        <f t="array" ref="AC49">_xll.BDP($B49,AC$1)</f>
        <v>SNAT</v>
      </c>
      <c r="AD49" t="str" cm="1">
        <f t="array" ref="AD49">_xll.BDP($B49,AD$1)</f>
        <v>#N/A Field Not Applicable</v>
      </c>
      <c r="AE49" t="str" cm="1">
        <f t="array" ref="AE49">_xll.BDP($B49,AE$1)</f>
        <v>AT MATURITY</v>
      </c>
      <c r="AF49" cm="1">
        <f t="array" ref="AF49">_xll.BDP($B49,AF$1)</f>
        <v>100000000</v>
      </c>
      <c r="AG49" cm="1">
        <f t="array" ref="AG49">_xll.BDP($B49,AG$1)</f>
        <v>100000000</v>
      </c>
      <c r="AH49" t="str" cm="1">
        <f t="array" ref="AH49">_xll.BDP($B49,AH$1)</f>
        <v>International</v>
      </c>
      <c r="AI49" t="str" cm="1">
        <f t="array" ref="AI49">_xll.BDP($X49 &amp; " Equity",AI$1)</f>
        <v>#N/A N/A</v>
      </c>
      <c r="AJ49" t="str" cm="1">
        <f t="array" ref="AJ49">_xll.BDP($X49 &amp; " Equity",AJ$1)</f>
        <v>LN</v>
      </c>
      <c r="AK49" t="str" cm="1">
        <f t="array" ref="AK49">_xll.BDS($X49&amp;"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50" spans="2:37" x14ac:dyDescent="0.25">
      <c r="B50" t="s">
        <v>189</v>
      </c>
      <c r="C50" t="str" cm="1">
        <f t="array" ref="C50">_xll.BDP($B50,C$1)</f>
        <v>INTL BK RECON &amp; DEVELOP</v>
      </c>
      <c r="D50" t="str" cm="1">
        <f t="array" ref="D50">_xll.BDP($B50,D$1)</f>
        <v>BBG00ZL7ZJG6</v>
      </c>
      <c r="E50" t="str" cm="1">
        <f t="array" ref="E50">_xll.BDP($B50,E$1)</f>
        <v>XS2317499692</v>
      </c>
      <c r="F50" t="str" cm="1">
        <f t="array" ref="F50">_xll.BDP($B50,F$1)</f>
        <v>4/7/2021</v>
      </c>
      <c r="G50" t="str" cm="1">
        <f t="array" ref="G50">_xll.BDP($B50,G$1)</f>
        <v>4/7/2026</v>
      </c>
      <c r="H50" t="str" cm="1">
        <f t="array" ref="H50">_xll.BDP($B50,H$1)</f>
        <v>BRL</v>
      </c>
      <c r="I50" t="str" cm="1">
        <f t="array" ref="I50">_xll.BDP($B50,I$1)</f>
        <v>ZERO COUPON</v>
      </c>
      <c r="J50" cm="1">
        <f t="array" ref="J50">_xll.BDP($B50,J$1)</f>
        <v>0</v>
      </c>
      <c r="K50" t="str" cm="1">
        <f t="array" ref="K50">_xll.BDP($B50,K$1)</f>
        <v>#N/A Field Not Applicable</v>
      </c>
      <c r="L50" t="str" cm="1">
        <f t="array" ref="L50">_xll.BDP($B50,L$1)</f>
        <v>N</v>
      </c>
      <c r="M50" cm="1">
        <f t="array" ref="M50">_xll.BDP($B50,M$1)</f>
        <v>1</v>
      </c>
      <c r="N50" t="str" cm="1">
        <f t="array" ref="N50">_xll.BDP($B50,N$1)</f>
        <v>STREET CONVENTION</v>
      </c>
      <c r="O50" t="str" cm="1">
        <f t="array" ref="O50">_xll.BDP($B50,O$1)</f>
        <v>#N/A Field Not Applicable</v>
      </c>
      <c r="P50" t="str" cm="1">
        <f t="array" ref="P50">_xll.BDP($B50,P$1)</f>
        <v>#N/A N/A</v>
      </c>
      <c r="Q50" t="str" cm="1">
        <f t="array" ref="Q50">_xll.BDP($B50,Q$1)</f>
        <v>#N/A N/A</v>
      </c>
      <c r="R50" t="str" cm="1">
        <f t="array" ref="R50">_xll.BDP($B50,R$1)</f>
        <v>#N/A N/A</v>
      </c>
      <c r="S50" t="str" cm="1">
        <f t="array" ref="S50">_xll.BDP($B50,S$1)</f>
        <v>#N/A Field Not Applicable</v>
      </c>
      <c r="T50" cm="1">
        <f t="array" ref="T50">_xll.BDP($B50,T$1)</f>
        <v>-87.792311426816212</v>
      </c>
      <c r="U50" cm="1">
        <f t="array" ref="U50">_xll.BDP($B50,U$1)</f>
        <v>13.937357</v>
      </c>
      <c r="V50" t="str" cm="1">
        <f t="array" ref="V50">_xll.BDP($B50,V$1)</f>
        <v>#N/A N/A</v>
      </c>
      <c r="W50" t="str" cm="1">
        <f t="array" ref="W50">_xll.BDP($B50,W$1)</f>
        <v>#N/A N/A</v>
      </c>
      <c r="X50" t="str" cm="1">
        <f t="array" ref="X50">_xll.BDP($B50,X$1)</f>
        <v>8176888Z US</v>
      </c>
      <c r="Y50" t="str" cm="1">
        <f t="array" ref="Y50">_xll.BDP($B50,Y$1)</f>
        <v>Supranational</v>
      </c>
      <c r="Z50" t="str" cm="1">
        <f t="array" ref="Z50">_xll.BDP($B50,Z$1)</f>
        <v>Government</v>
      </c>
      <c r="AA50" t="str" cm="1">
        <f t="array" ref="AA50">_xll.BDP($B50,AA$1)</f>
        <v>Multi-National</v>
      </c>
      <c r="AB50" t="str" cm="1">
        <f t="array" ref="AB50">_xll.BDP($B50,AB$1)</f>
        <v>EURO NON-DOLLAR</v>
      </c>
      <c r="AC50" t="str" cm="1">
        <f t="array" ref="AC50">_xll.BDP($B50,AC$1)</f>
        <v>SNAT</v>
      </c>
      <c r="AD50" t="str" cm="1">
        <f t="array" ref="AD50">_xll.BDP($B50,AD$1)</f>
        <v>#N/A Field Not Applicable</v>
      </c>
      <c r="AE50" t="str" cm="1">
        <f t="array" ref="AE50">_xll.BDP($B50,AE$1)</f>
        <v>AT MATURITY</v>
      </c>
      <c r="AF50" cm="1">
        <f t="array" ref="AF50">_xll.BDP($B50,AF$1)</f>
        <v>80000000</v>
      </c>
      <c r="AG50" cm="1">
        <f t="array" ref="AG50">_xll.BDP($B50,AG$1)</f>
        <v>80000000</v>
      </c>
      <c r="AH50" t="str" cm="1">
        <f t="array" ref="AH50">_xll.BDP($B50,AH$1)</f>
        <v>International</v>
      </c>
      <c r="AI50" t="str" cm="1">
        <f t="array" ref="AI50">_xll.BDP($X50 &amp; " Equity",AI$1)</f>
        <v>#N/A N/A</v>
      </c>
      <c r="AJ50" t="str" cm="1">
        <f t="array" ref="AJ50">_xll.BDP($X50 &amp; " Equity",AJ$1)</f>
        <v>US</v>
      </c>
      <c r="AK50" t="str" cm="1">
        <f t="array" ref="AK50">_xll.BDS($X50&amp;"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51" spans="2:37" x14ac:dyDescent="0.25">
      <c r="B51" t="s">
        <v>190</v>
      </c>
      <c r="C51" t="str" cm="1">
        <f t="array" ref="C51">_xll.BDP($B51,C$1)</f>
        <v>INTL FINANCE CORP</v>
      </c>
      <c r="D51" t="str" cm="1">
        <f t="array" ref="D51">_xll.BDP($B51,D$1)</f>
        <v>BBG00GQ937C4</v>
      </c>
      <c r="E51" t="str" cm="1">
        <f t="array" ref="E51">_xll.BDP($B51,E$1)</f>
        <v>XS1280871259</v>
      </c>
      <c r="F51" t="str" cm="1">
        <f t="array" ref="F51">_xll.BDP($B51,F$1)</f>
        <v>7/19/2016</v>
      </c>
      <c r="G51" t="str" cm="1">
        <f t="array" ref="G51">_xll.BDP($B51,G$1)</f>
        <v>8/27/2030</v>
      </c>
      <c r="H51" t="str" cm="1">
        <f t="array" ref="H51">_xll.BDP($B51,H$1)</f>
        <v>BRL</v>
      </c>
      <c r="I51" t="str" cm="1">
        <f t="array" ref="I51">_xll.BDP($B51,I$1)</f>
        <v>ZERO COUPON</v>
      </c>
      <c r="J51" cm="1">
        <f t="array" ref="J51">_xll.BDP($B51,J$1)</f>
        <v>0</v>
      </c>
      <c r="K51" t="str" cm="1">
        <f t="array" ref="K51">_xll.BDP($B51,K$1)</f>
        <v>#N/A Field Not Applicable</v>
      </c>
      <c r="L51" t="str" cm="1">
        <f t="array" ref="L51">_xll.BDP($B51,L$1)</f>
        <v>N</v>
      </c>
      <c r="M51" cm="1">
        <f t="array" ref="M51">_xll.BDP($B51,M$1)</f>
        <v>1</v>
      </c>
      <c r="N51" t="str" cm="1">
        <f t="array" ref="N51">_xll.BDP($B51,N$1)</f>
        <v>STREET CONVENTION</v>
      </c>
      <c r="O51" t="str" cm="1">
        <f t="array" ref="O51">_xll.BDP($B51,O$1)</f>
        <v>#N/A Field Not Applicable</v>
      </c>
      <c r="P51" t="str" cm="1">
        <f t="array" ref="P51">_xll.BDP($B51,P$1)</f>
        <v>#N/A N/A</v>
      </c>
      <c r="Q51" t="str" cm="1">
        <f t="array" ref="Q51">_xll.BDP($B51,Q$1)</f>
        <v>#N/A N/A</v>
      </c>
      <c r="R51" t="str" cm="1">
        <f t="array" ref="R51">_xll.BDP($B51,R$1)</f>
        <v>#N/A N/A</v>
      </c>
      <c r="S51" t="str" cm="1">
        <f t="array" ref="S51">_xll.BDP($B51,S$1)</f>
        <v>#N/A Field Not Applicable</v>
      </c>
      <c r="T51" cm="1">
        <f t="array" ref="T51">_xll.BDP($B51,T$1)</f>
        <v>-140.29452568814608</v>
      </c>
      <c r="U51" cm="1">
        <f t="array" ref="U51">_xll.BDP($B51,U$1)</f>
        <v>12.277074000000001</v>
      </c>
      <c r="V51" t="str" cm="1">
        <f t="array" ref="V51">_xll.BDP($B51,V$1)</f>
        <v>#N/A N/A</v>
      </c>
      <c r="W51" t="str" cm="1">
        <f t="array" ref="W51">_xll.BDP($B51,W$1)</f>
        <v>#N/A N/A</v>
      </c>
      <c r="X51" t="str" cm="1">
        <f t="array" ref="X51">_xll.BDP($B51,X$1)</f>
        <v>8176888Z US</v>
      </c>
      <c r="Y51" t="str" cm="1">
        <f t="array" ref="Y51">_xll.BDP($B51,Y$1)</f>
        <v>Supranational</v>
      </c>
      <c r="Z51" t="str" cm="1">
        <f t="array" ref="Z51">_xll.BDP($B51,Z$1)</f>
        <v>Government</v>
      </c>
      <c r="AA51" t="str" cm="1">
        <f t="array" ref="AA51">_xll.BDP($B51,AA$1)</f>
        <v>Multi-National</v>
      </c>
      <c r="AB51" t="str" cm="1">
        <f t="array" ref="AB51">_xll.BDP($B51,AB$1)</f>
        <v>GLOBAL</v>
      </c>
      <c r="AC51" t="str" cm="1">
        <f t="array" ref="AC51">_xll.BDP($B51,AC$1)</f>
        <v>SNAT</v>
      </c>
      <c r="AD51" t="str" cm="1">
        <f t="array" ref="AD51">_xll.BDP($B51,AD$1)</f>
        <v>#N/A Field Not Applicable</v>
      </c>
      <c r="AE51" t="str" cm="1">
        <f t="array" ref="AE51">_xll.BDP($B51,AE$1)</f>
        <v>AT MATURITY</v>
      </c>
      <c r="AF51" cm="1">
        <f t="array" ref="AF51">_xll.BDP($B51,AF$1)</f>
        <v>530000000</v>
      </c>
      <c r="AG51" cm="1">
        <f t="array" ref="AG51">_xll.BDP($B51,AG$1)</f>
        <v>530000000</v>
      </c>
      <c r="AH51" t="str" cm="1">
        <f t="array" ref="AH51">_xll.BDP($B51,AH$1)</f>
        <v>International</v>
      </c>
      <c r="AI51" t="str" cm="1">
        <f t="array" ref="AI51">_xll.BDP($X51 &amp; " Equity",AI$1)</f>
        <v>#N/A N/A</v>
      </c>
      <c r="AJ51" t="str" cm="1">
        <f t="array" ref="AJ51">_xll.BDP($X51 &amp; " Equity",AJ$1)</f>
        <v>US</v>
      </c>
      <c r="AK51" t="str" cm="1">
        <f t="array" ref="AK51">_xll.BDS($X51&amp;"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52" spans="2:37" x14ac:dyDescent="0.25">
      <c r="B52" t="s">
        <v>191</v>
      </c>
      <c r="C52" t="str" cm="1">
        <f t="array" ref="C52">_xll.BDP($B52,C$1)</f>
        <v>INTER-AMERICAN DEVEL BK</v>
      </c>
      <c r="D52" t="str" cm="1">
        <f t="array" ref="D52">_xll.BDP($B52,D$1)</f>
        <v>BBG011ZTKSH2</v>
      </c>
      <c r="E52" t="str" cm="1">
        <f t="array" ref="E52">_xll.BDP($B52,E$1)</f>
        <v>XS2373172381</v>
      </c>
      <c r="F52" t="str" cm="1">
        <f t="array" ref="F52">_xll.BDP($B52,F$1)</f>
        <v>8/12/2021</v>
      </c>
      <c r="G52" t="str" cm="1">
        <f t="array" ref="G52">_xll.BDP($B52,G$1)</f>
        <v>8/12/2031</v>
      </c>
      <c r="H52" t="str" cm="1">
        <f t="array" ref="H52">_xll.BDP($B52,H$1)</f>
        <v>BRL</v>
      </c>
      <c r="I52" t="str" cm="1">
        <f t="array" ref="I52">_xll.BDP($B52,I$1)</f>
        <v>FIXED</v>
      </c>
      <c r="J52" cm="1">
        <f t="array" ref="J52">_xll.BDP($B52,J$1)</f>
        <v>8.3000000000000007</v>
      </c>
      <c r="K52" t="str" cm="1">
        <f t="array" ref="K52">_xll.BDP($B52,K$1)</f>
        <v>#N/A Field Not Applicable</v>
      </c>
      <c r="L52" t="str" cm="1">
        <f t="array" ref="L52">_xll.BDP($B52,L$1)</f>
        <v>N</v>
      </c>
      <c r="M52" cm="1">
        <f t="array" ref="M52">_xll.BDP($B52,M$1)</f>
        <v>1</v>
      </c>
      <c r="N52" t="str" cm="1">
        <f t="array" ref="N52">_xll.BDP($B52,N$1)</f>
        <v>STREET CONVENTION</v>
      </c>
      <c r="O52" t="str" cm="1">
        <f t="array" ref="O52">_xll.BDP($B52,O$1)</f>
        <v>#N/A Field Not Applicable</v>
      </c>
      <c r="P52" t="str" cm="1">
        <f t="array" ref="P52">_xll.BDP($B52,P$1)</f>
        <v>#N/A N/A</v>
      </c>
      <c r="Q52" t="str" cm="1">
        <f t="array" ref="Q52">_xll.BDP($B52,Q$1)</f>
        <v>#N/A N/A</v>
      </c>
      <c r="R52" t="str" cm="1">
        <f t="array" ref="R52">_xll.BDP($B52,R$1)</f>
        <v>#N/A N/A</v>
      </c>
      <c r="S52" cm="1">
        <f t="array" ref="S52">_xll.BDP($B52,S$1)</f>
        <v>1</v>
      </c>
      <c r="T52" cm="1">
        <f t="array" ref="T52">_xll.BDP($B52,T$1)</f>
        <v>-103.92965258590917</v>
      </c>
      <c r="U52" cm="1">
        <f t="array" ref="U52">_xll.BDP($B52,U$1)</f>
        <v>12.725572</v>
      </c>
      <c r="V52" t="str" cm="1">
        <f t="array" ref="V52">_xll.BDP($B52,V$1)</f>
        <v>#N/A N/A</v>
      </c>
      <c r="W52" t="str" cm="1">
        <f t="array" ref="W52">_xll.BDP($B52,W$1)</f>
        <v>#N/A N/A</v>
      </c>
      <c r="X52" t="str" cm="1">
        <f t="array" ref="X52">_xll.BDP($B52,X$1)</f>
        <v>1814Z US</v>
      </c>
      <c r="Y52" t="str" cm="1">
        <f t="array" ref="Y52">_xll.BDP($B52,Y$1)</f>
        <v>Supranational</v>
      </c>
      <c r="Z52" t="str" cm="1">
        <f t="array" ref="Z52">_xll.BDP($B52,Z$1)</f>
        <v>Government</v>
      </c>
      <c r="AA52" t="str" cm="1">
        <f t="array" ref="AA52">_xll.BDP($B52,AA$1)</f>
        <v>Multi-National</v>
      </c>
      <c r="AB52" t="str" cm="1">
        <f t="array" ref="AB52">_xll.BDP($B52,AB$1)</f>
        <v>EURO MTN</v>
      </c>
      <c r="AC52" t="str" cm="1">
        <f t="array" ref="AC52">_xll.BDP($B52,AC$1)</f>
        <v>SNAT</v>
      </c>
      <c r="AD52" t="str" cm="1">
        <f t="array" ref="AD52">_xll.BDP($B52,AD$1)</f>
        <v>8/12/2022</v>
      </c>
      <c r="AE52" t="str" cm="1">
        <f t="array" ref="AE52">_xll.BDP($B52,AE$1)</f>
        <v>AT MATURITY</v>
      </c>
      <c r="AF52" cm="1">
        <f t="array" ref="AF52">_xll.BDP($B52,AF$1)</f>
        <v>35770000</v>
      </c>
      <c r="AG52" cm="1">
        <f t="array" ref="AG52">_xll.BDP($B52,AG$1)</f>
        <v>35770000</v>
      </c>
      <c r="AH52" t="str" cm="1">
        <f t="array" ref="AH52">_xll.BDP($B52,AH$1)</f>
        <v>International</v>
      </c>
      <c r="AI52" t="str" cm="1">
        <f t="array" ref="AI52">_xll.BDP($X52 &amp; " Equity",AI$1)</f>
        <v>#N/A N/A</v>
      </c>
      <c r="AJ52" t="str" cm="1">
        <f t="array" ref="AJ52">_xll.BDP($X52 &amp; " Equity",AJ$1)</f>
        <v>US</v>
      </c>
      <c r="AK52" t="str" cm="1">
        <f t="array" ref="AK52">_xll.BDS($X52&amp;" Equity",AK$1,"FILL=NA","Aggregate=y")</f>
        <v>Inter-American Development Bank operates as a multilateral development institution. The Bank conducts lending operations emphasizes agricultural, energy, and transportation industries, as well as focuses on poverty reduction, social equity, modernization, integration, and the environmental development. Inter-American Development conducts its business worldwide.</v>
      </c>
    </row>
    <row r="53" spans="2:37" x14ac:dyDescent="0.25">
      <c r="B53" t="s">
        <v>192</v>
      </c>
      <c r="C53" t="str" cm="1">
        <f t="array" ref="C53">_xll.BDP($B53,C$1)</f>
        <v>EUROPEAN BK RECON &amp; DEV</v>
      </c>
      <c r="D53" t="str" cm="1">
        <f t="array" ref="D53">_xll.BDP($B53,D$1)</f>
        <v>BBG0168R3JF6</v>
      </c>
      <c r="E53" t="str" cm="1">
        <f t="array" ref="E53">_xll.BDP($B53,E$1)</f>
        <v>XS2462323424</v>
      </c>
      <c r="F53" t="str" cm="1">
        <f t="array" ref="F53">_xll.BDP($B53,F$1)</f>
        <v>4/1/2022</v>
      </c>
      <c r="G53" t="str" cm="1">
        <f t="array" ref="G53">_xll.BDP($B53,G$1)</f>
        <v>4/1/2027</v>
      </c>
      <c r="H53" t="str" cm="1">
        <f t="array" ref="H53">_xll.BDP($B53,H$1)</f>
        <v>BRL</v>
      </c>
      <c r="I53" t="str" cm="1">
        <f t="array" ref="I53">_xll.BDP($B53,I$1)</f>
        <v>ZERO COUPON</v>
      </c>
      <c r="J53" cm="1">
        <f t="array" ref="J53">_xll.BDP($B53,J$1)</f>
        <v>0</v>
      </c>
      <c r="K53" t="str" cm="1">
        <f t="array" ref="K53">_xll.BDP($B53,K$1)</f>
        <v>#N/A Field Not Applicable</v>
      </c>
      <c r="L53" t="str" cm="1">
        <f t="array" ref="L53">_xll.BDP($B53,L$1)</f>
        <v>N</v>
      </c>
      <c r="M53" cm="1">
        <f t="array" ref="M53">_xll.BDP($B53,M$1)</f>
        <v>99</v>
      </c>
      <c r="N53" t="str" cm="1">
        <f t="array" ref="N53">_xll.BDP($B53,N$1)</f>
        <v>*NO CALCULATIONS*</v>
      </c>
      <c r="O53" t="str" cm="1">
        <f t="array" ref="O53">_xll.BDP($B53,O$1)</f>
        <v>#N/A Field Not Applicable</v>
      </c>
      <c r="P53" t="str" cm="1">
        <f t="array" ref="P53">_xll.BDP($B53,P$1)</f>
        <v>#N/A N/A</v>
      </c>
      <c r="Q53" t="str" cm="1">
        <f t="array" ref="Q53">_xll.BDP($B53,Q$1)</f>
        <v>#N/A N/A</v>
      </c>
      <c r="R53" t="str" cm="1">
        <f t="array" ref="R53">_xll.BDP($B53,R$1)</f>
        <v>#N/A N/A</v>
      </c>
      <c r="S53" t="str" cm="1">
        <f t="array" ref="S53">_xll.BDP($B53,S$1)</f>
        <v>#N/A Field Not Applicable</v>
      </c>
      <c r="T53" t="str" cm="1">
        <f t="array" ref="T53">_xll.BDP($B53,T$1)</f>
        <v>#N/A N/A</v>
      </c>
      <c r="U53" t="str" cm="1">
        <f t="array" ref="U53">_xll.BDP($B53,U$1)</f>
        <v>#N/A N/A</v>
      </c>
      <c r="V53" t="str" cm="1">
        <f t="array" ref="V53">_xll.BDP($B53,V$1)</f>
        <v>#N/A N/A</v>
      </c>
      <c r="W53" t="str" cm="1">
        <f t="array" ref="W53">_xll.BDP($B53,W$1)</f>
        <v>#N/A N/A</v>
      </c>
      <c r="X53" t="str" cm="1">
        <f t="array" ref="X53">_xll.BDP($B53,X$1)</f>
        <v>6044Z LN</v>
      </c>
      <c r="Y53" t="str" cm="1">
        <f t="array" ref="Y53">_xll.BDP($B53,Y$1)</f>
        <v>#N/A N/A</v>
      </c>
      <c r="Z53" t="str" cm="1">
        <f t="array" ref="Z53">_xll.BDP($B53,Z$1)</f>
        <v>Government</v>
      </c>
      <c r="AA53" t="str" cm="1">
        <f t="array" ref="AA53">_xll.BDP($B53,AA$1)</f>
        <v>Multi-National</v>
      </c>
      <c r="AB53" t="str" cm="1">
        <f t="array" ref="AB53">_xll.BDP($B53,AB$1)</f>
        <v>EURO MTN</v>
      </c>
      <c r="AC53" t="str" cm="1">
        <f t="array" ref="AC53">_xll.BDP($B53,AC$1)</f>
        <v>SNAT</v>
      </c>
      <c r="AD53" t="str" cm="1">
        <f t="array" ref="AD53">_xll.BDP($B53,AD$1)</f>
        <v>#N/A Field Not Applicable</v>
      </c>
      <c r="AE53" t="str" cm="1">
        <f t="array" ref="AE53">_xll.BDP($B53,AE$1)</f>
        <v>AT MATURITY</v>
      </c>
      <c r="AF53" cm="1">
        <f t="array" ref="AF53">_xll.BDP($B53,AF$1)</f>
        <v>100960000</v>
      </c>
      <c r="AG53" cm="1">
        <f t="array" ref="AG53">_xll.BDP($B53,AG$1)</f>
        <v>100960000</v>
      </c>
      <c r="AH53" t="str" cm="1">
        <f t="array" ref="AH53">_xll.BDP($B53,AH$1)</f>
        <v>International</v>
      </c>
      <c r="AI53" t="str" cm="1">
        <f t="array" ref="AI53">_xll.BDP($X53 &amp; " Equity",AI$1)</f>
        <v>#N/A N/A</v>
      </c>
      <c r="AJ53" t="str" cm="1">
        <f t="array" ref="AJ53">_xll.BDP($X53 &amp; " Equity",AJ$1)</f>
        <v>LN</v>
      </c>
      <c r="AK53" t="str" cm="1">
        <f t="array" ref="AK53">_xll.BDS($X53&amp;"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54" spans="2:37" x14ac:dyDescent="0.25">
      <c r="B54" t="s">
        <v>193</v>
      </c>
      <c r="C54" t="str" cm="1">
        <f t="array" ref="C54">_xll.BDP($B54,C$1)</f>
        <v>AFRICAN DEVELOPMENT BANK</v>
      </c>
      <c r="D54" t="str" cm="1">
        <f t="array" ref="D54">_xll.BDP($B54,D$1)</f>
        <v>BBG00LG5RVD2</v>
      </c>
      <c r="E54" t="str" cm="1">
        <f t="array" ref="E54">_xll.BDP($B54,E$1)</f>
        <v>XS1388868322</v>
      </c>
      <c r="F54" t="str" cm="1">
        <f t="array" ref="F54">_xll.BDP($B54,F$1)</f>
        <v>4/1/2016</v>
      </c>
      <c r="G54" t="str" cm="1">
        <f t="array" ref="G54">_xll.BDP($B54,G$1)</f>
        <v>4/1/2026</v>
      </c>
      <c r="H54" t="str" cm="1">
        <f t="array" ref="H54">_xll.BDP($B54,H$1)</f>
        <v>BRL</v>
      </c>
      <c r="I54" t="str" cm="1">
        <f t="array" ref="I54">_xll.BDP($B54,I$1)</f>
        <v>ZERO COUPON</v>
      </c>
      <c r="J54" cm="1">
        <f t="array" ref="J54">_xll.BDP($B54,J$1)</f>
        <v>0</v>
      </c>
      <c r="K54" t="str" cm="1">
        <f t="array" ref="K54">_xll.BDP($B54,K$1)</f>
        <v>#N/A Field Not Applicable</v>
      </c>
      <c r="L54" t="str" cm="1">
        <f t="array" ref="L54">_xll.BDP($B54,L$1)</f>
        <v>N</v>
      </c>
      <c r="M54" cm="1">
        <f t="array" ref="M54">_xll.BDP($B54,M$1)</f>
        <v>1</v>
      </c>
      <c r="N54" t="str" cm="1">
        <f t="array" ref="N54">_xll.BDP($B54,N$1)</f>
        <v>STREET CONVENTION</v>
      </c>
      <c r="O54" t="str" cm="1">
        <f t="array" ref="O54">_xll.BDP($B54,O$1)</f>
        <v>#N/A Field Not Applicable</v>
      </c>
      <c r="P54" t="str" cm="1">
        <f t="array" ref="P54">_xll.BDP($B54,P$1)</f>
        <v>AAA</v>
      </c>
      <c r="Q54" t="str" cm="1">
        <f t="array" ref="Q54">_xll.BDP($B54,Q$1)</f>
        <v>Aaa</v>
      </c>
      <c r="R54" t="str" cm="1">
        <f t="array" ref="R54">_xll.BDP($B54,R$1)</f>
        <v>AAA</v>
      </c>
      <c r="S54" t="str" cm="1">
        <f t="array" ref="S54">_xll.BDP($B54,S$1)</f>
        <v>#N/A Field Not Applicable</v>
      </c>
      <c r="T54" cm="1">
        <f t="array" ref="T54">_xll.BDP($B54,T$1)</f>
        <v>-100.30494979508529</v>
      </c>
      <c r="U54" cm="1">
        <f t="array" ref="U54">_xll.BDP($B54,U$1)</f>
        <v>13.825801</v>
      </c>
      <c r="V54" t="str" cm="1">
        <f t="array" ref="V54">_xll.BDP($B54,V$1)</f>
        <v>#N/A N/A</v>
      </c>
      <c r="W54" t="str" cm="1">
        <f t="array" ref="W54">_xll.BDP($B54,W$1)</f>
        <v>#N/A N/A</v>
      </c>
      <c r="X54" t="str" cm="1">
        <f t="array" ref="X54">_xll.BDP($B54,X$1)</f>
        <v>1598Z TU</v>
      </c>
      <c r="Y54" t="str" cm="1">
        <f t="array" ref="Y54">_xll.BDP($B54,Y$1)</f>
        <v>Supranational</v>
      </c>
      <c r="Z54" t="str" cm="1">
        <f t="array" ref="Z54">_xll.BDP($B54,Z$1)</f>
        <v>Government</v>
      </c>
      <c r="AA54" t="str" cm="1">
        <f t="array" ref="AA54">_xll.BDP($B54,AA$1)</f>
        <v>Multi-National</v>
      </c>
      <c r="AB54" t="str" cm="1">
        <f t="array" ref="AB54">_xll.BDP($B54,AB$1)</f>
        <v>EURO MTN</v>
      </c>
      <c r="AC54" t="str" cm="1">
        <f t="array" ref="AC54">_xll.BDP($B54,AC$1)</f>
        <v>SNAT</v>
      </c>
      <c r="AD54" t="str" cm="1">
        <f t="array" ref="AD54">_xll.BDP($B54,AD$1)</f>
        <v>#N/A Field Not Applicable</v>
      </c>
      <c r="AE54" t="str" cm="1">
        <f t="array" ref="AE54">_xll.BDP($B54,AE$1)</f>
        <v>AT MATURITY</v>
      </c>
      <c r="AF54" cm="1">
        <f t="array" ref="AF54">_xll.BDP($B54,AF$1)</f>
        <v>200000000</v>
      </c>
      <c r="AG54" cm="1">
        <f t="array" ref="AG54">_xll.BDP($B54,AG$1)</f>
        <v>200000000</v>
      </c>
      <c r="AH54" t="str" cm="1">
        <f t="array" ref="AH54">_xll.BDP($B54,AH$1)</f>
        <v>International</v>
      </c>
      <c r="AI54" t="str" cm="1">
        <f t="array" ref="AI54">_xll.BDP($X54 &amp; " Equity",AI$1)</f>
        <v>#N/A N/A</v>
      </c>
      <c r="AJ54" t="str" cm="1">
        <f t="array" ref="AJ54">_xll.BDP($X54 &amp; " Equity",AJ$1)</f>
        <v>TU</v>
      </c>
      <c r="AK54" t="str" cm="1">
        <f t="array" ref="AK54">_xll.BDS($X54&amp;"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55" spans="2:37" x14ac:dyDescent="0.25">
      <c r="B55" t="s">
        <v>194</v>
      </c>
      <c r="C55" t="str" cm="1">
        <f t="array" ref="C55">_xll.BDP($B55,C$1)</f>
        <v>INTL FINANCE CORP</v>
      </c>
      <c r="D55" t="str" cm="1">
        <f t="array" ref="D55">_xll.BDP($B55,D$1)</f>
        <v>BBG011PC05B8</v>
      </c>
      <c r="E55" t="str" cm="1">
        <f t="array" ref="E55">_xll.BDP($B55,E$1)</f>
        <v>XS2362913837</v>
      </c>
      <c r="F55" t="str" cm="1">
        <f t="array" ref="F55">_xll.BDP($B55,F$1)</f>
        <v>7/14/2021</v>
      </c>
      <c r="G55" t="str" cm="1">
        <f t="array" ref="G55">_xll.BDP($B55,G$1)</f>
        <v>7/14/2031</v>
      </c>
      <c r="H55" t="str" cm="1">
        <f t="array" ref="H55">_xll.BDP($B55,H$1)</f>
        <v>BRL</v>
      </c>
      <c r="I55" t="str" cm="1">
        <f t="array" ref="I55">_xll.BDP($B55,I$1)</f>
        <v>FIXED</v>
      </c>
      <c r="J55" cm="1">
        <f t="array" ref="J55">_xll.BDP($B55,J$1)</f>
        <v>8.27</v>
      </c>
      <c r="K55" t="str" cm="1">
        <f t="array" ref="K55">_xll.BDP($B55,K$1)</f>
        <v>#N/A Field Not Applicable</v>
      </c>
      <c r="L55" t="str" cm="1">
        <f t="array" ref="L55">_xll.BDP($B55,L$1)</f>
        <v>N</v>
      </c>
      <c r="M55" cm="1">
        <f t="array" ref="M55">_xll.BDP($B55,M$1)</f>
        <v>1</v>
      </c>
      <c r="N55" t="str" cm="1">
        <f t="array" ref="N55">_xll.BDP($B55,N$1)</f>
        <v>STREET CONVENTION</v>
      </c>
      <c r="O55" t="str" cm="1">
        <f t="array" ref="O55">_xll.BDP($B55,O$1)</f>
        <v>#N/A Field Not Applicable</v>
      </c>
      <c r="P55" t="str" cm="1">
        <f t="array" ref="P55">_xll.BDP($B55,P$1)</f>
        <v>#N/A N/A</v>
      </c>
      <c r="Q55" t="str" cm="1">
        <f t="array" ref="Q55">_xll.BDP($B55,Q$1)</f>
        <v>Aaa</v>
      </c>
      <c r="R55" t="str" cm="1">
        <f t="array" ref="R55">_xll.BDP($B55,R$1)</f>
        <v>#N/A N/A</v>
      </c>
      <c r="S55" cm="1">
        <f t="array" ref="S55">_xll.BDP($B55,S$1)</f>
        <v>1</v>
      </c>
      <c r="T55" cm="1">
        <f t="array" ref="T55">_xll.BDP($B55,T$1)</f>
        <v>-118.36485713913572</v>
      </c>
      <c r="U55" cm="1">
        <f t="array" ref="U55">_xll.BDP($B55,U$1)</f>
        <v>12.581738</v>
      </c>
      <c r="V55" t="str" cm="1">
        <f t="array" ref="V55">_xll.BDP($B55,V$1)</f>
        <v>#N/A N/A</v>
      </c>
      <c r="W55" t="str" cm="1">
        <f t="array" ref="W55">_xll.BDP($B55,W$1)</f>
        <v>#N/A N/A</v>
      </c>
      <c r="X55" t="str" cm="1">
        <f t="array" ref="X55">_xll.BDP($B55,X$1)</f>
        <v>8176888Z US</v>
      </c>
      <c r="Y55" t="str" cm="1">
        <f t="array" ref="Y55">_xll.BDP($B55,Y$1)</f>
        <v>Supranational</v>
      </c>
      <c r="Z55" t="str" cm="1">
        <f t="array" ref="Z55">_xll.BDP($B55,Z$1)</f>
        <v>Government</v>
      </c>
      <c r="AA55" t="str" cm="1">
        <f t="array" ref="AA55">_xll.BDP($B55,AA$1)</f>
        <v>Multi-National</v>
      </c>
      <c r="AB55" t="str" cm="1">
        <f t="array" ref="AB55">_xll.BDP($B55,AB$1)</f>
        <v>EURO MTN</v>
      </c>
      <c r="AC55" t="str" cm="1">
        <f t="array" ref="AC55">_xll.BDP($B55,AC$1)</f>
        <v>SNAT</v>
      </c>
      <c r="AD55" t="str" cm="1">
        <f t="array" ref="AD55">_xll.BDP($B55,AD$1)</f>
        <v>7/14/2022</v>
      </c>
      <c r="AE55" t="str" cm="1">
        <f t="array" ref="AE55">_xll.BDP($B55,AE$1)</f>
        <v>AT MATURITY</v>
      </c>
      <c r="AF55" cm="1">
        <f t="array" ref="AF55">_xll.BDP($B55,AF$1)</f>
        <v>55000000</v>
      </c>
      <c r="AG55" cm="1">
        <f t="array" ref="AG55">_xll.BDP($B55,AG$1)</f>
        <v>55000000</v>
      </c>
      <c r="AH55" t="str" cm="1">
        <f t="array" ref="AH55">_xll.BDP($B55,AH$1)</f>
        <v>International</v>
      </c>
      <c r="AI55" t="str" cm="1">
        <f t="array" ref="AI55">_xll.BDP($X55 &amp; " Equity",AI$1)</f>
        <v>#N/A N/A</v>
      </c>
      <c r="AJ55" t="str" cm="1">
        <f t="array" ref="AJ55">_xll.BDP($X55 &amp; " Equity",AJ$1)</f>
        <v>US</v>
      </c>
      <c r="AK55" t="str" cm="1">
        <f t="array" ref="AK55">_xll.BDS($X55&amp;"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56" spans="2:37" x14ac:dyDescent="0.25">
      <c r="B56" t="s">
        <v>195</v>
      </c>
      <c r="C56" t="str" cm="1">
        <f t="array" ref="C56">_xll.BDP($B56,C$1)</f>
        <v>AFRICAN DEVELOPMENT BANK</v>
      </c>
      <c r="D56" t="str" cm="1">
        <f t="array" ref="D56">_xll.BDP($B56,D$1)</f>
        <v>BBG0137QC2G2</v>
      </c>
      <c r="E56" t="str" cm="1">
        <f t="array" ref="E56">_xll.BDP($B56,E$1)</f>
        <v>XS2404727161</v>
      </c>
      <c r="F56" t="str" cm="1">
        <f t="array" ref="F56">_xll.BDP($B56,F$1)</f>
        <v>11/4/2021</v>
      </c>
      <c r="G56" t="str" cm="1">
        <f t="array" ref="G56">_xll.BDP($B56,G$1)</f>
        <v>11/4/2025</v>
      </c>
      <c r="H56" t="str" cm="1">
        <f t="array" ref="H56">_xll.BDP($B56,H$1)</f>
        <v>BRL</v>
      </c>
      <c r="I56" t="str" cm="1">
        <f t="array" ref="I56">_xll.BDP($B56,I$1)</f>
        <v>FIXED</v>
      </c>
      <c r="J56" cm="1">
        <f t="array" ref="J56">_xll.BDP($B56,J$1)</f>
        <v>7.5</v>
      </c>
      <c r="K56" t="str" cm="1">
        <f t="array" ref="K56">_xll.BDP($B56,K$1)</f>
        <v>#N/A Field Not Applicable</v>
      </c>
      <c r="L56" t="str" cm="1">
        <f t="array" ref="L56">_xll.BDP($B56,L$1)</f>
        <v>N</v>
      </c>
      <c r="M56" cm="1">
        <f t="array" ref="M56">_xll.BDP($B56,M$1)</f>
        <v>1</v>
      </c>
      <c r="N56" t="str" cm="1">
        <f t="array" ref="N56">_xll.BDP($B56,N$1)</f>
        <v>STREET CONVENTION</v>
      </c>
      <c r="O56" t="str" cm="1">
        <f t="array" ref="O56">_xll.BDP($B56,O$1)</f>
        <v>#N/A Field Not Applicable</v>
      </c>
      <c r="P56" t="str" cm="1">
        <f t="array" ref="P56">_xll.BDP($B56,P$1)</f>
        <v>AAA</v>
      </c>
      <c r="Q56" t="str" cm="1">
        <f t="array" ref="Q56">_xll.BDP($B56,Q$1)</f>
        <v>Aaa</v>
      </c>
      <c r="R56" t="str" cm="1">
        <f t="array" ref="R56">_xll.BDP($B56,R$1)</f>
        <v>AAA</v>
      </c>
      <c r="S56" cm="1">
        <f t="array" ref="S56">_xll.BDP($B56,S$1)</f>
        <v>2</v>
      </c>
      <c r="T56" cm="1">
        <f t="array" ref="T56">_xll.BDP($B56,T$1)</f>
        <v>-162.10580870802573</v>
      </c>
      <c r="U56" cm="1">
        <f t="array" ref="U56">_xll.BDP($B56,U$1)</f>
        <v>13.207792</v>
      </c>
      <c r="V56" t="str" cm="1">
        <f t="array" ref="V56">_xll.BDP($B56,V$1)</f>
        <v>#N/A N/A</v>
      </c>
      <c r="W56" t="str" cm="1">
        <f t="array" ref="W56">_xll.BDP($B56,W$1)</f>
        <v>#N/A N/A</v>
      </c>
      <c r="X56" t="str" cm="1">
        <f t="array" ref="X56">_xll.BDP($B56,X$1)</f>
        <v>1598Z TU</v>
      </c>
      <c r="Y56" t="str" cm="1">
        <f t="array" ref="Y56">_xll.BDP($B56,Y$1)</f>
        <v>Supranational</v>
      </c>
      <c r="Z56" t="str" cm="1">
        <f t="array" ref="Z56">_xll.BDP($B56,Z$1)</f>
        <v>Government</v>
      </c>
      <c r="AA56" t="str" cm="1">
        <f t="array" ref="AA56">_xll.BDP($B56,AA$1)</f>
        <v>Multi-National</v>
      </c>
      <c r="AB56" t="str" cm="1">
        <f t="array" ref="AB56">_xll.BDP($B56,AB$1)</f>
        <v>EURO MTN</v>
      </c>
      <c r="AC56" t="str" cm="1">
        <f t="array" ref="AC56">_xll.BDP($B56,AC$1)</f>
        <v>SNAT</v>
      </c>
      <c r="AD56" t="str" cm="1">
        <f t="array" ref="AD56">_xll.BDP($B56,AD$1)</f>
        <v>5/4/2022</v>
      </c>
      <c r="AE56" t="str" cm="1">
        <f t="array" ref="AE56">_xll.BDP($B56,AE$1)</f>
        <v>AT MATURITY</v>
      </c>
      <c r="AF56" cm="1">
        <f t="array" ref="AF56">_xll.BDP($B56,AF$1)</f>
        <v>130000000</v>
      </c>
      <c r="AG56" cm="1">
        <f t="array" ref="AG56">_xll.BDP($B56,AG$1)</f>
        <v>130000000</v>
      </c>
      <c r="AH56" t="str" cm="1">
        <f t="array" ref="AH56">_xll.BDP($B56,AH$1)</f>
        <v>International</v>
      </c>
      <c r="AI56" t="str" cm="1">
        <f t="array" ref="AI56">_xll.BDP($X56 &amp; " Equity",AI$1)</f>
        <v>#N/A N/A</v>
      </c>
      <c r="AJ56" t="str" cm="1">
        <f t="array" ref="AJ56">_xll.BDP($X56 &amp; " Equity",AJ$1)</f>
        <v>TU</v>
      </c>
      <c r="AK56" t="str" cm="1">
        <f t="array" ref="AK56">_xll.BDS($X56&amp;"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57" spans="2:37" x14ac:dyDescent="0.25">
      <c r="B57" t="s">
        <v>196</v>
      </c>
      <c r="C57" t="str" cm="1">
        <f t="array" ref="C57">_xll.BDP($B57,C$1)</f>
        <v>INTER-AMERICAN DEVEL BK</v>
      </c>
      <c r="D57" t="str" cm="1">
        <f t="array" ref="D57">_xll.BDP($B57,D$1)</f>
        <v>BBG010K56T95</v>
      </c>
      <c r="E57" t="str" cm="1">
        <f t="array" ref="E57">_xll.BDP($B57,E$1)</f>
        <v>XS2339515525</v>
      </c>
      <c r="F57" t="str" cm="1">
        <f t="array" ref="F57">_xll.BDP($B57,F$1)</f>
        <v>5/12/2021</v>
      </c>
      <c r="G57" t="str" cm="1">
        <f t="array" ref="G57">_xll.BDP($B57,G$1)</f>
        <v>5/12/2031</v>
      </c>
      <c r="H57" t="str" cm="1">
        <f t="array" ref="H57">_xll.BDP($B57,H$1)</f>
        <v>BRL</v>
      </c>
      <c r="I57" t="str" cm="1">
        <f t="array" ref="I57">_xll.BDP($B57,I$1)</f>
        <v>FIXED</v>
      </c>
      <c r="J57" cm="1">
        <f t="array" ref="J57">_xll.BDP($B57,J$1)</f>
        <v>8.02</v>
      </c>
      <c r="K57" t="str" cm="1">
        <f t="array" ref="K57">_xll.BDP($B57,K$1)</f>
        <v>#N/A Field Not Applicable</v>
      </c>
      <c r="L57" t="str" cm="1">
        <f t="array" ref="L57">_xll.BDP($B57,L$1)</f>
        <v>N</v>
      </c>
      <c r="M57" cm="1">
        <f t="array" ref="M57">_xll.BDP($B57,M$1)</f>
        <v>1</v>
      </c>
      <c r="N57" t="str" cm="1">
        <f t="array" ref="N57">_xll.BDP($B57,N$1)</f>
        <v>STREET CONVENTION</v>
      </c>
      <c r="O57" t="str" cm="1">
        <f t="array" ref="O57">_xll.BDP($B57,O$1)</f>
        <v>#N/A Field Not Applicable</v>
      </c>
      <c r="P57" t="str" cm="1">
        <f t="array" ref="P57">_xll.BDP($B57,P$1)</f>
        <v>#N/A N/A</v>
      </c>
      <c r="Q57" t="str" cm="1">
        <f t="array" ref="Q57">_xll.BDP($B57,Q$1)</f>
        <v>#N/A N/A</v>
      </c>
      <c r="R57" t="str" cm="1">
        <f t="array" ref="R57">_xll.BDP($B57,R$1)</f>
        <v>#N/A N/A</v>
      </c>
      <c r="S57" cm="1">
        <f t="array" ref="S57">_xll.BDP($B57,S$1)</f>
        <v>1</v>
      </c>
      <c r="T57" cm="1">
        <f t="array" ref="T57">_xll.BDP($B57,T$1)</f>
        <v>-98.982752535660097</v>
      </c>
      <c r="U57" cm="1">
        <f t="array" ref="U57">_xll.BDP($B57,U$1)</f>
        <v>12.776683999999999</v>
      </c>
      <c r="V57" t="str" cm="1">
        <f t="array" ref="V57">_xll.BDP($B57,V$1)</f>
        <v>#N/A N/A</v>
      </c>
      <c r="W57" t="str" cm="1">
        <f t="array" ref="W57">_xll.BDP($B57,W$1)</f>
        <v>#N/A N/A</v>
      </c>
      <c r="X57" t="str" cm="1">
        <f t="array" ref="X57">_xll.BDP($B57,X$1)</f>
        <v>1814Z US</v>
      </c>
      <c r="Y57" t="str" cm="1">
        <f t="array" ref="Y57">_xll.BDP($B57,Y$1)</f>
        <v>Supranational</v>
      </c>
      <c r="Z57" t="str" cm="1">
        <f t="array" ref="Z57">_xll.BDP($B57,Z$1)</f>
        <v>Government</v>
      </c>
      <c r="AA57" t="str" cm="1">
        <f t="array" ref="AA57">_xll.BDP($B57,AA$1)</f>
        <v>Multi-National</v>
      </c>
      <c r="AB57" t="str" cm="1">
        <f t="array" ref="AB57">_xll.BDP($B57,AB$1)</f>
        <v>EURO MTN</v>
      </c>
      <c r="AC57" t="str" cm="1">
        <f t="array" ref="AC57">_xll.BDP($B57,AC$1)</f>
        <v>SNAT</v>
      </c>
      <c r="AD57" t="str" cm="1">
        <f t="array" ref="AD57">_xll.BDP($B57,AD$1)</f>
        <v>5/12/2022</v>
      </c>
      <c r="AE57" t="str" cm="1">
        <f t="array" ref="AE57">_xll.BDP($B57,AE$1)</f>
        <v>AT MATURITY</v>
      </c>
      <c r="AF57" cm="1">
        <f t="array" ref="AF57">_xll.BDP($B57,AF$1)</f>
        <v>61310000</v>
      </c>
      <c r="AG57" cm="1">
        <f t="array" ref="AG57">_xll.BDP($B57,AG$1)</f>
        <v>61310000</v>
      </c>
      <c r="AH57" t="str" cm="1">
        <f t="array" ref="AH57">_xll.BDP($B57,AH$1)</f>
        <v>International</v>
      </c>
      <c r="AI57" t="str" cm="1">
        <f t="array" ref="AI57">_xll.BDP($X57 &amp; " Equity",AI$1)</f>
        <v>#N/A N/A</v>
      </c>
      <c r="AJ57" t="str" cm="1">
        <f t="array" ref="AJ57">_xll.BDP($X57 &amp; " Equity",AJ$1)</f>
        <v>US</v>
      </c>
      <c r="AK57" t="str" cm="1">
        <f t="array" ref="AK57">_xll.BDS($X57&amp;" Equity",AK$1,"FILL=NA","Aggregate=y")</f>
        <v>Inter-American Development Bank operates as a multilateral development institution. The Bank conducts lending operations emphasizes agricultural, energy, and transportation industries, as well as focuses on poverty reduction, social equity, modernization, integration, and the environmental development. Inter-American Development conducts its business worldwide.</v>
      </c>
    </row>
    <row r="58" spans="2:37" x14ac:dyDescent="0.25">
      <c r="B58" t="s">
        <v>197</v>
      </c>
      <c r="C58" t="str" cm="1">
        <f t="array" ref="C58">_xll.BDP($B58,C$1)</f>
        <v>INTL BK RECON &amp; DEVELOP</v>
      </c>
      <c r="D58" t="str" cm="1">
        <f t="array" ref="D58">_xll.BDP($B58,D$1)</f>
        <v>BBG011Y5S4W3</v>
      </c>
      <c r="E58" t="str" cm="1">
        <f t="array" ref="E58">_xll.BDP($B58,E$1)</f>
        <v>XS2312157600</v>
      </c>
      <c r="F58" t="str" cm="1">
        <f t="array" ref="F58">_xll.BDP($B58,F$1)</f>
        <v>3/23/2021</v>
      </c>
      <c r="G58" t="str" cm="1">
        <f t="array" ref="G58">_xll.BDP($B58,G$1)</f>
        <v>3/23/2026</v>
      </c>
      <c r="H58" t="str" cm="1">
        <f t="array" ref="H58">_xll.BDP($B58,H$1)</f>
        <v>BRL</v>
      </c>
      <c r="I58" t="str" cm="1">
        <f t="array" ref="I58">_xll.BDP($B58,I$1)</f>
        <v>ZERO COUPON</v>
      </c>
      <c r="J58" cm="1">
        <f t="array" ref="J58">_xll.BDP($B58,J$1)</f>
        <v>0</v>
      </c>
      <c r="K58" t="str" cm="1">
        <f t="array" ref="K58">_xll.BDP($B58,K$1)</f>
        <v>#N/A Field Not Applicable</v>
      </c>
      <c r="L58" t="str" cm="1">
        <f t="array" ref="L58">_xll.BDP($B58,L$1)</f>
        <v>N</v>
      </c>
      <c r="M58" cm="1">
        <f t="array" ref="M58">_xll.BDP($B58,M$1)</f>
        <v>99</v>
      </c>
      <c r="N58" t="str" cm="1">
        <f t="array" ref="N58">_xll.BDP($B58,N$1)</f>
        <v>*NO CALCULATIONS*</v>
      </c>
      <c r="O58" t="str" cm="1">
        <f t="array" ref="O58">_xll.BDP($B58,O$1)</f>
        <v>#N/A Field Not Applicable</v>
      </c>
      <c r="P58" t="str" cm="1">
        <f t="array" ref="P58">_xll.BDP($B58,P$1)</f>
        <v>AAAp</v>
      </c>
      <c r="Q58" t="str" cm="1">
        <f t="array" ref="Q58">_xll.BDP($B58,Q$1)</f>
        <v>NR</v>
      </c>
      <c r="R58" t="str" cm="1">
        <f t="array" ref="R58">_xll.BDP($B58,R$1)</f>
        <v>#N/A N/A</v>
      </c>
      <c r="S58" t="str" cm="1">
        <f t="array" ref="S58">_xll.BDP($B58,S$1)</f>
        <v>#N/A Field Not Applicable</v>
      </c>
      <c r="T58" t="str" cm="1">
        <f t="array" ref="T58">_xll.BDP($B58,T$1)</f>
        <v>#N/A N/A</v>
      </c>
      <c r="U58" t="str" cm="1">
        <f t="array" ref="U58">_xll.BDP($B58,U$1)</f>
        <v>#N/A N/A</v>
      </c>
      <c r="V58" t="str" cm="1">
        <f t="array" ref="V58">_xll.BDP($B58,V$1)</f>
        <v>#N/A N/A</v>
      </c>
      <c r="W58" t="str" cm="1">
        <f t="array" ref="W58">_xll.BDP($B58,W$1)</f>
        <v>#N/A N/A</v>
      </c>
      <c r="X58" t="str" cm="1">
        <f t="array" ref="X58">_xll.BDP($B58,X$1)</f>
        <v>8176888Z US</v>
      </c>
      <c r="Y58" t="str" cm="1">
        <f t="array" ref="Y58">_xll.BDP($B58,Y$1)</f>
        <v>#N/A N/A</v>
      </c>
      <c r="Z58" t="str" cm="1">
        <f t="array" ref="Z58">_xll.BDP($B58,Z$1)</f>
        <v>Government</v>
      </c>
      <c r="AA58" t="str" cm="1">
        <f t="array" ref="AA58">_xll.BDP($B58,AA$1)</f>
        <v>Multi-National</v>
      </c>
      <c r="AB58" t="str" cm="1">
        <f t="array" ref="AB58">_xll.BDP($B58,AB$1)</f>
        <v>EURO MTN</v>
      </c>
      <c r="AC58" t="str" cm="1">
        <f t="array" ref="AC58">_xll.BDP($B58,AC$1)</f>
        <v>SNAT</v>
      </c>
      <c r="AD58" t="str" cm="1">
        <f t="array" ref="AD58">_xll.BDP($B58,AD$1)</f>
        <v>#N/A Field Not Applicable</v>
      </c>
      <c r="AE58" t="str" cm="1">
        <f t="array" ref="AE58">_xll.BDP($B58,AE$1)</f>
        <v>AT MATURITY</v>
      </c>
      <c r="AF58" cm="1">
        <f t="array" ref="AF58">_xll.BDP($B58,AF$1)</f>
        <v>171375000</v>
      </c>
      <c r="AG58" cm="1">
        <f t="array" ref="AG58">_xll.BDP($B58,AG$1)</f>
        <v>171375000</v>
      </c>
      <c r="AH58" t="str" cm="1">
        <f t="array" ref="AH58">_xll.BDP($B58,AH$1)</f>
        <v>International</v>
      </c>
      <c r="AI58" t="str" cm="1">
        <f t="array" ref="AI58">_xll.BDP($X58 &amp; " Equity",AI$1)</f>
        <v>#N/A N/A</v>
      </c>
      <c r="AJ58" t="str" cm="1">
        <f t="array" ref="AJ58">_xll.BDP($X58 &amp; " Equity",AJ$1)</f>
        <v>US</v>
      </c>
      <c r="AK58" t="str" cm="1">
        <f t="array" ref="AK58">_xll.BDS($X58&amp;"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59" spans="2:37" x14ac:dyDescent="0.25">
      <c r="B59" t="s">
        <v>198</v>
      </c>
      <c r="C59" t="str" cm="1">
        <f t="array" ref="C59">_xll.BDP($B59,C$1)</f>
        <v>CORP ANDINA DE FOMENTO</v>
      </c>
      <c r="D59" t="str" cm="1">
        <f t="array" ref="D59">_xll.BDP($B59,D$1)</f>
        <v>BBG0116Z35F1</v>
      </c>
      <c r="E59" t="str" cm="1">
        <f t="array" ref="E59">_xll.BDP($B59,E$1)</f>
        <v>#N/A Field Not Applicable</v>
      </c>
      <c r="F59" t="str" cm="1">
        <f t="array" ref="F59">_xll.BDP($B59,F$1)</f>
        <v>6/7/2021</v>
      </c>
      <c r="G59" t="str" cm="1">
        <f t="array" ref="G59">_xll.BDP($B59,G$1)</f>
        <v>6/7/2026</v>
      </c>
      <c r="H59" t="str" cm="1">
        <f t="array" ref="H59">_xll.BDP($B59,H$1)</f>
        <v>BRL</v>
      </c>
      <c r="I59" t="str" cm="1">
        <f t="array" ref="I59">_xll.BDP($B59,I$1)</f>
        <v>ZERO COUPON</v>
      </c>
      <c r="J59" cm="1">
        <f t="array" ref="J59">_xll.BDP($B59,J$1)</f>
        <v>0</v>
      </c>
      <c r="K59" t="str" cm="1">
        <f t="array" ref="K59">_xll.BDP($B59,K$1)</f>
        <v>#N/A Field Not Applicable</v>
      </c>
      <c r="L59" t="str" cm="1">
        <f t="array" ref="L59">_xll.BDP($B59,L$1)</f>
        <v>N</v>
      </c>
      <c r="M59" cm="1">
        <f t="array" ref="M59">_xll.BDP($B59,M$1)</f>
        <v>1</v>
      </c>
      <c r="N59" t="str" cm="1">
        <f t="array" ref="N59">_xll.BDP($B59,N$1)</f>
        <v>STREET CONVENTION</v>
      </c>
      <c r="O59" t="str" cm="1">
        <f t="array" ref="O59">_xll.BDP($B59,O$1)</f>
        <v>#N/A Field Not Applicable</v>
      </c>
      <c r="P59" t="str" cm="1">
        <f t="array" ref="P59">_xll.BDP($B59,P$1)</f>
        <v>#N/A N/A</v>
      </c>
      <c r="Q59" t="str" cm="1">
        <f t="array" ref="Q59">_xll.BDP($B59,Q$1)</f>
        <v>#N/A N/A</v>
      </c>
      <c r="R59" t="str" cm="1">
        <f t="array" ref="R59">_xll.BDP($B59,R$1)</f>
        <v>#N/A N/A</v>
      </c>
      <c r="S59" t="str" cm="1">
        <f t="array" ref="S59">_xll.BDP($B59,S$1)</f>
        <v>#N/A Field Not Applicable</v>
      </c>
      <c r="T59" t="str" cm="1">
        <f t="array" ref="T59">_xll.BDP($B59,T$1)</f>
        <v>#N/A N/A</v>
      </c>
      <c r="U59" t="str" cm="1">
        <f t="array" ref="U59">_xll.BDP($B59,U$1)</f>
        <v>#N/A N/A</v>
      </c>
      <c r="V59" t="str" cm="1">
        <f t="array" ref="V59">_xll.BDP($B59,V$1)</f>
        <v>#N/A N/A</v>
      </c>
      <c r="W59" t="str" cm="1">
        <f t="array" ref="W59">_xll.BDP($B59,W$1)</f>
        <v>#N/A N/A</v>
      </c>
      <c r="X59" t="str" cm="1">
        <f t="array" ref="X59">_xll.BDP($B59,X$1)</f>
        <v>190458Z VC</v>
      </c>
      <c r="Y59" t="str" cm="1">
        <f t="array" ref="Y59">_xll.BDP($B59,Y$1)</f>
        <v>#N/A N/A</v>
      </c>
      <c r="Z59" t="str" cm="1">
        <f t="array" ref="Z59">_xll.BDP($B59,Z$1)</f>
        <v>Government</v>
      </c>
      <c r="AA59" t="str" cm="1">
        <f t="array" ref="AA59">_xll.BDP($B59,AA$1)</f>
        <v>Multi-National</v>
      </c>
      <c r="AB59" t="str" cm="1">
        <f t="array" ref="AB59">_xll.BDP($B59,AB$1)</f>
        <v>EURO MTN</v>
      </c>
      <c r="AC59" t="str" cm="1">
        <f t="array" ref="AC59">_xll.BDP($B59,AC$1)</f>
        <v>SNAT</v>
      </c>
      <c r="AD59" t="str" cm="1">
        <f t="array" ref="AD59">_xll.BDP($B59,AD$1)</f>
        <v>#N/A Field Not Applicable</v>
      </c>
      <c r="AE59" t="str" cm="1">
        <f t="array" ref="AE59">_xll.BDP($B59,AE$1)</f>
        <v>AT MATURITY</v>
      </c>
      <c r="AF59" cm="1">
        <f t="array" ref="AF59">_xll.BDP($B59,AF$1)</f>
        <v>80000000</v>
      </c>
      <c r="AG59" cm="1">
        <f t="array" ref="AG59">_xll.BDP($B59,AG$1)</f>
        <v>80000000</v>
      </c>
      <c r="AH59" t="str" cm="1">
        <f t="array" ref="AH59">_xll.BDP($B59,AH$1)</f>
        <v>Domestic</v>
      </c>
      <c r="AI59" t="str" cm="1">
        <f t="array" ref="AI59">_xll.BDP($X59 &amp; " Equity",AI$1)</f>
        <v>#N/A N/A</v>
      </c>
      <c r="AJ59" t="str" cm="1">
        <f t="array" ref="AJ59">_xll.BDP($X59 &amp; " Equity",AJ$1)</f>
        <v>VC</v>
      </c>
      <c r="AK59" t="str" cm="1">
        <f t="array" ref="AK59">_xll.BDS($X59&amp;" Equity",AK$1,"FILL=NA","Aggregate=y")</f>
        <v>Corporacion Andina de Fomento (CAF) operates as a development bank for Latin Americans and the Caribbeans. The Bank provides loans, credit operations, and non-refundable funds for development of water and sanitation, energy, road infrastructure, productive transformation, and urban mobility infrastructure. CAF serves customers in Latin America, the Caribbean, Spain, and Portugal.</v>
      </c>
    </row>
    <row r="60" spans="2:37" x14ac:dyDescent="0.25">
      <c r="B60" t="s">
        <v>199</v>
      </c>
      <c r="C60" t="str" cm="1">
        <f t="array" ref="C60">_xll.BDP($B60,C$1)</f>
        <v>INTL BK RECON &amp; DEVELOP</v>
      </c>
      <c r="D60" t="str" cm="1">
        <f t="array" ref="D60">_xll.BDP($B60,D$1)</f>
        <v>BBG00YXRQ0N5</v>
      </c>
      <c r="E60" t="str" cm="1">
        <f t="array" ref="E60">_xll.BDP($B60,E$1)</f>
        <v>XS2289821568</v>
      </c>
      <c r="F60" t="str" cm="1">
        <f t="array" ref="F60">_xll.BDP($B60,F$1)</f>
        <v>2/4/2021</v>
      </c>
      <c r="G60" t="str" cm="1">
        <f t="array" ref="G60">_xll.BDP($B60,G$1)</f>
        <v>1/12/2026</v>
      </c>
      <c r="H60" t="str" cm="1">
        <f t="array" ref="H60">_xll.BDP($B60,H$1)</f>
        <v>BRL</v>
      </c>
      <c r="I60" t="str" cm="1">
        <f t="array" ref="I60">_xll.BDP($B60,I$1)</f>
        <v>FIXED</v>
      </c>
      <c r="J60" cm="1">
        <f t="array" ref="J60">_xll.BDP($B60,J$1)</f>
        <v>5.3049999999999997</v>
      </c>
      <c r="K60" t="str" cm="1">
        <f t="array" ref="K60">_xll.BDP($B60,K$1)</f>
        <v>#N/A Field Not Applicable</v>
      </c>
      <c r="L60" t="str" cm="1">
        <f t="array" ref="L60">_xll.BDP($B60,L$1)</f>
        <v>N</v>
      </c>
      <c r="M60" cm="1">
        <f t="array" ref="M60">_xll.BDP($B60,M$1)</f>
        <v>1</v>
      </c>
      <c r="N60" t="str" cm="1">
        <f t="array" ref="N60">_xll.BDP($B60,N$1)</f>
        <v>STREET CONVENTION</v>
      </c>
      <c r="O60" t="str" cm="1">
        <f t="array" ref="O60">_xll.BDP($B60,O$1)</f>
        <v>#N/A Field Not Applicable</v>
      </c>
      <c r="P60" t="str" cm="1">
        <f t="array" ref="P60">_xll.BDP($B60,P$1)</f>
        <v>AAAp</v>
      </c>
      <c r="Q60" t="str" cm="1">
        <f t="array" ref="Q60">_xll.BDP($B60,Q$1)</f>
        <v>NR</v>
      </c>
      <c r="R60" t="str" cm="1">
        <f t="array" ref="R60">_xll.BDP($B60,R$1)</f>
        <v>#N/A N/A</v>
      </c>
      <c r="S60" cm="1">
        <f t="array" ref="S60">_xll.BDP($B60,S$1)</f>
        <v>1</v>
      </c>
      <c r="T60" t="str" cm="1">
        <f t="array" ref="T60">_xll.BDP($B60,T$1)</f>
        <v>#N/A N/A</v>
      </c>
      <c r="U60" t="str" cm="1">
        <f t="array" ref="U60">_xll.BDP($B60,U$1)</f>
        <v>#N/A N/A</v>
      </c>
      <c r="V60" t="str" cm="1">
        <f t="array" ref="V60">_xll.BDP($B60,V$1)</f>
        <v>#N/A N/A</v>
      </c>
      <c r="W60" t="str" cm="1">
        <f t="array" ref="W60">_xll.BDP($B60,W$1)</f>
        <v>#N/A N/A</v>
      </c>
      <c r="X60" t="str" cm="1">
        <f t="array" ref="X60">_xll.BDP($B60,X$1)</f>
        <v>8176888Z US</v>
      </c>
      <c r="Y60" t="str" cm="1">
        <f t="array" ref="Y60">_xll.BDP($B60,Y$1)</f>
        <v>#N/A N/A</v>
      </c>
      <c r="Z60" t="str" cm="1">
        <f t="array" ref="Z60">_xll.BDP($B60,Z$1)</f>
        <v>Government</v>
      </c>
      <c r="AA60" t="str" cm="1">
        <f t="array" ref="AA60">_xll.BDP($B60,AA$1)</f>
        <v>Multi-National</v>
      </c>
      <c r="AB60" t="str" cm="1">
        <f t="array" ref="AB60">_xll.BDP($B60,AB$1)</f>
        <v>EURO MTN</v>
      </c>
      <c r="AC60" t="str" cm="1">
        <f t="array" ref="AC60">_xll.BDP($B60,AC$1)</f>
        <v>SNAT</v>
      </c>
      <c r="AD60" t="str" cm="1">
        <f t="array" ref="AD60">_xll.BDP($B60,AD$1)</f>
        <v>1/13/2022</v>
      </c>
      <c r="AE60" t="str" cm="1">
        <f t="array" ref="AE60">_xll.BDP($B60,AE$1)</f>
        <v>AT MATURITY</v>
      </c>
      <c r="AF60" cm="1">
        <f t="array" ref="AF60">_xll.BDP($B60,AF$1)</f>
        <v>53500000</v>
      </c>
      <c r="AG60" cm="1">
        <f t="array" ref="AG60">_xll.BDP($B60,AG$1)</f>
        <v>53500000</v>
      </c>
      <c r="AH60" t="str" cm="1">
        <f t="array" ref="AH60">_xll.BDP($B60,AH$1)</f>
        <v>International</v>
      </c>
      <c r="AI60" t="str" cm="1">
        <f t="array" ref="AI60">_xll.BDP($X60 &amp; " Equity",AI$1)</f>
        <v>#N/A N/A</v>
      </c>
      <c r="AJ60" t="str" cm="1">
        <f t="array" ref="AJ60">_xll.BDP($X60 &amp; " Equity",AJ$1)</f>
        <v>US</v>
      </c>
      <c r="AK60" t="str" cm="1">
        <f t="array" ref="AK60">_xll.BDS($X60&amp;"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1" spans="2:37" x14ac:dyDescent="0.25">
      <c r="B61" t="s">
        <v>200</v>
      </c>
      <c r="C61" t="str" cm="1">
        <f t="array" ref="C61">_xll.BDP($B61,C$1)</f>
        <v>INTL BK RECON &amp; DEVELOP</v>
      </c>
      <c r="D61" t="str" cm="1">
        <f t="array" ref="D61">_xll.BDP($B61,D$1)</f>
        <v>BBG011Y5N4C0</v>
      </c>
      <c r="E61" t="str" cm="1">
        <f t="array" ref="E61">_xll.BDP($B61,E$1)</f>
        <v>XS2251370727</v>
      </c>
      <c r="F61" t="str" cm="1">
        <f t="array" ref="F61">_xll.BDP($B61,F$1)</f>
        <v>11/10/2020</v>
      </c>
      <c r="G61" t="str" cm="1">
        <f t="array" ref="G61">_xll.BDP($B61,G$1)</f>
        <v>11/10/2025</v>
      </c>
      <c r="H61" t="str" cm="1">
        <f t="array" ref="H61">_xll.BDP($B61,H$1)</f>
        <v>BRL</v>
      </c>
      <c r="I61" t="str" cm="1">
        <f t="array" ref="I61">_xll.BDP($B61,I$1)</f>
        <v>ZERO COUPON</v>
      </c>
      <c r="J61" cm="1">
        <f t="array" ref="J61">_xll.BDP($B61,J$1)</f>
        <v>0</v>
      </c>
      <c r="K61" t="str" cm="1">
        <f t="array" ref="K61">_xll.BDP($B61,K$1)</f>
        <v>#N/A Field Not Applicable</v>
      </c>
      <c r="L61" t="str" cm="1">
        <f t="array" ref="L61">_xll.BDP($B61,L$1)</f>
        <v>N</v>
      </c>
      <c r="M61" cm="1">
        <f t="array" ref="M61">_xll.BDP($B61,M$1)</f>
        <v>1</v>
      </c>
      <c r="N61" t="str" cm="1">
        <f t="array" ref="N61">_xll.BDP($B61,N$1)</f>
        <v>STREET CONVENTION</v>
      </c>
      <c r="O61" t="str" cm="1">
        <f t="array" ref="O61">_xll.BDP($B61,O$1)</f>
        <v>#N/A Field Not Applicable</v>
      </c>
      <c r="P61" t="str" cm="1">
        <f t="array" ref="P61">_xll.BDP($B61,P$1)</f>
        <v>AAAp</v>
      </c>
      <c r="Q61" t="str" cm="1">
        <f t="array" ref="Q61">_xll.BDP($B61,Q$1)</f>
        <v>NR</v>
      </c>
      <c r="R61" t="str" cm="1">
        <f t="array" ref="R61">_xll.BDP($B61,R$1)</f>
        <v>#N/A N/A</v>
      </c>
      <c r="S61" t="str" cm="1">
        <f t="array" ref="S61">_xll.BDP($B61,S$1)</f>
        <v>#N/A Field Not Applicable</v>
      </c>
      <c r="T61" t="str" cm="1">
        <f t="array" ref="T61">_xll.BDP($B61,T$1)</f>
        <v>#N/A N/A</v>
      </c>
      <c r="U61" t="str" cm="1">
        <f t="array" ref="U61">_xll.BDP($B61,U$1)</f>
        <v>#N/A N/A</v>
      </c>
      <c r="V61" t="str" cm="1">
        <f t="array" ref="V61">_xll.BDP($B61,V$1)</f>
        <v>#N/A N/A</v>
      </c>
      <c r="W61" t="str" cm="1">
        <f t="array" ref="W61">_xll.BDP($B61,W$1)</f>
        <v>#N/A N/A</v>
      </c>
      <c r="X61" t="str" cm="1">
        <f t="array" ref="X61">_xll.BDP($B61,X$1)</f>
        <v>8176888Z US</v>
      </c>
      <c r="Y61" t="str" cm="1">
        <f t="array" ref="Y61">_xll.BDP($B61,Y$1)</f>
        <v>#N/A N/A</v>
      </c>
      <c r="Z61" t="str" cm="1">
        <f t="array" ref="Z61">_xll.BDP($B61,Z$1)</f>
        <v>Government</v>
      </c>
      <c r="AA61" t="str" cm="1">
        <f t="array" ref="AA61">_xll.BDP($B61,AA$1)</f>
        <v>Multi-National</v>
      </c>
      <c r="AB61" t="str" cm="1">
        <f t="array" ref="AB61">_xll.BDP($B61,AB$1)</f>
        <v>EURO MTN</v>
      </c>
      <c r="AC61" t="str" cm="1">
        <f t="array" ref="AC61">_xll.BDP($B61,AC$1)</f>
        <v>SNAT</v>
      </c>
      <c r="AD61" t="str" cm="1">
        <f t="array" ref="AD61">_xll.BDP($B61,AD$1)</f>
        <v>#N/A Field Not Applicable</v>
      </c>
      <c r="AE61" t="str" cm="1">
        <f t="array" ref="AE61">_xll.BDP($B61,AE$1)</f>
        <v>AT MATURITY</v>
      </c>
      <c r="AF61" cm="1">
        <f t="array" ref="AF61">_xll.BDP($B61,AF$1)</f>
        <v>168630000</v>
      </c>
      <c r="AG61" cm="1">
        <f t="array" ref="AG61">_xll.BDP($B61,AG$1)</f>
        <v>168630000</v>
      </c>
      <c r="AH61" t="str" cm="1">
        <f t="array" ref="AH61">_xll.BDP($B61,AH$1)</f>
        <v>International</v>
      </c>
      <c r="AI61" t="str" cm="1">
        <f t="array" ref="AI61">_xll.BDP($X61 &amp; " Equity",AI$1)</f>
        <v>#N/A N/A</v>
      </c>
      <c r="AJ61" t="str" cm="1">
        <f t="array" ref="AJ61">_xll.BDP($X61 &amp; " Equity",AJ$1)</f>
        <v>US</v>
      </c>
      <c r="AK61" t="str" cm="1">
        <f t="array" ref="AK61">_xll.BDS($X61&amp;"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2" spans="2:37" x14ac:dyDescent="0.25">
      <c r="B62" t="s">
        <v>201</v>
      </c>
      <c r="C62" t="str" cm="1">
        <f t="array" ref="C62">_xll.BDP($B62,C$1)</f>
        <v>INTL BK RECON &amp; DEVELOP</v>
      </c>
      <c r="D62" t="str" cm="1">
        <f t="array" ref="D62">_xll.BDP($B62,D$1)</f>
        <v>BBG011Y60638</v>
      </c>
      <c r="E62" t="str" cm="1">
        <f t="array" ref="E62">_xll.BDP($B62,E$1)</f>
        <v>XS2251370131</v>
      </c>
      <c r="F62" t="str" cm="1">
        <f t="array" ref="F62">_xll.BDP($B62,F$1)</f>
        <v>11/18/2020</v>
      </c>
      <c r="G62" t="str" cm="1">
        <f t="array" ref="G62">_xll.BDP($B62,G$1)</f>
        <v>11/18/2032</v>
      </c>
      <c r="H62" t="str" cm="1">
        <f t="array" ref="H62">_xll.BDP($B62,H$1)</f>
        <v>BRL</v>
      </c>
      <c r="I62" t="str" cm="1">
        <f t="array" ref="I62">_xll.BDP($B62,I$1)</f>
        <v>ZERO COUPON</v>
      </c>
      <c r="J62" cm="1">
        <f t="array" ref="J62">_xll.BDP($B62,J$1)</f>
        <v>0</v>
      </c>
      <c r="K62" t="str" cm="1">
        <f t="array" ref="K62">_xll.BDP($B62,K$1)</f>
        <v>#N/A Field Not Applicable</v>
      </c>
      <c r="L62" t="str" cm="1">
        <f t="array" ref="L62">_xll.BDP($B62,L$1)</f>
        <v>N</v>
      </c>
      <c r="M62" cm="1">
        <f t="array" ref="M62">_xll.BDP($B62,M$1)</f>
        <v>99</v>
      </c>
      <c r="N62" t="str" cm="1">
        <f t="array" ref="N62">_xll.BDP($B62,N$1)</f>
        <v>*NO CALCULATIONS*</v>
      </c>
      <c r="O62" t="str" cm="1">
        <f t="array" ref="O62">_xll.BDP($B62,O$1)</f>
        <v>#N/A Field Not Applicable</v>
      </c>
      <c r="P62" t="str" cm="1">
        <f t="array" ref="P62">_xll.BDP($B62,P$1)</f>
        <v>AAAp</v>
      </c>
      <c r="Q62" t="str" cm="1">
        <f t="array" ref="Q62">_xll.BDP($B62,Q$1)</f>
        <v>NR</v>
      </c>
      <c r="R62" t="str" cm="1">
        <f t="array" ref="R62">_xll.BDP($B62,R$1)</f>
        <v>#N/A N/A</v>
      </c>
      <c r="S62" t="str" cm="1">
        <f t="array" ref="S62">_xll.BDP($B62,S$1)</f>
        <v>#N/A Field Not Applicable</v>
      </c>
      <c r="T62" t="str" cm="1">
        <f t="array" ref="T62">_xll.BDP($B62,T$1)</f>
        <v>#N/A N/A</v>
      </c>
      <c r="U62" t="str" cm="1">
        <f t="array" ref="U62">_xll.BDP($B62,U$1)</f>
        <v>#N/A N/A</v>
      </c>
      <c r="V62" t="str" cm="1">
        <f t="array" ref="V62">_xll.BDP($B62,V$1)</f>
        <v>#N/A N/A</v>
      </c>
      <c r="W62" t="str" cm="1">
        <f t="array" ref="W62">_xll.BDP($B62,W$1)</f>
        <v>#N/A N/A</v>
      </c>
      <c r="X62" t="str" cm="1">
        <f t="array" ref="X62">_xll.BDP($B62,X$1)</f>
        <v>8176888Z US</v>
      </c>
      <c r="Y62" t="str" cm="1">
        <f t="array" ref="Y62">_xll.BDP($B62,Y$1)</f>
        <v>#N/A N/A</v>
      </c>
      <c r="Z62" t="str" cm="1">
        <f t="array" ref="Z62">_xll.BDP($B62,Z$1)</f>
        <v>Government</v>
      </c>
      <c r="AA62" t="str" cm="1">
        <f t="array" ref="AA62">_xll.BDP($B62,AA$1)</f>
        <v>Multi-National</v>
      </c>
      <c r="AB62" t="str" cm="1">
        <f t="array" ref="AB62">_xll.BDP($B62,AB$1)</f>
        <v>EURO MTN</v>
      </c>
      <c r="AC62" t="str" cm="1">
        <f t="array" ref="AC62">_xll.BDP($B62,AC$1)</f>
        <v>SNAT</v>
      </c>
      <c r="AD62" t="str" cm="1">
        <f t="array" ref="AD62">_xll.BDP($B62,AD$1)</f>
        <v>#N/A Field Not Applicable</v>
      </c>
      <c r="AE62" t="str" cm="1">
        <f t="array" ref="AE62">_xll.BDP($B62,AE$1)</f>
        <v>AT MATURITY</v>
      </c>
      <c r="AF62" cm="1">
        <f t="array" ref="AF62">_xll.BDP($B62,AF$1)</f>
        <v>281000000</v>
      </c>
      <c r="AG62" cm="1">
        <f t="array" ref="AG62">_xll.BDP($B62,AG$1)</f>
        <v>281000000</v>
      </c>
      <c r="AH62" t="str" cm="1">
        <f t="array" ref="AH62">_xll.BDP($B62,AH$1)</f>
        <v>International</v>
      </c>
      <c r="AI62" t="str" cm="1">
        <f t="array" ref="AI62">_xll.BDP($X62 &amp; " Equity",AI$1)</f>
        <v>#N/A N/A</v>
      </c>
      <c r="AJ62" t="str" cm="1">
        <f t="array" ref="AJ62">_xll.BDP($X62 &amp; " Equity",AJ$1)</f>
        <v>US</v>
      </c>
      <c r="AK62" t="str" cm="1">
        <f t="array" ref="AK62">_xll.BDS($X62&amp;"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3" spans="2:37" x14ac:dyDescent="0.25">
      <c r="B63" t="s">
        <v>202</v>
      </c>
      <c r="C63" t="str" cm="1">
        <f t="array" ref="C63">_xll.BDP($B63,C$1)</f>
        <v>INTL BK RECON &amp; DEVELOP</v>
      </c>
      <c r="D63" t="str" cm="1">
        <f t="array" ref="D63">_xll.BDP($B63,D$1)</f>
        <v>BBG011Y5S2X6</v>
      </c>
      <c r="E63" t="str" cm="1">
        <f t="array" ref="E63">_xll.BDP($B63,E$1)</f>
        <v>XS2311579218</v>
      </c>
      <c r="F63" t="str" cm="1">
        <f t="array" ref="F63">_xll.BDP($B63,F$1)</f>
        <v>3/23/2021</v>
      </c>
      <c r="G63" t="str" cm="1">
        <f t="array" ref="G63">_xll.BDP($B63,G$1)</f>
        <v>3/23/2033</v>
      </c>
      <c r="H63" t="str" cm="1">
        <f t="array" ref="H63">_xll.BDP($B63,H$1)</f>
        <v>BRL</v>
      </c>
      <c r="I63" t="str" cm="1">
        <f t="array" ref="I63">_xll.BDP($B63,I$1)</f>
        <v>ZERO COUPON</v>
      </c>
      <c r="J63" cm="1">
        <f t="array" ref="J63">_xll.BDP($B63,J$1)</f>
        <v>0</v>
      </c>
      <c r="K63" t="str" cm="1">
        <f t="array" ref="K63">_xll.BDP($B63,K$1)</f>
        <v>#N/A Field Not Applicable</v>
      </c>
      <c r="L63" t="str" cm="1">
        <f t="array" ref="L63">_xll.BDP($B63,L$1)</f>
        <v>N</v>
      </c>
      <c r="M63" cm="1">
        <f t="array" ref="M63">_xll.BDP($B63,M$1)</f>
        <v>99</v>
      </c>
      <c r="N63" t="str" cm="1">
        <f t="array" ref="N63">_xll.BDP($B63,N$1)</f>
        <v>*NO CALCULATIONS*</v>
      </c>
      <c r="O63" t="str" cm="1">
        <f t="array" ref="O63">_xll.BDP($B63,O$1)</f>
        <v>#N/A Field Not Applicable</v>
      </c>
      <c r="P63" t="str" cm="1">
        <f t="array" ref="P63">_xll.BDP($B63,P$1)</f>
        <v>AAAp</v>
      </c>
      <c r="Q63" t="str" cm="1">
        <f t="array" ref="Q63">_xll.BDP($B63,Q$1)</f>
        <v>NR</v>
      </c>
      <c r="R63" t="str" cm="1">
        <f t="array" ref="R63">_xll.BDP($B63,R$1)</f>
        <v>#N/A N/A</v>
      </c>
      <c r="S63" t="str" cm="1">
        <f t="array" ref="S63">_xll.BDP($B63,S$1)</f>
        <v>#N/A Field Not Applicable</v>
      </c>
      <c r="T63" t="str" cm="1">
        <f t="array" ref="T63">_xll.BDP($B63,T$1)</f>
        <v>#N/A N/A</v>
      </c>
      <c r="U63" t="str" cm="1">
        <f t="array" ref="U63">_xll.BDP($B63,U$1)</f>
        <v>#N/A N/A</v>
      </c>
      <c r="V63" t="str" cm="1">
        <f t="array" ref="V63">_xll.BDP($B63,V$1)</f>
        <v>#N/A N/A</v>
      </c>
      <c r="W63" t="str" cm="1">
        <f t="array" ref="W63">_xll.BDP($B63,W$1)</f>
        <v>#N/A N/A</v>
      </c>
      <c r="X63" t="str" cm="1">
        <f t="array" ref="X63">_xll.BDP($B63,X$1)</f>
        <v>8176888Z US</v>
      </c>
      <c r="Y63" t="str" cm="1">
        <f t="array" ref="Y63">_xll.BDP($B63,Y$1)</f>
        <v>#N/A N/A</v>
      </c>
      <c r="Z63" t="str" cm="1">
        <f t="array" ref="Z63">_xll.BDP($B63,Z$1)</f>
        <v>Government</v>
      </c>
      <c r="AA63" t="str" cm="1">
        <f t="array" ref="AA63">_xll.BDP($B63,AA$1)</f>
        <v>Multi-National</v>
      </c>
      <c r="AB63" t="str" cm="1">
        <f t="array" ref="AB63">_xll.BDP($B63,AB$1)</f>
        <v>EURO MTN</v>
      </c>
      <c r="AC63" t="str" cm="1">
        <f t="array" ref="AC63">_xll.BDP($B63,AC$1)</f>
        <v>SNAT</v>
      </c>
      <c r="AD63" t="str" cm="1">
        <f t="array" ref="AD63">_xll.BDP($B63,AD$1)</f>
        <v>#N/A Field Not Applicable</v>
      </c>
      <c r="AE63" t="str" cm="1">
        <f t="array" ref="AE63">_xll.BDP($B63,AE$1)</f>
        <v>AT MATURITY</v>
      </c>
      <c r="AF63" cm="1">
        <f t="array" ref="AF63">_xll.BDP($B63,AF$1)</f>
        <v>514080000</v>
      </c>
      <c r="AG63" cm="1">
        <f t="array" ref="AG63">_xll.BDP($B63,AG$1)</f>
        <v>514080000</v>
      </c>
      <c r="AH63" t="str" cm="1">
        <f t="array" ref="AH63">_xll.BDP($B63,AH$1)</f>
        <v>International</v>
      </c>
      <c r="AI63" t="str" cm="1">
        <f t="array" ref="AI63">_xll.BDP($X63 &amp; " Equity",AI$1)</f>
        <v>#N/A N/A</v>
      </c>
      <c r="AJ63" t="str" cm="1">
        <f t="array" ref="AJ63">_xll.BDP($X63 &amp; " Equity",AJ$1)</f>
        <v>US</v>
      </c>
      <c r="AK63" t="str" cm="1">
        <f t="array" ref="AK63">_xll.BDS($X63&amp;"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4" spans="2:37" x14ac:dyDescent="0.25">
      <c r="B64" t="s">
        <v>203</v>
      </c>
      <c r="C64" t="str" cm="1">
        <f t="array" ref="C64">_xll.BDP($B64,C$1)</f>
        <v>CORP ANDINA DE FOMENTO</v>
      </c>
      <c r="D64" t="str" cm="1">
        <f t="array" ref="D64">_xll.BDP($B64,D$1)</f>
        <v>BBG011995PD2</v>
      </c>
      <c r="E64" t="str" cm="1">
        <f t="array" ref="E64">_xll.BDP($B64,E$1)</f>
        <v>#N/A Field Not Applicable</v>
      </c>
      <c r="F64" t="str" cm="1">
        <f t="array" ref="F64">_xll.BDP($B64,F$1)</f>
        <v>6/7/2021</v>
      </c>
      <c r="G64" t="str" cm="1">
        <f t="array" ref="G64">_xll.BDP($B64,G$1)</f>
        <v>6/7/2033</v>
      </c>
      <c r="H64" t="str" cm="1">
        <f t="array" ref="H64">_xll.BDP($B64,H$1)</f>
        <v>BRL</v>
      </c>
      <c r="I64" t="str" cm="1">
        <f t="array" ref="I64">_xll.BDP($B64,I$1)</f>
        <v>ZERO COUPON</v>
      </c>
      <c r="J64" cm="1">
        <f t="array" ref="J64">_xll.BDP($B64,J$1)</f>
        <v>0</v>
      </c>
      <c r="K64" t="str" cm="1">
        <f t="array" ref="K64">_xll.BDP($B64,K$1)</f>
        <v>#N/A Field Not Applicable</v>
      </c>
      <c r="L64" t="str" cm="1">
        <f t="array" ref="L64">_xll.BDP($B64,L$1)</f>
        <v>N</v>
      </c>
      <c r="M64" cm="1">
        <f t="array" ref="M64">_xll.BDP($B64,M$1)</f>
        <v>99</v>
      </c>
      <c r="N64" t="str" cm="1">
        <f t="array" ref="N64">_xll.BDP($B64,N$1)</f>
        <v>*NO CALCULATIONS*</v>
      </c>
      <c r="O64" t="str" cm="1">
        <f t="array" ref="O64">_xll.BDP($B64,O$1)</f>
        <v>#N/A Field Not Applicable</v>
      </c>
      <c r="P64" t="str" cm="1">
        <f t="array" ref="P64">_xll.BDP($B64,P$1)</f>
        <v>#N/A N/A</v>
      </c>
      <c r="Q64" t="str" cm="1">
        <f t="array" ref="Q64">_xll.BDP($B64,Q$1)</f>
        <v>#N/A N/A</v>
      </c>
      <c r="R64" t="str" cm="1">
        <f t="array" ref="R64">_xll.BDP($B64,R$1)</f>
        <v>#N/A N/A</v>
      </c>
      <c r="S64" t="str" cm="1">
        <f t="array" ref="S64">_xll.BDP($B64,S$1)</f>
        <v>#N/A Field Not Applicable</v>
      </c>
      <c r="T64" t="str" cm="1">
        <f t="array" ref="T64">_xll.BDP($B64,T$1)</f>
        <v>#N/A N/A</v>
      </c>
      <c r="U64" t="str" cm="1">
        <f t="array" ref="U64">_xll.BDP($B64,U$1)</f>
        <v>#N/A N/A</v>
      </c>
      <c r="V64" t="str" cm="1">
        <f t="array" ref="V64">_xll.BDP($B64,V$1)</f>
        <v>#N/A N/A</v>
      </c>
      <c r="W64" t="str" cm="1">
        <f t="array" ref="W64">_xll.BDP($B64,W$1)</f>
        <v>#N/A N/A</v>
      </c>
      <c r="X64" t="str" cm="1">
        <f t="array" ref="X64">_xll.BDP($B64,X$1)</f>
        <v>190458Z VC</v>
      </c>
      <c r="Y64" t="str" cm="1">
        <f t="array" ref="Y64">_xll.BDP($B64,Y$1)</f>
        <v>#N/A N/A</v>
      </c>
      <c r="Z64" t="str" cm="1">
        <f t="array" ref="Z64">_xll.BDP($B64,Z$1)</f>
        <v>Government</v>
      </c>
      <c r="AA64" t="str" cm="1">
        <f t="array" ref="AA64">_xll.BDP($B64,AA$1)</f>
        <v>Multi-National</v>
      </c>
      <c r="AB64" t="str" cm="1">
        <f t="array" ref="AB64">_xll.BDP($B64,AB$1)</f>
        <v>EURO MTN</v>
      </c>
      <c r="AC64" t="str" cm="1">
        <f t="array" ref="AC64">_xll.BDP($B64,AC$1)</f>
        <v>SNAT</v>
      </c>
      <c r="AD64" t="str" cm="1">
        <f t="array" ref="AD64">_xll.BDP($B64,AD$1)</f>
        <v>#N/A Field Not Applicable</v>
      </c>
      <c r="AE64" t="str" cm="1">
        <f t="array" ref="AE64">_xll.BDP($B64,AE$1)</f>
        <v>AT MATURITY</v>
      </c>
      <c r="AF64" cm="1">
        <f t="array" ref="AF64">_xll.BDP($B64,AF$1)</f>
        <v>239000000</v>
      </c>
      <c r="AG64" cm="1">
        <f t="array" ref="AG64">_xll.BDP($B64,AG$1)</f>
        <v>239000000</v>
      </c>
      <c r="AH64" t="str" cm="1">
        <f t="array" ref="AH64">_xll.BDP($B64,AH$1)</f>
        <v>Domestic</v>
      </c>
      <c r="AI64" t="str" cm="1">
        <f t="array" ref="AI64">_xll.BDP($X64 &amp; " Equity",AI$1)</f>
        <v>#N/A N/A</v>
      </c>
      <c r="AJ64" t="str" cm="1">
        <f t="array" ref="AJ64">_xll.BDP($X64 &amp; " Equity",AJ$1)</f>
        <v>VC</v>
      </c>
      <c r="AK64" t="str" cm="1">
        <f t="array" ref="AK64">_xll.BDS($X64&amp;" Equity",AK$1,"FILL=NA","Aggregate=y")</f>
        <v>Corporacion Andina de Fomento (CAF) operates as a development bank for Latin Americans and the Caribbeans. The Bank provides loans, credit operations, and non-refundable funds for development of water and sanitation, energy, road infrastructure, productive transformation, and urban mobility infrastructure. CAF serves customers in Latin America, the Caribbean, Spain, and Portugal.</v>
      </c>
    </row>
    <row r="65" spans="2:37" x14ac:dyDescent="0.25">
      <c r="B65" t="s">
        <v>204</v>
      </c>
      <c r="C65" t="str" cm="1">
        <f t="array" ref="C65">_xll.BDP($B65,C$1)</f>
        <v>AFRICAN DEVELOPMENT BANK</v>
      </c>
      <c r="D65" t="str" cm="1">
        <f t="array" ref="D65">_xll.BDP($B65,D$1)</f>
        <v>BBG017Y45BD3</v>
      </c>
      <c r="E65" t="str" cm="1">
        <f t="array" ref="E65">_xll.BDP($B65,E$1)</f>
        <v>XS2489967575</v>
      </c>
      <c r="F65" t="str" cm="1">
        <f t="array" ref="F65">_xll.BDP($B65,F$1)</f>
        <v>7/7/2022</v>
      </c>
      <c r="G65" t="str" cm="1">
        <f t="array" ref="G65">_xll.BDP($B65,G$1)</f>
        <v>7/8/2026</v>
      </c>
      <c r="H65" t="str" cm="1">
        <f t="array" ref="H65">_xll.BDP($B65,H$1)</f>
        <v>BRL</v>
      </c>
      <c r="I65" t="str" cm="1">
        <f t="array" ref="I65">_xll.BDP($B65,I$1)</f>
        <v>FIXED</v>
      </c>
      <c r="J65" cm="1">
        <f t="array" ref="J65">_xll.BDP($B65,J$1)</f>
        <v>9.7100000000000009</v>
      </c>
      <c r="K65" t="str" cm="1">
        <f t="array" ref="K65">_xll.BDP($B65,K$1)</f>
        <v>#N/A Field Not Applicable</v>
      </c>
      <c r="L65" t="str" cm="1">
        <f t="array" ref="L65">_xll.BDP($B65,L$1)</f>
        <v>N</v>
      </c>
      <c r="M65" cm="1">
        <f t="array" ref="M65">_xll.BDP($B65,M$1)</f>
        <v>1</v>
      </c>
      <c r="N65" t="str" cm="1">
        <f t="array" ref="N65">_xll.BDP($B65,N$1)</f>
        <v>STREET CONVENTION</v>
      </c>
      <c r="O65" t="str" cm="1">
        <f t="array" ref="O65">_xll.BDP($B65,O$1)</f>
        <v>#N/A Field Not Applicable</v>
      </c>
      <c r="P65" t="str" cm="1">
        <f t="array" ref="P65">_xll.BDP($B65,P$1)</f>
        <v>AAA</v>
      </c>
      <c r="Q65" t="str" cm="1">
        <f t="array" ref="Q65">_xll.BDP($B65,Q$1)</f>
        <v>Aaa</v>
      </c>
      <c r="R65" t="str" cm="1">
        <f t="array" ref="R65">_xll.BDP($B65,R$1)</f>
        <v>AAA</v>
      </c>
      <c r="S65" cm="1">
        <f t="array" ref="S65">_xll.BDP($B65,S$1)</f>
        <v>2</v>
      </c>
      <c r="T65" cm="1">
        <f t="array" ref="T65">_xll.BDP($B65,T$1)</f>
        <v>-131.92112580339472</v>
      </c>
      <c r="U65" cm="1">
        <f t="array" ref="U65">_xll.BDP($B65,U$1)</f>
        <v>13.287998</v>
      </c>
      <c r="V65" t="str" cm="1">
        <f t="array" ref="V65">_xll.BDP($B65,V$1)</f>
        <v>#N/A N/A</v>
      </c>
      <c r="W65" t="str" cm="1">
        <f t="array" ref="W65">_xll.BDP($B65,W$1)</f>
        <v>#N/A N/A</v>
      </c>
      <c r="X65" t="str" cm="1">
        <f t="array" ref="X65">_xll.BDP($B65,X$1)</f>
        <v>1598Z TU</v>
      </c>
      <c r="Y65" t="str" cm="1">
        <f t="array" ref="Y65">_xll.BDP($B65,Y$1)</f>
        <v>Supranational</v>
      </c>
      <c r="Z65" t="str" cm="1">
        <f t="array" ref="Z65">_xll.BDP($B65,Z$1)</f>
        <v>Government</v>
      </c>
      <c r="AA65" t="str" cm="1">
        <f t="array" ref="AA65">_xll.BDP($B65,AA$1)</f>
        <v>Multi-National</v>
      </c>
      <c r="AB65" t="str" cm="1">
        <f t="array" ref="AB65">_xll.BDP($B65,AB$1)</f>
        <v>EURO MTN</v>
      </c>
      <c r="AC65" t="str" cm="1">
        <f t="array" ref="AC65">_xll.BDP($B65,AC$1)</f>
        <v>SNAT</v>
      </c>
      <c r="AD65" t="str" cm="1">
        <f t="array" ref="AD65">_xll.BDP($B65,AD$1)</f>
        <v>1/8/2023</v>
      </c>
      <c r="AE65" t="str" cm="1">
        <f t="array" ref="AE65">_xll.BDP($B65,AE$1)</f>
        <v>AT MATURITY</v>
      </c>
      <c r="AF65" cm="1">
        <f t="array" ref="AF65">_xll.BDP($B65,AF$1)</f>
        <v>6000000</v>
      </c>
      <c r="AG65" cm="1">
        <f t="array" ref="AG65">_xll.BDP($B65,AG$1)</f>
        <v>6000000</v>
      </c>
      <c r="AH65" t="str" cm="1">
        <f t="array" ref="AH65">_xll.BDP($B65,AH$1)</f>
        <v>International</v>
      </c>
      <c r="AI65" t="str" cm="1">
        <f t="array" ref="AI65">_xll.BDP($X65 &amp; " Equity",AI$1)</f>
        <v>#N/A N/A</v>
      </c>
      <c r="AJ65" t="str" cm="1">
        <f t="array" ref="AJ65">_xll.BDP($X65 &amp; " Equity",AJ$1)</f>
        <v>TU</v>
      </c>
      <c r="AK65" t="str" cm="1">
        <f t="array" ref="AK65">_xll.BDS($X65&amp;"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66" spans="2:37" x14ac:dyDescent="0.25">
      <c r="B66" t="s">
        <v>205</v>
      </c>
      <c r="C66" t="str" cm="1">
        <f t="array" ref="C66">_xll.BDP($B66,C$1)</f>
        <v>INTL FINANCE CORP</v>
      </c>
      <c r="D66" t="str" cm="1">
        <f t="array" ref="D66">_xll.BDP($B66,D$1)</f>
        <v>BBG00QZ8RQP2</v>
      </c>
      <c r="E66" t="str" cm="1">
        <f t="array" ref="E66">_xll.BDP($B66,E$1)</f>
        <v>XS2080214518</v>
      </c>
      <c r="F66" t="str" cm="1">
        <f t="array" ref="F66">_xll.BDP($B66,F$1)</f>
        <v>11/26/2019</v>
      </c>
      <c r="G66" t="str" cm="1">
        <f t="array" ref="G66">_xll.BDP($B66,G$1)</f>
        <v>11/26/2027</v>
      </c>
      <c r="H66" t="str" cm="1">
        <f t="array" ref="H66">_xll.BDP($B66,H$1)</f>
        <v>BRL</v>
      </c>
      <c r="I66" t="str" cm="1">
        <f t="array" ref="I66">_xll.BDP($B66,I$1)</f>
        <v>ZERO COUPON</v>
      </c>
      <c r="J66" cm="1">
        <f t="array" ref="J66">_xll.BDP($B66,J$1)</f>
        <v>0</v>
      </c>
      <c r="K66" t="str" cm="1">
        <f t="array" ref="K66">_xll.BDP($B66,K$1)</f>
        <v>#N/A Field Not Applicable</v>
      </c>
      <c r="L66" t="str" cm="1">
        <f t="array" ref="L66">_xll.BDP($B66,L$1)</f>
        <v>N</v>
      </c>
      <c r="M66" cm="1">
        <f t="array" ref="M66">_xll.BDP($B66,M$1)</f>
        <v>1</v>
      </c>
      <c r="N66" t="str" cm="1">
        <f t="array" ref="N66">_xll.BDP($B66,N$1)</f>
        <v>STREET CONVENTION</v>
      </c>
      <c r="O66" t="str" cm="1">
        <f t="array" ref="O66">_xll.BDP($B66,O$1)</f>
        <v>#N/A Field Not Applicable</v>
      </c>
      <c r="P66" t="str" cm="1">
        <f t="array" ref="P66">_xll.BDP($B66,P$1)</f>
        <v>#N/A N/A</v>
      </c>
      <c r="Q66" t="str" cm="1">
        <f t="array" ref="Q66">_xll.BDP($B66,Q$1)</f>
        <v>#N/A N/A</v>
      </c>
      <c r="R66" t="str" cm="1">
        <f t="array" ref="R66">_xll.BDP($B66,R$1)</f>
        <v>#N/A N/A</v>
      </c>
      <c r="S66" t="str" cm="1">
        <f t="array" ref="S66">_xll.BDP($B66,S$1)</f>
        <v>#N/A Field Not Applicable</v>
      </c>
      <c r="T66" cm="1">
        <f t="array" ref="T66">_xll.BDP($B66,T$1)</f>
        <v>-27.040083545095861</v>
      </c>
      <c r="U66" cm="1">
        <f t="array" ref="U66">_xll.BDP($B66,U$1)</f>
        <v>13.264552999999999</v>
      </c>
      <c r="V66" t="str" cm="1">
        <f t="array" ref="V66">_xll.BDP($B66,V$1)</f>
        <v>#N/A N/A</v>
      </c>
      <c r="W66" t="str" cm="1">
        <f t="array" ref="W66">_xll.BDP($B66,W$1)</f>
        <v>#N/A N/A</v>
      </c>
      <c r="X66" t="str" cm="1">
        <f t="array" ref="X66">_xll.BDP($B66,X$1)</f>
        <v>8176888Z US</v>
      </c>
      <c r="Y66" t="str" cm="1">
        <f t="array" ref="Y66">_xll.BDP($B66,Y$1)</f>
        <v>Supranational</v>
      </c>
      <c r="Z66" t="str" cm="1">
        <f t="array" ref="Z66">_xll.BDP($B66,Z$1)</f>
        <v>Government</v>
      </c>
      <c r="AA66" t="str" cm="1">
        <f t="array" ref="AA66">_xll.BDP($B66,AA$1)</f>
        <v>Multi-National</v>
      </c>
      <c r="AB66" t="str" cm="1">
        <f t="array" ref="AB66">_xll.BDP($B66,AB$1)</f>
        <v>EURO MTN</v>
      </c>
      <c r="AC66" t="str" cm="1">
        <f t="array" ref="AC66">_xll.BDP($B66,AC$1)</f>
        <v>SNAT</v>
      </c>
      <c r="AD66" t="str" cm="1">
        <f t="array" ref="AD66">_xll.BDP($B66,AD$1)</f>
        <v>#N/A Field Not Applicable</v>
      </c>
      <c r="AE66" t="str" cm="1">
        <f t="array" ref="AE66">_xll.BDP($B66,AE$1)</f>
        <v>AT MATURITY</v>
      </c>
      <c r="AF66" cm="1">
        <f t="array" ref="AF66">_xll.BDP($B66,AF$1)</f>
        <v>40230000</v>
      </c>
      <c r="AG66" cm="1">
        <f t="array" ref="AG66">_xll.BDP($B66,AG$1)</f>
        <v>40230000</v>
      </c>
      <c r="AH66" t="str" cm="1">
        <f t="array" ref="AH66">_xll.BDP($B66,AH$1)</f>
        <v>International</v>
      </c>
      <c r="AI66" t="str" cm="1">
        <f t="array" ref="AI66">_xll.BDP($X66 &amp; " Equity",AI$1)</f>
        <v>#N/A N/A</v>
      </c>
      <c r="AJ66" t="str" cm="1">
        <f t="array" ref="AJ66">_xll.BDP($X66 &amp; " Equity",AJ$1)</f>
        <v>US</v>
      </c>
      <c r="AK66" t="str" cm="1">
        <f t="array" ref="AK66">_xll.BDS($X66&amp;"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7" spans="2:37" x14ac:dyDescent="0.25">
      <c r="B67" t="s">
        <v>206</v>
      </c>
      <c r="C67" t="str" cm="1">
        <f t="array" ref="C67">_xll.BDP($B67,C$1)</f>
        <v>INTL BK RECON &amp; DEVELOP</v>
      </c>
      <c r="D67" t="str" cm="1">
        <f t="array" ref="D67">_xll.BDP($B67,D$1)</f>
        <v>BBG00NSC77K7</v>
      </c>
      <c r="E67" t="str" cm="1">
        <f t="array" ref="E67">_xll.BDP($B67,E$1)</f>
        <v>XS1979276232</v>
      </c>
      <c r="F67" t="str" cm="1">
        <f t="array" ref="F67">_xll.BDP($B67,F$1)</f>
        <v>4/15/2019</v>
      </c>
      <c r="G67" t="str" cm="1">
        <f t="array" ref="G67">_xll.BDP($B67,G$1)</f>
        <v>10/15/2027</v>
      </c>
      <c r="H67" t="str" cm="1">
        <f t="array" ref="H67">_xll.BDP($B67,H$1)</f>
        <v>BRL</v>
      </c>
      <c r="I67" t="str" cm="1">
        <f t="array" ref="I67">_xll.BDP($B67,I$1)</f>
        <v>ZERO COUPON</v>
      </c>
      <c r="J67" cm="1">
        <f t="array" ref="J67">_xll.BDP($B67,J$1)</f>
        <v>0</v>
      </c>
      <c r="K67" t="str" cm="1">
        <f t="array" ref="K67">_xll.BDP($B67,K$1)</f>
        <v>#N/A Field Not Applicable</v>
      </c>
      <c r="L67" t="str" cm="1">
        <f t="array" ref="L67">_xll.BDP($B67,L$1)</f>
        <v>N</v>
      </c>
      <c r="M67" cm="1">
        <f t="array" ref="M67">_xll.BDP($B67,M$1)</f>
        <v>1</v>
      </c>
      <c r="N67" t="str" cm="1">
        <f t="array" ref="N67">_xll.BDP($B67,N$1)</f>
        <v>STREET CONVENTION</v>
      </c>
      <c r="O67" t="str" cm="1">
        <f t="array" ref="O67">_xll.BDP($B67,O$1)</f>
        <v>#N/A Field Not Applicable</v>
      </c>
      <c r="P67" t="str" cm="1">
        <f t="array" ref="P67">_xll.BDP($B67,P$1)</f>
        <v>#N/A N/A</v>
      </c>
      <c r="Q67" t="str" cm="1">
        <f t="array" ref="Q67">_xll.BDP($B67,Q$1)</f>
        <v>#N/A N/A</v>
      </c>
      <c r="R67" t="str" cm="1">
        <f t="array" ref="R67">_xll.BDP($B67,R$1)</f>
        <v>#N/A N/A</v>
      </c>
      <c r="S67" t="str" cm="1">
        <f t="array" ref="S67">_xll.BDP($B67,S$1)</f>
        <v>#N/A Field Not Applicable</v>
      </c>
      <c r="T67" cm="1">
        <f t="array" ref="T67">_xll.BDP($B67,T$1)</f>
        <v>-75.961507309306242</v>
      </c>
      <c r="U67" cm="1">
        <f t="array" ref="U67">_xll.BDP($B67,U$1)</f>
        <v>12.857651000000001</v>
      </c>
      <c r="V67" t="str" cm="1">
        <f t="array" ref="V67">_xll.BDP($B67,V$1)</f>
        <v>#N/A N/A</v>
      </c>
      <c r="W67" t="str" cm="1">
        <f t="array" ref="W67">_xll.BDP($B67,W$1)</f>
        <v>#N/A N/A</v>
      </c>
      <c r="X67" t="str" cm="1">
        <f t="array" ref="X67">_xll.BDP($B67,X$1)</f>
        <v>8176888Z US</v>
      </c>
      <c r="Y67" t="str" cm="1">
        <f t="array" ref="Y67">_xll.BDP($B67,Y$1)</f>
        <v>Supranational</v>
      </c>
      <c r="Z67" t="str" cm="1">
        <f t="array" ref="Z67">_xll.BDP($B67,Z$1)</f>
        <v>Government</v>
      </c>
      <c r="AA67" t="str" cm="1">
        <f t="array" ref="AA67">_xll.BDP($B67,AA$1)</f>
        <v>Multi-National</v>
      </c>
      <c r="AB67" t="str" cm="1">
        <f t="array" ref="AB67">_xll.BDP($B67,AB$1)</f>
        <v>EURO MTN</v>
      </c>
      <c r="AC67" t="str" cm="1">
        <f t="array" ref="AC67">_xll.BDP($B67,AC$1)</f>
        <v>SNAT</v>
      </c>
      <c r="AD67" t="str" cm="1">
        <f t="array" ref="AD67">_xll.BDP($B67,AD$1)</f>
        <v>#N/A Field Not Applicable</v>
      </c>
      <c r="AE67" t="str" cm="1">
        <f t="array" ref="AE67">_xll.BDP($B67,AE$1)</f>
        <v>AT MATURITY</v>
      </c>
      <c r="AF67" cm="1">
        <f t="array" ref="AF67">_xll.BDP($B67,AF$1)</f>
        <v>85000000</v>
      </c>
      <c r="AG67" cm="1">
        <f t="array" ref="AG67">_xll.BDP($B67,AG$1)</f>
        <v>85000000</v>
      </c>
      <c r="AH67" t="str" cm="1">
        <f t="array" ref="AH67">_xll.BDP($B67,AH$1)</f>
        <v>International</v>
      </c>
      <c r="AI67" t="str" cm="1">
        <f t="array" ref="AI67">_xll.BDP($X67 &amp; " Equity",AI$1)</f>
        <v>#N/A N/A</v>
      </c>
      <c r="AJ67" t="str" cm="1">
        <f t="array" ref="AJ67">_xll.BDP($X67 &amp; " Equity",AJ$1)</f>
        <v>US</v>
      </c>
      <c r="AK67" t="str" cm="1">
        <f t="array" ref="AK67">_xll.BDS($X67&amp;"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8" spans="2:37" x14ac:dyDescent="0.25">
      <c r="B68" t="s">
        <v>207</v>
      </c>
      <c r="C68" t="str" cm="1">
        <f t="array" ref="C68">_xll.BDP($B68,C$1)</f>
        <v>INTL FINANCE CORP</v>
      </c>
      <c r="D68" t="str" cm="1">
        <f t="array" ref="D68">_xll.BDP($B68,D$1)</f>
        <v>BBG00X3FXZF0</v>
      </c>
      <c r="E68" t="str" cm="1">
        <f t="array" ref="E68">_xll.BDP($B68,E$1)</f>
        <v>XS2228256280</v>
      </c>
      <c r="F68" t="str" cm="1">
        <f t="array" ref="F68">_xll.BDP($B68,F$1)</f>
        <v>9/24/2020</v>
      </c>
      <c r="G68" t="str" cm="1">
        <f t="array" ref="G68">_xll.BDP($B68,G$1)</f>
        <v>9/24/2025</v>
      </c>
      <c r="H68" t="str" cm="1">
        <f t="array" ref="H68">_xll.BDP($B68,H$1)</f>
        <v>BRL</v>
      </c>
      <c r="I68" t="str" cm="1">
        <f t="array" ref="I68">_xll.BDP($B68,I$1)</f>
        <v>ZERO COUPON</v>
      </c>
      <c r="J68" cm="1">
        <f t="array" ref="J68">_xll.BDP($B68,J$1)</f>
        <v>0</v>
      </c>
      <c r="K68" t="str" cm="1">
        <f t="array" ref="K68">_xll.BDP($B68,K$1)</f>
        <v>#N/A Field Not Applicable</v>
      </c>
      <c r="L68" t="str" cm="1">
        <f t="array" ref="L68">_xll.BDP($B68,L$1)</f>
        <v>N</v>
      </c>
      <c r="M68" cm="1">
        <f t="array" ref="M68">_xll.BDP($B68,M$1)</f>
        <v>1</v>
      </c>
      <c r="N68" t="str" cm="1">
        <f t="array" ref="N68">_xll.BDP($B68,N$1)</f>
        <v>STREET CONVENTION</v>
      </c>
      <c r="O68" t="str" cm="1">
        <f t="array" ref="O68">_xll.BDP($B68,O$1)</f>
        <v>#N/A Field Not Applicable</v>
      </c>
      <c r="P68" t="str" cm="1">
        <f t="array" ref="P68">_xll.BDP($B68,P$1)</f>
        <v>#N/A N/A</v>
      </c>
      <c r="Q68" t="str" cm="1">
        <f t="array" ref="Q68">_xll.BDP($B68,Q$1)</f>
        <v>#N/A N/A</v>
      </c>
      <c r="R68" t="str" cm="1">
        <f t="array" ref="R68">_xll.BDP($B68,R$1)</f>
        <v>#N/A N/A</v>
      </c>
      <c r="S68" t="str" cm="1">
        <f t="array" ref="S68">_xll.BDP($B68,S$1)</f>
        <v>#N/A Field Not Applicable</v>
      </c>
      <c r="T68" cm="1">
        <f t="array" ref="T68">_xll.BDP($B68,T$1)</f>
        <v>-268.89789153400795</v>
      </c>
      <c r="U68" cm="1">
        <f t="array" ref="U68">_xll.BDP($B68,U$1)</f>
        <v>12.139870999999999</v>
      </c>
      <c r="V68" cm="1">
        <f t="array" ref="V68">_xll.BDP($B68,V$1)</f>
        <v>0</v>
      </c>
      <c r="W68" t="str" cm="1">
        <f t="array" ref="W68">_xll.BDP($B68,W$1)</f>
        <v>#N/A N/A</v>
      </c>
      <c r="X68" t="str" cm="1">
        <f t="array" ref="X68">_xll.BDP($B68,X$1)</f>
        <v>8176888Z US</v>
      </c>
      <c r="Y68" t="str" cm="1">
        <f t="array" ref="Y68">_xll.BDP($B68,Y$1)</f>
        <v>Supranational</v>
      </c>
      <c r="Z68" t="str" cm="1">
        <f t="array" ref="Z68">_xll.BDP($B68,Z$1)</f>
        <v>Government</v>
      </c>
      <c r="AA68" t="str" cm="1">
        <f t="array" ref="AA68">_xll.BDP($B68,AA$1)</f>
        <v>Multi-National</v>
      </c>
      <c r="AB68" t="str" cm="1">
        <f t="array" ref="AB68">_xll.BDP($B68,AB$1)</f>
        <v>EURO NON-DOLLAR</v>
      </c>
      <c r="AC68" t="str" cm="1">
        <f t="array" ref="AC68">_xll.BDP($B68,AC$1)</f>
        <v>SNAT</v>
      </c>
      <c r="AD68" t="str" cm="1">
        <f t="array" ref="AD68">_xll.BDP($B68,AD$1)</f>
        <v>#N/A Field Not Applicable</v>
      </c>
      <c r="AE68" t="str" cm="1">
        <f t="array" ref="AE68">_xll.BDP($B68,AE$1)</f>
        <v>AT MATURITY</v>
      </c>
      <c r="AF68" cm="1">
        <f t="array" ref="AF68">_xll.BDP($B68,AF$1)</f>
        <v>180000000</v>
      </c>
      <c r="AG68" cm="1">
        <f t="array" ref="AG68">_xll.BDP($B68,AG$1)</f>
        <v>120100000</v>
      </c>
      <c r="AH68" t="str" cm="1">
        <f t="array" ref="AH68">_xll.BDP($B68,AH$1)</f>
        <v>International</v>
      </c>
      <c r="AI68" t="str" cm="1">
        <f t="array" ref="AI68">_xll.BDP($X68 &amp; " Equity",AI$1)</f>
        <v>#N/A N/A</v>
      </c>
      <c r="AJ68" t="str" cm="1">
        <f t="array" ref="AJ68">_xll.BDP($X68 &amp; " Equity",AJ$1)</f>
        <v>US</v>
      </c>
      <c r="AK68" t="str" cm="1">
        <f t="array" ref="AK68">_xll.BDS($X68&amp;"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69" spans="2:37" x14ac:dyDescent="0.25">
      <c r="B69" t="s">
        <v>208</v>
      </c>
      <c r="C69" t="str" cm="1">
        <f t="array" ref="C69">_xll.BDP($B69,C$1)</f>
        <v>INTL BK RECON &amp; DEVELOP</v>
      </c>
      <c r="D69" t="str" cm="1">
        <f t="array" ref="D69">_xll.BDP($B69,D$1)</f>
        <v>BBG01H9VDNS8</v>
      </c>
      <c r="E69" t="str" cm="1">
        <f t="array" ref="E69">_xll.BDP($B69,E$1)</f>
        <v>XS2647252167</v>
      </c>
      <c r="F69" t="str" cm="1">
        <f t="array" ref="F69">_xll.BDP($B69,F$1)</f>
        <v>8/24/2023</v>
      </c>
      <c r="G69" t="str" cm="1">
        <f t="array" ref="G69">_xll.BDP($B69,G$1)</f>
        <v>8/25/2028</v>
      </c>
      <c r="H69" t="str" cm="1">
        <f t="array" ref="H69">_xll.BDP($B69,H$1)</f>
        <v>BRL</v>
      </c>
      <c r="I69" t="str" cm="1">
        <f t="array" ref="I69">_xll.BDP($B69,I$1)</f>
        <v>FIXED</v>
      </c>
      <c r="J69" cm="1">
        <f t="array" ref="J69">_xll.BDP($B69,J$1)</f>
        <v>8</v>
      </c>
      <c r="K69" t="str" cm="1">
        <f t="array" ref="K69">_xll.BDP($B69,K$1)</f>
        <v>#N/A Field Not Applicable</v>
      </c>
      <c r="L69" t="str" cm="1">
        <f t="array" ref="L69">_xll.BDP($B69,L$1)</f>
        <v>N</v>
      </c>
      <c r="M69" cm="1">
        <f t="array" ref="M69">_xll.BDP($B69,M$1)</f>
        <v>1</v>
      </c>
      <c r="N69" t="str" cm="1">
        <f t="array" ref="N69">_xll.BDP($B69,N$1)</f>
        <v>STREET CONVENTION</v>
      </c>
      <c r="O69" t="str" cm="1">
        <f t="array" ref="O69">_xll.BDP($B69,O$1)</f>
        <v>#N/A Field Not Applicable</v>
      </c>
      <c r="P69" t="str" cm="1">
        <f t="array" ref="P69">_xll.BDP($B69,P$1)</f>
        <v>#N/A N/A</v>
      </c>
      <c r="Q69" t="str" cm="1">
        <f t="array" ref="Q69">_xll.BDP($B69,Q$1)</f>
        <v>#N/A N/A</v>
      </c>
      <c r="R69" t="str" cm="1">
        <f t="array" ref="R69">_xll.BDP($B69,R$1)</f>
        <v>#N/A N/A</v>
      </c>
      <c r="S69" cm="1">
        <f t="array" ref="S69">_xll.BDP($B69,S$1)</f>
        <v>2</v>
      </c>
      <c r="T69" cm="1">
        <f t="array" ref="T69">_xll.BDP($B69,T$1)</f>
        <v>-43.314352068362361</v>
      </c>
      <c r="U69" cm="1">
        <f t="array" ref="U69">_xll.BDP($B69,U$1)</f>
        <v>13.001988000000001</v>
      </c>
      <c r="V69" t="str" cm="1">
        <f t="array" ref="V69">_xll.BDP($B69,V$1)</f>
        <v>#N/A N/A</v>
      </c>
      <c r="W69" t="str" cm="1">
        <f t="array" ref="W69">_xll.BDP($B69,W$1)</f>
        <v>#N/A N/A</v>
      </c>
      <c r="X69" t="str" cm="1">
        <f t="array" ref="X69">_xll.BDP($B69,X$1)</f>
        <v>8176888Z US</v>
      </c>
      <c r="Y69" t="str" cm="1">
        <f t="array" ref="Y69">_xll.BDP($B69,Y$1)</f>
        <v>Supranational</v>
      </c>
      <c r="Z69" t="str" cm="1">
        <f t="array" ref="Z69">_xll.BDP($B69,Z$1)</f>
        <v>Government</v>
      </c>
      <c r="AA69" t="str" cm="1">
        <f t="array" ref="AA69">_xll.BDP($B69,AA$1)</f>
        <v>Multi-National</v>
      </c>
      <c r="AB69" t="str" cm="1">
        <f t="array" ref="AB69">_xll.BDP($B69,AB$1)</f>
        <v>EURO MTN</v>
      </c>
      <c r="AC69" t="str" cm="1">
        <f t="array" ref="AC69">_xll.BDP($B69,AC$1)</f>
        <v>SNAT</v>
      </c>
      <c r="AD69" t="str" cm="1">
        <f t="array" ref="AD69">_xll.BDP($B69,AD$1)</f>
        <v>2/25/2024</v>
      </c>
      <c r="AE69" t="str" cm="1">
        <f t="array" ref="AE69">_xll.BDP($B69,AE$1)</f>
        <v>AT MATURITY</v>
      </c>
      <c r="AF69" cm="1">
        <f t="array" ref="AF69">_xll.BDP($B69,AF$1)</f>
        <v>19500000</v>
      </c>
      <c r="AG69" cm="1">
        <f t="array" ref="AG69">_xll.BDP($B69,AG$1)</f>
        <v>19500000</v>
      </c>
      <c r="AH69" t="str" cm="1">
        <f t="array" ref="AH69">_xll.BDP($B69,AH$1)</f>
        <v>International</v>
      </c>
      <c r="AI69" t="str" cm="1">
        <f t="array" ref="AI69">_xll.BDP($X69 &amp; " Equity",AI$1)</f>
        <v>#N/A N/A</v>
      </c>
      <c r="AJ69" t="str" cm="1">
        <f t="array" ref="AJ69">_xll.BDP($X69 &amp; " Equity",AJ$1)</f>
        <v>US</v>
      </c>
      <c r="AK69" t="str" cm="1">
        <f t="array" ref="AK69">_xll.BDS($X69&amp;"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70" spans="2:37" x14ac:dyDescent="0.25">
      <c r="B70" t="s">
        <v>209</v>
      </c>
      <c r="C70" t="str" cm="1">
        <f t="array" ref="C70">_xll.BDP($B70,C$1)</f>
        <v>EUROPEAN BK RECON &amp; DEV</v>
      </c>
      <c r="D70" t="str" cm="1">
        <f t="array" ref="D70">_xll.BDP($B70,D$1)</f>
        <v>BBG016Z6SB35</v>
      </c>
      <c r="E70" t="str" cm="1">
        <f t="array" ref="E70">_xll.BDP($B70,E$1)</f>
        <v>XS2473691553</v>
      </c>
      <c r="F70" t="str" cm="1">
        <f t="array" ref="F70">_xll.BDP($B70,F$1)</f>
        <v>5/5/2022</v>
      </c>
      <c r="G70" t="str" cm="1">
        <f t="array" ref="G70">_xll.BDP($B70,G$1)</f>
        <v>5/5/2027</v>
      </c>
      <c r="H70" t="str" cm="1">
        <f t="array" ref="H70">_xll.BDP($B70,H$1)</f>
        <v>BRL</v>
      </c>
      <c r="I70" t="str" cm="1">
        <f t="array" ref="I70">_xll.BDP($B70,I$1)</f>
        <v>ZERO COUPON</v>
      </c>
      <c r="J70" cm="1">
        <f t="array" ref="J70">_xll.BDP($B70,J$1)</f>
        <v>0</v>
      </c>
      <c r="K70" t="str" cm="1">
        <f t="array" ref="K70">_xll.BDP($B70,K$1)</f>
        <v>#N/A Field Not Applicable</v>
      </c>
      <c r="L70" t="str" cm="1">
        <f t="array" ref="L70">_xll.BDP($B70,L$1)</f>
        <v>N</v>
      </c>
      <c r="M70" cm="1">
        <f t="array" ref="M70">_xll.BDP($B70,M$1)</f>
        <v>99</v>
      </c>
      <c r="N70" t="str" cm="1">
        <f t="array" ref="N70">_xll.BDP($B70,N$1)</f>
        <v>*NO CALCULATIONS*</v>
      </c>
      <c r="O70" t="str" cm="1">
        <f t="array" ref="O70">_xll.BDP($B70,O$1)</f>
        <v>#N/A Field Not Applicable</v>
      </c>
      <c r="P70" t="str" cm="1">
        <f t="array" ref="P70">_xll.BDP($B70,P$1)</f>
        <v>#N/A N/A</v>
      </c>
      <c r="Q70" t="str" cm="1">
        <f t="array" ref="Q70">_xll.BDP($B70,Q$1)</f>
        <v>#N/A N/A</v>
      </c>
      <c r="R70" t="str" cm="1">
        <f t="array" ref="R70">_xll.BDP($B70,R$1)</f>
        <v>#N/A N/A</v>
      </c>
      <c r="S70" t="str" cm="1">
        <f t="array" ref="S70">_xll.BDP($B70,S$1)</f>
        <v>#N/A Field Not Applicable</v>
      </c>
      <c r="T70" t="str" cm="1">
        <f t="array" ref="T70">_xll.BDP($B70,T$1)</f>
        <v>#N/A N/A</v>
      </c>
      <c r="U70" t="str" cm="1">
        <f t="array" ref="U70">_xll.BDP($B70,U$1)</f>
        <v>#N/A N/A</v>
      </c>
      <c r="V70" t="str" cm="1">
        <f t="array" ref="V70">_xll.BDP($B70,V$1)</f>
        <v>#N/A N/A</v>
      </c>
      <c r="W70" t="str" cm="1">
        <f t="array" ref="W70">_xll.BDP($B70,W$1)</f>
        <v>#N/A N/A</v>
      </c>
      <c r="X70" t="str" cm="1">
        <f t="array" ref="X70">_xll.BDP($B70,X$1)</f>
        <v>6044Z LN</v>
      </c>
      <c r="Y70" t="str" cm="1">
        <f t="array" ref="Y70">_xll.BDP($B70,Y$1)</f>
        <v>#N/A N/A</v>
      </c>
      <c r="Z70" t="str" cm="1">
        <f t="array" ref="Z70">_xll.BDP($B70,Z$1)</f>
        <v>Government</v>
      </c>
      <c r="AA70" t="str" cm="1">
        <f t="array" ref="AA70">_xll.BDP($B70,AA$1)</f>
        <v>Multi-National</v>
      </c>
      <c r="AB70" t="str" cm="1">
        <f t="array" ref="AB70">_xll.BDP($B70,AB$1)</f>
        <v>EURO MTN</v>
      </c>
      <c r="AC70" t="str" cm="1">
        <f t="array" ref="AC70">_xll.BDP($B70,AC$1)</f>
        <v>SNAT</v>
      </c>
      <c r="AD70" t="str" cm="1">
        <f t="array" ref="AD70">_xll.BDP($B70,AD$1)</f>
        <v>#N/A Field Not Applicable</v>
      </c>
      <c r="AE70" t="str" cm="1">
        <f t="array" ref="AE70">_xll.BDP($B70,AE$1)</f>
        <v>AT MATURITY</v>
      </c>
      <c r="AF70" cm="1">
        <f t="array" ref="AF70">_xll.BDP($B70,AF$1)</f>
        <v>46790000</v>
      </c>
      <c r="AG70" cm="1">
        <f t="array" ref="AG70">_xll.BDP($B70,AG$1)</f>
        <v>46790000</v>
      </c>
      <c r="AH70" t="str" cm="1">
        <f t="array" ref="AH70">_xll.BDP($B70,AH$1)</f>
        <v>International</v>
      </c>
      <c r="AI70" t="str" cm="1">
        <f t="array" ref="AI70">_xll.BDP($X70 &amp; " Equity",AI$1)</f>
        <v>#N/A N/A</v>
      </c>
      <c r="AJ70" t="str" cm="1">
        <f t="array" ref="AJ70">_xll.BDP($X70 &amp; " Equity",AJ$1)</f>
        <v>LN</v>
      </c>
      <c r="AK70" t="str" cm="1">
        <f t="array" ref="AK70">_xll.BDS($X70&amp;"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71" spans="2:37" x14ac:dyDescent="0.25">
      <c r="B71" t="s">
        <v>210</v>
      </c>
      <c r="C71" t="str" cm="1">
        <f t="array" ref="C71">_xll.BDP($B71,C$1)</f>
        <v>INTL BK RECON &amp; DEVELOP</v>
      </c>
      <c r="D71" t="str" cm="1">
        <f t="array" ref="D71">_xll.BDP($B71,D$1)</f>
        <v>BBG01GZVW8T2</v>
      </c>
      <c r="E71" t="str" cm="1">
        <f t="array" ref="E71">_xll.BDP($B71,E$1)</f>
        <v>XS1247879049</v>
      </c>
      <c r="F71" t="str" cm="1">
        <f t="array" ref="F71">_xll.BDP($B71,F$1)</f>
        <v>6/25/2015</v>
      </c>
      <c r="G71" t="str" cm="1">
        <f t="array" ref="G71">_xll.BDP($B71,G$1)</f>
        <v>6/25/2025</v>
      </c>
      <c r="H71" t="str" cm="1">
        <f t="array" ref="H71">_xll.BDP($B71,H$1)</f>
        <v>BRL</v>
      </c>
      <c r="I71" t="str" cm="1">
        <f t="array" ref="I71">_xll.BDP($B71,I$1)</f>
        <v>FIXED</v>
      </c>
      <c r="J71" cm="1">
        <f t="array" ref="J71">_xll.BDP($B71,J$1)</f>
        <v>8.1</v>
      </c>
      <c r="K71" t="str" cm="1">
        <f t="array" ref="K71">_xll.BDP($B71,K$1)</f>
        <v>#N/A Field Not Applicable</v>
      </c>
      <c r="L71" t="str" cm="1">
        <f t="array" ref="L71">_xll.BDP($B71,L$1)</f>
        <v>N</v>
      </c>
      <c r="M71" cm="1">
        <f t="array" ref="M71">_xll.BDP($B71,M$1)</f>
        <v>1</v>
      </c>
      <c r="N71" t="str" cm="1">
        <f t="array" ref="N71">_xll.BDP($B71,N$1)</f>
        <v>STREET CONVENTION</v>
      </c>
      <c r="O71" t="str" cm="1">
        <f t="array" ref="O71">_xll.BDP($B71,O$1)</f>
        <v>#N/A Field Not Applicable</v>
      </c>
      <c r="P71" t="str" cm="1">
        <f t="array" ref="P71">_xll.BDP($B71,P$1)</f>
        <v>#N/A N/A</v>
      </c>
      <c r="Q71" t="str" cm="1">
        <f t="array" ref="Q71">_xll.BDP($B71,Q$1)</f>
        <v>#N/A N/A</v>
      </c>
      <c r="R71" t="str" cm="1">
        <f t="array" ref="R71">_xll.BDP($B71,R$1)</f>
        <v>#N/A N/A</v>
      </c>
      <c r="S71" cm="1">
        <f t="array" ref="S71">_xll.BDP($B71,S$1)</f>
        <v>2</v>
      </c>
      <c r="T71" cm="1">
        <f t="array" ref="T71">_xll.BDP($B71,T$1)</f>
        <v>-704.24473660859132</v>
      </c>
      <c r="U71" cm="1">
        <f t="array" ref="U71">_xll.BDP($B71,U$1)</f>
        <v>7.786403</v>
      </c>
      <c r="V71" t="str" cm="1">
        <f t="array" ref="V71">_xll.BDP($B71,V$1)</f>
        <v>#N/A N/A</v>
      </c>
      <c r="W71" t="str" cm="1">
        <f t="array" ref="W71">_xll.BDP($B71,W$1)</f>
        <v>#N/A N/A</v>
      </c>
      <c r="X71" t="str" cm="1">
        <f t="array" ref="X71">_xll.BDP($B71,X$1)</f>
        <v>8176888Z US</v>
      </c>
      <c r="Y71" t="str" cm="1">
        <f t="array" ref="Y71">_xll.BDP($B71,Y$1)</f>
        <v>Supranational</v>
      </c>
      <c r="Z71" t="str" cm="1">
        <f t="array" ref="Z71">_xll.BDP($B71,Z$1)</f>
        <v>Government</v>
      </c>
      <c r="AA71" t="str" cm="1">
        <f t="array" ref="AA71">_xll.BDP($B71,AA$1)</f>
        <v>Multi-National</v>
      </c>
      <c r="AB71" t="str" cm="1">
        <f t="array" ref="AB71">_xll.BDP($B71,AB$1)</f>
        <v>EURO MTN</v>
      </c>
      <c r="AC71" t="str" cm="1">
        <f t="array" ref="AC71">_xll.BDP($B71,AC$1)</f>
        <v>SNAT</v>
      </c>
      <c r="AD71" t="str" cm="1">
        <f t="array" ref="AD71">_xll.BDP($B71,AD$1)</f>
        <v>12/25/2015</v>
      </c>
      <c r="AE71" t="str" cm="1">
        <f t="array" ref="AE71">_xll.BDP($B71,AE$1)</f>
        <v>AT MATURITY</v>
      </c>
      <c r="AF71" cm="1">
        <f t="array" ref="AF71">_xll.BDP($B71,AF$1)</f>
        <v>12000000</v>
      </c>
      <c r="AG71" cm="1">
        <f t="array" ref="AG71">_xll.BDP($B71,AG$1)</f>
        <v>12000000</v>
      </c>
      <c r="AH71" t="str" cm="1">
        <f t="array" ref="AH71">_xll.BDP($B71,AH$1)</f>
        <v>International</v>
      </c>
      <c r="AI71" t="str" cm="1">
        <f t="array" ref="AI71">_xll.BDP($X71 &amp; " Equity",AI$1)</f>
        <v>#N/A N/A</v>
      </c>
      <c r="AJ71" t="str" cm="1">
        <f t="array" ref="AJ71">_xll.BDP($X71 &amp; " Equity",AJ$1)</f>
        <v>US</v>
      </c>
      <c r="AK71" t="str" cm="1">
        <f t="array" ref="AK71">_xll.BDS($X71&amp;"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72" spans="2:37" x14ac:dyDescent="0.25">
      <c r="B72" t="s">
        <v>211</v>
      </c>
      <c r="C72" t="str" cm="1">
        <f t="array" ref="C72">_xll.BDP($B72,C$1)</f>
        <v>AFRICAN DEVELOPMENT BANK</v>
      </c>
      <c r="D72" t="str" cm="1">
        <f t="array" ref="D72">_xll.BDP($B72,D$1)</f>
        <v>BBG01JS8VZ34</v>
      </c>
      <c r="E72" t="str" cm="1">
        <f t="array" ref="E72">_xll.BDP($B72,E$1)</f>
        <v>XS2708673327</v>
      </c>
      <c r="F72" t="str" cm="1">
        <f t="array" ref="F72">_xll.BDP($B72,F$1)</f>
        <v>11/9/2023</v>
      </c>
      <c r="G72" t="str" cm="1">
        <f t="array" ref="G72">_xll.BDP($B72,G$1)</f>
        <v>11/9/2033</v>
      </c>
      <c r="H72" t="str" cm="1">
        <f t="array" ref="H72">_xll.BDP($B72,H$1)</f>
        <v>BRL</v>
      </c>
      <c r="I72" t="str" cm="1">
        <f t="array" ref="I72">_xll.BDP($B72,I$1)</f>
        <v>FIXED</v>
      </c>
      <c r="J72" cm="1">
        <f t="array" ref="J72">_xll.BDP($B72,J$1)</f>
        <v>8.86</v>
      </c>
      <c r="K72" t="str" cm="1">
        <f t="array" ref="K72">_xll.BDP($B72,K$1)</f>
        <v>#N/A Field Not Applicable</v>
      </c>
      <c r="L72" t="str" cm="1">
        <f t="array" ref="L72">_xll.BDP($B72,L$1)</f>
        <v>N</v>
      </c>
      <c r="M72" cm="1">
        <f t="array" ref="M72">_xll.BDP($B72,M$1)</f>
        <v>1</v>
      </c>
      <c r="N72" t="str" cm="1">
        <f t="array" ref="N72">_xll.BDP($B72,N$1)</f>
        <v>STREET CONVENTION</v>
      </c>
      <c r="O72" t="str" cm="1">
        <f t="array" ref="O72">_xll.BDP($B72,O$1)</f>
        <v>#N/A Field Not Applicable</v>
      </c>
      <c r="P72" t="str" cm="1">
        <f t="array" ref="P72">_xll.BDP($B72,P$1)</f>
        <v>AAA</v>
      </c>
      <c r="Q72" t="str" cm="1">
        <f t="array" ref="Q72">_xll.BDP($B72,Q$1)</f>
        <v>Aaa</v>
      </c>
      <c r="R72" t="str" cm="1">
        <f t="array" ref="R72">_xll.BDP($B72,R$1)</f>
        <v>AAA</v>
      </c>
      <c r="S72" cm="1">
        <f t="array" ref="S72">_xll.BDP($B72,S$1)</f>
        <v>2</v>
      </c>
      <c r="T72" cm="1">
        <f t="array" ref="T72">_xll.BDP($B72,T$1)</f>
        <v>-110.85478219945256</v>
      </c>
      <c r="U72" cm="1">
        <f t="array" ref="U72">_xll.BDP($B72,U$1)</f>
        <v>12.708669</v>
      </c>
      <c r="V72" t="str" cm="1">
        <f t="array" ref="V72">_xll.BDP($B72,V$1)</f>
        <v>#N/A N/A</v>
      </c>
      <c r="W72" t="str" cm="1">
        <f t="array" ref="W72">_xll.BDP($B72,W$1)</f>
        <v>#N/A N/A</v>
      </c>
      <c r="X72" t="str" cm="1">
        <f t="array" ref="X72">_xll.BDP($B72,X$1)</f>
        <v>1598Z TU</v>
      </c>
      <c r="Y72" t="str" cm="1">
        <f t="array" ref="Y72">_xll.BDP($B72,Y$1)</f>
        <v>Supranational</v>
      </c>
      <c r="Z72" t="str" cm="1">
        <f t="array" ref="Z72">_xll.BDP($B72,Z$1)</f>
        <v>Government</v>
      </c>
      <c r="AA72" t="str" cm="1">
        <f t="array" ref="AA72">_xll.BDP($B72,AA$1)</f>
        <v>Multi-National</v>
      </c>
      <c r="AB72" t="str" cm="1">
        <f t="array" ref="AB72">_xll.BDP($B72,AB$1)</f>
        <v>GLOBAL</v>
      </c>
      <c r="AC72" t="str" cm="1">
        <f t="array" ref="AC72">_xll.BDP($B72,AC$1)</f>
        <v>SNAT</v>
      </c>
      <c r="AD72" t="str" cm="1">
        <f t="array" ref="AD72">_xll.BDP($B72,AD$1)</f>
        <v>5/9/2024</v>
      </c>
      <c r="AE72" t="str" cm="1">
        <f t="array" ref="AE72">_xll.BDP($B72,AE$1)</f>
        <v>AT MATURITY</v>
      </c>
      <c r="AF72" cm="1">
        <f t="array" ref="AF72">_xll.BDP($B72,AF$1)</f>
        <v>60000000</v>
      </c>
      <c r="AG72" cm="1">
        <f t="array" ref="AG72">_xll.BDP($B72,AG$1)</f>
        <v>60000000</v>
      </c>
      <c r="AH72" t="str" cm="1">
        <f t="array" ref="AH72">_xll.BDP($B72,AH$1)</f>
        <v>International</v>
      </c>
      <c r="AI72" t="str" cm="1">
        <f t="array" ref="AI72">_xll.BDP($X72 &amp; " Equity",AI$1)</f>
        <v>#N/A N/A</v>
      </c>
      <c r="AJ72" t="str" cm="1">
        <f t="array" ref="AJ72">_xll.BDP($X72 &amp; " Equity",AJ$1)</f>
        <v>TU</v>
      </c>
      <c r="AK72" t="str" cm="1">
        <f t="array" ref="AK72">_xll.BDS($X72&amp;"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73" spans="2:37" x14ac:dyDescent="0.25">
      <c r="B73" t="s">
        <v>212</v>
      </c>
      <c r="C73" t="str" cm="1">
        <f t="array" ref="C73">_xll.BDP($B73,C$1)</f>
        <v>CORP ANDINA DE FOMENTO</v>
      </c>
      <c r="D73" t="str" cm="1">
        <f t="array" ref="D73">_xll.BDP($B73,D$1)</f>
        <v>BBG011XWZVD8</v>
      </c>
      <c r="E73" t="str" cm="1">
        <f t="array" ref="E73">_xll.BDP($B73,E$1)</f>
        <v>XS2369569624</v>
      </c>
      <c r="F73" t="str" cm="1">
        <f t="array" ref="F73">_xll.BDP($B73,F$1)</f>
        <v>7/29/2021</v>
      </c>
      <c r="G73" t="str" cm="1">
        <f t="array" ref="G73">_xll.BDP($B73,G$1)</f>
        <v>7/29/2026</v>
      </c>
      <c r="H73" t="str" cm="1">
        <f t="array" ref="H73">_xll.BDP($B73,H$1)</f>
        <v>BRL</v>
      </c>
      <c r="I73" t="str" cm="1">
        <f t="array" ref="I73">_xll.BDP($B73,I$1)</f>
        <v>ZERO COUPON</v>
      </c>
      <c r="J73" cm="1">
        <f t="array" ref="J73">_xll.BDP($B73,J$1)</f>
        <v>0</v>
      </c>
      <c r="K73" t="str" cm="1">
        <f t="array" ref="K73">_xll.BDP($B73,K$1)</f>
        <v>#N/A Field Not Applicable</v>
      </c>
      <c r="L73" t="str" cm="1">
        <f t="array" ref="L73">_xll.BDP($B73,L$1)</f>
        <v>N</v>
      </c>
      <c r="M73" cm="1">
        <f t="array" ref="M73">_xll.BDP($B73,M$1)</f>
        <v>1</v>
      </c>
      <c r="N73" t="str" cm="1">
        <f t="array" ref="N73">_xll.BDP($B73,N$1)</f>
        <v>STREET CONVENTION</v>
      </c>
      <c r="O73" t="str" cm="1">
        <f t="array" ref="O73">_xll.BDP($B73,O$1)</f>
        <v>#N/A Field Not Applicable</v>
      </c>
      <c r="P73" t="str" cm="1">
        <f t="array" ref="P73">_xll.BDP($B73,P$1)</f>
        <v>#N/A N/A</v>
      </c>
      <c r="Q73" t="str" cm="1">
        <f t="array" ref="Q73">_xll.BDP($B73,Q$1)</f>
        <v>#N/A N/A</v>
      </c>
      <c r="R73" t="str" cm="1">
        <f t="array" ref="R73">_xll.BDP($B73,R$1)</f>
        <v>#N/A N/A</v>
      </c>
      <c r="S73" t="str" cm="1">
        <f t="array" ref="S73">_xll.BDP($B73,S$1)</f>
        <v>#N/A Field Not Applicable</v>
      </c>
      <c r="T73" t="str" cm="1">
        <f t="array" ref="T73">_xll.BDP($B73,T$1)</f>
        <v>#N/A N/A</v>
      </c>
      <c r="U73" t="str" cm="1">
        <f t="array" ref="U73">_xll.BDP($B73,U$1)</f>
        <v>#N/A N/A</v>
      </c>
      <c r="V73" t="str" cm="1">
        <f t="array" ref="V73">_xll.BDP($B73,V$1)</f>
        <v>#N/A N/A</v>
      </c>
      <c r="W73" t="str" cm="1">
        <f t="array" ref="W73">_xll.BDP($B73,W$1)</f>
        <v>#N/A N/A</v>
      </c>
      <c r="X73" t="str" cm="1">
        <f t="array" ref="X73">_xll.BDP($B73,X$1)</f>
        <v>190458Z VC</v>
      </c>
      <c r="Y73" t="str" cm="1">
        <f t="array" ref="Y73">_xll.BDP($B73,Y$1)</f>
        <v>#N/A N/A</v>
      </c>
      <c r="Z73" t="str" cm="1">
        <f t="array" ref="Z73">_xll.BDP($B73,Z$1)</f>
        <v>Government</v>
      </c>
      <c r="AA73" t="str" cm="1">
        <f t="array" ref="AA73">_xll.BDP($B73,AA$1)</f>
        <v>Multi-National</v>
      </c>
      <c r="AB73" t="str" cm="1">
        <f t="array" ref="AB73">_xll.BDP($B73,AB$1)</f>
        <v>EURO MTN</v>
      </c>
      <c r="AC73" t="str" cm="1">
        <f t="array" ref="AC73">_xll.BDP($B73,AC$1)</f>
        <v>SNAT</v>
      </c>
      <c r="AD73" t="str" cm="1">
        <f t="array" ref="AD73">_xll.BDP($B73,AD$1)</f>
        <v>#N/A Field Not Applicable</v>
      </c>
      <c r="AE73" t="str" cm="1">
        <f t="array" ref="AE73">_xll.BDP($B73,AE$1)</f>
        <v>AT MATURITY</v>
      </c>
      <c r="AF73" cm="1">
        <f t="array" ref="AF73">_xll.BDP($B73,AF$1)</f>
        <v>260750000</v>
      </c>
      <c r="AG73" cm="1">
        <f t="array" ref="AG73">_xll.BDP($B73,AG$1)</f>
        <v>260750000</v>
      </c>
      <c r="AH73" t="str" cm="1">
        <f t="array" ref="AH73">_xll.BDP($B73,AH$1)</f>
        <v>International</v>
      </c>
      <c r="AI73" t="str" cm="1">
        <f t="array" ref="AI73">_xll.BDP($X73 &amp; " Equity",AI$1)</f>
        <v>#N/A N/A</v>
      </c>
      <c r="AJ73" t="str" cm="1">
        <f t="array" ref="AJ73">_xll.BDP($X73 &amp; " Equity",AJ$1)</f>
        <v>VC</v>
      </c>
      <c r="AK73" t="str" cm="1">
        <f t="array" ref="AK73">_xll.BDS($X73&amp;" Equity",AK$1,"FILL=NA","Aggregate=y")</f>
        <v>Corporacion Andina de Fomento (CAF) operates as a development bank for Latin Americans and the Caribbeans. The Bank provides loans, credit operations, and non-refundable funds for development of water and sanitation, energy, road infrastructure, productive transformation, and urban mobility infrastructure. CAF serves customers in Latin America, the Caribbean, Spain, and Portugal.</v>
      </c>
    </row>
    <row r="74" spans="2:37" x14ac:dyDescent="0.25">
      <c r="B74" t="s">
        <v>213</v>
      </c>
      <c r="C74" t="str" cm="1">
        <f t="array" ref="C74">_xll.BDP($B74,C$1)</f>
        <v>INTER-AMERICAN DEVEL BK</v>
      </c>
      <c r="D74" t="str" cm="1">
        <f t="array" ref="D74">_xll.BDP($B74,D$1)</f>
        <v>BBG012J11474</v>
      </c>
      <c r="E74" t="str" cm="1">
        <f t="array" ref="E74">_xll.BDP($B74,E$1)</f>
        <v>XS2388204138</v>
      </c>
      <c r="F74" t="str" cm="1">
        <f t="array" ref="F74">_xll.BDP($B74,F$1)</f>
        <v>9/27/2021</v>
      </c>
      <c r="G74" t="str" cm="1">
        <f t="array" ref="G74">_xll.BDP($B74,G$1)</f>
        <v>9/29/2031</v>
      </c>
      <c r="H74" t="str" cm="1">
        <f t="array" ref="H74">_xll.BDP($B74,H$1)</f>
        <v>BRL</v>
      </c>
      <c r="I74" t="str" cm="1">
        <f t="array" ref="I74">_xll.BDP($B74,I$1)</f>
        <v>FIXED</v>
      </c>
      <c r="J74" cm="1">
        <f t="array" ref="J74">_xll.BDP($B74,J$1)</f>
        <v>9.65</v>
      </c>
      <c r="K74" t="str" cm="1">
        <f t="array" ref="K74">_xll.BDP($B74,K$1)</f>
        <v>#N/A Field Not Applicable</v>
      </c>
      <c r="L74" t="str" cm="1">
        <f t="array" ref="L74">_xll.BDP($B74,L$1)</f>
        <v>N</v>
      </c>
      <c r="M74" cm="1">
        <f t="array" ref="M74">_xll.BDP($B74,M$1)</f>
        <v>1</v>
      </c>
      <c r="N74" t="str" cm="1">
        <f t="array" ref="N74">_xll.BDP($B74,N$1)</f>
        <v>STREET CONVENTION</v>
      </c>
      <c r="O74" t="str" cm="1">
        <f t="array" ref="O74">_xll.BDP($B74,O$1)</f>
        <v>#N/A Field Not Applicable</v>
      </c>
      <c r="P74" t="str" cm="1">
        <f t="array" ref="P74">_xll.BDP($B74,P$1)</f>
        <v>#N/A N/A</v>
      </c>
      <c r="Q74" t="str" cm="1">
        <f t="array" ref="Q74">_xll.BDP($B74,Q$1)</f>
        <v>Aaa</v>
      </c>
      <c r="R74" t="str" cm="1">
        <f t="array" ref="R74">_xll.BDP($B74,R$1)</f>
        <v>#N/A N/A</v>
      </c>
      <c r="S74" cm="1">
        <f t="array" ref="S74">_xll.BDP($B74,S$1)</f>
        <v>1</v>
      </c>
      <c r="T74" cm="1">
        <f t="array" ref="T74">_xll.BDP($B74,T$1)</f>
        <v>-119.39943930930727</v>
      </c>
      <c r="U74" cm="1">
        <f t="array" ref="U74">_xll.BDP($B74,U$1)</f>
        <v>12.570017999999999</v>
      </c>
      <c r="V74" t="str" cm="1">
        <f t="array" ref="V74">_xll.BDP($B74,V$1)</f>
        <v>#N/A N/A</v>
      </c>
      <c r="W74" t="str" cm="1">
        <f t="array" ref="W74">_xll.BDP($B74,W$1)</f>
        <v>#N/A N/A</v>
      </c>
      <c r="X74" t="str" cm="1">
        <f t="array" ref="X74">_xll.BDP($B74,X$1)</f>
        <v>1814Z US</v>
      </c>
      <c r="Y74" t="str" cm="1">
        <f t="array" ref="Y74">_xll.BDP($B74,Y$1)</f>
        <v>Supranational</v>
      </c>
      <c r="Z74" t="str" cm="1">
        <f t="array" ref="Z74">_xll.BDP($B74,Z$1)</f>
        <v>Government</v>
      </c>
      <c r="AA74" t="str" cm="1">
        <f t="array" ref="AA74">_xll.BDP($B74,AA$1)</f>
        <v>Multi-National</v>
      </c>
      <c r="AB74" t="str" cm="1">
        <f t="array" ref="AB74">_xll.BDP($B74,AB$1)</f>
        <v>EURO MTN</v>
      </c>
      <c r="AC74" t="str" cm="1">
        <f t="array" ref="AC74">_xll.BDP($B74,AC$1)</f>
        <v>SNAT</v>
      </c>
      <c r="AD74" t="str" cm="1">
        <f t="array" ref="AD74">_xll.BDP($B74,AD$1)</f>
        <v>9/29/2022</v>
      </c>
      <c r="AE74" t="str" cm="1">
        <f t="array" ref="AE74">_xll.BDP($B74,AE$1)</f>
        <v>AT MATURITY</v>
      </c>
      <c r="AF74" cm="1">
        <f t="array" ref="AF74">_xll.BDP($B74,AF$1)</f>
        <v>58800000</v>
      </c>
      <c r="AG74" cm="1">
        <f t="array" ref="AG74">_xll.BDP($B74,AG$1)</f>
        <v>58800000</v>
      </c>
      <c r="AH74" t="str" cm="1">
        <f t="array" ref="AH74">_xll.BDP($B74,AH$1)</f>
        <v>International</v>
      </c>
      <c r="AI74" t="str" cm="1">
        <f t="array" ref="AI74">_xll.BDP($X74 &amp; " Equity",AI$1)</f>
        <v>#N/A N/A</v>
      </c>
      <c r="AJ74" t="str" cm="1">
        <f t="array" ref="AJ74">_xll.BDP($X74 &amp; " Equity",AJ$1)</f>
        <v>US</v>
      </c>
      <c r="AK74" t="str" cm="1">
        <f t="array" ref="AK74">_xll.BDS($X74&amp;" Equity",AK$1,"FILL=NA","Aggregate=y")</f>
        <v>Inter-American Development Bank operates as a multilateral development institution. The Bank conducts lending operations emphasizes agricultural, energy, and transportation industries, as well as focuses on poverty reduction, social equity, modernization, integration, and the environmental development. Inter-American Development conducts its business worldwide.</v>
      </c>
    </row>
    <row r="75" spans="2:37" x14ac:dyDescent="0.25">
      <c r="B75" t="s">
        <v>214</v>
      </c>
      <c r="C75" t="str" cm="1">
        <f t="array" ref="C75">_xll.BDP($B75,C$1)</f>
        <v>EUROPEAN BK RECON &amp; DEV</v>
      </c>
      <c r="D75" t="str" cm="1">
        <f t="array" ref="D75">_xll.BDP($B75,D$1)</f>
        <v>BBG015MXY5W6</v>
      </c>
      <c r="E75" t="str" cm="1">
        <f t="array" ref="E75">_xll.BDP($B75,E$1)</f>
        <v>XS2451449891</v>
      </c>
      <c r="F75" t="str" cm="1">
        <f t="array" ref="F75">_xll.BDP($B75,F$1)</f>
        <v>3/8/2022</v>
      </c>
      <c r="G75" t="str" cm="1">
        <f t="array" ref="G75">_xll.BDP($B75,G$1)</f>
        <v>3/8/2027</v>
      </c>
      <c r="H75" t="str" cm="1">
        <f t="array" ref="H75">_xll.BDP($B75,H$1)</f>
        <v>BRL</v>
      </c>
      <c r="I75" t="str" cm="1">
        <f t="array" ref="I75">_xll.BDP($B75,I$1)</f>
        <v>ZERO COUPON</v>
      </c>
      <c r="J75" cm="1">
        <f t="array" ref="J75">_xll.BDP($B75,J$1)</f>
        <v>0</v>
      </c>
      <c r="K75" t="str" cm="1">
        <f t="array" ref="K75">_xll.BDP($B75,K$1)</f>
        <v>#N/A Field Not Applicable</v>
      </c>
      <c r="L75" t="str" cm="1">
        <f t="array" ref="L75">_xll.BDP($B75,L$1)</f>
        <v>N</v>
      </c>
      <c r="M75" cm="1">
        <f t="array" ref="M75">_xll.BDP($B75,M$1)</f>
        <v>99</v>
      </c>
      <c r="N75" t="str" cm="1">
        <f t="array" ref="N75">_xll.BDP($B75,N$1)</f>
        <v>*NO CALCULATIONS*</v>
      </c>
      <c r="O75" t="str" cm="1">
        <f t="array" ref="O75">_xll.BDP($B75,O$1)</f>
        <v>#N/A Field Not Applicable</v>
      </c>
      <c r="P75" t="str" cm="1">
        <f t="array" ref="P75">_xll.BDP($B75,P$1)</f>
        <v>#N/A N/A</v>
      </c>
      <c r="Q75" t="str" cm="1">
        <f t="array" ref="Q75">_xll.BDP($B75,Q$1)</f>
        <v>#N/A N/A</v>
      </c>
      <c r="R75" t="str" cm="1">
        <f t="array" ref="R75">_xll.BDP($B75,R$1)</f>
        <v>#N/A N/A</v>
      </c>
      <c r="S75" t="str" cm="1">
        <f t="array" ref="S75">_xll.BDP($B75,S$1)</f>
        <v>#N/A Field Not Applicable</v>
      </c>
      <c r="T75" t="str" cm="1">
        <f t="array" ref="T75">_xll.BDP($B75,T$1)</f>
        <v>#N/A N/A</v>
      </c>
      <c r="U75" t="str" cm="1">
        <f t="array" ref="U75">_xll.BDP($B75,U$1)</f>
        <v>#N/A N/A</v>
      </c>
      <c r="V75" t="str" cm="1">
        <f t="array" ref="V75">_xll.BDP($B75,V$1)</f>
        <v>#N/A N/A</v>
      </c>
      <c r="W75" t="str" cm="1">
        <f t="array" ref="W75">_xll.BDP($B75,W$1)</f>
        <v>#N/A N/A</v>
      </c>
      <c r="X75" t="str" cm="1">
        <f t="array" ref="X75">_xll.BDP($B75,X$1)</f>
        <v>6044Z LN</v>
      </c>
      <c r="Y75" t="str" cm="1">
        <f t="array" ref="Y75">_xll.BDP($B75,Y$1)</f>
        <v>#N/A N/A</v>
      </c>
      <c r="Z75" t="str" cm="1">
        <f t="array" ref="Z75">_xll.BDP($B75,Z$1)</f>
        <v>Government</v>
      </c>
      <c r="AA75" t="str" cm="1">
        <f t="array" ref="AA75">_xll.BDP($B75,AA$1)</f>
        <v>Multi-National</v>
      </c>
      <c r="AB75" t="str" cm="1">
        <f t="array" ref="AB75">_xll.BDP($B75,AB$1)</f>
        <v>EURO MTN</v>
      </c>
      <c r="AC75" t="str" cm="1">
        <f t="array" ref="AC75">_xll.BDP($B75,AC$1)</f>
        <v>SNAT</v>
      </c>
      <c r="AD75" t="str" cm="1">
        <f t="array" ref="AD75">_xll.BDP($B75,AD$1)</f>
        <v>#N/A Field Not Applicable</v>
      </c>
      <c r="AE75" t="str" cm="1">
        <f t="array" ref="AE75">_xll.BDP($B75,AE$1)</f>
        <v>AT MATURITY</v>
      </c>
      <c r="AF75" cm="1">
        <f t="array" ref="AF75">_xll.BDP($B75,AF$1)</f>
        <v>103100000</v>
      </c>
      <c r="AG75" cm="1">
        <f t="array" ref="AG75">_xll.BDP($B75,AG$1)</f>
        <v>103100000</v>
      </c>
      <c r="AH75" t="str" cm="1">
        <f t="array" ref="AH75">_xll.BDP($B75,AH$1)</f>
        <v>International</v>
      </c>
      <c r="AI75" t="str" cm="1">
        <f t="array" ref="AI75">_xll.BDP($X75 &amp; " Equity",AI$1)</f>
        <v>#N/A N/A</v>
      </c>
      <c r="AJ75" t="str" cm="1">
        <f t="array" ref="AJ75">_xll.BDP($X75 &amp; " Equity",AJ$1)</f>
        <v>LN</v>
      </c>
      <c r="AK75" t="str" cm="1">
        <f t="array" ref="AK75">_xll.BDS($X75&amp;" Equity",AK$1,"FILL=NA","Aggregate=y")</f>
        <v>European Bank for Reconstruction and Development operates as a Bank. The Bank offers loans and equity finance, direct financing, guarantees, and leasing facilities. European Bank for Reconstruction and Development invests in companies and projects worldwide.</v>
      </c>
    </row>
    <row r="76" spans="2:37" x14ac:dyDescent="0.25">
      <c r="B76" t="s">
        <v>215</v>
      </c>
      <c r="C76" t="str" cm="1">
        <f t="array" ref="C76">_xll.BDP($B76,C$1)</f>
        <v>CASH PGM FOR BRL</v>
      </c>
      <c r="D76" t="str" cm="1">
        <f t="array" ref="D76">_xll.BDP($B76,D$1)</f>
        <v>BBG003GVPDQ3</v>
      </c>
      <c r="E76" t="str" cm="1">
        <f t="array" ref="E76">_xll.BDP($B76,E$1)</f>
        <v>#N/A Field Not Applicable</v>
      </c>
      <c r="F76" t="str" cm="1">
        <f t="array" ref="F76">_xll.BDP($B76,F$1)</f>
        <v>3/2/2007</v>
      </c>
      <c r="G76" t="str" cm="1">
        <f t="array" ref="G76">_xll.BDP($B76,G$1)</f>
        <v>12/29/2049</v>
      </c>
      <c r="H76" t="str" cm="1">
        <f t="array" ref="H76">_xll.BDP($B76,H$1)</f>
        <v>BRL</v>
      </c>
      <c r="I76" t="str" cm="1">
        <f t="array" ref="I76">_xll.BDP($B76,I$1)</f>
        <v>FLOATING</v>
      </c>
      <c r="J76" cm="1">
        <f t="array" ref="J76">_xll.BDP($B76,J$1)</f>
        <v>14.9</v>
      </c>
      <c r="K76" cm="1">
        <f t="array" ref="K76">_xll.BDP($B76,K$1)</f>
        <v>0</v>
      </c>
      <c r="L76" t="str" cm="1">
        <f t="array" ref="L76">_xll.BDP($B76,L$1)</f>
        <v>#N/A Field Not Applicable</v>
      </c>
      <c r="M76" cm="1">
        <f t="array" ref="M76">_xll.BDP($B76,M$1)</f>
        <v>1421</v>
      </c>
      <c r="N76" t="str" cm="1">
        <f t="array" ref="N76">_xll.BDP($B76,N$1)</f>
        <v>FLOAT RATE NOTE</v>
      </c>
      <c r="O76" t="str" cm="1">
        <f t="array" ref="O76">_xll.BDP($B76,O$1)</f>
        <v>#N/A Field Not Applicable</v>
      </c>
      <c r="P76" t="str" cm="1">
        <f t="array" ref="P76">_xll.BDP($B76,P$1)</f>
        <v>#N/A N/A</v>
      </c>
      <c r="Q76" t="str" cm="1">
        <f t="array" ref="Q76">_xll.BDP($B76,Q$1)</f>
        <v>#N/A Field Not Applicable</v>
      </c>
      <c r="R76" t="str" cm="1">
        <f t="array" ref="R76">_xll.BDP($B76,R$1)</f>
        <v>#N/A N/A</v>
      </c>
      <c r="S76" cm="1">
        <f t="array" ref="S76">_xll.BDP($B76,S$1)</f>
        <v>12</v>
      </c>
      <c r="T76" t="str" cm="1">
        <f t="array" ref="T76">_xll.BDP($B76,T$1)</f>
        <v>#N/A Field Not Applicable</v>
      </c>
      <c r="U76" t="str" cm="1">
        <f t="array" ref="U76">_xll.BDP($B76,U$1)</f>
        <v>#N/A Field Not Applicable</v>
      </c>
      <c r="V76" t="str" cm="1">
        <f t="array" ref="V76">_xll.BDP($B76,V$1)</f>
        <v>#N/A N/A</v>
      </c>
      <c r="W76" t="str" cm="1">
        <f t="array" ref="W76">_xll.BDP($B76,W$1)</f>
        <v>#N/A N/A</v>
      </c>
      <c r="X76" t="str" cm="1">
        <f t="array" ref="X76">_xll.BDP($B76,X$1)</f>
        <v>#N/A Field Not Applicable</v>
      </c>
      <c r="Y76" t="str" cm="1">
        <f t="array" ref="Y76">_xll.BDP($B76,Y$1)</f>
        <v>#N/A N/A</v>
      </c>
      <c r="Z76" t="str" cm="1">
        <f t="array" ref="Z76">_xll.BDP($B76,Z$1)</f>
        <v>Financial</v>
      </c>
      <c r="AA76" t="str" cm="1">
        <f t="array" ref="AA76">_xll.BDP($B76,AA$1)</f>
        <v>Banks</v>
      </c>
      <c r="AB76" t="str" cm="1">
        <f t="array" ref="AB76">_xll.BDP($B76,AB$1)</f>
        <v>#N/A Field Not Applicable</v>
      </c>
      <c r="AC76" t="str" cm="1">
        <f t="array" ref="AC76">_xll.BDP($B76,AC$1)</f>
        <v>#N/A Field Not Applicable</v>
      </c>
      <c r="AD76" t="str" cm="1">
        <f t="array" ref="AD76">_xll.BDP($B76,AD$1)</f>
        <v>4/2/2007</v>
      </c>
      <c r="AE76" t="str" cm="1">
        <f t="array" ref="AE76">_xll.BDP($B76,AE$1)</f>
        <v>#N/A Field Not Applicable</v>
      </c>
      <c r="AF76" t="str" cm="1">
        <f t="array" ref="AF76">_xll.BDP($B76,AF$1)</f>
        <v>#N/A Field Not Applicable</v>
      </c>
      <c r="AG76" t="str" cm="1">
        <f t="array" ref="AG76">_xll.BDP($B76,AG$1)</f>
        <v>#N/A Field Not Applicable</v>
      </c>
      <c r="AH76" t="str" cm="1">
        <f t="array" ref="AH76">_xll.BDP($B76,AH$1)</f>
        <v>#N/A Field Not Applicable</v>
      </c>
      <c r="AI76" t="str" cm="1">
        <f t="array" ref="AI76">_xll.BDP($X76 &amp; " Equity",AI$1)</f>
        <v>#N/A Field Not Applicable Equity</v>
      </c>
      <c r="AJ76" t="str" cm="1">
        <f t="array" ref="AJ76">_xll.BDP($X76 &amp; " Equity",AJ$1)</f>
        <v>#N/A Field Not Applicable Equity</v>
      </c>
      <c r="AK76" t="str" cm="1">
        <f t="array" ref="AK76">_xll.BDS($X76&amp;" Equity",AK$1,"FILL=NA","Aggregate=y")</f>
        <v>#N/A Field Not Applicable Equity</v>
      </c>
    </row>
    <row r="77" spans="2:37" x14ac:dyDescent="0.25">
      <c r="B77" t="s">
        <v>216</v>
      </c>
      <c r="C77" t="str" cm="1">
        <f t="array" ref="C77">_xll.BDP($B77,C$1)</f>
        <v>INTL BK RECON &amp; DEVELOP</v>
      </c>
      <c r="D77" t="str" cm="1">
        <f t="array" ref="D77">_xll.BDP($B77,D$1)</f>
        <v>BBG011Y6LCR6</v>
      </c>
      <c r="E77" t="str" cm="1">
        <f t="array" ref="E77">_xll.BDP($B77,E$1)</f>
        <v>XS2233228670</v>
      </c>
      <c r="F77" t="str" cm="1">
        <f t="array" ref="F77">_xll.BDP($B77,F$1)</f>
        <v>9/28/2020</v>
      </c>
      <c r="G77" t="str" cm="1">
        <f t="array" ref="G77">_xll.BDP($B77,G$1)</f>
        <v>9/28/2032</v>
      </c>
      <c r="H77" t="str" cm="1">
        <f t="array" ref="H77">_xll.BDP($B77,H$1)</f>
        <v>BRL</v>
      </c>
      <c r="I77" t="str" cm="1">
        <f t="array" ref="I77">_xll.BDP($B77,I$1)</f>
        <v>ZERO COUPON</v>
      </c>
      <c r="J77" cm="1">
        <f t="array" ref="J77">_xll.BDP($B77,J$1)</f>
        <v>0</v>
      </c>
      <c r="K77" t="str" cm="1">
        <f t="array" ref="K77">_xll.BDP($B77,K$1)</f>
        <v>#N/A Field Not Applicable</v>
      </c>
      <c r="L77" t="str" cm="1">
        <f t="array" ref="L77">_xll.BDP($B77,L$1)</f>
        <v>N</v>
      </c>
      <c r="M77" cm="1">
        <f t="array" ref="M77">_xll.BDP($B77,M$1)</f>
        <v>99</v>
      </c>
      <c r="N77" t="str" cm="1">
        <f t="array" ref="N77">_xll.BDP($B77,N$1)</f>
        <v>*NO CALCULATIONS*</v>
      </c>
      <c r="O77" t="str" cm="1">
        <f t="array" ref="O77">_xll.BDP($B77,O$1)</f>
        <v>#N/A Field Not Applicable</v>
      </c>
      <c r="P77" t="str" cm="1">
        <f t="array" ref="P77">_xll.BDP($B77,P$1)</f>
        <v>AAAp</v>
      </c>
      <c r="Q77" t="str" cm="1">
        <f t="array" ref="Q77">_xll.BDP($B77,Q$1)</f>
        <v>#N/A N/A</v>
      </c>
      <c r="R77" t="str" cm="1">
        <f t="array" ref="R77">_xll.BDP($B77,R$1)</f>
        <v>#N/A N/A</v>
      </c>
      <c r="S77" t="str" cm="1">
        <f t="array" ref="S77">_xll.BDP($B77,S$1)</f>
        <v>#N/A Field Not Applicable</v>
      </c>
      <c r="T77" t="str" cm="1">
        <f t="array" ref="T77">_xll.BDP($B77,T$1)</f>
        <v>#N/A N/A</v>
      </c>
      <c r="U77" t="str" cm="1">
        <f t="array" ref="U77">_xll.BDP($B77,U$1)</f>
        <v>#N/A N/A</v>
      </c>
      <c r="V77" t="str" cm="1">
        <f t="array" ref="V77">_xll.BDP($B77,V$1)</f>
        <v>#N/A N/A</v>
      </c>
      <c r="W77" t="str" cm="1">
        <f t="array" ref="W77">_xll.BDP($B77,W$1)</f>
        <v>#N/A N/A</v>
      </c>
      <c r="X77" t="str" cm="1">
        <f t="array" ref="X77">_xll.BDP($B77,X$1)</f>
        <v>8176888Z US</v>
      </c>
      <c r="Y77" t="str" cm="1">
        <f t="array" ref="Y77">_xll.BDP($B77,Y$1)</f>
        <v>#N/A N/A</v>
      </c>
      <c r="Z77" t="str" cm="1">
        <f t="array" ref="Z77">_xll.BDP($B77,Z$1)</f>
        <v>Government</v>
      </c>
      <c r="AA77" t="str" cm="1">
        <f t="array" ref="AA77">_xll.BDP($B77,AA$1)</f>
        <v>Multi-National</v>
      </c>
      <c r="AB77" t="str" cm="1">
        <f t="array" ref="AB77">_xll.BDP($B77,AB$1)</f>
        <v>EURO MTN</v>
      </c>
      <c r="AC77" t="str" cm="1">
        <f t="array" ref="AC77">_xll.BDP($B77,AC$1)</f>
        <v>SNAT</v>
      </c>
      <c r="AD77" t="str" cm="1">
        <f t="array" ref="AD77">_xll.BDP($B77,AD$1)</f>
        <v>#N/A Field Not Applicable</v>
      </c>
      <c r="AE77" t="str" cm="1">
        <f t="array" ref="AE77">_xll.BDP($B77,AE$1)</f>
        <v>AT MATURITY</v>
      </c>
      <c r="AF77" cm="1">
        <f t="array" ref="AF77">_xll.BDP($B77,AF$1)</f>
        <v>106000000</v>
      </c>
      <c r="AG77" cm="1">
        <f t="array" ref="AG77">_xll.BDP($B77,AG$1)</f>
        <v>106000000</v>
      </c>
      <c r="AH77" t="str" cm="1">
        <f t="array" ref="AH77">_xll.BDP($B77,AH$1)</f>
        <v>International</v>
      </c>
      <c r="AI77" t="str" cm="1">
        <f t="array" ref="AI77">_xll.BDP($X77 &amp; " Equity",AI$1)</f>
        <v>#N/A N/A</v>
      </c>
      <c r="AJ77" t="str" cm="1">
        <f t="array" ref="AJ77">_xll.BDP($X77 &amp; " Equity",AJ$1)</f>
        <v>US</v>
      </c>
      <c r="AK77" t="str" cm="1">
        <f t="array" ref="AK77">_xll.BDS($X77&amp;" Equity",AK$1,"FILL=NA","Aggregate=y")</f>
        <v>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v>
      </c>
    </row>
    <row r="78" spans="2:37" x14ac:dyDescent="0.25">
      <c r="B78" t="s">
        <v>217</v>
      </c>
      <c r="C78" t="str" cm="1">
        <f t="array" ref="C78">_xll.BDP($B78,C$1)</f>
        <v>AFRICAN DEVELOPMENT BANK</v>
      </c>
      <c r="D78" t="str" cm="1">
        <f t="array" ref="D78">_xll.BDP($B78,D$1)</f>
        <v>BBG016V94KP5</v>
      </c>
      <c r="E78" t="str" cm="1">
        <f t="array" ref="E78">_xll.BDP($B78,E$1)</f>
        <v>XS2474225013</v>
      </c>
      <c r="F78" t="str" cm="1">
        <f t="array" ref="F78">_xll.BDP($B78,F$1)</f>
        <v>5/24/2022</v>
      </c>
      <c r="G78" t="str" cm="1">
        <f t="array" ref="G78">_xll.BDP($B78,G$1)</f>
        <v>5/25/2027</v>
      </c>
      <c r="H78" t="str" cm="1">
        <f t="array" ref="H78">_xll.BDP($B78,H$1)</f>
        <v>BRL</v>
      </c>
      <c r="I78" t="str" cm="1">
        <f t="array" ref="I78">_xll.BDP($B78,I$1)</f>
        <v>FIXED</v>
      </c>
      <c r="J78" cm="1">
        <f t="array" ref="J78">_xll.BDP($B78,J$1)</f>
        <v>9.5</v>
      </c>
      <c r="K78" t="str" cm="1">
        <f t="array" ref="K78">_xll.BDP($B78,K$1)</f>
        <v>#N/A Field Not Applicable</v>
      </c>
      <c r="L78" t="str" cm="1">
        <f t="array" ref="L78">_xll.BDP($B78,L$1)</f>
        <v>N</v>
      </c>
      <c r="M78" cm="1">
        <f t="array" ref="M78">_xll.BDP($B78,M$1)</f>
        <v>1</v>
      </c>
      <c r="N78" t="str" cm="1">
        <f t="array" ref="N78">_xll.BDP($B78,N$1)</f>
        <v>STREET CONVENTION</v>
      </c>
      <c r="O78" t="str" cm="1">
        <f t="array" ref="O78">_xll.BDP($B78,O$1)</f>
        <v>#N/A Field Not Applicable</v>
      </c>
      <c r="P78" t="str" cm="1">
        <f t="array" ref="P78">_xll.BDP($B78,P$1)</f>
        <v>AAA</v>
      </c>
      <c r="Q78" t="str" cm="1">
        <f t="array" ref="Q78">_xll.BDP($B78,Q$1)</f>
        <v>Aaa</v>
      </c>
      <c r="R78" t="str" cm="1">
        <f t="array" ref="R78">_xll.BDP($B78,R$1)</f>
        <v>AAA</v>
      </c>
      <c r="S78" cm="1">
        <f t="array" ref="S78">_xll.BDP($B78,S$1)</f>
        <v>2</v>
      </c>
      <c r="T78" cm="1">
        <f t="array" ref="T78">_xll.BDP($B78,T$1)</f>
        <v>-76.582001328625182</v>
      </c>
      <c r="U78" cm="1">
        <f t="array" ref="U78">_xll.BDP($B78,U$1)</f>
        <v>13.1317</v>
      </c>
      <c r="V78" t="str" cm="1">
        <f t="array" ref="V78">_xll.BDP($B78,V$1)</f>
        <v>#N/A N/A</v>
      </c>
      <c r="W78" t="str" cm="1">
        <f t="array" ref="W78">_xll.BDP($B78,W$1)</f>
        <v>#N/A N/A</v>
      </c>
      <c r="X78" t="str" cm="1">
        <f t="array" ref="X78">_xll.BDP($B78,X$1)</f>
        <v>1598Z TU</v>
      </c>
      <c r="Y78" t="str" cm="1">
        <f t="array" ref="Y78">_xll.BDP($B78,Y$1)</f>
        <v>Supranational</v>
      </c>
      <c r="Z78" t="str" cm="1">
        <f t="array" ref="Z78">_xll.BDP($B78,Z$1)</f>
        <v>Government</v>
      </c>
      <c r="AA78" t="str" cm="1">
        <f t="array" ref="AA78">_xll.BDP($B78,AA$1)</f>
        <v>Multi-National</v>
      </c>
      <c r="AB78" t="str" cm="1">
        <f t="array" ref="AB78">_xll.BDP($B78,AB$1)</f>
        <v>EURO MTN</v>
      </c>
      <c r="AC78" t="str" cm="1">
        <f t="array" ref="AC78">_xll.BDP($B78,AC$1)</f>
        <v>SNAT</v>
      </c>
      <c r="AD78" t="str" cm="1">
        <f t="array" ref="AD78">_xll.BDP($B78,AD$1)</f>
        <v>11/25/2022</v>
      </c>
      <c r="AE78" t="str" cm="1">
        <f t="array" ref="AE78">_xll.BDP($B78,AE$1)</f>
        <v>AT MATURITY</v>
      </c>
      <c r="AF78" cm="1">
        <f t="array" ref="AF78">_xll.BDP($B78,AF$1)</f>
        <v>6000000</v>
      </c>
      <c r="AG78" cm="1">
        <f t="array" ref="AG78">_xll.BDP($B78,AG$1)</f>
        <v>6000000</v>
      </c>
      <c r="AH78" t="str" cm="1">
        <f t="array" ref="AH78">_xll.BDP($B78,AH$1)</f>
        <v>International</v>
      </c>
      <c r="AI78" t="str" cm="1">
        <f t="array" ref="AI78">_xll.BDP($X78 &amp; " Equity",AI$1)</f>
        <v>#N/A N/A</v>
      </c>
      <c r="AJ78" t="str" cm="1">
        <f t="array" ref="AJ78">_xll.BDP($X78 &amp; " Equity",AJ$1)</f>
        <v>TU</v>
      </c>
      <c r="AK78" t="str" cm="1">
        <f t="array" ref="AK78">_xll.BDS($X78&amp;"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row r="79" spans="2:37" x14ac:dyDescent="0.25">
      <c r="B79" t="s">
        <v>218</v>
      </c>
      <c r="C79" t="str" cm="1">
        <f t="array" ref="C79">_xll.BDP($B79,C$1)</f>
        <v>AFRICAN DEVELOPMENT BANK</v>
      </c>
      <c r="D79" t="str" cm="1">
        <f t="array" ref="D79">_xll.BDP($B79,D$1)</f>
        <v>BBG011YPJPK5</v>
      </c>
      <c r="E79" t="str" cm="1">
        <f t="array" ref="E79">_xll.BDP($B79,E$1)</f>
        <v>XS2368589441</v>
      </c>
      <c r="F79" t="str" cm="1">
        <f t="array" ref="F79">_xll.BDP($B79,F$1)</f>
        <v>8/26/2021</v>
      </c>
      <c r="G79" t="str" cm="1">
        <f t="array" ref="G79">_xll.BDP($B79,G$1)</f>
        <v>8/29/2028</v>
      </c>
      <c r="H79" t="str" cm="1">
        <f t="array" ref="H79">_xll.BDP($B79,H$1)</f>
        <v>BRL</v>
      </c>
      <c r="I79" t="str" cm="1">
        <f t="array" ref="I79">_xll.BDP($B79,I$1)</f>
        <v>ZERO COUPON</v>
      </c>
      <c r="J79" cm="1">
        <f t="array" ref="J79">_xll.BDP($B79,J$1)</f>
        <v>0</v>
      </c>
      <c r="K79" t="str" cm="1">
        <f t="array" ref="K79">_xll.BDP($B79,K$1)</f>
        <v>#N/A Field Not Applicable</v>
      </c>
      <c r="L79" t="str" cm="1">
        <f t="array" ref="L79">_xll.BDP($B79,L$1)</f>
        <v>N</v>
      </c>
      <c r="M79" cm="1">
        <f t="array" ref="M79">_xll.BDP($B79,M$1)</f>
        <v>1</v>
      </c>
      <c r="N79" t="str" cm="1">
        <f t="array" ref="N79">_xll.BDP($B79,N$1)</f>
        <v>STREET CONVENTION</v>
      </c>
      <c r="O79" t="str" cm="1">
        <f t="array" ref="O79">_xll.BDP($B79,O$1)</f>
        <v>#N/A Field Not Applicable</v>
      </c>
      <c r="P79" t="str" cm="1">
        <f t="array" ref="P79">_xll.BDP($B79,P$1)</f>
        <v>AAA</v>
      </c>
      <c r="Q79" t="str" cm="1">
        <f t="array" ref="Q79">_xll.BDP($B79,Q$1)</f>
        <v>Aaa</v>
      </c>
      <c r="R79" t="str" cm="1">
        <f t="array" ref="R79">_xll.BDP($B79,R$1)</f>
        <v>AAA</v>
      </c>
      <c r="S79" t="str" cm="1">
        <f t="array" ref="S79">_xll.BDP($B79,S$1)</f>
        <v>#N/A Field Not Applicable</v>
      </c>
      <c r="T79" cm="1">
        <f t="array" ref="T79">_xll.BDP($B79,T$1)</f>
        <v>-98.975672017060035</v>
      </c>
      <c r="U79" cm="1">
        <f t="array" ref="U79">_xll.BDP($B79,U$1)</f>
        <v>12.444879999999999</v>
      </c>
      <c r="V79" t="str" cm="1">
        <f t="array" ref="V79">_xll.BDP($B79,V$1)</f>
        <v>#N/A N/A</v>
      </c>
      <c r="W79" t="str" cm="1">
        <f t="array" ref="W79">_xll.BDP($B79,W$1)</f>
        <v>#N/A N/A</v>
      </c>
      <c r="X79" t="str" cm="1">
        <f t="array" ref="X79">_xll.BDP($B79,X$1)</f>
        <v>1598Z TU</v>
      </c>
      <c r="Y79" t="str" cm="1">
        <f t="array" ref="Y79">_xll.BDP($B79,Y$1)</f>
        <v>Supranational</v>
      </c>
      <c r="Z79" t="str" cm="1">
        <f t="array" ref="Z79">_xll.BDP($B79,Z$1)</f>
        <v>Government</v>
      </c>
      <c r="AA79" t="str" cm="1">
        <f t="array" ref="AA79">_xll.BDP($B79,AA$1)</f>
        <v>Multi-National</v>
      </c>
      <c r="AB79" t="str" cm="1">
        <f t="array" ref="AB79">_xll.BDP($B79,AB$1)</f>
        <v>EURO MTN</v>
      </c>
      <c r="AC79" t="str" cm="1">
        <f t="array" ref="AC79">_xll.BDP($B79,AC$1)</f>
        <v>SNAT</v>
      </c>
      <c r="AD79" t="str" cm="1">
        <f t="array" ref="AD79">_xll.BDP($B79,AD$1)</f>
        <v>#N/A Field Not Applicable</v>
      </c>
      <c r="AE79" t="str" cm="1">
        <f t="array" ref="AE79">_xll.BDP($B79,AE$1)</f>
        <v>AT MATURITY</v>
      </c>
      <c r="AF79" cm="1">
        <f t="array" ref="AF79">_xll.BDP($B79,AF$1)</f>
        <v>72000000</v>
      </c>
      <c r="AG79" cm="1">
        <f t="array" ref="AG79">_xll.BDP($B79,AG$1)</f>
        <v>72000000</v>
      </c>
      <c r="AH79" t="str" cm="1">
        <f t="array" ref="AH79">_xll.BDP($B79,AH$1)</f>
        <v>International</v>
      </c>
      <c r="AI79" t="str" cm="1">
        <f t="array" ref="AI79">_xll.BDP($X79 &amp; " Equity",AI$1)</f>
        <v>#N/A N/A</v>
      </c>
      <c r="AJ79" t="str" cm="1">
        <f t="array" ref="AJ79">_xll.BDP($X79 &amp; " Equity",AJ$1)</f>
        <v>TU</v>
      </c>
      <c r="AK79" t="str" cm="1">
        <f t="array" ref="AK79">_xll.BDS($X79&amp;" Equity",AK$1,"FILL=NA","Aggregate=y")</f>
        <v>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v>
      </c>
    </row>
  </sheetData>
  <autoFilter ref="A1:X5595" xr:uid="{A44A7C5E-5287-467A-BA45-7FF4E57514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343A3-3B25-4E74-8645-96D31BFFA9AD}">
  <sheetPr codeName="Sheet2"/>
  <dimension ref="B1:AK79"/>
  <sheetViews>
    <sheetView tabSelected="1" zoomScale="80" zoomScaleNormal="80" workbookViewId="0">
      <selection activeCell="D42" sqref="D42"/>
    </sheetView>
  </sheetViews>
  <sheetFormatPr defaultRowHeight="15" x14ac:dyDescent="0.25"/>
  <cols>
    <col min="1" max="2" width="14.5703125" bestFit="1" customWidth="1"/>
    <col min="3" max="3" width="29.28515625" bestFit="1" customWidth="1"/>
    <col min="4" max="4" width="19.28515625" bestFit="1" customWidth="1"/>
    <col min="5" max="5" width="23.85546875" bestFit="1" customWidth="1"/>
    <col min="6" max="6" width="19.28515625" bestFit="1" customWidth="1"/>
    <col min="7" max="7" width="23.85546875" bestFit="1" customWidth="1"/>
    <col min="8" max="10" width="19.28515625" bestFit="1" customWidth="1"/>
    <col min="11" max="15" width="19.28515625" customWidth="1"/>
    <col min="16" max="16" width="19.28515625" bestFit="1" customWidth="1"/>
    <col min="17" max="17" width="32.28515625" bestFit="1" customWidth="1"/>
    <col min="18" max="19" width="19.28515625" bestFit="1" customWidth="1"/>
    <col min="20" max="20" width="24" bestFit="1" customWidth="1"/>
    <col min="21" max="21" width="19.28515625" bestFit="1" customWidth="1"/>
    <col min="22" max="22" width="30.85546875" bestFit="1" customWidth="1"/>
    <col min="23" max="23" width="38.42578125" bestFit="1" customWidth="1"/>
    <col min="24" max="24" width="32" bestFit="1" customWidth="1"/>
    <col min="25" max="25" width="34.42578125" bestFit="1" customWidth="1"/>
    <col min="26" max="26" width="22.5703125" bestFit="1" customWidth="1"/>
    <col min="27" max="27" width="24.28515625" bestFit="1" customWidth="1"/>
    <col min="28" max="29" width="19.28515625" bestFit="1" customWidth="1"/>
    <col min="30" max="30" width="30.42578125" bestFit="1" customWidth="1"/>
    <col min="31" max="31" width="19.28515625" bestFit="1" customWidth="1"/>
    <col min="32" max="33" width="19.28515625" customWidth="1"/>
    <col min="34" max="34" width="30.42578125" bestFit="1" customWidth="1"/>
    <col min="35" max="35" width="20.28515625" bestFit="1" customWidth="1"/>
    <col min="36" max="36" width="11.28515625" bestFit="1" customWidth="1"/>
    <col min="37" max="37" width="7.42578125" bestFit="1" customWidth="1"/>
  </cols>
  <sheetData>
    <row r="1" spans="2:37" ht="30" x14ac:dyDescent="0.25">
      <c r="B1" t="s">
        <v>30</v>
      </c>
      <c r="C1" s="1" t="s">
        <v>0</v>
      </c>
      <c r="D1" s="1" t="s">
        <v>1</v>
      </c>
      <c r="E1" s="1" t="s">
        <v>2</v>
      </c>
      <c r="F1" s="1" t="s">
        <v>3</v>
      </c>
      <c r="G1" s="1" t="s">
        <v>4</v>
      </c>
      <c r="H1" s="1" t="s">
        <v>5</v>
      </c>
      <c r="I1" s="1" t="s">
        <v>6</v>
      </c>
      <c r="J1" s="1" t="s">
        <v>7</v>
      </c>
      <c r="K1" s="1" t="s">
        <v>103</v>
      </c>
      <c r="L1" s="1" t="s">
        <v>104</v>
      </c>
      <c r="M1" s="1" t="s">
        <v>105</v>
      </c>
      <c r="N1" s="1" t="s">
        <v>23</v>
      </c>
      <c r="O1" s="1" t="s">
        <v>106</v>
      </c>
      <c r="P1" s="1" t="s">
        <v>9</v>
      </c>
      <c r="Q1" s="1" t="s">
        <v>10</v>
      </c>
      <c r="R1" s="1" t="s">
        <v>11</v>
      </c>
      <c r="S1" s="1" t="s">
        <v>12</v>
      </c>
      <c r="T1" s="1" t="s">
        <v>13</v>
      </c>
      <c r="U1" s="1" t="s">
        <v>14</v>
      </c>
      <c r="V1" s="1" t="s">
        <v>15</v>
      </c>
      <c r="W1" s="1" t="s">
        <v>16</v>
      </c>
      <c r="X1" s="1" t="s">
        <v>17</v>
      </c>
      <c r="Y1" s="1" t="s">
        <v>18</v>
      </c>
      <c r="Z1" s="1" t="s">
        <v>19</v>
      </c>
      <c r="AA1" s="1" t="s">
        <v>20</v>
      </c>
      <c r="AB1" s="1" t="s">
        <v>21</v>
      </c>
      <c r="AC1" s="1" t="s">
        <v>22</v>
      </c>
      <c r="AD1" s="1" t="s">
        <v>24</v>
      </c>
      <c r="AE1" s="1" t="s">
        <v>25</v>
      </c>
      <c r="AF1" s="1" t="s">
        <v>8</v>
      </c>
      <c r="AG1" s="1" t="s">
        <v>99</v>
      </c>
      <c r="AH1" s="1" t="s">
        <v>26</v>
      </c>
      <c r="AI1" s="1" t="s">
        <v>27</v>
      </c>
      <c r="AJ1" s="1" t="s">
        <v>28</v>
      </c>
      <c r="AK1" s="2" t="s">
        <v>29</v>
      </c>
    </row>
    <row r="2" spans="2:37" x14ac:dyDescent="0.25">
      <c r="B2" t="s">
        <v>141</v>
      </c>
      <c r="C2" t="s">
        <v>219</v>
      </c>
      <c r="D2" t="s">
        <v>220</v>
      </c>
      <c r="E2" t="s">
        <v>221</v>
      </c>
      <c r="F2" t="s">
        <v>44</v>
      </c>
      <c r="G2" t="s">
        <v>222</v>
      </c>
      <c r="H2" t="s">
        <v>107</v>
      </c>
      <c r="I2" t="s">
        <v>31</v>
      </c>
      <c r="J2">
        <v>5</v>
      </c>
      <c r="K2" t="s">
        <v>37</v>
      </c>
      <c r="L2" t="s">
        <v>108</v>
      </c>
      <c r="M2">
        <v>1</v>
      </c>
      <c r="N2" t="s">
        <v>35</v>
      </c>
      <c r="O2" t="s">
        <v>37</v>
      </c>
      <c r="P2" t="s">
        <v>223</v>
      </c>
      <c r="Q2" t="s">
        <v>224</v>
      </c>
      <c r="R2" t="s">
        <v>32</v>
      </c>
      <c r="S2">
        <v>1</v>
      </c>
      <c r="T2">
        <v>-124.47562198212427</v>
      </c>
      <c r="U2">
        <v>13.368744</v>
      </c>
      <c r="V2">
        <v>22</v>
      </c>
      <c r="W2">
        <v>3680000</v>
      </c>
      <c r="X2" t="s">
        <v>225</v>
      </c>
      <c r="Y2" t="s">
        <v>226</v>
      </c>
      <c r="Z2" t="s">
        <v>139</v>
      </c>
      <c r="AA2" t="s">
        <v>227</v>
      </c>
      <c r="AB2" t="s">
        <v>228</v>
      </c>
      <c r="AC2" t="s">
        <v>229</v>
      </c>
      <c r="AD2" t="s">
        <v>230</v>
      </c>
      <c r="AE2" t="s">
        <v>36</v>
      </c>
      <c r="AF2">
        <v>1000000000</v>
      </c>
      <c r="AG2">
        <v>1000000000</v>
      </c>
      <c r="AH2" t="s">
        <v>100</v>
      </c>
      <c r="AI2" t="s">
        <v>32</v>
      </c>
      <c r="AJ2" t="s">
        <v>40</v>
      </c>
      <c r="AK2" t="s">
        <v>231</v>
      </c>
    </row>
    <row r="3" spans="2:37" x14ac:dyDescent="0.25">
      <c r="B3" t="s">
        <v>142</v>
      </c>
      <c r="C3" t="s">
        <v>232</v>
      </c>
      <c r="D3" t="s">
        <v>233</v>
      </c>
      <c r="E3" t="s">
        <v>234</v>
      </c>
      <c r="F3" t="s">
        <v>93</v>
      </c>
      <c r="G3" t="s">
        <v>68</v>
      </c>
      <c r="H3" t="s">
        <v>107</v>
      </c>
      <c r="I3" t="s">
        <v>31</v>
      </c>
      <c r="J3">
        <v>10.75</v>
      </c>
      <c r="K3" t="s">
        <v>37</v>
      </c>
      <c r="L3" t="s">
        <v>108</v>
      </c>
      <c r="M3">
        <v>1</v>
      </c>
      <c r="N3" t="s">
        <v>35</v>
      </c>
      <c r="O3" t="s">
        <v>37</v>
      </c>
      <c r="P3" t="s">
        <v>223</v>
      </c>
      <c r="Q3" t="s">
        <v>224</v>
      </c>
      <c r="R3" t="s">
        <v>32</v>
      </c>
      <c r="S3">
        <v>1</v>
      </c>
      <c r="T3">
        <v>-119.51298247894009</v>
      </c>
      <c r="U3">
        <v>12.413629999999999</v>
      </c>
      <c r="V3">
        <v>2</v>
      </c>
      <c r="W3">
        <v>40010000</v>
      </c>
      <c r="X3" t="s">
        <v>225</v>
      </c>
      <c r="Y3" t="s">
        <v>226</v>
      </c>
      <c r="Z3" t="s">
        <v>139</v>
      </c>
      <c r="AA3" t="s">
        <v>227</v>
      </c>
      <c r="AB3" t="s">
        <v>228</v>
      </c>
      <c r="AC3" t="s">
        <v>229</v>
      </c>
      <c r="AD3" t="s">
        <v>89</v>
      </c>
      <c r="AE3" t="s">
        <v>36</v>
      </c>
      <c r="AF3">
        <v>1575000000</v>
      </c>
      <c r="AG3">
        <v>1575000000</v>
      </c>
      <c r="AH3" t="s">
        <v>100</v>
      </c>
      <c r="AI3" t="s">
        <v>32</v>
      </c>
      <c r="AJ3" t="s">
        <v>40</v>
      </c>
      <c r="AK3" t="s">
        <v>231</v>
      </c>
    </row>
    <row r="4" spans="2:37" x14ac:dyDescent="0.25">
      <c r="B4" t="s">
        <v>143</v>
      </c>
      <c r="C4" t="s">
        <v>219</v>
      </c>
      <c r="D4" t="s">
        <v>235</v>
      </c>
      <c r="E4" t="s">
        <v>236</v>
      </c>
      <c r="F4" t="s">
        <v>237</v>
      </c>
      <c r="G4" t="s">
        <v>238</v>
      </c>
      <c r="H4" t="s">
        <v>107</v>
      </c>
      <c r="I4" t="s">
        <v>31</v>
      </c>
      <c r="J4">
        <v>9.5</v>
      </c>
      <c r="K4" t="s">
        <v>37</v>
      </c>
      <c r="L4" t="s">
        <v>108</v>
      </c>
      <c r="M4">
        <v>1</v>
      </c>
      <c r="N4" t="s">
        <v>35</v>
      </c>
      <c r="O4" t="s">
        <v>37</v>
      </c>
      <c r="P4" t="s">
        <v>223</v>
      </c>
      <c r="Q4" t="s">
        <v>224</v>
      </c>
      <c r="R4" t="s">
        <v>32</v>
      </c>
      <c r="S4">
        <v>1</v>
      </c>
      <c r="T4">
        <v>-151.00721250693212</v>
      </c>
      <c r="U4">
        <v>12.205242</v>
      </c>
      <c r="V4">
        <v>60</v>
      </c>
      <c r="W4">
        <v>14800000</v>
      </c>
      <c r="X4" t="s">
        <v>225</v>
      </c>
      <c r="Y4" t="s">
        <v>226</v>
      </c>
      <c r="Z4" t="s">
        <v>139</v>
      </c>
      <c r="AA4" t="s">
        <v>227</v>
      </c>
      <c r="AB4" t="s">
        <v>228</v>
      </c>
      <c r="AC4" t="s">
        <v>229</v>
      </c>
      <c r="AD4" t="s">
        <v>239</v>
      </c>
      <c r="AE4" t="s">
        <v>36</v>
      </c>
      <c r="AF4">
        <v>1230000000</v>
      </c>
      <c r="AG4">
        <v>1230000000</v>
      </c>
      <c r="AH4" t="s">
        <v>100</v>
      </c>
      <c r="AI4" t="s">
        <v>32</v>
      </c>
      <c r="AJ4" t="s">
        <v>40</v>
      </c>
      <c r="AK4" t="s">
        <v>231</v>
      </c>
    </row>
    <row r="5" spans="2:37" x14ac:dyDescent="0.25">
      <c r="B5" t="s">
        <v>144</v>
      </c>
      <c r="C5" t="s">
        <v>219</v>
      </c>
      <c r="D5" t="s">
        <v>240</v>
      </c>
      <c r="E5" t="s">
        <v>241</v>
      </c>
      <c r="F5" t="s">
        <v>242</v>
      </c>
      <c r="G5" t="s">
        <v>243</v>
      </c>
      <c r="H5" t="s">
        <v>107</v>
      </c>
      <c r="I5" t="s">
        <v>127</v>
      </c>
      <c r="J5">
        <v>0</v>
      </c>
      <c r="K5" t="s">
        <v>37</v>
      </c>
      <c r="L5" t="s">
        <v>108</v>
      </c>
      <c r="M5">
        <v>1</v>
      </c>
      <c r="N5" t="s">
        <v>35</v>
      </c>
      <c r="O5" t="s">
        <v>37</v>
      </c>
      <c r="P5" t="s">
        <v>223</v>
      </c>
      <c r="Q5" t="s">
        <v>224</v>
      </c>
      <c r="R5" t="s">
        <v>32</v>
      </c>
      <c r="S5" t="s">
        <v>37</v>
      </c>
      <c r="T5">
        <v>-234.79778918617205</v>
      </c>
      <c r="U5">
        <v>11.670222000000001</v>
      </c>
      <c r="V5">
        <v>0</v>
      </c>
      <c r="W5" t="s">
        <v>32</v>
      </c>
      <c r="X5" t="s">
        <v>225</v>
      </c>
      <c r="Y5" t="s">
        <v>226</v>
      </c>
      <c r="Z5" t="s">
        <v>139</v>
      </c>
      <c r="AA5" t="s">
        <v>227</v>
      </c>
      <c r="AB5" t="s">
        <v>228</v>
      </c>
      <c r="AC5" t="s">
        <v>229</v>
      </c>
      <c r="AD5" t="s">
        <v>37</v>
      </c>
      <c r="AE5" t="s">
        <v>36</v>
      </c>
      <c r="AF5">
        <v>5400000000</v>
      </c>
      <c r="AG5">
        <v>5400000000</v>
      </c>
      <c r="AH5" t="s">
        <v>100</v>
      </c>
      <c r="AI5" t="s">
        <v>32</v>
      </c>
      <c r="AJ5" t="s">
        <v>40</v>
      </c>
      <c r="AK5" t="s">
        <v>231</v>
      </c>
    </row>
    <row r="6" spans="2:37" x14ac:dyDescent="0.25">
      <c r="B6" t="s">
        <v>145</v>
      </c>
      <c r="C6" t="s">
        <v>244</v>
      </c>
      <c r="D6" t="s">
        <v>245</v>
      </c>
      <c r="E6" t="s">
        <v>246</v>
      </c>
      <c r="F6" t="s">
        <v>247</v>
      </c>
      <c r="G6" t="s">
        <v>248</v>
      </c>
      <c r="H6" t="s">
        <v>107</v>
      </c>
      <c r="I6" t="s">
        <v>127</v>
      </c>
      <c r="J6">
        <v>0</v>
      </c>
      <c r="K6" t="s">
        <v>37</v>
      </c>
      <c r="L6" t="s">
        <v>108</v>
      </c>
      <c r="M6">
        <v>1</v>
      </c>
      <c r="N6" t="s">
        <v>35</v>
      </c>
      <c r="O6" t="s">
        <v>37</v>
      </c>
      <c r="P6" t="s">
        <v>223</v>
      </c>
      <c r="Q6" t="s">
        <v>38</v>
      </c>
      <c r="R6" t="s">
        <v>223</v>
      </c>
      <c r="S6" t="s">
        <v>37</v>
      </c>
      <c r="T6">
        <v>-172.68095905903812</v>
      </c>
      <c r="U6">
        <v>12.218749000000001</v>
      </c>
      <c r="V6">
        <v>5</v>
      </c>
      <c r="W6">
        <v>66000000</v>
      </c>
      <c r="X6" t="s">
        <v>249</v>
      </c>
      <c r="Y6" t="s">
        <v>226</v>
      </c>
      <c r="Z6" t="s">
        <v>139</v>
      </c>
      <c r="AA6" t="s">
        <v>227</v>
      </c>
      <c r="AB6" t="s">
        <v>228</v>
      </c>
      <c r="AC6" t="s">
        <v>229</v>
      </c>
      <c r="AD6" t="s">
        <v>37</v>
      </c>
      <c r="AE6" t="s">
        <v>36</v>
      </c>
      <c r="AF6">
        <v>1280000000</v>
      </c>
      <c r="AG6">
        <v>1280000000</v>
      </c>
      <c r="AH6" t="s">
        <v>100</v>
      </c>
      <c r="AI6" t="s">
        <v>32</v>
      </c>
      <c r="AJ6" t="s">
        <v>113</v>
      </c>
      <c r="AK6" t="s">
        <v>250</v>
      </c>
    </row>
    <row r="7" spans="2:37" x14ac:dyDescent="0.25">
      <c r="B7" t="s">
        <v>146</v>
      </c>
      <c r="C7" t="s">
        <v>251</v>
      </c>
      <c r="D7" t="s">
        <v>252</v>
      </c>
      <c r="E7" t="s">
        <v>253</v>
      </c>
      <c r="F7" t="s">
        <v>55</v>
      </c>
      <c r="G7" t="s">
        <v>77</v>
      </c>
      <c r="H7" t="s">
        <v>107</v>
      </c>
      <c r="I7" t="s">
        <v>31</v>
      </c>
      <c r="J7">
        <v>9.25</v>
      </c>
      <c r="K7" t="s">
        <v>37</v>
      </c>
      <c r="L7" t="s">
        <v>108</v>
      </c>
      <c r="M7">
        <v>1</v>
      </c>
      <c r="N7" t="s">
        <v>35</v>
      </c>
      <c r="O7" t="s">
        <v>37</v>
      </c>
      <c r="P7" t="s">
        <v>223</v>
      </c>
      <c r="Q7" t="s">
        <v>224</v>
      </c>
      <c r="R7" t="s">
        <v>223</v>
      </c>
      <c r="S7">
        <v>1</v>
      </c>
      <c r="T7">
        <v>-148.78960873326895</v>
      </c>
      <c r="U7">
        <v>12.539889000000001</v>
      </c>
      <c r="V7">
        <v>169</v>
      </c>
      <c r="W7">
        <v>11740000</v>
      </c>
      <c r="X7" t="s">
        <v>254</v>
      </c>
      <c r="Y7" t="s">
        <v>226</v>
      </c>
      <c r="Z7" t="s">
        <v>139</v>
      </c>
      <c r="AA7" t="s">
        <v>227</v>
      </c>
      <c r="AB7" t="s">
        <v>228</v>
      </c>
      <c r="AC7" t="s">
        <v>229</v>
      </c>
      <c r="AD7" t="s">
        <v>134</v>
      </c>
      <c r="AE7" t="s">
        <v>36</v>
      </c>
      <c r="AF7">
        <v>610000000</v>
      </c>
      <c r="AG7">
        <v>610000000</v>
      </c>
      <c r="AH7" t="s">
        <v>100</v>
      </c>
      <c r="AI7" t="s">
        <v>32</v>
      </c>
      <c r="AJ7" t="s">
        <v>255</v>
      </c>
      <c r="AK7" t="s">
        <v>256</v>
      </c>
    </row>
    <row r="8" spans="2:37" x14ac:dyDescent="0.25">
      <c r="B8" t="s">
        <v>147</v>
      </c>
      <c r="C8" t="s">
        <v>219</v>
      </c>
      <c r="D8" t="s">
        <v>257</v>
      </c>
      <c r="E8" t="s">
        <v>258</v>
      </c>
      <c r="F8" t="s">
        <v>84</v>
      </c>
      <c r="G8" t="s">
        <v>259</v>
      </c>
      <c r="H8" t="s">
        <v>107</v>
      </c>
      <c r="I8" t="s">
        <v>31</v>
      </c>
      <c r="J8">
        <v>10.75</v>
      </c>
      <c r="K8" t="s">
        <v>37</v>
      </c>
      <c r="L8" t="s">
        <v>108</v>
      </c>
      <c r="M8">
        <v>1</v>
      </c>
      <c r="N8" t="s">
        <v>35</v>
      </c>
      <c r="O8" t="s">
        <v>37</v>
      </c>
      <c r="P8" t="s">
        <v>223</v>
      </c>
      <c r="Q8" t="s">
        <v>224</v>
      </c>
      <c r="R8" t="s">
        <v>32</v>
      </c>
      <c r="S8">
        <v>1</v>
      </c>
      <c r="T8">
        <v>-175.97966767038056</v>
      </c>
      <c r="U8">
        <v>12.195489</v>
      </c>
      <c r="V8">
        <v>10</v>
      </c>
      <c r="W8">
        <v>52260000</v>
      </c>
      <c r="X8" t="s">
        <v>225</v>
      </c>
      <c r="Y8" t="s">
        <v>226</v>
      </c>
      <c r="Z8" t="s">
        <v>139</v>
      </c>
      <c r="AA8" t="s">
        <v>227</v>
      </c>
      <c r="AB8" t="s">
        <v>228</v>
      </c>
      <c r="AC8" t="s">
        <v>229</v>
      </c>
      <c r="AD8" t="s">
        <v>260</v>
      </c>
      <c r="AE8" t="s">
        <v>36</v>
      </c>
      <c r="AF8">
        <v>450000000</v>
      </c>
      <c r="AG8">
        <v>450000000</v>
      </c>
      <c r="AH8" t="s">
        <v>100</v>
      </c>
      <c r="AI8" t="s">
        <v>32</v>
      </c>
      <c r="AJ8" t="s">
        <v>40</v>
      </c>
      <c r="AK8" t="s">
        <v>231</v>
      </c>
    </row>
    <row r="9" spans="2:37" x14ac:dyDescent="0.25">
      <c r="B9" t="s">
        <v>148</v>
      </c>
      <c r="C9" t="s">
        <v>232</v>
      </c>
      <c r="D9" t="s">
        <v>261</v>
      </c>
      <c r="E9" t="s">
        <v>262</v>
      </c>
      <c r="F9" t="s">
        <v>116</v>
      </c>
      <c r="G9" t="s">
        <v>263</v>
      </c>
      <c r="H9" t="s">
        <v>107</v>
      </c>
      <c r="I9" t="s">
        <v>127</v>
      </c>
      <c r="J9">
        <v>0</v>
      </c>
      <c r="K9" t="s">
        <v>37</v>
      </c>
      <c r="L9" t="s">
        <v>108</v>
      </c>
      <c r="M9">
        <v>1</v>
      </c>
      <c r="N9" t="s">
        <v>35</v>
      </c>
      <c r="O9" t="s">
        <v>37</v>
      </c>
      <c r="P9" t="s">
        <v>223</v>
      </c>
      <c r="Q9" t="s">
        <v>224</v>
      </c>
      <c r="R9" t="s">
        <v>32</v>
      </c>
      <c r="S9" t="s">
        <v>37</v>
      </c>
      <c r="T9">
        <v>-209.57119082744899</v>
      </c>
      <c r="U9">
        <v>11.922488</v>
      </c>
      <c r="V9">
        <v>0</v>
      </c>
      <c r="W9" t="s">
        <v>32</v>
      </c>
      <c r="X9" t="s">
        <v>225</v>
      </c>
      <c r="Y9" t="s">
        <v>226</v>
      </c>
      <c r="Z9" t="s">
        <v>139</v>
      </c>
      <c r="AA9" t="s">
        <v>227</v>
      </c>
      <c r="AB9" t="s">
        <v>228</v>
      </c>
      <c r="AC9" t="s">
        <v>229</v>
      </c>
      <c r="AD9" t="s">
        <v>37</v>
      </c>
      <c r="AE9" t="s">
        <v>36</v>
      </c>
      <c r="AF9">
        <v>1000000000</v>
      </c>
      <c r="AG9">
        <v>1000000000</v>
      </c>
      <c r="AH9" t="s">
        <v>100</v>
      </c>
      <c r="AI9" t="s">
        <v>32</v>
      </c>
      <c r="AJ9" t="s">
        <v>40</v>
      </c>
      <c r="AK9" t="s">
        <v>231</v>
      </c>
    </row>
    <row r="10" spans="2:37" x14ac:dyDescent="0.25">
      <c r="B10" t="s">
        <v>149</v>
      </c>
      <c r="C10" t="s">
        <v>264</v>
      </c>
      <c r="D10" t="s">
        <v>265</v>
      </c>
      <c r="E10" t="s">
        <v>266</v>
      </c>
      <c r="F10" t="s">
        <v>267</v>
      </c>
      <c r="G10" t="s">
        <v>90</v>
      </c>
      <c r="H10" t="s">
        <v>107</v>
      </c>
      <c r="I10" t="s">
        <v>31</v>
      </c>
      <c r="J10">
        <v>6</v>
      </c>
      <c r="K10" t="s">
        <v>37</v>
      </c>
      <c r="L10" t="s">
        <v>108</v>
      </c>
      <c r="M10">
        <v>1</v>
      </c>
      <c r="N10" t="s">
        <v>35</v>
      </c>
      <c r="O10" t="s">
        <v>37</v>
      </c>
      <c r="P10" t="s">
        <v>32</v>
      </c>
      <c r="Q10" t="s">
        <v>224</v>
      </c>
      <c r="R10" t="s">
        <v>223</v>
      </c>
      <c r="S10">
        <v>1</v>
      </c>
      <c r="T10">
        <v>-92.033125356761758</v>
      </c>
      <c r="U10">
        <v>13.693168999999999</v>
      </c>
      <c r="V10">
        <v>0</v>
      </c>
      <c r="W10" t="s">
        <v>32</v>
      </c>
      <c r="X10" t="s">
        <v>268</v>
      </c>
      <c r="Y10" t="s">
        <v>226</v>
      </c>
      <c r="Z10" t="s">
        <v>139</v>
      </c>
      <c r="AA10" t="s">
        <v>227</v>
      </c>
      <c r="AB10" t="s">
        <v>269</v>
      </c>
      <c r="AC10" t="s">
        <v>229</v>
      </c>
      <c r="AD10" t="s">
        <v>270</v>
      </c>
      <c r="AE10" t="s">
        <v>36</v>
      </c>
      <c r="AF10">
        <v>400000000</v>
      </c>
      <c r="AG10">
        <v>400000000</v>
      </c>
      <c r="AH10" t="s">
        <v>100</v>
      </c>
      <c r="AI10" t="s">
        <v>32</v>
      </c>
      <c r="AJ10" t="s">
        <v>271</v>
      </c>
      <c r="AK10" t="s">
        <v>272</v>
      </c>
    </row>
    <row r="11" spans="2:37" x14ac:dyDescent="0.25">
      <c r="B11" t="s">
        <v>150</v>
      </c>
      <c r="C11" t="s">
        <v>251</v>
      </c>
      <c r="D11" t="s">
        <v>273</v>
      </c>
      <c r="E11" t="s">
        <v>274</v>
      </c>
      <c r="F11" t="s">
        <v>47</v>
      </c>
      <c r="G11" t="s">
        <v>275</v>
      </c>
      <c r="H11" t="s">
        <v>107</v>
      </c>
      <c r="I11" t="s">
        <v>31</v>
      </c>
      <c r="J11">
        <v>8</v>
      </c>
      <c r="K11" t="s">
        <v>37</v>
      </c>
      <c r="L11" t="s">
        <v>108</v>
      </c>
      <c r="M11">
        <v>1</v>
      </c>
      <c r="N11" t="s">
        <v>35</v>
      </c>
      <c r="O11" t="s">
        <v>37</v>
      </c>
      <c r="P11" t="s">
        <v>223</v>
      </c>
      <c r="Q11" t="s">
        <v>224</v>
      </c>
      <c r="R11" t="s">
        <v>223</v>
      </c>
      <c r="S11">
        <v>1</v>
      </c>
      <c r="T11">
        <v>-118.21483937410432</v>
      </c>
      <c r="U11">
        <v>13.078371000000001</v>
      </c>
      <c r="V11">
        <v>109</v>
      </c>
      <c r="W11">
        <v>5145000</v>
      </c>
      <c r="X11" t="s">
        <v>254</v>
      </c>
      <c r="Y11" t="s">
        <v>226</v>
      </c>
      <c r="Z11" t="s">
        <v>139</v>
      </c>
      <c r="AA11" t="s">
        <v>227</v>
      </c>
      <c r="AB11" t="s">
        <v>228</v>
      </c>
      <c r="AC11" t="s">
        <v>229</v>
      </c>
      <c r="AD11" t="s">
        <v>66</v>
      </c>
      <c r="AE11" t="s">
        <v>36</v>
      </c>
      <c r="AF11">
        <v>325000000</v>
      </c>
      <c r="AG11">
        <v>325000000</v>
      </c>
      <c r="AH11" t="s">
        <v>100</v>
      </c>
      <c r="AI11" t="s">
        <v>32</v>
      </c>
      <c r="AJ11" t="s">
        <v>255</v>
      </c>
      <c r="AK11" t="s">
        <v>256</v>
      </c>
    </row>
    <row r="12" spans="2:37" x14ac:dyDescent="0.25">
      <c r="B12" t="s">
        <v>151</v>
      </c>
      <c r="C12" t="s">
        <v>251</v>
      </c>
      <c r="D12" t="s">
        <v>276</v>
      </c>
      <c r="E12" t="s">
        <v>277</v>
      </c>
      <c r="F12" t="s">
        <v>278</v>
      </c>
      <c r="G12" t="s">
        <v>279</v>
      </c>
      <c r="H12" t="s">
        <v>107</v>
      </c>
      <c r="I12" t="s">
        <v>31</v>
      </c>
      <c r="J12">
        <v>4.75</v>
      </c>
      <c r="K12" t="s">
        <v>37</v>
      </c>
      <c r="L12" t="s">
        <v>108</v>
      </c>
      <c r="M12">
        <v>1</v>
      </c>
      <c r="N12" t="s">
        <v>35</v>
      </c>
      <c r="O12" t="s">
        <v>37</v>
      </c>
      <c r="P12" t="s">
        <v>223</v>
      </c>
      <c r="Q12" t="s">
        <v>224</v>
      </c>
      <c r="R12" t="s">
        <v>223</v>
      </c>
      <c r="S12">
        <v>1</v>
      </c>
      <c r="T12">
        <v>-142.92987483564286</v>
      </c>
      <c r="U12">
        <v>13.184201</v>
      </c>
      <c r="V12">
        <v>181</v>
      </c>
      <c r="W12">
        <v>19375000</v>
      </c>
      <c r="X12" t="s">
        <v>254</v>
      </c>
      <c r="Y12" t="s">
        <v>226</v>
      </c>
      <c r="Z12" t="s">
        <v>139</v>
      </c>
      <c r="AA12" t="s">
        <v>227</v>
      </c>
      <c r="AB12" t="s">
        <v>228</v>
      </c>
      <c r="AC12" t="s">
        <v>229</v>
      </c>
      <c r="AD12" t="s">
        <v>50</v>
      </c>
      <c r="AE12" t="s">
        <v>36</v>
      </c>
      <c r="AF12">
        <v>865000000</v>
      </c>
      <c r="AG12">
        <v>865000000</v>
      </c>
      <c r="AH12" t="s">
        <v>100</v>
      </c>
      <c r="AI12" t="s">
        <v>32</v>
      </c>
      <c r="AJ12" t="s">
        <v>255</v>
      </c>
      <c r="AK12" t="s">
        <v>256</v>
      </c>
    </row>
    <row r="13" spans="2:37" x14ac:dyDescent="0.25">
      <c r="B13" t="s">
        <v>152</v>
      </c>
      <c r="C13" t="s">
        <v>280</v>
      </c>
      <c r="D13" t="s">
        <v>281</v>
      </c>
      <c r="E13" t="s">
        <v>282</v>
      </c>
      <c r="F13" t="s">
        <v>57</v>
      </c>
      <c r="G13" t="s">
        <v>283</v>
      </c>
      <c r="H13" t="s">
        <v>107</v>
      </c>
      <c r="I13" t="s">
        <v>127</v>
      </c>
      <c r="J13">
        <v>0</v>
      </c>
      <c r="K13" t="s">
        <v>37</v>
      </c>
      <c r="L13" t="s">
        <v>108</v>
      </c>
      <c r="M13">
        <v>1</v>
      </c>
      <c r="N13" t="s">
        <v>35</v>
      </c>
      <c r="O13" t="s">
        <v>37</v>
      </c>
      <c r="P13" t="s">
        <v>223</v>
      </c>
      <c r="Q13" t="s">
        <v>224</v>
      </c>
      <c r="R13" t="s">
        <v>223</v>
      </c>
      <c r="S13" t="s">
        <v>37</v>
      </c>
      <c r="T13">
        <v>-233.44515416898304</v>
      </c>
      <c r="U13">
        <v>11.683748</v>
      </c>
      <c r="V13">
        <v>0</v>
      </c>
      <c r="W13" t="s">
        <v>32</v>
      </c>
      <c r="X13" t="s">
        <v>284</v>
      </c>
      <c r="Y13" t="s">
        <v>226</v>
      </c>
      <c r="Z13" t="s">
        <v>139</v>
      </c>
      <c r="AA13" t="s">
        <v>227</v>
      </c>
      <c r="AB13" t="s">
        <v>285</v>
      </c>
      <c r="AC13" t="s">
        <v>229</v>
      </c>
      <c r="AD13" t="s">
        <v>37</v>
      </c>
      <c r="AE13" t="s">
        <v>36</v>
      </c>
      <c r="AF13">
        <v>1025000000</v>
      </c>
      <c r="AG13">
        <v>1025000000</v>
      </c>
      <c r="AH13" t="s">
        <v>100</v>
      </c>
      <c r="AI13" t="s">
        <v>32</v>
      </c>
      <c r="AJ13" t="s">
        <v>286</v>
      </c>
      <c r="AK13" t="s">
        <v>287</v>
      </c>
    </row>
    <row r="14" spans="2:37" x14ac:dyDescent="0.25">
      <c r="B14" t="s">
        <v>153</v>
      </c>
      <c r="C14" t="s">
        <v>251</v>
      </c>
      <c r="D14" t="s">
        <v>288</v>
      </c>
      <c r="E14" t="s">
        <v>289</v>
      </c>
      <c r="F14" t="s">
        <v>79</v>
      </c>
      <c r="G14" t="s">
        <v>290</v>
      </c>
      <c r="H14" t="s">
        <v>107</v>
      </c>
      <c r="I14" t="s">
        <v>127</v>
      </c>
      <c r="J14">
        <v>0</v>
      </c>
      <c r="K14" t="s">
        <v>37</v>
      </c>
      <c r="L14" t="s">
        <v>108</v>
      </c>
      <c r="M14">
        <v>1</v>
      </c>
      <c r="N14" t="s">
        <v>35</v>
      </c>
      <c r="O14" t="s">
        <v>37</v>
      </c>
      <c r="P14" t="s">
        <v>223</v>
      </c>
      <c r="Q14" t="s">
        <v>224</v>
      </c>
      <c r="R14" t="s">
        <v>223</v>
      </c>
      <c r="S14" t="s">
        <v>37</v>
      </c>
      <c r="T14">
        <v>-208.64892976746549</v>
      </c>
      <c r="U14">
        <v>11.931711</v>
      </c>
      <c r="V14">
        <v>0</v>
      </c>
      <c r="W14" t="s">
        <v>32</v>
      </c>
      <c r="X14" t="s">
        <v>254</v>
      </c>
      <c r="Y14" t="s">
        <v>226</v>
      </c>
      <c r="Z14" t="s">
        <v>139</v>
      </c>
      <c r="AA14" t="s">
        <v>227</v>
      </c>
      <c r="AB14" t="s">
        <v>228</v>
      </c>
      <c r="AC14" t="s">
        <v>229</v>
      </c>
      <c r="AD14" t="s">
        <v>37</v>
      </c>
      <c r="AE14" t="s">
        <v>36</v>
      </c>
      <c r="AF14">
        <v>1800000000</v>
      </c>
      <c r="AG14">
        <v>1800000000</v>
      </c>
      <c r="AH14" t="s">
        <v>100</v>
      </c>
      <c r="AI14" t="s">
        <v>32</v>
      </c>
      <c r="AJ14" t="s">
        <v>255</v>
      </c>
      <c r="AK14" t="s">
        <v>256</v>
      </c>
    </row>
    <row r="15" spans="2:37" x14ac:dyDescent="0.25">
      <c r="B15" t="s">
        <v>155</v>
      </c>
      <c r="C15" t="s">
        <v>219</v>
      </c>
      <c r="D15" t="s">
        <v>291</v>
      </c>
      <c r="E15" t="s">
        <v>292</v>
      </c>
      <c r="F15" t="s">
        <v>43</v>
      </c>
      <c r="G15" t="s">
        <v>293</v>
      </c>
      <c r="H15" t="s">
        <v>107</v>
      </c>
      <c r="I15" t="s">
        <v>31</v>
      </c>
      <c r="J15">
        <v>5.75</v>
      </c>
      <c r="K15" t="s">
        <v>37</v>
      </c>
      <c r="L15" t="s">
        <v>108</v>
      </c>
      <c r="M15">
        <v>1</v>
      </c>
      <c r="N15" t="s">
        <v>35</v>
      </c>
      <c r="O15" t="s">
        <v>37</v>
      </c>
      <c r="P15" t="s">
        <v>32</v>
      </c>
      <c r="Q15" t="s">
        <v>224</v>
      </c>
      <c r="R15" t="s">
        <v>32</v>
      </c>
      <c r="S15">
        <v>1</v>
      </c>
      <c r="T15">
        <v>-119.51142399150854</v>
      </c>
      <c r="U15">
        <v>12.403931999999999</v>
      </c>
      <c r="V15">
        <v>4</v>
      </c>
      <c r="W15">
        <v>4280000</v>
      </c>
      <c r="X15" t="s">
        <v>225</v>
      </c>
      <c r="Y15" t="s">
        <v>226</v>
      </c>
      <c r="Z15" t="s">
        <v>139</v>
      </c>
      <c r="AA15" t="s">
        <v>227</v>
      </c>
      <c r="AB15" t="s">
        <v>228</v>
      </c>
      <c r="AC15" t="s">
        <v>229</v>
      </c>
      <c r="AD15" t="s">
        <v>294</v>
      </c>
      <c r="AE15" t="s">
        <v>36</v>
      </c>
      <c r="AF15">
        <v>600000000</v>
      </c>
      <c r="AG15">
        <v>600000000</v>
      </c>
      <c r="AH15" t="s">
        <v>100</v>
      </c>
      <c r="AI15" t="s">
        <v>32</v>
      </c>
      <c r="AJ15" t="s">
        <v>40</v>
      </c>
      <c r="AK15" t="s">
        <v>231</v>
      </c>
    </row>
    <row r="16" spans="2:37" x14ac:dyDescent="0.25">
      <c r="B16" t="s">
        <v>154</v>
      </c>
      <c r="C16" t="s">
        <v>219</v>
      </c>
      <c r="D16" t="s">
        <v>295</v>
      </c>
      <c r="E16" t="s">
        <v>296</v>
      </c>
      <c r="F16" t="s">
        <v>62</v>
      </c>
      <c r="G16" t="s">
        <v>297</v>
      </c>
      <c r="H16" t="s">
        <v>107</v>
      </c>
      <c r="I16" t="s">
        <v>127</v>
      </c>
      <c r="J16">
        <v>0</v>
      </c>
      <c r="K16" t="s">
        <v>37</v>
      </c>
      <c r="L16" t="s">
        <v>108</v>
      </c>
      <c r="M16">
        <v>1</v>
      </c>
      <c r="N16" t="s">
        <v>35</v>
      </c>
      <c r="O16" t="s">
        <v>37</v>
      </c>
      <c r="P16" t="s">
        <v>223</v>
      </c>
      <c r="Q16" t="s">
        <v>224</v>
      </c>
      <c r="R16" t="s">
        <v>32</v>
      </c>
      <c r="S16" t="s">
        <v>37</v>
      </c>
      <c r="T16">
        <v>-221.59748741383609</v>
      </c>
      <c r="U16">
        <v>11.802225</v>
      </c>
      <c r="V16">
        <v>14</v>
      </c>
      <c r="W16">
        <v>1209800000</v>
      </c>
      <c r="X16" t="s">
        <v>225</v>
      </c>
      <c r="Y16" t="s">
        <v>226</v>
      </c>
      <c r="Z16" t="s">
        <v>139</v>
      </c>
      <c r="AA16" t="s">
        <v>227</v>
      </c>
      <c r="AB16" t="s">
        <v>228</v>
      </c>
      <c r="AC16" t="s">
        <v>229</v>
      </c>
      <c r="AD16" t="s">
        <v>37</v>
      </c>
      <c r="AE16" t="s">
        <v>36</v>
      </c>
      <c r="AF16">
        <v>1300000000</v>
      </c>
      <c r="AG16">
        <v>1300000000</v>
      </c>
      <c r="AH16" t="s">
        <v>100</v>
      </c>
      <c r="AI16" t="s">
        <v>32</v>
      </c>
      <c r="AJ16" t="s">
        <v>40</v>
      </c>
      <c r="AK16" t="s">
        <v>231</v>
      </c>
    </row>
    <row r="17" spans="2:37" x14ac:dyDescent="0.25">
      <c r="B17" t="s">
        <v>156</v>
      </c>
      <c r="C17" t="s">
        <v>244</v>
      </c>
      <c r="D17" t="s">
        <v>298</v>
      </c>
      <c r="E17" t="s">
        <v>299</v>
      </c>
      <c r="F17" t="s">
        <v>60</v>
      </c>
      <c r="G17" t="s">
        <v>300</v>
      </c>
      <c r="H17" t="s">
        <v>107</v>
      </c>
      <c r="I17" t="s">
        <v>127</v>
      </c>
      <c r="J17">
        <v>0</v>
      </c>
      <c r="K17" t="s">
        <v>37</v>
      </c>
      <c r="L17" t="s">
        <v>108</v>
      </c>
      <c r="M17">
        <v>1</v>
      </c>
      <c r="N17" t="s">
        <v>35</v>
      </c>
      <c r="O17" t="s">
        <v>37</v>
      </c>
      <c r="P17" t="s">
        <v>223</v>
      </c>
      <c r="Q17" t="s">
        <v>32</v>
      </c>
      <c r="R17" t="s">
        <v>223</v>
      </c>
      <c r="S17" t="s">
        <v>37</v>
      </c>
      <c r="T17">
        <v>-103.5506023028498</v>
      </c>
      <c r="U17">
        <v>12.601787999999999</v>
      </c>
      <c r="V17">
        <v>3</v>
      </c>
      <c r="W17">
        <v>3780000</v>
      </c>
      <c r="X17" t="s">
        <v>249</v>
      </c>
      <c r="Y17" t="s">
        <v>226</v>
      </c>
      <c r="Z17" t="s">
        <v>139</v>
      </c>
      <c r="AA17" t="s">
        <v>227</v>
      </c>
      <c r="AB17" t="s">
        <v>228</v>
      </c>
      <c r="AC17" t="s">
        <v>229</v>
      </c>
      <c r="AD17" t="s">
        <v>37</v>
      </c>
      <c r="AE17" t="s">
        <v>36</v>
      </c>
      <c r="AF17">
        <v>325000000</v>
      </c>
      <c r="AG17">
        <v>325000000</v>
      </c>
      <c r="AH17" t="s">
        <v>100</v>
      </c>
      <c r="AI17" t="s">
        <v>32</v>
      </c>
      <c r="AJ17" t="s">
        <v>113</v>
      </c>
      <c r="AK17" t="s">
        <v>250</v>
      </c>
    </row>
    <row r="18" spans="2:37" x14ac:dyDescent="0.25">
      <c r="B18" t="s">
        <v>157</v>
      </c>
      <c r="C18" t="s">
        <v>232</v>
      </c>
      <c r="D18" t="s">
        <v>301</v>
      </c>
      <c r="E18" t="s">
        <v>302</v>
      </c>
      <c r="F18" t="s">
        <v>303</v>
      </c>
      <c r="G18" t="s">
        <v>304</v>
      </c>
      <c r="H18" t="s">
        <v>107</v>
      </c>
      <c r="I18" t="s">
        <v>127</v>
      </c>
      <c r="J18">
        <v>0</v>
      </c>
      <c r="K18" t="s">
        <v>37</v>
      </c>
      <c r="L18" t="s">
        <v>108</v>
      </c>
      <c r="M18">
        <v>1</v>
      </c>
      <c r="N18" t="s">
        <v>35</v>
      </c>
      <c r="O18" t="s">
        <v>37</v>
      </c>
      <c r="P18" t="s">
        <v>223</v>
      </c>
      <c r="Q18" t="s">
        <v>224</v>
      </c>
      <c r="R18" t="s">
        <v>32</v>
      </c>
      <c r="S18" t="s">
        <v>37</v>
      </c>
      <c r="T18">
        <v>-162.999642146241</v>
      </c>
      <c r="U18">
        <v>12.232851</v>
      </c>
      <c r="V18">
        <v>0</v>
      </c>
      <c r="W18" t="s">
        <v>32</v>
      </c>
      <c r="X18" t="s">
        <v>225</v>
      </c>
      <c r="Y18" t="s">
        <v>226</v>
      </c>
      <c r="Z18" t="s">
        <v>139</v>
      </c>
      <c r="AA18" t="s">
        <v>227</v>
      </c>
      <c r="AB18" t="s">
        <v>228</v>
      </c>
      <c r="AC18" t="s">
        <v>229</v>
      </c>
      <c r="AD18" t="s">
        <v>37</v>
      </c>
      <c r="AE18" t="s">
        <v>36</v>
      </c>
      <c r="AF18">
        <v>500000000</v>
      </c>
      <c r="AG18">
        <v>500000000</v>
      </c>
      <c r="AH18" t="s">
        <v>100</v>
      </c>
      <c r="AI18" t="s">
        <v>32</v>
      </c>
      <c r="AJ18" t="s">
        <v>40</v>
      </c>
      <c r="AK18" t="s">
        <v>231</v>
      </c>
    </row>
    <row r="19" spans="2:37" x14ac:dyDescent="0.25">
      <c r="B19" t="s">
        <v>158</v>
      </c>
      <c r="C19" t="s">
        <v>219</v>
      </c>
      <c r="D19" t="s">
        <v>305</v>
      </c>
      <c r="E19" t="s">
        <v>306</v>
      </c>
      <c r="F19" t="s">
        <v>307</v>
      </c>
      <c r="G19" t="s">
        <v>308</v>
      </c>
      <c r="H19" t="s">
        <v>107</v>
      </c>
      <c r="I19" t="s">
        <v>31</v>
      </c>
      <c r="J19">
        <v>12.5</v>
      </c>
      <c r="K19" t="s">
        <v>37</v>
      </c>
      <c r="L19" t="s">
        <v>108</v>
      </c>
      <c r="M19">
        <v>1</v>
      </c>
      <c r="N19" t="s">
        <v>35</v>
      </c>
      <c r="O19" t="s">
        <v>37</v>
      </c>
      <c r="P19" t="s">
        <v>223</v>
      </c>
      <c r="Q19" t="s">
        <v>224</v>
      </c>
      <c r="R19" t="s">
        <v>32</v>
      </c>
      <c r="S19">
        <v>1</v>
      </c>
      <c r="T19">
        <v>-139.70248371542854</v>
      </c>
      <c r="U19">
        <v>12.402174</v>
      </c>
      <c r="V19">
        <v>3</v>
      </c>
      <c r="W19">
        <v>5010000</v>
      </c>
      <c r="X19" t="s">
        <v>225</v>
      </c>
      <c r="Y19" t="s">
        <v>226</v>
      </c>
      <c r="Z19" t="s">
        <v>139</v>
      </c>
      <c r="AA19" t="s">
        <v>227</v>
      </c>
      <c r="AB19" t="s">
        <v>228</v>
      </c>
      <c r="AC19" t="s">
        <v>229</v>
      </c>
      <c r="AD19" t="s">
        <v>309</v>
      </c>
      <c r="AE19" t="s">
        <v>36</v>
      </c>
      <c r="AF19">
        <v>200000000</v>
      </c>
      <c r="AG19">
        <v>200000000</v>
      </c>
      <c r="AH19" t="s">
        <v>100</v>
      </c>
      <c r="AI19" t="s">
        <v>32</v>
      </c>
      <c r="AJ19" t="s">
        <v>40</v>
      </c>
      <c r="AK19" t="s">
        <v>231</v>
      </c>
    </row>
    <row r="20" spans="2:37" x14ac:dyDescent="0.25">
      <c r="B20" t="s">
        <v>159</v>
      </c>
      <c r="C20" t="s">
        <v>264</v>
      </c>
      <c r="D20" t="s">
        <v>310</v>
      </c>
      <c r="E20" t="s">
        <v>311</v>
      </c>
      <c r="F20" t="s">
        <v>133</v>
      </c>
      <c r="G20" t="s">
        <v>312</v>
      </c>
      <c r="H20" t="s">
        <v>107</v>
      </c>
      <c r="I20" t="s">
        <v>31</v>
      </c>
      <c r="J20">
        <v>11.5</v>
      </c>
      <c r="K20" t="s">
        <v>37</v>
      </c>
      <c r="L20" t="s">
        <v>108</v>
      </c>
      <c r="M20">
        <v>1</v>
      </c>
      <c r="N20" t="s">
        <v>35</v>
      </c>
      <c r="O20" t="s">
        <v>37</v>
      </c>
      <c r="P20" t="s">
        <v>223</v>
      </c>
      <c r="Q20" t="s">
        <v>224</v>
      </c>
      <c r="R20" t="s">
        <v>32</v>
      </c>
      <c r="S20">
        <v>1</v>
      </c>
      <c r="T20">
        <v>-150.19796293402604</v>
      </c>
      <c r="U20">
        <v>12.425910999999999</v>
      </c>
      <c r="V20">
        <v>0</v>
      </c>
      <c r="W20" t="s">
        <v>32</v>
      </c>
      <c r="X20" t="s">
        <v>268</v>
      </c>
      <c r="Y20" t="s">
        <v>226</v>
      </c>
      <c r="Z20" t="s">
        <v>139</v>
      </c>
      <c r="AA20" t="s">
        <v>227</v>
      </c>
      <c r="AB20" t="s">
        <v>228</v>
      </c>
      <c r="AC20" t="s">
        <v>229</v>
      </c>
      <c r="AD20" t="s">
        <v>313</v>
      </c>
      <c r="AE20" t="s">
        <v>36</v>
      </c>
      <c r="AF20">
        <v>100000000</v>
      </c>
      <c r="AG20">
        <v>100000000</v>
      </c>
      <c r="AH20" t="s">
        <v>100</v>
      </c>
      <c r="AI20" t="s">
        <v>32</v>
      </c>
      <c r="AJ20" t="s">
        <v>271</v>
      </c>
      <c r="AK20" t="s">
        <v>272</v>
      </c>
    </row>
    <row r="21" spans="2:37" x14ac:dyDescent="0.25">
      <c r="B21" t="s">
        <v>160</v>
      </c>
      <c r="C21" t="s">
        <v>232</v>
      </c>
      <c r="D21" t="s">
        <v>314</v>
      </c>
      <c r="E21" t="s">
        <v>315</v>
      </c>
      <c r="F21" t="s">
        <v>80</v>
      </c>
      <c r="G21" t="s">
        <v>316</v>
      </c>
      <c r="H21" t="s">
        <v>107</v>
      </c>
      <c r="I21" t="s">
        <v>31</v>
      </c>
      <c r="J21">
        <v>12.75</v>
      </c>
      <c r="K21" t="s">
        <v>37</v>
      </c>
      <c r="L21" t="s">
        <v>108</v>
      </c>
      <c r="M21">
        <v>1</v>
      </c>
      <c r="N21" t="s">
        <v>35</v>
      </c>
      <c r="O21" t="s">
        <v>37</v>
      </c>
      <c r="P21" t="s">
        <v>223</v>
      </c>
      <c r="Q21" t="s">
        <v>224</v>
      </c>
      <c r="R21" t="s">
        <v>32</v>
      </c>
      <c r="S21">
        <v>1</v>
      </c>
      <c r="T21">
        <v>-125.39367226783398</v>
      </c>
      <c r="U21">
        <v>12.507884000000001</v>
      </c>
      <c r="V21" t="s">
        <v>32</v>
      </c>
      <c r="W21" t="s">
        <v>32</v>
      </c>
      <c r="X21" t="s">
        <v>225</v>
      </c>
      <c r="Y21" t="s">
        <v>226</v>
      </c>
      <c r="Z21" t="s">
        <v>139</v>
      </c>
      <c r="AA21" t="s">
        <v>227</v>
      </c>
      <c r="AB21" t="s">
        <v>228</v>
      </c>
      <c r="AC21" t="s">
        <v>229</v>
      </c>
      <c r="AD21" t="s">
        <v>317</v>
      </c>
      <c r="AE21" t="s">
        <v>36</v>
      </c>
      <c r="AF21">
        <v>600000000</v>
      </c>
      <c r="AG21">
        <v>600000000</v>
      </c>
      <c r="AH21" t="s">
        <v>100</v>
      </c>
      <c r="AI21" t="s">
        <v>32</v>
      </c>
      <c r="AJ21" t="s">
        <v>40</v>
      </c>
      <c r="AK21" t="s">
        <v>231</v>
      </c>
    </row>
    <row r="22" spans="2:37" x14ac:dyDescent="0.25">
      <c r="B22" t="s">
        <v>161</v>
      </c>
      <c r="C22" t="s">
        <v>219</v>
      </c>
      <c r="D22" t="s">
        <v>318</v>
      </c>
      <c r="E22" t="s">
        <v>319</v>
      </c>
      <c r="F22" t="s">
        <v>320</v>
      </c>
      <c r="G22" t="s">
        <v>321</v>
      </c>
      <c r="H22" t="s">
        <v>107</v>
      </c>
      <c r="I22" t="s">
        <v>31</v>
      </c>
      <c r="J22">
        <v>10</v>
      </c>
      <c r="K22" t="s">
        <v>37</v>
      </c>
      <c r="L22" t="s">
        <v>108</v>
      </c>
      <c r="M22">
        <v>1</v>
      </c>
      <c r="N22" t="s">
        <v>35</v>
      </c>
      <c r="O22" t="s">
        <v>37</v>
      </c>
      <c r="P22" t="s">
        <v>223</v>
      </c>
      <c r="Q22" t="s">
        <v>224</v>
      </c>
      <c r="R22" t="s">
        <v>32</v>
      </c>
      <c r="S22">
        <v>1</v>
      </c>
      <c r="T22">
        <v>-142.61454577525595</v>
      </c>
      <c r="U22">
        <v>12.347593</v>
      </c>
      <c r="V22">
        <v>0</v>
      </c>
      <c r="W22" t="s">
        <v>32</v>
      </c>
      <c r="X22" t="s">
        <v>225</v>
      </c>
      <c r="Y22" t="s">
        <v>226</v>
      </c>
      <c r="Z22" t="s">
        <v>139</v>
      </c>
      <c r="AA22" t="s">
        <v>227</v>
      </c>
      <c r="AB22" t="s">
        <v>228</v>
      </c>
      <c r="AC22" t="s">
        <v>229</v>
      </c>
      <c r="AD22" t="s">
        <v>85</v>
      </c>
      <c r="AE22" t="s">
        <v>36</v>
      </c>
      <c r="AF22">
        <v>650000000</v>
      </c>
      <c r="AG22">
        <v>650000000</v>
      </c>
      <c r="AH22" t="s">
        <v>100</v>
      </c>
      <c r="AI22" t="s">
        <v>32</v>
      </c>
      <c r="AJ22" t="s">
        <v>40</v>
      </c>
      <c r="AK22" t="s">
        <v>231</v>
      </c>
    </row>
    <row r="23" spans="2:37" x14ac:dyDescent="0.25">
      <c r="B23" t="s">
        <v>162</v>
      </c>
      <c r="C23" t="s">
        <v>219</v>
      </c>
      <c r="D23" t="s">
        <v>322</v>
      </c>
      <c r="E23" t="s">
        <v>323</v>
      </c>
      <c r="F23" t="s">
        <v>128</v>
      </c>
      <c r="G23" t="s">
        <v>324</v>
      </c>
      <c r="H23" t="s">
        <v>107</v>
      </c>
      <c r="I23" t="s">
        <v>127</v>
      </c>
      <c r="J23">
        <v>0</v>
      </c>
      <c r="K23" t="s">
        <v>37</v>
      </c>
      <c r="L23" t="s">
        <v>108</v>
      </c>
      <c r="M23">
        <v>1</v>
      </c>
      <c r="N23" t="s">
        <v>35</v>
      </c>
      <c r="O23" t="s">
        <v>37</v>
      </c>
      <c r="P23" t="s">
        <v>223</v>
      </c>
      <c r="Q23" t="s">
        <v>224</v>
      </c>
      <c r="R23" t="s">
        <v>32</v>
      </c>
      <c r="S23" t="s">
        <v>37</v>
      </c>
      <c r="T23">
        <v>-218.55515175061237</v>
      </c>
      <c r="U23">
        <v>11.832648000000001</v>
      </c>
      <c r="V23">
        <v>0</v>
      </c>
      <c r="W23" t="s">
        <v>32</v>
      </c>
      <c r="X23" t="s">
        <v>225</v>
      </c>
      <c r="Y23" t="s">
        <v>226</v>
      </c>
      <c r="Z23" t="s">
        <v>139</v>
      </c>
      <c r="AA23" t="s">
        <v>227</v>
      </c>
      <c r="AB23" t="s">
        <v>228</v>
      </c>
      <c r="AC23" t="s">
        <v>229</v>
      </c>
      <c r="AD23" t="s">
        <v>37</v>
      </c>
      <c r="AE23" t="s">
        <v>36</v>
      </c>
      <c r="AF23">
        <v>430000000</v>
      </c>
      <c r="AG23">
        <v>430000000</v>
      </c>
      <c r="AH23" t="s">
        <v>100</v>
      </c>
      <c r="AI23" t="s">
        <v>32</v>
      </c>
      <c r="AJ23" t="s">
        <v>40</v>
      </c>
      <c r="AK23" t="s">
        <v>231</v>
      </c>
    </row>
    <row r="24" spans="2:37" x14ac:dyDescent="0.25">
      <c r="B24" t="s">
        <v>163</v>
      </c>
      <c r="C24" t="s">
        <v>232</v>
      </c>
      <c r="D24" t="s">
        <v>325</v>
      </c>
      <c r="E24" t="s">
        <v>326</v>
      </c>
      <c r="F24" t="s">
        <v>327</v>
      </c>
      <c r="G24" t="s">
        <v>76</v>
      </c>
      <c r="H24" t="s">
        <v>107</v>
      </c>
      <c r="I24" t="s">
        <v>31</v>
      </c>
      <c r="J24">
        <v>6.5</v>
      </c>
      <c r="K24" t="s">
        <v>37</v>
      </c>
      <c r="L24" t="s">
        <v>108</v>
      </c>
      <c r="M24">
        <v>1</v>
      </c>
      <c r="N24" t="s">
        <v>35</v>
      </c>
      <c r="O24" t="s">
        <v>37</v>
      </c>
      <c r="P24" t="s">
        <v>223</v>
      </c>
      <c r="Q24" t="s">
        <v>224</v>
      </c>
      <c r="R24" t="s">
        <v>32</v>
      </c>
      <c r="S24">
        <v>1</v>
      </c>
      <c r="T24">
        <v>-119.60593093970253</v>
      </c>
      <c r="U24">
        <v>13.417441</v>
      </c>
      <c r="V24">
        <v>20</v>
      </c>
      <c r="W24">
        <v>2320000</v>
      </c>
      <c r="X24" t="s">
        <v>225</v>
      </c>
      <c r="Y24" t="s">
        <v>226</v>
      </c>
      <c r="Z24" t="s">
        <v>139</v>
      </c>
      <c r="AA24" t="s">
        <v>227</v>
      </c>
      <c r="AB24" t="s">
        <v>228</v>
      </c>
      <c r="AC24" t="s">
        <v>229</v>
      </c>
      <c r="AD24" t="s">
        <v>137</v>
      </c>
      <c r="AE24" t="s">
        <v>36</v>
      </c>
      <c r="AF24">
        <v>350000000</v>
      </c>
      <c r="AG24">
        <v>350000000</v>
      </c>
      <c r="AH24" t="s">
        <v>100</v>
      </c>
      <c r="AI24" t="s">
        <v>32</v>
      </c>
      <c r="AJ24" t="s">
        <v>40</v>
      </c>
      <c r="AK24" t="s">
        <v>231</v>
      </c>
    </row>
    <row r="25" spans="2:37" x14ac:dyDescent="0.25">
      <c r="B25" t="s">
        <v>164</v>
      </c>
      <c r="C25" t="s">
        <v>219</v>
      </c>
      <c r="D25" t="s">
        <v>328</v>
      </c>
      <c r="E25" t="s">
        <v>329</v>
      </c>
      <c r="F25" t="s">
        <v>330</v>
      </c>
      <c r="G25" t="s">
        <v>75</v>
      </c>
      <c r="H25" t="s">
        <v>107</v>
      </c>
      <c r="I25" t="s">
        <v>127</v>
      </c>
      <c r="J25">
        <v>0</v>
      </c>
      <c r="K25" t="s">
        <v>37</v>
      </c>
      <c r="L25" t="s">
        <v>108</v>
      </c>
      <c r="M25">
        <v>1</v>
      </c>
      <c r="N25" t="s">
        <v>35</v>
      </c>
      <c r="O25" t="s">
        <v>37</v>
      </c>
      <c r="P25" t="s">
        <v>32</v>
      </c>
      <c r="Q25" t="s">
        <v>32</v>
      </c>
      <c r="R25" t="s">
        <v>32</v>
      </c>
      <c r="S25" t="s">
        <v>37</v>
      </c>
      <c r="T25">
        <v>-191.79042633025995</v>
      </c>
      <c r="U25">
        <v>12.695596</v>
      </c>
      <c r="V25">
        <v>0</v>
      </c>
      <c r="W25" t="s">
        <v>32</v>
      </c>
      <c r="X25" t="s">
        <v>225</v>
      </c>
      <c r="Y25" t="s">
        <v>226</v>
      </c>
      <c r="Z25" t="s">
        <v>139</v>
      </c>
      <c r="AA25" t="s">
        <v>227</v>
      </c>
      <c r="AB25" t="s">
        <v>228</v>
      </c>
      <c r="AC25" t="s">
        <v>229</v>
      </c>
      <c r="AD25" t="s">
        <v>37</v>
      </c>
      <c r="AE25" t="s">
        <v>36</v>
      </c>
      <c r="AF25">
        <v>395000000</v>
      </c>
      <c r="AG25">
        <v>395000000</v>
      </c>
      <c r="AH25" t="s">
        <v>100</v>
      </c>
      <c r="AI25" t="s">
        <v>32</v>
      </c>
      <c r="AJ25" t="s">
        <v>40</v>
      </c>
      <c r="AK25" t="s">
        <v>231</v>
      </c>
    </row>
    <row r="26" spans="2:37" x14ac:dyDescent="0.25">
      <c r="B26" t="s">
        <v>166</v>
      </c>
      <c r="C26" t="s">
        <v>232</v>
      </c>
      <c r="D26" t="s">
        <v>331</v>
      </c>
      <c r="E26" t="s">
        <v>332</v>
      </c>
      <c r="F26" t="s">
        <v>333</v>
      </c>
      <c r="G26" t="s">
        <v>334</v>
      </c>
      <c r="H26" t="s">
        <v>107</v>
      </c>
      <c r="I26" t="s">
        <v>127</v>
      </c>
      <c r="J26">
        <v>0</v>
      </c>
      <c r="K26" t="s">
        <v>37</v>
      </c>
      <c r="L26" t="s">
        <v>108</v>
      </c>
      <c r="M26">
        <v>1</v>
      </c>
      <c r="N26" t="s">
        <v>35</v>
      </c>
      <c r="O26" t="s">
        <v>37</v>
      </c>
      <c r="P26" t="s">
        <v>223</v>
      </c>
      <c r="Q26" t="s">
        <v>224</v>
      </c>
      <c r="R26" t="s">
        <v>32</v>
      </c>
      <c r="S26" t="s">
        <v>37</v>
      </c>
      <c r="T26">
        <v>-119.67543546323469</v>
      </c>
      <c r="U26">
        <v>12.646746</v>
      </c>
      <c r="V26">
        <v>0</v>
      </c>
      <c r="W26" t="s">
        <v>32</v>
      </c>
      <c r="X26" t="s">
        <v>225</v>
      </c>
      <c r="Y26" t="s">
        <v>226</v>
      </c>
      <c r="Z26" t="s">
        <v>139</v>
      </c>
      <c r="AA26" t="s">
        <v>227</v>
      </c>
      <c r="AB26" t="s">
        <v>285</v>
      </c>
      <c r="AC26" t="s">
        <v>229</v>
      </c>
      <c r="AD26" t="s">
        <v>37</v>
      </c>
      <c r="AE26" t="s">
        <v>36</v>
      </c>
      <c r="AF26">
        <v>675000000</v>
      </c>
      <c r="AG26">
        <v>675000000</v>
      </c>
      <c r="AH26" t="s">
        <v>100</v>
      </c>
      <c r="AI26" t="s">
        <v>32</v>
      </c>
      <c r="AJ26" t="s">
        <v>40</v>
      </c>
      <c r="AK26" t="s">
        <v>231</v>
      </c>
    </row>
    <row r="27" spans="2:37" x14ac:dyDescent="0.25">
      <c r="B27" t="s">
        <v>165</v>
      </c>
      <c r="C27" t="s">
        <v>251</v>
      </c>
      <c r="D27" t="s">
        <v>335</v>
      </c>
      <c r="E27" t="s">
        <v>336</v>
      </c>
      <c r="F27" t="s">
        <v>337</v>
      </c>
      <c r="G27" t="s">
        <v>72</v>
      </c>
      <c r="H27" t="s">
        <v>107</v>
      </c>
      <c r="I27" t="s">
        <v>127</v>
      </c>
      <c r="J27">
        <v>0</v>
      </c>
      <c r="K27" t="s">
        <v>37</v>
      </c>
      <c r="L27" t="s">
        <v>108</v>
      </c>
      <c r="M27">
        <v>1</v>
      </c>
      <c r="N27" t="s">
        <v>35</v>
      </c>
      <c r="O27" t="s">
        <v>37</v>
      </c>
      <c r="P27" t="s">
        <v>223</v>
      </c>
      <c r="Q27" t="s">
        <v>224</v>
      </c>
      <c r="R27" t="s">
        <v>223</v>
      </c>
      <c r="S27" t="s">
        <v>37</v>
      </c>
      <c r="T27">
        <v>-117.01410018065168</v>
      </c>
      <c r="U27">
        <v>13.443358999999999</v>
      </c>
      <c r="V27">
        <v>0</v>
      </c>
      <c r="W27" t="s">
        <v>32</v>
      </c>
      <c r="X27" t="s">
        <v>254</v>
      </c>
      <c r="Y27" t="s">
        <v>226</v>
      </c>
      <c r="Z27" t="s">
        <v>139</v>
      </c>
      <c r="AA27" t="s">
        <v>227</v>
      </c>
      <c r="AB27" t="s">
        <v>228</v>
      </c>
      <c r="AC27" t="s">
        <v>229</v>
      </c>
      <c r="AD27" t="s">
        <v>37</v>
      </c>
      <c r="AE27" t="s">
        <v>36</v>
      </c>
      <c r="AF27">
        <v>500000000</v>
      </c>
      <c r="AG27">
        <v>500000000</v>
      </c>
      <c r="AH27" t="s">
        <v>100</v>
      </c>
      <c r="AI27" t="s">
        <v>32</v>
      </c>
      <c r="AJ27" t="s">
        <v>255</v>
      </c>
      <c r="AK27" t="s">
        <v>256</v>
      </c>
    </row>
    <row r="28" spans="2:37" x14ac:dyDescent="0.25">
      <c r="B28" t="s">
        <v>167</v>
      </c>
      <c r="C28" t="s">
        <v>232</v>
      </c>
      <c r="D28" t="s">
        <v>338</v>
      </c>
      <c r="E28" t="s">
        <v>339</v>
      </c>
      <c r="F28" t="s">
        <v>97</v>
      </c>
      <c r="G28" t="s">
        <v>78</v>
      </c>
      <c r="H28" t="s">
        <v>107</v>
      </c>
      <c r="I28" t="s">
        <v>31</v>
      </c>
      <c r="J28">
        <v>10</v>
      </c>
      <c r="K28" t="s">
        <v>37</v>
      </c>
      <c r="L28" t="s">
        <v>108</v>
      </c>
      <c r="M28">
        <v>1</v>
      </c>
      <c r="N28" t="s">
        <v>35</v>
      </c>
      <c r="O28" t="s">
        <v>37</v>
      </c>
      <c r="P28" t="s">
        <v>223</v>
      </c>
      <c r="Q28" t="s">
        <v>224</v>
      </c>
      <c r="R28" t="s">
        <v>32</v>
      </c>
      <c r="S28">
        <v>1</v>
      </c>
      <c r="T28">
        <v>-99.532939063142038</v>
      </c>
      <c r="U28">
        <v>13.020818999999999</v>
      </c>
      <c r="V28">
        <v>4</v>
      </c>
      <c r="W28">
        <v>290000</v>
      </c>
      <c r="X28" t="s">
        <v>225</v>
      </c>
      <c r="Y28" t="s">
        <v>226</v>
      </c>
      <c r="Z28" t="s">
        <v>139</v>
      </c>
      <c r="AA28" t="s">
        <v>227</v>
      </c>
      <c r="AB28" t="s">
        <v>228</v>
      </c>
      <c r="AC28" t="s">
        <v>229</v>
      </c>
      <c r="AD28" t="s">
        <v>340</v>
      </c>
      <c r="AE28" t="s">
        <v>36</v>
      </c>
      <c r="AF28">
        <v>300000000</v>
      </c>
      <c r="AG28">
        <v>300000000</v>
      </c>
      <c r="AH28" t="s">
        <v>100</v>
      </c>
      <c r="AI28" t="s">
        <v>32</v>
      </c>
      <c r="AJ28" t="s">
        <v>40</v>
      </c>
      <c r="AK28" t="s">
        <v>231</v>
      </c>
    </row>
    <row r="29" spans="2:37" x14ac:dyDescent="0.25">
      <c r="B29" t="s">
        <v>168</v>
      </c>
      <c r="C29" t="s">
        <v>219</v>
      </c>
      <c r="D29" t="s">
        <v>341</v>
      </c>
      <c r="E29" t="s">
        <v>342</v>
      </c>
      <c r="F29" t="s">
        <v>54</v>
      </c>
      <c r="G29" t="s">
        <v>125</v>
      </c>
      <c r="H29" t="s">
        <v>107</v>
      </c>
      <c r="I29" t="s">
        <v>31</v>
      </c>
      <c r="J29">
        <v>9.75</v>
      </c>
      <c r="K29" t="s">
        <v>37</v>
      </c>
      <c r="L29" t="s">
        <v>108</v>
      </c>
      <c r="M29">
        <v>1</v>
      </c>
      <c r="N29" t="s">
        <v>35</v>
      </c>
      <c r="O29" t="s">
        <v>37</v>
      </c>
      <c r="P29" t="s">
        <v>223</v>
      </c>
      <c r="Q29" t="s">
        <v>224</v>
      </c>
      <c r="R29" t="s">
        <v>32</v>
      </c>
      <c r="S29">
        <v>1</v>
      </c>
      <c r="T29">
        <v>-112.02839966616516</v>
      </c>
      <c r="U29">
        <v>12.921078</v>
      </c>
      <c r="V29">
        <v>0</v>
      </c>
      <c r="W29" t="s">
        <v>32</v>
      </c>
      <c r="X29" t="s">
        <v>225</v>
      </c>
      <c r="Y29" t="s">
        <v>226</v>
      </c>
      <c r="Z29" t="s">
        <v>139</v>
      </c>
      <c r="AA29" t="s">
        <v>227</v>
      </c>
      <c r="AB29" t="s">
        <v>228</v>
      </c>
      <c r="AC29" t="s">
        <v>229</v>
      </c>
      <c r="AD29" t="s">
        <v>343</v>
      </c>
      <c r="AE29" t="s">
        <v>36</v>
      </c>
      <c r="AF29">
        <v>150000000</v>
      </c>
      <c r="AG29">
        <v>150000000</v>
      </c>
      <c r="AH29" t="s">
        <v>100</v>
      </c>
      <c r="AI29" t="s">
        <v>32</v>
      </c>
      <c r="AJ29" t="s">
        <v>40</v>
      </c>
      <c r="AK29" t="s">
        <v>231</v>
      </c>
    </row>
    <row r="30" spans="2:37" x14ac:dyDescent="0.25">
      <c r="B30" t="s">
        <v>169</v>
      </c>
      <c r="C30" t="s">
        <v>219</v>
      </c>
      <c r="D30" t="s">
        <v>344</v>
      </c>
      <c r="E30" t="s">
        <v>345</v>
      </c>
      <c r="F30" t="s">
        <v>91</v>
      </c>
      <c r="G30" t="s">
        <v>346</v>
      </c>
      <c r="H30" t="s">
        <v>107</v>
      </c>
      <c r="I30" t="s">
        <v>127</v>
      </c>
      <c r="J30">
        <v>0</v>
      </c>
      <c r="K30" t="s">
        <v>37</v>
      </c>
      <c r="L30" t="s">
        <v>108</v>
      </c>
      <c r="M30">
        <v>1</v>
      </c>
      <c r="N30" t="s">
        <v>35</v>
      </c>
      <c r="O30" t="s">
        <v>37</v>
      </c>
      <c r="P30" t="s">
        <v>223</v>
      </c>
      <c r="Q30" t="s">
        <v>224</v>
      </c>
      <c r="R30" t="s">
        <v>32</v>
      </c>
      <c r="S30" t="s">
        <v>37</v>
      </c>
      <c r="T30">
        <v>-241.61272115915241</v>
      </c>
      <c r="U30">
        <v>11.602073000000001</v>
      </c>
      <c r="V30">
        <v>0</v>
      </c>
      <c r="W30" t="s">
        <v>32</v>
      </c>
      <c r="X30" t="s">
        <v>225</v>
      </c>
      <c r="Y30" t="s">
        <v>226</v>
      </c>
      <c r="Z30" t="s">
        <v>139</v>
      </c>
      <c r="AA30" t="s">
        <v>227</v>
      </c>
      <c r="AB30" t="s">
        <v>228</v>
      </c>
      <c r="AC30" t="s">
        <v>229</v>
      </c>
      <c r="AD30" t="s">
        <v>37</v>
      </c>
      <c r="AE30" t="s">
        <v>36</v>
      </c>
      <c r="AF30">
        <v>1200000000</v>
      </c>
      <c r="AG30">
        <v>1200000000</v>
      </c>
      <c r="AH30" t="s">
        <v>100</v>
      </c>
      <c r="AI30" t="s">
        <v>32</v>
      </c>
      <c r="AJ30" t="s">
        <v>40</v>
      </c>
      <c r="AK30" t="s">
        <v>231</v>
      </c>
    </row>
    <row r="31" spans="2:37" x14ac:dyDescent="0.25">
      <c r="B31" t="s">
        <v>170</v>
      </c>
      <c r="C31" t="s">
        <v>232</v>
      </c>
      <c r="D31" t="s">
        <v>347</v>
      </c>
      <c r="E31" t="s">
        <v>348</v>
      </c>
      <c r="F31" t="s">
        <v>42</v>
      </c>
      <c r="G31" t="s">
        <v>349</v>
      </c>
      <c r="H31" t="s">
        <v>107</v>
      </c>
      <c r="I31" t="s">
        <v>31</v>
      </c>
      <c r="J31">
        <v>6.25</v>
      </c>
      <c r="K31" t="s">
        <v>37</v>
      </c>
      <c r="L31" t="s">
        <v>108</v>
      </c>
      <c r="M31">
        <v>1</v>
      </c>
      <c r="N31" t="s">
        <v>35</v>
      </c>
      <c r="O31" t="s">
        <v>37</v>
      </c>
      <c r="P31" t="s">
        <v>223</v>
      </c>
      <c r="Q31" t="s">
        <v>224</v>
      </c>
      <c r="R31" t="s">
        <v>32</v>
      </c>
      <c r="S31">
        <v>1</v>
      </c>
      <c r="T31">
        <v>-111.37445286202254</v>
      </c>
      <c r="U31">
        <v>12.491676</v>
      </c>
      <c r="V31">
        <v>0</v>
      </c>
      <c r="W31" t="s">
        <v>32</v>
      </c>
      <c r="X31" t="s">
        <v>225</v>
      </c>
      <c r="Y31" t="s">
        <v>226</v>
      </c>
      <c r="Z31" t="s">
        <v>139</v>
      </c>
      <c r="AA31" t="s">
        <v>227</v>
      </c>
      <c r="AB31" t="s">
        <v>228</v>
      </c>
      <c r="AC31" t="s">
        <v>229</v>
      </c>
      <c r="AD31" t="s">
        <v>51</v>
      </c>
      <c r="AE31" t="s">
        <v>36</v>
      </c>
      <c r="AF31">
        <v>200000000</v>
      </c>
      <c r="AG31">
        <v>200000000</v>
      </c>
      <c r="AH31" t="s">
        <v>100</v>
      </c>
      <c r="AI31" t="s">
        <v>32</v>
      </c>
      <c r="AJ31" t="s">
        <v>40</v>
      </c>
      <c r="AK31" t="s">
        <v>231</v>
      </c>
    </row>
    <row r="32" spans="2:37" x14ac:dyDescent="0.25">
      <c r="B32" t="s">
        <v>171</v>
      </c>
      <c r="C32" t="s">
        <v>244</v>
      </c>
      <c r="D32" t="s">
        <v>350</v>
      </c>
      <c r="E32" t="s">
        <v>351</v>
      </c>
      <c r="F32" t="s">
        <v>70</v>
      </c>
      <c r="G32" t="s">
        <v>352</v>
      </c>
      <c r="H32" t="s">
        <v>107</v>
      </c>
      <c r="I32" t="s">
        <v>127</v>
      </c>
      <c r="J32">
        <v>0</v>
      </c>
      <c r="K32" t="s">
        <v>37</v>
      </c>
      <c r="L32" t="s">
        <v>108</v>
      </c>
      <c r="M32">
        <v>1</v>
      </c>
      <c r="N32" t="s">
        <v>35</v>
      </c>
      <c r="O32" t="s">
        <v>37</v>
      </c>
      <c r="P32" t="s">
        <v>223</v>
      </c>
      <c r="Q32" t="s">
        <v>224</v>
      </c>
      <c r="R32" t="s">
        <v>32</v>
      </c>
      <c r="S32" t="s">
        <v>37</v>
      </c>
      <c r="T32">
        <v>-46.249759099704058</v>
      </c>
      <c r="U32">
        <v>13.4528</v>
      </c>
      <c r="V32">
        <v>0</v>
      </c>
      <c r="W32" t="s">
        <v>32</v>
      </c>
      <c r="X32" t="s">
        <v>249</v>
      </c>
      <c r="Y32" t="s">
        <v>226</v>
      </c>
      <c r="Z32" t="s">
        <v>139</v>
      </c>
      <c r="AA32" t="s">
        <v>227</v>
      </c>
      <c r="AB32" t="s">
        <v>285</v>
      </c>
      <c r="AC32" t="s">
        <v>229</v>
      </c>
      <c r="AD32" t="s">
        <v>37</v>
      </c>
      <c r="AE32" t="s">
        <v>39</v>
      </c>
      <c r="AF32">
        <v>320400400</v>
      </c>
      <c r="AG32">
        <v>320400400</v>
      </c>
      <c r="AH32" t="s">
        <v>100</v>
      </c>
      <c r="AI32" t="s">
        <v>32</v>
      </c>
      <c r="AJ32" t="s">
        <v>113</v>
      </c>
      <c r="AK32" t="s">
        <v>250</v>
      </c>
    </row>
    <row r="33" spans="2:37" x14ac:dyDescent="0.25">
      <c r="B33" t="s">
        <v>172</v>
      </c>
      <c r="C33" t="s">
        <v>232</v>
      </c>
      <c r="D33" t="s">
        <v>353</v>
      </c>
      <c r="E33" t="s">
        <v>354</v>
      </c>
      <c r="F33" t="s">
        <v>355</v>
      </c>
      <c r="G33" t="s">
        <v>356</v>
      </c>
      <c r="H33" t="s">
        <v>107</v>
      </c>
      <c r="I33" t="s">
        <v>31</v>
      </c>
      <c r="J33">
        <v>4.25</v>
      </c>
      <c r="K33" t="s">
        <v>37</v>
      </c>
      <c r="L33" t="s">
        <v>108</v>
      </c>
      <c r="M33">
        <v>1</v>
      </c>
      <c r="N33" t="s">
        <v>35</v>
      </c>
      <c r="O33" t="s">
        <v>37</v>
      </c>
      <c r="P33" t="s">
        <v>223</v>
      </c>
      <c r="Q33" t="s">
        <v>224</v>
      </c>
      <c r="R33" t="s">
        <v>32</v>
      </c>
      <c r="S33">
        <v>1</v>
      </c>
      <c r="T33">
        <v>-128.47137640354129</v>
      </c>
      <c r="U33">
        <v>13.328786000000001</v>
      </c>
      <c r="V33">
        <v>0</v>
      </c>
      <c r="W33" t="s">
        <v>32</v>
      </c>
      <c r="X33" t="s">
        <v>225</v>
      </c>
      <c r="Y33" t="s">
        <v>226</v>
      </c>
      <c r="Z33" t="s">
        <v>139</v>
      </c>
      <c r="AA33" t="s">
        <v>227</v>
      </c>
      <c r="AB33" t="s">
        <v>228</v>
      </c>
      <c r="AC33" t="s">
        <v>229</v>
      </c>
      <c r="AD33" t="s">
        <v>46</v>
      </c>
      <c r="AE33" t="s">
        <v>36</v>
      </c>
      <c r="AF33">
        <v>200000000</v>
      </c>
      <c r="AG33">
        <v>200000000</v>
      </c>
      <c r="AH33" t="s">
        <v>100</v>
      </c>
      <c r="AI33" t="s">
        <v>32</v>
      </c>
      <c r="AJ33" t="s">
        <v>40</v>
      </c>
      <c r="AK33" t="s">
        <v>231</v>
      </c>
    </row>
    <row r="34" spans="2:37" x14ac:dyDescent="0.25">
      <c r="B34" t="s">
        <v>173</v>
      </c>
      <c r="C34" t="s">
        <v>219</v>
      </c>
      <c r="D34" t="s">
        <v>357</v>
      </c>
      <c r="E34" t="s">
        <v>358</v>
      </c>
      <c r="F34" t="s">
        <v>49</v>
      </c>
      <c r="G34" t="s">
        <v>359</v>
      </c>
      <c r="H34" t="s">
        <v>107</v>
      </c>
      <c r="I34" t="s">
        <v>127</v>
      </c>
      <c r="J34">
        <v>0</v>
      </c>
      <c r="K34" t="s">
        <v>37</v>
      </c>
      <c r="L34" t="s">
        <v>108</v>
      </c>
      <c r="M34">
        <v>1</v>
      </c>
      <c r="N34" t="s">
        <v>35</v>
      </c>
      <c r="O34" t="s">
        <v>37</v>
      </c>
      <c r="P34" t="s">
        <v>223</v>
      </c>
      <c r="Q34" t="s">
        <v>224</v>
      </c>
      <c r="R34" t="s">
        <v>32</v>
      </c>
      <c r="S34" t="s">
        <v>37</v>
      </c>
      <c r="T34">
        <v>-141.83869720471094</v>
      </c>
      <c r="U34">
        <v>12.292020000000001</v>
      </c>
      <c r="V34">
        <v>0</v>
      </c>
      <c r="W34" t="s">
        <v>32</v>
      </c>
      <c r="X34" t="s">
        <v>225</v>
      </c>
      <c r="Y34" t="s">
        <v>226</v>
      </c>
      <c r="Z34" t="s">
        <v>139</v>
      </c>
      <c r="AA34" t="s">
        <v>227</v>
      </c>
      <c r="AB34" t="s">
        <v>228</v>
      </c>
      <c r="AC34" t="s">
        <v>229</v>
      </c>
      <c r="AD34" t="s">
        <v>37</v>
      </c>
      <c r="AE34" t="s">
        <v>36</v>
      </c>
      <c r="AF34">
        <v>150000000</v>
      </c>
      <c r="AG34">
        <v>57990000</v>
      </c>
      <c r="AH34" t="s">
        <v>100</v>
      </c>
      <c r="AI34" t="s">
        <v>32</v>
      </c>
      <c r="AJ34" t="s">
        <v>40</v>
      </c>
      <c r="AK34" t="s">
        <v>231</v>
      </c>
    </row>
    <row r="35" spans="2:37" x14ac:dyDescent="0.25">
      <c r="B35" t="s">
        <v>174</v>
      </c>
      <c r="C35" t="s">
        <v>264</v>
      </c>
      <c r="D35" t="s">
        <v>360</v>
      </c>
      <c r="E35" t="s">
        <v>361</v>
      </c>
      <c r="F35" t="s">
        <v>122</v>
      </c>
      <c r="G35" t="s">
        <v>362</v>
      </c>
      <c r="H35" t="s">
        <v>107</v>
      </c>
      <c r="I35" t="s">
        <v>31</v>
      </c>
      <c r="J35">
        <v>8</v>
      </c>
      <c r="K35" t="s">
        <v>37</v>
      </c>
      <c r="L35" t="s">
        <v>108</v>
      </c>
      <c r="M35">
        <v>1</v>
      </c>
      <c r="N35" t="s">
        <v>35</v>
      </c>
      <c r="O35" t="s">
        <v>37</v>
      </c>
      <c r="P35" t="s">
        <v>32</v>
      </c>
      <c r="Q35" t="s">
        <v>32</v>
      </c>
      <c r="R35" t="s">
        <v>32</v>
      </c>
      <c r="S35">
        <v>1</v>
      </c>
      <c r="T35">
        <v>-139.07738104537214</v>
      </c>
      <c r="U35">
        <v>12.569376</v>
      </c>
      <c r="V35">
        <v>1</v>
      </c>
      <c r="W35">
        <v>350000</v>
      </c>
      <c r="X35" t="s">
        <v>268</v>
      </c>
      <c r="Y35" t="s">
        <v>226</v>
      </c>
      <c r="Z35" t="s">
        <v>139</v>
      </c>
      <c r="AA35" t="s">
        <v>227</v>
      </c>
      <c r="AB35" t="s">
        <v>228</v>
      </c>
      <c r="AC35" t="s">
        <v>229</v>
      </c>
      <c r="AD35" t="s">
        <v>63</v>
      </c>
      <c r="AE35" t="s">
        <v>36</v>
      </c>
      <c r="AF35">
        <v>100000000</v>
      </c>
      <c r="AG35">
        <v>100000000</v>
      </c>
      <c r="AH35" t="s">
        <v>100</v>
      </c>
      <c r="AI35" t="s">
        <v>32</v>
      </c>
      <c r="AJ35" t="s">
        <v>271</v>
      </c>
      <c r="AK35" t="s">
        <v>272</v>
      </c>
    </row>
    <row r="36" spans="2:37" x14ac:dyDescent="0.25">
      <c r="B36" t="s">
        <v>175</v>
      </c>
      <c r="C36" t="s">
        <v>232</v>
      </c>
      <c r="D36" t="s">
        <v>363</v>
      </c>
      <c r="E36" t="s">
        <v>364</v>
      </c>
      <c r="F36" t="s">
        <v>307</v>
      </c>
      <c r="G36" t="s">
        <v>308</v>
      </c>
      <c r="H36" t="s">
        <v>107</v>
      </c>
      <c r="I36" t="s">
        <v>31</v>
      </c>
      <c r="J36">
        <v>11.5</v>
      </c>
      <c r="K36" t="s">
        <v>37</v>
      </c>
      <c r="L36" t="s">
        <v>108</v>
      </c>
      <c r="M36">
        <v>1</v>
      </c>
      <c r="N36" t="s">
        <v>35</v>
      </c>
      <c r="O36" t="s">
        <v>37</v>
      </c>
      <c r="P36" t="s">
        <v>223</v>
      </c>
      <c r="Q36" t="s">
        <v>224</v>
      </c>
      <c r="R36" t="s">
        <v>32</v>
      </c>
      <c r="S36">
        <v>1</v>
      </c>
      <c r="T36">
        <v>-143.66753763761881</v>
      </c>
      <c r="U36">
        <v>12.362524000000001</v>
      </c>
      <c r="V36">
        <v>0</v>
      </c>
      <c r="W36" t="s">
        <v>32</v>
      </c>
      <c r="X36" t="s">
        <v>225</v>
      </c>
      <c r="Y36" t="s">
        <v>226</v>
      </c>
      <c r="Z36" t="s">
        <v>139</v>
      </c>
      <c r="AA36" t="s">
        <v>227</v>
      </c>
      <c r="AB36" t="s">
        <v>228</v>
      </c>
      <c r="AC36" t="s">
        <v>229</v>
      </c>
      <c r="AD36" t="s">
        <v>309</v>
      </c>
      <c r="AE36" t="s">
        <v>36</v>
      </c>
      <c r="AF36">
        <v>325000000</v>
      </c>
      <c r="AG36">
        <v>325000000</v>
      </c>
      <c r="AH36" t="s">
        <v>100</v>
      </c>
      <c r="AI36" t="s">
        <v>32</v>
      </c>
      <c r="AJ36" t="s">
        <v>40</v>
      </c>
      <c r="AK36" t="s">
        <v>231</v>
      </c>
    </row>
    <row r="37" spans="2:37" x14ac:dyDescent="0.25">
      <c r="B37" t="s">
        <v>176</v>
      </c>
      <c r="C37" t="s">
        <v>232</v>
      </c>
      <c r="D37" t="s">
        <v>365</v>
      </c>
      <c r="E37" t="s">
        <v>366</v>
      </c>
      <c r="F37" t="s">
        <v>367</v>
      </c>
      <c r="G37" t="s">
        <v>138</v>
      </c>
      <c r="H37" t="s">
        <v>107</v>
      </c>
      <c r="I37" t="s">
        <v>31</v>
      </c>
      <c r="J37">
        <v>2</v>
      </c>
      <c r="K37" t="s">
        <v>37</v>
      </c>
      <c r="L37" t="s">
        <v>108</v>
      </c>
      <c r="M37">
        <v>1</v>
      </c>
      <c r="N37" t="s">
        <v>35</v>
      </c>
      <c r="O37" t="s">
        <v>37</v>
      </c>
      <c r="P37" t="s">
        <v>32</v>
      </c>
      <c r="Q37" t="s">
        <v>32</v>
      </c>
      <c r="R37" t="s">
        <v>32</v>
      </c>
      <c r="S37">
        <v>1</v>
      </c>
      <c r="T37">
        <v>-20.245024463954131</v>
      </c>
      <c r="U37">
        <v>14.089100999999999</v>
      </c>
      <c r="V37">
        <v>0</v>
      </c>
      <c r="W37" t="s">
        <v>32</v>
      </c>
      <c r="X37" t="s">
        <v>225</v>
      </c>
      <c r="Y37" t="s">
        <v>226</v>
      </c>
      <c r="Z37" t="s">
        <v>139</v>
      </c>
      <c r="AA37" t="s">
        <v>227</v>
      </c>
      <c r="AB37" t="s">
        <v>228</v>
      </c>
      <c r="AC37" t="s">
        <v>229</v>
      </c>
      <c r="AD37" t="s">
        <v>368</v>
      </c>
      <c r="AE37" t="s">
        <v>36</v>
      </c>
      <c r="AF37">
        <v>123000000</v>
      </c>
      <c r="AG37">
        <v>123000000</v>
      </c>
      <c r="AH37" t="s">
        <v>100</v>
      </c>
      <c r="AI37" t="s">
        <v>32</v>
      </c>
      <c r="AJ37" t="s">
        <v>40</v>
      </c>
      <c r="AK37" t="s">
        <v>231</v>
      </c>
    </row>
    <row r="38" spans="2:37" x14ac:dyDescent="0.25">
      <c r="B38" t="s">
        <v>177</v>
      </c>
      <c r="C38" t="s">
        <v>219</v>
      </c>
      <c r="D38" t="s">
        <v>369</v>
      </c>
      <c r="E38" t="s">
        <v>370</v>
      </c>
      <c r="F38" t="s">
        <v>83</v>
      </c>
      <c r="G38" t="s">
        <v>371</v>
      </c>
      <c r="H38" t="s">
        <v>107</v>
      </c>
      <c r="I38" t="s">
        <v>31</v>
      </c>
      <c r="J38">
        <v>10</v>
      </c>
      <c r="K38" t="s">
        <v>37</v>
      </c>
      <c r="L38" t="s">
        <v>108</v>
      </c>
      <c r="M38">
        <v>1</v>
      </c>
      <c r="N38" t="s">
        <v>35</v>
      </c>
      <c r="O38" t="s">
        <v>37</v>
      </c>
      <c r="P38" t="s">
        <v>223</v>
      </c>
      <c r="Q38" t="s">
        <v>224</v>
      </c>
      <c r="R38" t="s">
        <v>32</v>
      </c>
      <c r="S38">
        <v>1</v>
      </c>
      <c r="T38">
        <v>-113.89818739523835</v>
      </c>
      <c r="U38">
        <v>12.517089</v>
      </c>
      <c r="V38">
        <v>0</v>
      </c>
      <c r="W38" t="s">
        <v>32</v>
      </c>
      <c r="X38" t="s">
        <v>225</v>
      </c>
      <c r="Y38" t="s">
        <v>226</v>
      </c>
      <c r="Z38" t="s">
        <v>139</v>
      </c>
      <c r="AA38" t="s">
        <v>227</v>
      </c>
      <c r="AB38" t="s">
        <v>228</v>
      </c>
      <c r="AC38" t="s">
        <v>229</v>
      </c>
      <c r="AD38" t="s">
        <v>372</v>
      </c>
      <c r="AE38" t="s">
        <v>36</v>
      </c>
      <c r="AF38">
        <v>400000000</v>
      </c>
      <c r="AG38">
        <v>400000000</v>
      </c>
      <c r="AH38" t="s">
        <v>100</v>
      </c>
      <c r="AI38" t="s">
        <v>32</v>
      </c>
      <c r="AJ38" t="s">
        <v>40</v>
      </c>
      <c r="AK38" t="s">
        <v>231</v>
      </c>
    </row>
    <row r="39" spans="2:37" x14ac:dyDescent="0.25">
      <c r="B39" t="s">
        <v>178</v>
      </c>
      <c r="C39" t="s">
        <v>373</v>
      </c>
      <c r="D39" t="s">
        <v>374</v>
      </c>
      <c r="E39" t="s">
        <v>375</v>
      </c>
      <c r="F39" t="s">
        <v>376</v>
      </c>
      <c r="G39" t="s">
        <v>377</v>
      </c>
      <c r="H39" t="s">
        <v>107</v>
      </c>
      <c r="I39" t="s">
        <v>31</v>
      </c>
      <c r="J39">
        <v>6.5</v>
      </c>
      <c r="K39" t="s">
        <v>37</v>
      </c>
      <c r="L39" t="s">
        <v>108</v>
      </c>
      <c r="M39">
        <v>1</v>
      </c>
      <c r="N39" t="s">
        <v>35</v>
      </c>
      <c r="O39" t="s">
        <v>37</v>
      </c>
      <c r="P39" t="s">
        <v>223</v>
      </c>
      <c r="Q39" t="s">
        <v>224</v>
      </c>
      <c r="R39" t="s">
        <v>32</v>
      </c>
      <c r="S39">
        <v>1</v>
      </c>
      <c r="T39">
        <v>-159.2380271646972</v>
      </c>
      <c r="U39">
        <v>12.381271</v>
      </c>
      <c r="V39">
        <v>0</v>
      </c>
      <c r="W39" t="s">
        <v>32</v>
      </c>
      <c r="X39" t="s">
        <v>378</v>
      </c>
      <c r="Y39" t="s">
        <v>226</v>
      </c>
      <c r="Z39" t="s">
        <v>139</v>
      </c>
      <c r="AA39" t="s">
        <v>227</v>
      </c>
      <c r="AB39" t="s">
        <v>228</v>
      </c>
      <c r="AC39" t="s">
        <v>229</v>
      </c>
      <c r="AD39" t="s">
        <v>379</v>
      </c>
      <c r="AE39" t="s">
        <v>36</v>
      </c>
      <c r="AF39">
        <v>200000000</v>
      </c>
      <c r="AG39">
        <v>200000000</v>
      </c>
      <c r="AH39" t="s">
        <v>100</v>
      </c>
      <c r="AI39" t="s">
        <v>32</v>
      </c>
      <c r="AJ39" t="s">
        <v>40</v>
      </c>
      <c r="AK39" t="s">
        <v>380</v>
      </c>
    </row>
    <row r="40" spans="2:37" x14ac:dyDescent="0.25">
      <c r="B40" t="s">
        <v>179</v>
      </c>
      <c r="C40" t="s">
        <v>244</v>
      </c>
      <c r="D40" t="s">
        <v>381</v>
      </c>
      <c r="E40" t="s">
        <v>382</v>
      </c>
      <c r="F40" t="s">
        <v>86</v>
      </c>
      <c r="G40" t="s">
        <v>102</v>
      </c>
      <c r="H40" t="s">
        <v>107</v>
      </c>
      <c r="I40" t="s">
        <v>31</v>
      </c>
      <c r="J40">
        <v>8</v>
      </c>
      <c r="K40" t="s">
        <v>37</v>
      </c>
      <c r="L40" t="s">
        <v>108</v>
      </c>
      <c r="M40">
        <v>1</v>
      </c>
      <c r="N40" t="s">
        <v>35</v>
      </c>
      <c r="O40" t="s">
        <v>37</v>
      </c>
      <c r="P40" t="s">
        <v>32</v>
      </c>
      <c r="Q40" t="s">
        <v>32</v>
      </c>
      <c r="R40" t="s">
        <v>223</v>
      </c>
      <c r="S40">
        <v>1</v>
      </c>
      <c r="T40">
        <v>-145.60966255712432</v>
      </c>
      <c r="U40">
        <v>12.338996</v>
      </c>
      <c r="V40" t="s">
        <v>32</v>
      </c>
      <c r="W40" t="s">
        <v>32</v>
      </c>
      <c r="X40" t="s">
        <v>249</v>
      </c>
      <c r="Y40" t="s">
        <v>226</v>
      </c>
      <c r="Z40" t="s">
        <v>139</v>
      </c>
      <c r="AA40" t="s">
        <v>227</v>
      </c>
      <c r="AB40" t="s">
        <v>228</v>
      </c>
      <c r="AC40" t="s">
        <v>229</v>
      </c>
      <c r="AD40" t="s">
        <v>81</v>
      </c>
      <c r="AE40" t="s">
        <v>36</v>
      </c>
      <c r="AF40">
        <v>600000000</v>
      </c>
      <c r="AG40">
        <v>600000000</v>
      </c>
      <c r="AH40" t="s">
        <v>100</v>
      </c>
      <c r="AI40" t="s">
        <v>32</v>
      </c>
      <c r="AJ40" t="s">
        <v>113</v>
      </c>
      <c r="AK40" t="s">
        <v>250</v>
      </c>
    </row>
    <row r="41" spans="2:37" x14ac:dyDescent="0.25">
      <c r="B41" t="s">
        <v>181</v>
      </c>
      <c r="C41" t="s">
        <v>219</v>
      </c>
      <c r="D41" t="s">
        <v>383</v>
      </c>
      <c r="E41" t="s">
        <v>384</v>
      </c>
      <c r="F41" t="s">
        <v>385</v>
      </c>
      <c r="G41" t="s">
        <v>45</v>
      </c>
      <c r="H41" t="s">
        <v>107</v>
      </c>
      <c r="I41" t="s">
        <v>127</v>
      </c>
      <c r="J41">
        <v>0</v>
      </c>
      <c r="K41" t="s">
        <v>37</v>
      </c>
      <c r="L41" t="s">
        <v>108</v>
      </c>
      <c r="M41">
        <v>1</v>
      </c>
      <c r="N41" t="s">
        <v>35</v>
      </c>
      <c r="O41" t="s">
        <v>37</v>
      </c>
      <c r="P41" t="s">
        <v>32</v>
      </c>
      <c r="Q41" t="s">
        <v>224</v>
      </c>
      <c r="R41" t="s">
        <v>32</v>
      </c>
      <c r="S41" t="s">
        <v>37</v>
      </c>
      <c r="T41">
        <v>-14.190160233351001</v>
      </c>
      <c r="U41">
        <v>14.295108000000001</v>
      </c>
      <c r="V41" t="s">
        <v>32</v>
      </c>
      <c r="W41" t="s">
        <v>32</v>
      </c>
      <c r="X41" t="s">
        <v>225</v>
      </c>
      <c r="Y41" t="s">
        <v>226</v>
      </c>
      <c r="Z41" t="s">
        <v>139</v>
      </c>
      <c r="AA41" t="s">
        <v>227</v>
      </c>
      <c r="AB41" t="s">
        <v>228</v>
      </c>
      <c r="AC41" t="s">
        <v>229</v>
      </c>
      <c r="AD41" t="s">
        <v>37</v>
      </c>
      <c r="AE41" t="s">
        <v>36</v>
      </c>
      <c r="AF41">
        <v>70000000</v>
      </c>
      <c r="AG41">
        <v>70000000</v>
      </c>
      <c r="AH41" t="s">
        <v>100</v>
      </c>
      <c r="AI41" t="s">
        <v>32</v>
      </c>
      <c r="AJ41" t="s">
        <v>40</v>
      </c>
      <c r="AK41" t="s">
        <v>231</v>
      </c>
    </row>
    <row r="42" spans="2:37" x14ac:dyDescent="0.25">
      <c r="B42" t="s">
        <v>180</v>
      </c>
      <c r="C42" t="s">
        <v>219</v>
      </c>
      <c r="D42" t="s">
        <v>386</v>
      </c>
      <c r="E42" t="s">
        <v>387</v>
      </c>
      <c r="F42" t="s">
        <v>53</v>
      </c>
      <c r="G42" t="s">
        <v>82</v>
      </c>
      <c r="H42" t="s">
        <v>107</v>
      </c>
      <c r="I42" t="s">
        <v>31</v>
      </c>
      <c r="J42">
        <v>9.5</v>
      </c>
      <c r="K42" t="s">
        <v>37</v>
      </c>
      <c r="L42" t="s">
        <v>108</v>
      </c>
      <c r="M42">
        <v>1</v>
      </c>
      <c r="N42" t="s">
        <v>35</v>
      </c>
      <c r="O42" t="s">
        <v>37</v>
      </c>
      <c r="P42" t="s">
        <v>223</v>
      </c>
      <c r="Q42" t="s">
        <v>224</v>
      </c>
      <c r="R42" t="s">
        <v>32</v>
      </c>
      <c r="S42">
        <v>1</v>
      </c>
      <c r="T42">
        <v>-110.27430910451947</v>
      </c>
      <c r="U42">
        <v>13.510757</v>
      </c>
      <c r="V42">
        <v>0</v>
      </c>
      <c r="W42" t="s">
        <v>32</v>
      </c>
      <c r="X42" t="s">
        <v>225</v>
      </c>
      <c r="Y42" t="s">
        <v>226</v>
      </c>
      <c r="Z42" t="s">
        <v>139</v>
      </c>
      <c r="AA42" t="s">
        <v>227</v>
      </c>
      <c r="AB42" t="s">
        <v>228</v>
      </c>
      <c r="AC42" t="s">
        <v>229</v>
      </c>
      <c r="AD42" t="s">
        <v>95</v>
      </c>
      <c r="AE42" t="s">
        <v>36</v>
      </c>
      <c r="AF42">
        <v>200000000</v>
      </c>
      <c r="AG42">
        <v>200000000</v>
      </c>
      <c r="AH42" t="s">
        <v>100</v>
      </c>
      <c r="AI42" t="s">
        <v>32</v>
      </c>
      <c r="AJ42" t="s">
        <v>40</v>
      </c>
      <c r="AK42" t="s">
        <v>231</v>
      </c>
    </row>
    <row r="43" spans="2:37" x14ac:dyDescent="0.25">
      <c r="B43" t="s">
        <v>182</v>
      </c>
      <c r="C43" t="s">
        <v>388</v>
      </c>
      <c r="D43" t="s">
        <v>389</v>
      </c>
      <c r="E43" t="s">
        <v>390</v>
      </c>
      <c r="F43" t="s">
        <v>88</v>
      </c>
      <c r="G43" t="s">
        <v>131</v>
      </c>
      <c r="H43" t="s">
        <v>107</v>
      </c>
      <c r="I43" t="s">
        <v>31</v>
      </c>
      <c r="J43">
        <v>11.4</v>
      </c>
      <c r="K43" t="s">
        <v>37</v>
      </c>
      <c r="L43" t="s">
        <v>108</v>
      </c>
      <c r="M43">
        <v>1</v>
      </c>
      <c r="N43" t="s">
        <v>35</v>
      </c>
      <c r="O43" t="s">
        <v>37</v>
      </c>
      <c r="P43" t="s">
        <v>32</v>
      </c>
      <c r="Q43" t="s">
        <v>32</v>
      </c>
      <c r="R43" t="s">
        <v>223</v>
      </c>
      <c r="S43">
        <v>1</v>
      </c>
      <c r="T43">
        <v>-130.40714671094094</v>
      </c>
      <c r="U43">
        <v>12.442792000000001</v>
      </c>
      <c r="V43" t="s">
        <v>32</v>
      </c>
      <c r="W43" t="s">
        <v>32</v>
      </c>
      <c r="X43" t="s">
        <v>378</v>
      </c>
      <c r="Y43" t="s">
        <v>226</v>
      </c>
      <c r="Z43" t="s">
        <v>139</v>
      </c>
      <c r="AA43" t="s">
        <v>227</v>
      </c>
      <c r="AB43" t="s">
        <v>228</v>
      </c>
      <c r="AC43" t="s">
        <v>229</v>
      </c>
      <c r="AD43" t="s">
        <v>391</v>
      </c>
      <c r="AE43" t="s">
        <v>36</v>
      </c>
      <c r="AF43">
        <v>50000000</v>
      </c>
      <c r="AG43">
        <v>50000000</v>
      </c>
      <c r="AH43" t="s">
        <v>100</v>
      </c>
      <c r="AI43" t="s">
        <v>32</v>
      </c>
      <c r="AJ43" t="s">
        <v>40</v>
      </c>
      <c r="AK43" t="s">
        <v>380</v>
      </c>
    </row>
    <row r="44" spans="2:37" x14ac:dyDescent="0.25">
      <c r="B44" t="s">
        <v>184</v>
      </c>
      <c r="C44" t="s">
        <v>280</v>
      </c>
      <c r="D44" t="s">
        <v>392</v>
      </c>
      <c r="E44" t="s">
        <v>393</v>
      </c>
      <c r="F44" t="s">
        <v>87</v>
      </c>
      <c r="G44" t="s">
        <v>394</v>
      </c>
      <c r="H44" t="s">
        <v>107</v>
      </c>
      <c r="I44" t="s">
        <v>127</v>
      </c>
      <c r="J44">
        <v>0</v>
      </c>
      <c r="K44" t="s">
        <v>37</v>
      </c>
      <c r="L44" t="s">
        <v>108</v>
      </c>
      <c r="M44">
        <v>1</v>
      </c>
      <c r="N44" t="s">
        <v>35</v>
      </c>
      <c r="O44" t="s">
        <v>37</v>
      </c>
      <c r="P44" t="s">
        <v>223</v>
      </c>
      <c r="Q44" t="s">
        <v>224</v>
      </c>
      <c r="R44" t="s">
        <v>223</v>
      </c>
      <c r="S44" t="s">
        <v>37</v>
      </c>
      <c r="T44">
        <v>-166.04397759398034</v>
      </c>
      <c r="U44">
        <v>12.328806</v>
      </c>
      <c r="V44" t="s">
        <v>32</v>
      </c>
      <c r="W44" t="s">
        <v>32</v>
      </c>
      <c r="X44" t="s">
        <v>284</v>
      </c>
      <c r="Y44" t="s">
        <v>226</v>
      </c>
      <c r="Z44" t="s">
        <v>139</v>
      </c>
      <c r="AA44" t="s">
        <v>227</v>
      </c>
      <c r="AB44" t="s">
        <v>228</v>
      </c>
      <c r="AC44" t="s">
        <v>229</v>
      </c>
      <c r="AD44" t="s">
        <v>37</v>
      </c>
      <c r="AE44" t="s">
        <v>36</v>
      </c>
      <c r="AF44">
        <v>550000000</v>
      </c>
      <c r="AG44">
        <v>550000000</v>
      </c>
      <c r="AH44" t="s">
        <v>100</v>
      </c>
      <c r="AI44" t="s">
        <v>32</v>
      </c>
      <c r="AJ44" t="s">
        <v>286</v>
      </c>
      <c r="AK44" t="s">
        <v>287</v>
      </c>
    </row>
    <row r="45" spans="2:37" x14ac:dyDescent="0.25">
      <c r="B45" t="s">
        <v>183</v>
      </c>
      <c r="C45" t="s">
        <v>219</v>
      </c>
      <c r="D45" t="s">
        <v>395</v>
      </c>
      <c r="E45" t="s">
        <v>396</v>
      </c>
      <c r="F45" t="s">
        <v>96</v>
      </c>
      <c r="G45" t="s">
        <v>397</v>
      </c>
      <c r="H45" t="s">
        <v>107</v>
      </c>
      <c r="I45" t="s">
        <v>31</v>
      </c>
      <c r="J45">
        <v>11.5</v>
      </c>
      <c r="K45" t="s">
        <v>37</v>
      </c>
      <c r="L45" t="s">
        <v>108</v>
      </c>
      <c r="M45">
        <v>1</v>
      </c>
      <c r="N45" t="s">
        <v>35</v>
      </c>
      <c r="O45" t="s">
        <v>37</v>
      </c>
      <c r="P45" t="s">
        <v>223</v>
      </c>
      <c r="Q45" t="s">
        <v>224</v>
      </c>
      <c r="R45" t="s">
        <v>32</v>
      </c>
      <c r="S45">
        <v>1</v>
      </c>
      <c r="T45">
        <v>-92.332024377855674</v>
      </c>
      <c r="U45">
        <v>13.69018</v>
      </c>
      <c r="V45" t="s">
        <v>32</v>
      </c>
      <c r="W45" t="s">
        <v>32</v>
      </c>
      <c r="X45" t="s">
        <v>225</v>
      </c>
      <c r="Y45" t="s">
        <v>226</v>
      </c>
      <c r="Z45" t="s">
        <v>139</v>
      </c>
      <c r="AA45" t="s">
        <v>227</v>
      </c>
      <c r="AB45" t="s">
        <v>228</v>
      </c>
      <c r="AC45" t="s">
        <v>229</v>
      </c>
      <c r="AD45" t="s">
        <v>398</v>
      </c>
      <c r="AE45" t="s">
        <v>36</v>
      </c>
      <c r="AF45">
        <v>150000000</v>
      </c>
      <c r="AG45">
        <v>16360000</v>
      </c>
      <c r="AH45" t="s">
        <v>100</v>
      </c>
      <c r="AI45" t="s">
        <v>32</v>
      </c>
      <c r="AJ45" t="s">
        <v>40</v>
      </c>
      <c r="AK45" t="s">
        <v>231</v>
      </c>
    </row>
    <row r="46" spans="2:37" x14ac:dyDescent="0.25">
      <c r="B46" t="s">
        <v>185</v>
      </c>
      <c r="C46" t="s">
        <v>232</v>
      </c>
      <c r="D46" t="s">
        <v>399</v>
      </c>
      <c r="E46" t="s">
        <v>400</v>
      </c>
      <c r="F46" t="s">
        <v>401</v>
      </c>
      <c r="G46" t="s">
        <v>402</v>
      </c>
      <c r="H46" t="s">
        <v>107</v>
      </c>
      <c r="I46" t="s">
        <v>31</v>
      </c>
      <c r="J46">
        <v>0.5</v>
      </c>
      <c r="K46" t="s">
        <v>37</v>
      </c>
      <c r="L46" t="s">
        <v>108</v>
      </c>
      <c r="M46">
        <v>1</v>
      </c>
      <c r="N46" t="s">
        <v>35</v>
      </c>
      <c r="O46" t="s">
        <v>37</v>
      </c>
      <c r="P46" t="s">
        <v>32</v>
      </c>
      <c r="Q46" t="s">
        <v>32</v>
      </c>
      <c r="R46" t="s">
        <v>32</v>
      </c>
      <c r="S46">
        <v>1</v>
      </c>
      <c r="T46">
        <v>-62.495194285957822</v>
      </c>
      <c r="U46">
        <v>13.020956999999999</v>
      </c>
      <c r="V46" t="s">
        <v>32</v>
      </c>
      <c r="W46" t="s">
        <v>32</v>
      </c>
      <c r="X46" t="s">
        <v>225</v>
      </c>
      <c r="Y46" t="s">
        <v>226</v>
      </c>
      <c r="Z46" t="s">
        <v>139</v>
      </c>
      <c r="AA46" t="s">
        <v>227</v>
      </c>
      <c r="AB46" t="s">
        <v>228</v>
      </c>
      <c r="AC46" t="s">
        <v>229</v>
      </c>
      <c r="AD46" t="s">
        <v>403</v>
      </c>
      <c r="AE46" t="s">
        <v>36</v>
      </c>
      <c r="AF46">
        <v>57000000</v>
      </c>
      <c r="AG46">
        <v>57000000</v>
      </c>
      <c r="AH46" t="s">
        <v>100</v>
      </c>
      <c r="AI46" t="s">
        <v>32</v>
      </c>
      <c r="AJ46" t="s">
        <v>40</v>
      </c>
      <c r="AK46" t="s">
        <v>231</v>
      </c>
    </row>
    <row r="47" spans="2:37" x14ac:dyDescent="0.25">
      <c r="B47" t="s">
        <v>187</v>
      </c>
      <c r="C47" t="s">
        <v>280</v>
      </c>
      <c r="D47" t="s">
        <v>404</v>
      </c>
      <c r="E47" t="s">
        <v>405</v>
      </c>
      <c r="F47" t="s">
        <v>406</v>
      </c>
      <c r="G47" t="s">
        <v>407</v>
      </c>
      <c r="H47" t="s">
        <v>107</v>
      </c>
      <c r="I47" t="s">
        <v>127</v>
      </c>
      <c r="J47">
        <v>0</v>
      </c>
      <c r="K47" t="s">
        <v>37</v>
      </c>
      <c r="L47" t="s">
        <v>108</v>
      </c>
      <c r="M47">
        <v>1</v>
      </c>
      <c r="N47" t="s">
        <v>35</v>
      </c>
      <c r="O47" t="s">
        <v>37</v>
      </c>
      <c r="P47" t="s">
        <v>223</v>
      </c>
      <c r="Q47" t="s">
        <v>224</v>
      </c>
      <c r="R47" t="s">
        <v>223</v>
      </c>
      <c r="S47" t="s">
        <v>37</v>
      </c>
      <c r="T47">
        <v>-112.39571754161889</v>
      </c>
      <c r="U47">
        <v>12.771227</v>
      </c>
      <c r="V47" t="s">
        <v>32</v>
      </c>
      <c r="W47" t="s">
        <v>32</v>
      </c>
      <c r="X47" t="s">
        <v>284</v>
      </c>
      <c r="Y47" t="s">
        <v>226</v>
      </c>
      <c r="Z47" t="s">
        <v>139</v>
      </c>
      <c r="AA47" t="s">
        <v>227</v>
      </c>
      <c r="AB47" t="s">
        <v>285</v>
      </c>
      <c r="AC47" t="s">
        <v>229</v>
      </c>
      <c r="AD47" t="s">
        <v>37</v>
      </c>
      <c r="AE47" t="s">
        <v>36</v>
      </c>
      <c r="AF47">
        <v>330000000</v>
      </c>
      <c r="AG47">
        <v>330000000</v>
      </c>
      <c r="AH47" t="s">
        <v>100</v>
      </c>
      <c r="AI47" t="s">
        <v>32</v>
      </c>
      <c r="AJ47" t="s">
        <v>286</v>
      </c>
      <c r="AK47" t="s">
        <v>287</v>
      </c>
    </row>
    <row r="48" spans="2:37" x14ac:dyDescent="0.25">
      <c r="B48" t="s">
        <v>186</v>
      </c>
      <c r="C48" t="s">
        <v>264</v>
      </c>
      <c r="D48" t="s">
        <v>408</v>
      </c>
      <c r="E48" t="s">
        <v>409</v>
      </c>
      <c r="F48" t="s">
        <v>94</v>
      </c>
      <c r="G48" t="s">
        <v>69</v>
      </c>
      <c r="H48" t="s">
        <v>107</v>
      </c>
      <c r="I48" t="s">
        <v>31</v>
      </c>
      <c r="J48">
        <v>10.5</v>
      </c>
      <c r="K48" t="s">
        <v>37</v>
      </c>
      <c r="L48" t="s">
        <v>108</v>
      </c>
      <c r="M48">
        <v>1</v>
      </c>
      <c r="N48" t="s">
        <v>35</v>
      </c>
      <c r="O48" t="s">
        <v>37</v>
      </c>
      <c r="P48" t="s">
        <v>32</v>
      </c>
      <c r="Q48" t="s">
        <v>224</v>
      </c>
      <c r="R48" t="s">
        <v>32</v>
      </c>
      <c r="S48">
        <v>1</v>
      </c>
      <c r="T48">
        <v>-111.14538221997225</v>
      </c>
      <c r="U48">
        <v>13.502046</v>
      </c>
      <c r="V48" t="s">
        <v>32</v>
      </c>
      <c r="W48" t="s">
        <v>32</v>
      </c>
      <c r="X48" t="s">
        <v>268</v>
      </c>
      <c r="Y48" t="s">
        <v>226</v>
      </c>
      <c r="Z48" t="s">
        <v>139</v>
      </c>
      <c r="AA48" t="s">
        <v>227</v>
      </c>
      <c r="AB48" t="s">
        <v>228</v>
      </c>
      <c r="AC48" t="s">
        <v>229</v>
      </c>
      <c r="AD48" t="s">
        <v>410</v>
      </c>
      <c r="AE48" t="s">
        <v>36</v>
      </c>
      <c r="AF48">
        <v>110000000</v>
      </c>
      <c r="AG48">
        <v>110000000</v>
      </c>
      <c r="AH48" t="s">
        <v>100</v>
      </c>
      <c r="AI48" t="s">
        <v>32</v>
      </c>
      <c r="AJ48" t="s">
        <v>271</v>
      </c>
      <c r="AK48" t="s">
        <v>272</v>
      </c>
    </row>
    <row r="49" spans="2:37" x14ac:dyDescent="0.25">
      <c r="B49" t="s">
        <v>188</v>
      </c>
      <c r="C49" t="s">
        <v>244</v>
      </c>
      <c r="D49" t="s">
        <v>411</v>
      </c>
      <c r="E49" t="s">
        <v>412</v>
      </c>
      <c r="F49" t="s">
        <v>413</v>
      </c>
      <c r="G49" t="s">
        <v>414</v>
      </c>
      <c r="H49" t="s">
        <v>107</v>
      </c>
      <c r="I49" t="s">
        <v>127</v>
      </c>
      <c r="J49">
        <v>0</v>
      </c>
      <c r="K49" t="s">
        <v>37</v>
      </c>
      <c r="L49" t="s">
        <v>108</v>
      </c>
      <c r="M49">
        <v>1</v>
      </c>
      <c r="N49" t="s">
        <v>35</v>
      </c>
      <c r="O49" t="s">
        <v>37</v>
      </c>
      <c r="P49" t="s">
        <v>223</v>
      </c>
      <c r="Q49" t="s">
        <v>32</v>
      </c>
      <c r="R49" t="s">
        <v>223</v>
      </c>
      <c r="S49" t="s">
        <v>37</v>
      </c>
      <c r="T49">
        <v>-110.62862080464804</v>
      </c>
      <c r="U49">
        <v>12.508848</v>
      </c>
      <c r="V49">
        <v>0</v>
      </c>
      <c r="W49" t="s">
        <v>32</v>
      </c>
      <c r="X49" t="s">
        <v>249</v>
      </c>
      <c r="Y49" t="s">
        <v>226</v>
      </c>
      <c r="Z49" t="s">
        <v>139</v>
      </c>
      <c r="AA49" t="s">
        <v>227</v>
      </c>
      <c r="AB49" t="s">
        <v>228</v>
      </c>
      <c r="AC49" t="s">
        <v>229</v>
      </c>
      <c r="AD49" t="s">
        <v>37</v>
      </c>
      <c r="AE49" t="s">
        <v>36</v>
      </c>
      <c r="AF49">
        <v>100000000</v>
      </c>
      <c r="AG49">
        <v>100000000</v>
      </c>
      <c r="AH49" t="s">
        <v>100</v>
      </c>
      <c r="AI49" t="s">
        <v>32</v>
      </c>
      <c r="AJ49" t="s">
        <v>113</v>
      </c>
      <c r="AK49" t="s">
        <v>250</v>
      </c>
    </row>
    <row r="50" spans="2:37" x14ac:dyDescent="0.25">
      <c r="B50" t="s">
        <v>189</v>
      </c>
      <c r="C50" t="s">
        <v>219</v>
      </c>
      <c r="D50" t="s">
        <v>415</v>
      </c>
      <c r="E50" t="s">
        <v>416</v>
      </c>
      <c r="F50" t="s">
        <v>118</v>
      </c>
      <c r="G50" t="s">
        <v>417</v>
      </c>
      <c r="H50" t="s">
        <v>107</v>
      </c>
      <c r="I50" t="s">
        <v>127</v>
      </c>
      <c r="J50">
        <v>0</v>
      </c>
      <c r="K50" t="s">
        <v>37</v>
      </c>
      <c r="L50" t="s">
        <v>108</v>
      </c>
      <c r="M50">
        <v>1</v>
      </c>
      <c r="N50" t="s">
        <v>35</v>
      </c>
      <c r="O50" t="s">
        <v>37</v>
      </c>
      <c r="P50" t="s">
        <v>32</v>
      </c>
      <c r="Q50" t="s">
        <v>32</v>
      </c>
      <c r="R50" t="s">
        <v>32</v>
      </c>
      <c r="S50" t="s">
        <v>37</v>
      </c>
      <c r="T50">
        <v>-82.618448756819163</v>
      </c>
      <c r="U50">
        <v>13.775679</v>
      </c>
      <c r="V50">
        <v>0</v>
      </c>
      <c r="W50" t="s">
        <v>32</v>
      </c>
      <c r="X50" t="s">
        <v>225</v>
      </c>
      <c r="Y50" t="s">
        <v>226</v>
      </c>
      <c r="Z50" t="s">
        <v>139</v>
      </c>
      <c r="AA50" t="s">
        <v>227</v>
      </c>
      <c r="AB50" t="s">
        <v>285</v>
      </c>
      <c r="AC50" t="s">
        <v>229</v>
      </c>
      <c r="AD50" t="s">
        <v>37</v>
      </c>
      <c r="AE50" t="s">
        <v>36</v>
      </c>
      <c r="AF50">
        <v>80000000</v>
      </c>
      <c r="AG50">
        <v>80000000</v>
      </c>
      <c r="AH50" t="s">
        <v>100</v>
      </c>
      <c r="AI50" t="s">
        <v>32</v>
      </c>
      <c r="AJ50" t="s">
        <v>40</v>
      </c>
      <c r="AK50" t="s">
        <v>231</v>
      </c>
    </row>
    <row r="51" spans="2:37" x14ac:dyDescent="0.25">
      <c r="B51" t="s">
        <v>190</v>
      </c>
      <c r="C51" t="s">
        <v>232</v>
      </c>
      <c r="D51" t="s">
        <v>418</v>
      </c>
      <c r="E51" t="s">
        <v>419</v>
      </c>
      <c r="F51" t="s">
        <v>420</v>
      </c>
      <c r="G51" t="s">
        <v>421</v>
      </c>
      <c r="H51" t="s">
        <v>107</v>
      </c>
      <c r="I51" t="s">
        <v>127</v>
      </c>
      <c r="J51">
        <v>0</v>
      </c>
      <c r="K51" t="s">
        <v>37</v>
      </c>
      <c r="L51" t="s">
        <v>108</v>
      </c>
      <c r="M51">
        <v>1</v>
      </c>
      <c r="N51" t="s">
        <v>35</v>
      </c>
      <c r="O51" t="s">
        <v>37</v>
      </c>
      <c r="P51" t="s">
        <v>32</v>
      </c>
      <c r="Q51" t="s">
        <v>32</v>
      </c>
      <c r="R51" t="s">
        <v>32</v>
      </c>
      <c r="S51" t="s">
        <v>37</v>
      </c>
      <c r="T51">
        <v>-121.54262157755227</v>
      </c>
      <c r="U51">
        <v>12.698236</v>
      </c>
      <c r="V51" t="s">
        <v>32</v>
      </c>
      <c r="W51" t="s">
        <v>32</v>
      </c>
      <c r="X51" t="s">
        <v>225</v>
      </c>
      <c r="Y51" t="s">
        <v>226</v>
      </c>
      <c r="Z51" t="s">
        <v>139</v>
      </c>
      <c r="AA51" t="s">
        <v>227</v>
      </c>
      <c r="AB51" t="s">
        <v>269</v>
      </c>
      <c r="AC51" t="s">
        <v>229</v>
      </c>
      <c r="AD51" t="s">
        <v>37</v>
      </c>
      <c r="AE51" t="s">
        <v>36</v>
      </c>
      <c r="AF51">
        <v>530000000</v>
      </c>
      <c r="AG51">
        <v>530000000</v>
      </c>
      <c r="AH51" t="s">
        <v>100</v>
      </c>
      <c r="AI51" t="s">
        <v>32</v>
      </c>
      <c r="AJ51" t="s">
        <v>40</v>
      </c>
      <c r="AK51" t="s">
        <v>231</v>
      </c>
    </row>
    <row r="52" spans="2:37" x14ac:dyDescent="0.25">
      <c r="B52" t="s">
        <v>191</v>
      </c>
      <c r="C52" t="s">
        <v>373</v>
      </c>
      <c r="D52" t="s">
        <v>422</v>
      </c>
      <c r="E52" t="s">
        <v>423</v>
      </c>
      <c r="F52" t="s">
        <v>122</v>
      </c>
      <c r="G52" t="s">
        <v>362</v>
      </c>
      <c r="H52" t="s">
        <v>107</v>
      </c>
      <c r="I52" t="s">
        <v>31</v>
      </c>
      <c r="J52">
        <v>8.3000000000000007</v>
      </c>
      <c r="K52" t="s">
        <v>37</v>
      </c>
      <c r="L52" t="s">
        <v>108</v>
      </c>
      <c r="M52">
        <v>1</v>
      </c>
      <c r="N52" t="s">
        <v>35</v>
      </c>
      <c r="O52" t="s">
        <v>37</v>
      </c>
      <c r="P52" t="s">
        <v>32</v>
      </c>
      <c r="Q52" t="s">
        <v>32</v>
      </c>
      <c r="R52" t="s">
        <v>32</v>
      </c>
      <c r="S52">
        <v>1</v>
      </c>
      <c r="T52">
        <v>-90.434904510439651</v>
      </c>
      <c r="U52">
        <v>13.055801000000001</v>
      </c>
      <c r="V52" t="s">
        <v>32</v>
      </c>
      <c r="W52" t="s">
        <v>32</v>
      </c>
      <c r="X52" t="s">
        <v>378</v>
      </c>
      <c r="Y52" t="s">
        <v>226</v>
      </c>
      <c r="Z52" t="s">
        <v>139</v>
      </c>
      <c r="AA52" t="s">
        <v>227</v>
      </c>
      <c r="AB52" t="s">
        <v>228</v>
      </c>
      <c r="AC52" t="s">
        <v>229</v>
      </c>
      <c r="AD52" t="s">
        <v>63</v>
      </c>
      <c r="AE52" t="s">
        <v>36</v>
      </c>
      <c r="AF52">
        <v>35770000</v>
      </c>
      <c r="AG52">
        <v>35770000</v>
      </c>
      <c r="AH52" t="s">
        <v>100</v>
      </c>
      <c r="AI52" t="s">
        <v>32</v>
      </c>
      <c r="AJ52" t="s">
        <v>40</v>
      </c>
      <c r="AK52" t="s">
        <v>380</v>
      </c>
    </row>
    <row r="53" spans="2:37" x14ac:dyDescent="0.25">
      <c r="B53" t="s">
        <v>192</v>
      </c>
      <c r="C53" t="s">
        <v>244</v>
      </c>
      <c r="D53" t="s">
        <v>424</v>
      </c>
      <c r="E53" t="s">
        <v>425</v>
      </c>
      <c r="F53" t="s">
        <v>426</v>
      </c>
      <c r="G53" t="s">
        <v>140</v>
      </c>
      <c r="H53" t="s">
        <v>107</v>
      </c>
      <c r="I53" t="s">
        <v>127</v>
      </c>
      <c r="J53">
        <v>0</v>
      </c>
      <c r="K53" t="s">
        <v>37</v>
      </c>
      <c r="L53" t="s">
        <v>108</v>
      </c>
      <c r="M53">
        <v>99</v>
      </c>
      <c r="N53" t="s">
        <v>41</v>
      </c>
      <c r="O53" t="s">
        <v>37</v>
      </c>
      <c r="P53" t="s">
        <v>32</v>
      </c>
      <c r="Q53" t="s">
        <v>32</v>
      </c>
      <c r="R53" t="s">
        <v>32</v>
      </c>
      <c r="S53" t="s">
        <v>37</v>
      </c>
      <c r="T53" t="s">
        <v>32</v>
      </c>
      <c r="U53" t="s">
        <v>32</v>
      </c>
      <c r="V53" t="s">
        <v>32</v>
      </c>
      <c r="W53" t="s">
        <v>32</v>
      </c>
      <c r="X53" t="s">
        <v>249</v>
      </c>
      <c r="Y53" t="s">
        <v>226</v>
      </c>
      <c r="Z53" t="s">
        <v>139</v>
      </c>
      <c r="AA53" t="s">
        <v>227</v>
      </c>
      <c r="AB53" t="s">
        <v>228</v>
      </c>
      <c r="AC53" t="s">
        <v>229</v>
      </c>
      <c r="AD53" t="s">
        <v>37</v>
      </c>
      <c r="AE53" t="s">
        <v>36</v>
      </c>
      <c r="AF53">
        <v>100960000</v>
      </c>
      <c r="AG53">
        <v>100960000</v>
      </c>
      <c r="AH53" t="s">
        <v>100</v>
      </c>
      <c r="AI53" t="s">
        <v>32</v>
      </c>
      <c r="AJ53" t="s">
        <v>113</v>
      </c>
      <c r="AK53" t="s">
        <v>250</v>
      </c>
    </row>
    <row r="54" spans="2:37" x14ac:dyDescent="0.25">
      <c r="B54" t="s">
        <v>193</v>
      </c>
      <c r="C54" t="s">
        <v>280</v>
      </c>
      <c r="D54" t="s">
        <v>427</v>
      </c>
      <c r="E54" t="s">
        <v>428</v>
      </c>
      <c r="F54" t="s">
        <v>429</v>
      </c>
      <c r="G54" t="s">
        <v>119</v>
      </c>
      <c r="H54" t="s">
        <v>107</v>
      </c>
      <c r="I54" t="s">
        <v>127</v>
      </c>
      <c r="J54">
        <v>0</v>
      </c>
      <c r="K54" t="s">
        <v>37</v>
      </c>
      <c r="L54" t="s">
        <v>108</v>
      </c>
      <c r="M54">
        <v>1</v>
      </c>
      <c r="N54" t="s">
        <v>35</v>
      </c>
      <c r="O54" t="s">
        <v>37</v>
      </c>
      <c r="P54" t="s">
        <v>223</v>
      </c>
      <c r="Q54" t="s">
        <v>224</v>
      </c>
      <c r="R54" t="s">
        <v>223</v>
      </c>
      <c r="S54" t="s">
        <v>37</v>
      </c>
      <c r="T54">
        <v>-93.344250466893726</v>
      </c>
      <c r="U54">
        <v>13.680057</v>
      </c>
      <c r="V54" t="s">
        <v>32</v>
      </c>
      <c r="W54" t="s">
        <v>32</v>
      </c>
      <c r="X54" t="s">
        <v>284</v>
      </c>
      <c r="Y54" t="s">
        <v>226</v>
      </c>
      <c r="Z54" t="s">
        <v>139</v>
      </c>
      <c r="AA54" t="s">
        <v>227</v>
      </c>
      <c r="AB54" t="s">
        <v>228</v>
      </c>
      <c r="AC54" t="s">
        <v>229</v>
      </c>
      <c r="AD54" t="s">
        <v>37</v>
      </c>
      <c r="AE54" t="s">
        <v>36</v>
      </c>
      <c r="AF54">
        <v>200000000</v>
      </c>
      <c r="AG54">
        <v>200000000</v>
      </c>
      <c r="AH54" t="s">
        <v>100</v>
      </c>
      <c r="AI54" t="s">
        <v>32</v>
      </c>
      <c r="AJ54" t="s">
        <v>286</v>
      </c>
      <c r="AK54" t="s">
        <v>287</v>
      </c>
    </row>
    <row r="55" spans="2:37" x14ac:dyDescent="0.25">
      <c r="B55" t="s">
        <v>194</v>
      </c>
      <c r="C55" t="s">
        <v>232</v>
      </c>
      <c r="D55" t="s">
        <v>430</v>
      </c>
      <c r="E55" t="s">
        <v>431</v>
      </c>
      <c r="F55" t="s">
        <v>432</v>
      </c>
      <c r="G55" t="s">
        <v>433</v>
      </c>
      <c r="H55" t="s">
        <v>107</v>
      </c>
      <c r="I55" t="s">
        <v>31</v>
      </c>
      <c r="J55">
        <v>8.27</v>
      </c>
      <c r="K55" t="s">
        <v>37</v>
      </c>
      <c r="L55" t="s">
        <v>108</v>
      </c>
      <c r="M55">
        <v>1</v>
      </c>
      <c r="N55" t="s">
        <v>35</v>
      </c>
      <c r="O55" t="s">
        <v>37</v>
      </c>
      <c r="P55" t="s">
        <v>32</v>
      </c>
      <c r="Q55" t="s">
        <v>224</v>
      </c>
      <c r="R55" t="s">
        <v>32</v>
      </c>
      <c r="S55">
        <v>1</v>
      </c>
      <c r="T55">
        <v>-104.26572917361358</v>
      </c>
      <c r="U55">
        <v>12.919924</v>
      </c>
      <c r="V55">
        <v>0</v>
      </c>
      <c r="W55" t="s">
        <v>32</v>
      </c>
      <c r="X55" t="s">
        <v>225</v>
      </c>
      <c r="Y55" t="s">
        <v>226</v>
      </c>
      <c r="Z55" t="s">
        <v>139</v>
      </c>
      <c r="AA55" t="s">
        <v>227</v>
      </c>
      <c r="AB55" t="s">
        <v>228</v>
      </c>
      <c r="AC55" t="s">
        <v>229</v>
      </c>
      <c r="AD55" t="s">
        <v>52</v>
      </c>
      <c r="AE55" t="s">
        <v>36</v>
      </c>
      <c r="AF55">
        <v>55000000</v>
      </c>
      <c r="AG55">
        <v>55000000</v>
      </c>
      <c r="AH55" t="s">
        <v>100</v>
      </c>
      <c r="AI55" t="s">
        <v>32</v>
      </c>
      <c r="AJ55" t="s">
        <v>40</v>
      </c>
      <c r="AK55" t="s">
        <v>231</v>
      </c>
    </row>
    <row r="56" spans="2:37" x14ac:dyDescent="0.25">
      <c r="B56" t="s">
        <v>195</v>
      </c>
      <c r="C56" t="s">
        <v>280</v>
      </c>
      <c r="D56" t="s">
        <v>434</v>
      </c>
      <c r="E56" t="s">
        <v>435</v>
      </c>
      <c r="F56" t="s">
        <v>48</v>
      </c>
      <c r="G56" t="s">
        <v>67</v>
      </c>
      <c r="H56" t="s">
        <v>107</v>
      </c>
      <c r="I56" t="s">
        <v>31</v>
      </c>
      <c r="J56">
        <v>7.5</v>
      </c>
      <c r="K56" t="s">
        <v>37</v>
      </c>
      <c r="L56" t="s">
        <v>108</v>
      </c>
      <c r="M56">
        <v>1</v>
      </c>
      <c r="N56" t="s">
        <v>35</v>
      </c>
      <c r="O56" t="s">
        <v>37</v>
      </c>
      <c r="P56" t="s">
        <v>223</v>
      </c>
      <c r="Q56" t="s">
        <v>224</v>
      </c>
      <c r="R56" t="s">
        <v>223</v>
      </c>
      <c r="S56">
        <v>2</v>
      </c>
      <c r="T56">
        <v>-137.13678648387173</v>
      </c>
      <c r="U56">
        <v>13.242132</v>
      </c>
      <c r="V56" t="s">
        <v>32</v>
      </c>
      <c r="W56" t="s">
        <v>32</v>
      </c>
      <c r="X56" t="s">
        <v>284</v>
      </c>
      <c r="Y56" t="s">
        <v>226</v>
      </c>
      <c r="Z56" t="s">
        <v>139</v>
      </c>
      <c r="AA56" t="s">
        <v>227</v>
      </c>
      <c r="AB56" t="s">
        <v>228</v>
      </c>
      <c r="AC56" t="s">
        <v>229</v>
      </c>
      <c r="AD56" t="s">
        <v>56</v>
      </c>
      <c r="AE56" t="s">
        <v>36</v>
      </c>
      <c r="AF56">
        <v>130000000</v>
      </c>
      <c r="AG56">
        <v>130000000</v>
      </c>
      <c r="AH56" t="s">
        <v>100</v>
      </c>
      <c r="AI56" t="s">
        <v>32</v>
      </c>
      <c r="AJ56" t="s">
        <v>286</v>
      </c>
      <c r="AK56" t="s">
        <v>287</v>
      </c>
    </row>
    <row r="57" spans="2:37" x14ac:dyDescent="0.25">
      <c r="B57" t="s">
        <v>196</v>
      </c>
      <c r="C57" t="s">
        <v>373</v>
      </c>
      <c r="D57" t="s">
        <v>436</v>
      </c>
      <c r="E57" t="s">
        <v>437</v>
      </c>
      <c r="F57" t="s">
        <v>438</v>
      </c>
      <c r="G57" t="s">
        <v>439</v>
      </c>
      <c r="H57" t="s">
        <v>107</v>
      </c>
      <c r="I57" t="s">
        <v>31</v>
      </c>
      <c r="J57">
        <v>8.02</v>
      </c>
      <c r="K57" t="s">
        <v>37</v>
      </c>
      <c r="L57" t="s">
        <v>108</v>
      </c>
      <c r="M57">
        <v>1</v>
      </c>
      <c r="N57" t="s">
        <v>35</v>
      </c>
      <c r="O57" t="s">
        <v>37</v>
      </c>
      <c r="P57" t="s">
        <v>32</v>
      </c>
      <c r="Q57" t="s">
        <v>32</v>
      </c>
      <c r="R57" t="s">
        <v>32</v>
      </c>
      <c r="S57">
        <v>1</v>
      </c>
      <c r="T57">
        <v>-128.95226259222153</v>
      </c>
      <c r="U57">
        <v>12.678342000000001</v>
      </c>
      <c r="V57" t="s">
        <v>32</v>
      </c>
      <c r="W57" t="s">
        <v>32</v>
      </c>
      <c r="X57" t="s">
        <v>378</v>
      </c>
      <c r="Y57" t="s">
        <v>226</v>
      </c>
      <c r="Z57" t="s">
        <v>139</v>
      </c>
      <c r="AA57" t="s">
        <v>227</v>
      </c>
      <c r="AB57" t="s">
        <v>228</v>
      </c>
      <c r="AC57" t="s">
        <v>229</v>
      </c>
      <c r="AD57" t="s">
        <v>59</v>
      </c>
      <c r="AE57" t="s">
        <v>36</v>
      </c>
      <c r="AF57">
        <v>61310000</v>
      </c>
      <c r="AG57">
        <v>61310000</v>
      </c>
      <c r="AH57" t="s">
        <v>100</v>
      </c>
      <c r="AI57" t="s">
        <v>32</v>
      </c>
      <c r="AJ57" t="s">
        <v>40</v>
      </c>
      <c r="AK57" t="s">
        <v>380</v>
      </c>
    </row>
    <row r="58" spans="2:37" x14ac:dyDescent="0.25">
      <c r="B58" t="s">
        <v>199</v>
      </c>
      <c r="C58" t="s">
        <v>219</v>
      </c>
      <c r="D58" t="s">
        <v>440</v>
      </c>
      <c r="E58" t="s">
        <v>441</v>
      </c>
      <c r="F58" t="s">
        <v>42</v>
      </c>
      <c r="G58" t="s">
        <v>71</v>
      </c>
      <c r="H58" t="s">
        <v>107</v>
      </c>
      <c r="I58" t="s">
        <v>31</v>
      </c>
      <c r="J58">
        <v>5.3049999999999997</v>
      </c>
      <c r="K58" t="s">
        <v>37</v>
      </c>
      <c r="L58" t="s">
        <v>108</v>
      </c>
      <c r="M58">
        <v>1</v>
      </c>
      <c r="N58" t="s">
        <v>35</v>
      </c>
      <c r="O58" t="s">
        <v>37</v>
      </c>
      <c r="P58" t="s">
        <v>442</v>
      </c>
      <c r="Q58" t="s">
        <v>38</v>
      </c>
      <c r="R58" t="s">
        <v>32</v>
      </c>
      <c r="S58">
        <v>1</v>
      </c>
      <c r="T58" t="s">
        <v>32</v>
      </c>
      <c r="U58" t="s">
        <v>32</v>
      </c>
      <c r="V58" t="s">
        <v>32</v>
      </c>
      <c r="W58" t="s">
        <v>32</v>
      </c>
      <c r="X58" t="s">
        <v>225</v>
      </c>
      <c r="Y58" t="s">
        <v>226</v>
      </c>
      <c r="Z58" t="s">
        <v>139</v>
      </c>
      <c r="AA58" t="s">
        <v>227</v>
      </c>
      <c r="AB58" t="s">
        <v>228</v>
      </c>
      <c r="AC58" t="s">
        <v>229</v>
      </c>
      <c r="AD58" t="s">
        <v>443</v>
      </c>
      <c r="AE58" t="s">
        <v>36</v>
      </c>
      <c r="AF58">
        <v>53500000</v>
      </c>
      <c r="AG58">
        <v>53500000</v>
      </c>
      <c r="AH58" t="s">
        <v>100</v>
      </c>
      <c r="AI58" t="s">
        <v>32</v>
      </c>
      <c r="AJ58" t="s">
        <v>40</v>
      </c>
      <c r="AK58" t="s">
        <v>231</v>
      </c>
    </row>
    <row r="59" spans="2:37" x14ac:dyDescent="0.25">
      <c r="B59" t="s">
        <v>203</v>
      </c>
      <c r="C59" t="s">
        <v>444</v>
      </c>
      <c r="D59" t="s">
        <v>445</v>
      </c>
      <c r="E59" t="s">
        <v>37</v>
      </c>
      <c r="F59" t="s">
        <v>120</v>
      </c>
      <c r="G59" t="s">
        <v>446</v>
      </c>
      <c r="H59" t="s">
        <v>107</v>
      </c>
      <c r="I59" t="s">
        <v>127</v>
      </c>
      <c r="J59">
        <v>0</v>
      </c>
      <c r="K59" t="s">
        <v>37</v>
      </c>
      <c r="L59" t="s">
        <v>108</v>
      </c>
      <c r="M59">
        <v>99</v>
      </c>
      <c r="N59" t="s">
        <v>41</v>
      </c>
      <c r="O59" t="s">
        <v>37</v>
      </c>
      <c r="P59" t="s">
        <v>32</v>
      </c>
      <c r="Q59" t="s">
        <v>32</v>
      </c>
      <c r="R59" t="s">
        <v>32</v>
      </c>
      <c r="S59" t="s">
        <v>37</v>
      </c>
      <c r="T59" t="s">
        <v>32</v>
      </c>
      <c r="U59" t="s">
        <v>32</v>
      </c>
      <c r="V59" t="s">
        <v>32</v>
      </c>
      <c r="W59" t="s">
        <v>32</v>
      </c>
      <c r="X59" t="s">
        <v>447</v>
      </c>
      <c r="Y59" t="s">
        <v>226</v>
      </c>
      <c r="Z59" t="s">
        <v>139</v>
      </c>
      <c r="AA59" t="s">
        <v>227</v>
      </c>
      <c r="AB59" t="s">
        <v>228</v>
      </c>
      <c r="AC59" t="s">
        <v>229</v>
      </c>
      <c r="AD59" t="s">
        <v>37</v>
      </c>
      <c r="AE59" t="s">
        <v>36</v>
      </c>
      <c r="AF59">
        <v>239000000</v>
      </c>
      <c r="AG59">
        <v>239000000</v>
      </c>
      <c r="AH59" t="s">
        <v>101</v>
      </c>
      <c r="AI59" t="s">
        <v>32</v>
      </c>
      <c r="AJ59" t="s">
        <v>448</v>
      </c>
      <c r="AK59" t="s">
        <v>449</v>
      </c>
    </row>
    <row r="60" spans="2:37" x14ac:dyDescent="0.25">
      <c r="B60" t="s">
        <v>202</v>
      </c>
      <c r="C60" t="s">
        <v>219</v>
      </c>
      <c r="D60" t="s">
        <v>450</v>
      </c>
      <c r="E60" t="s">
        <v>451</v>
      </c>
      <c r="F60" t="s">
        <v>117</v>
      </c>
      <c r="G60" t="s">
        <v>452</v>
      </c>
      <c r="H60" t="s">
        <v>107</v>
      </c>
      <c r="I60" t="s">
        <v>127</v>
      </c>
      <c r="J60">
        <v>0</v>
      </c>
      <c r="K60" t="s">
        <v>37</v>
      </c>
      <c r="L60" t="s">
        <v>108</v>
      </c>
      <c r="M60">
        <v>99</v>
      </c>
      <c r="N60" t="s">
        <v>41</v>
      </c>
      <c r="O60" t="s">
        <v>37</v>
      </c>
      <c r="P60" t="s">
        <v>442</v>
      </c>
      <c r="Q60" t="s">
        <v>38</v>
      </c>
      <c r="R60" t="s">
        <v>32</v>
      </c>
      <c r="S60" t="s">
        <v>37</v>
      </c>
      <c r="T60" t="s">
        <v>32</v>
      </c>
      <c r="U60" t="s">
        <v>32</v>
      </c>
      <c r="V60" t="s">
        <v>32</v>
      </c>
      <c r="W60" t="s">
        <v>32</v>
      </c>
      <c r="X60" t="s">
        <v>225</v>
      </c>
      <c r="Y60" t="s">
        <v>226</v>
      </c>
      <c r="Z60" t="s">
        <v>139</v>
      </c>
      <c r="AA60" t="s">
        <v>227</v>
      </c>
      <c r="AB60" t="s">
        <v>228</v>
      </c>
      <c r="AC60" t="s">
        <v>229</v>
      </c>
      <c r="AD60" t="s">
        <v>37</v>
      </c>
      <c r="AE60" t="s">
        <v>36</v>
      </c>
      <c r="AF60">
        <v>514080000</v>
      </c>
      <c r="AG60">
        <v>514080000</v>
      </c>
      <c r="AH60" t="s">
        <v>100</v>
      </c>
      <c r="AI60" t="s">
        <v>32</v>
      </c>
      <c r="AJ60" t="s">
        <v>40</v>
      </c>
      <c r="AK60" t="s">
        <v>231</v>
      </c>
    </row>
    <row r="61" spans="2:37" x14ac:dyDescent="0.25">
      <c r="B61" t="s">
        <v>197</v>
      </c>
      <c r="C61" t="s">
        <v>219</v>
      </c>
      <c r="D61" t="s">
        <v>453</v>
      </c>
      <c r="E61" t="s">
        <v>454</v>
      </c>
      <c r="F61" t="s">
        <v>117</v>
      </c>
      <c r="G61" t="s">
        <v>455</v>
      </c>
      <c r="H61" t="s">
        <v>107</v>
      </c>
      <c r="I61" t="s">
        <v>127</v>
      </c>
      <c r="J61">
        <v>0</v>
      </c>
      <c r="K61" t="s">
        <v>37</v>
      </c>
      <c r="L61" t="s">
        <v>108</v>
      </c>
      <c r="M61">
        <v>99</v>
      </c>
      <c r="N61" t="s">
        <v>41</v>
      </c>
      <c r="O61" t="s">
        <v>37</v>
      </c>
      <c r="P61" t="s">
        <v>442</v>
      </c>
      <c r="Q61" t="s">
        <v>38</v>
      </c>
      <c r="R61" t="s">
        <v>32</v>
      </c>
      <c r="S61" t="s">
        <v>37</v>
      </c>
      <c r="T61" t="s">
        <v>32</v>
      </c>
      <c r="U61" t="s">
        <v>32</v>
      </c>
      <c r="V61" t="s">
        <v>32</v>
      </c>
      <c r="W61" t="s">
        <v>32</v>
      </c>
      <c r="X61" t="s">
        <v>225</v>
      </c>
      <c r="Y61" t="s">
        <v>226</v>
      </c>
      <c r="Z61" t="s">
        <v>139</v>
      </c>
      <c r="AA61" t="s">
        <v>227</v>
      </c>
      <c r="AB61" t="s">
        <v>228</v>
      </c>
      <c r="AC61" t="s">
        <v>229</v>
      </c>
      <c r="AD61" t="s">
        <v>37</v>
      </c>
      <c r="AE61" t="s">
        <v>36</v>
      </c>
      <c r="AF61">
        <v>171375000</v>
      </c>
      <c r="AG61">
        <v>171375000</v>
      </c>
      <c r="AH61" t="s">
        <v>100</v>
      </c>
      <c r="AI61" t="s">
        <v>32</v>
      </c>
      <c r="AJ61" t="s">
        <v>40</v>
      </c>
      <c r="AK61" t="s">
        <v>231</v>
      </c>
    </row>
    <row r="62" spans="2:37" x14ac:dyDescent="0.25">
      <c r="B62" t="s">
        <v>201</v>
      </c>
      <c r="C62" t="s">
        <v>219</v>
      </c>
      <c r="D62" t="s">
        <v>456</v>
      </c>
      <c r="E62" t="s">
        <v>457</v>
      </c>
      <c r="F62" t="s">
        <v>114</v>
      </c>
      <c r="G62" t="s">
        <v>458</v>
      </c>
      <c r="H62" t="s">
        <v>107</v>
      </c>
      <c r="I62" t="s">
        <v>127</v>
      </c>
      <c r="J62">
        <v>0</v>
      </c>
      <c r="K62" t="s">
        <v>37</v>
      </c>
      <c r="L62" t="s">
        <v>108</v>
      </c>
      <c r="M62">
        <v>99</v>
      </c>
      <c r="N62" t="s">
        <v>41</v>
      </c>
      <c r="O62" t="s">
        <v>37</v>
      </c>
      <c r="P62" t="s">
        <v>442</v>
      </c>
      <c r="Q62" t="s">
        <v>38</v>
      </c>
      <c r="R62" t="s">
        <v>32</v>
      </c>
      <c r="S62" t="s">
        <v>37</v>
      </c>
      <c r="T62" t="s">
        <v>32</v>
      </c>
      <c r="U62" t="s">
        <v>32</v>
      </c>
      <c r="V62" t="s">
        <v>32</v>
      </c>
      <c r="W62" t="s">
        <v>32</v>
      </c>
      <c r="X62" t="s">
        <v>225</v>
      </c>
      <c r="Y62" t="s">
        <v>226</v>
      </c>
      <c r="Z62" t="s">
        <v>139</v>
      </c>
      <c r="AA62" t="s">
        <v>227</v>
      </c>
      <c r="AB62" t="s">
        <v>228</v>
      </c>
      <c r="AC62" t="s">
        <v>229</v>
      </c>
      <c r="AD62" t="s">
        <v>37</v>
      </c>
      <c r="AE62" t="s">
        <v>36</v>
      </c>
      <c r="AF62">
        <v>281000000</v>
      </c>
      <c r="AG62">
        <v>281000000</v>
      </c>
      <c r="AH62" t="s">
        <v>100</v>
      </c>
      <c r="AI62" t="s">
        <v>32</v>
      </c>
      <c r="AJ62" t="s">
        <v>40</v>
      </c>
      <c r="AK62" t="s">
        <v>231</v>
      </c>
    </row>
    <row r="63" spans="2:37" x14ac:dyDescent="0.25">
      <c r="B63" t="s">
        <v>200</v>
      </c>
      <c r="C63" t="s">
        <v>219</v>
      </c>
      <c r="D63" t="s">
        <v>459</v>
      </c>
      <c r="E63" t="s">
        <v>460</v>
      </c>
      <c r="F63" t="s">
        <v>461</v>
      </c>
      <c r="G63" t="s">
        <v>462</v>
      </c>
      <c r="H63" t="s">
        <v>107</v>
      </c>
      <c r="I63" t="s">
        <v>127</v>
      </c>
      <c r="J63">
        <v>0</v>
      </c>
      <c r="K63" t="s">
        <v>37</v>
      </c>
      <c r="L63" t="s">
        <v>108</v>
      </c>
      <c r="M63">
        <v>1</v>
      </c>
      <c r="N63" t="s">
        <v>35</v>
      </c>
      <c r="O63" t="s">
        <v>37</v>
      </c>
      <c r="P63" t="s">
        <v>442</v>
      </c>
      <c r="Q63" t="s">
        <v>38</v>
      </c>
      <c r="R63" t="s">
        <v>32</v>
      </c>
      <c r="S63" t="s">
        <v>37</v>
      </c>
      <c r="T63" t="s">
        <v>32</v>
      </c>
      <c r="U63" t="s">
        <v>32</v>
      </c>
      <c r="V63" t="s">
        <v>32</v>
      </c>
      <c r="W63" t="s">
        <v>32</v>
      </c>
      <c r="X63" t="s">
        <v>225</v>
      </c>
      <c r="Y63" t="s">
        <v>226</v>
      </c>
      <c r="Z63" t="s">
        <v>139</v>
      </c>
      <c r="AA63" t="s">
        <v>227</v>
      </c>
      <c r="AB63" t="s">
        <v>228</v>
      </c>
      <c r="AC63" t="s">
        <v>229</v>
      </c>
      <c r="AD63" t="s">
        <v>37</v>
      </c>
      <c r="AE63" t="s">
        <v>36</v>
      </c>
      <c r="AF63">
        <v>168630000</v>
      </c>
      <c r="AG63">
        <v>168630000</v>
      </c>
      <c r="AH63" t="s">
        <v>100</v>
      </c>
      <c r="AI63" t="s">
        <v>32</v>
      </c>
      <c r="AJ63" t="s">
        <v>40</v>
      </c>
      <c r="AK63" t="s">
        <v>231</v>
      </c>
    </row>
    <row r="64" spans="2:37" x14ac:dyDescent="0.25">
      <c r="B64" t="s">
        <v>198</v>
      </c>
      <c r="C64" t="s">
        <v>444</v>
      </c>
      <c r="D64" t="s">
        <v>463</v>
      </c>
      <c r="E64" t="s">
        <v>37</v>
      </c>
      <c r="F64" t="s">
        <v>120</v>
      </c>
      <c r="G64" t="s">
        <v>121</v>
      </c>
      <c r="H64" t="s">
        <v>107</v>
      </c>
      <c r="I64" t="s">
        <v>127</v>
      </c>
      <c r="J64">
        <v>0</v>
      </c>
      <c r="K64" t="s">
        <v>37</v>
      </c>
      <c r="L64" t="s">
        <v>108</v>
      </c>
      <c r="M64">
        <v>1</v>
      </c>
      <c r="N64" t="s">
        <v>35</v>
      </c>
      <c r="O64" t="s">
        <v>37</v>
      </c>
      <c r="P64" t="s">
        <v>32</v>
      </c>
      <c r="Q64" t="s">
        <v>32</v>
      </c>
      <c r="R64" t="s">
        <v>32</v>
      </c>
      <c r="S64" t="s">
        <v>37</v>
      </c>
      <c r="T64" t="s">
        <v>32</v>
      </c>
      <c r="U64" t="s">
        <v>32</v>
      </c>
      <c r="V64" t="s">
        <v>32</v>
      </c>
      <c r="W64" t="s">
        <v>32</v>
      </c>
      <c r="X64" t="s">
        <v>447</v>
      </c>
      <c r="Y64" t="s">
        <v>226</v>
      </c>
      <c r="Z64" t="s">
        <v>139</v>
      </c>
      <c r="AA64" t="s">
        <v>227</v>
      </c>
      <c r="AB64" t="s">
        <v>228</v>
      </c>
      <c r="AC64" t="s">
        <v>229</v>
      </c>
      <c r="AD64" t="s">
        <v>37</v>
      </c>
      <c r="AE64" t="s">
        <v>36</v>
      </c>
      <c r="AF64">
        <v>80000000</v>
      </c>
      <c r="AG64">
        <v>80000000</v>
      </c>
      <c r="AH64" t="s">
        <v>101</v>
      </c>
      <c r="AI64" t="s">
        <v>32</v>
      </c>
      <c r="AJ64" t="s">
        <v>448</v>
      </c>
      <c r="AK64" t="s">
        <v>449</v>
      </c>
    </row>
    <row r="65" spans="2:37" x14ac:dyDescent="0.25">
      <c r="B65" t="s">
        <v>206</v>
      </c>
      <c r="C65" t="s">
        <v>219</v>
      </c>
      <c r="D65" t="s">
        <v>464</v>
      </c>
      <c r="E65" t="s">
        <v>465</v>
      </c>
      <c r="F65" t="s">
        <v>111</v>
      </c>
      <c r="G65" t="s">
        <v>110</v>
      </c>
      <c r="H65" t="s">
        <v>107</v>
      </c>
      <c r="I65" t="s">
        <v>127</v>
      </c>
      <c r="J65">
        <v>0</v>
      </c>
      <c r="K65" t="s">
        <v>37</v>
      </c>
      <c r="L65" t="s">
        <v>108</v>
      </c>
      <c r="M65">
        <v>1</v>
      </c>
      <c r="N65" t="s">
        <v>35</v>
      </c>
      <c r="O65" t="s">
        <v>37</v>
      </c>
      <c r="P65" t="s">
        <v>32</v>
      </c>
      <c r="Q65" t="s">
        <v>32</v>
      </c>
      <c r="R65" t="s">
        <v>32</v>
      </c>
      <c r="S65" t="s">
        <v>37</v>
      </c>
      <c r="T65">
        <v>-61.790560609508915</v>
      </c>
      <c r="U65">
        <v>13.065263</v>
      </c>
      <c r="V65" t="s">
        <v>32</v>
      </c>
      <c r="W65" t="s">
        <v>32</v>
      </c>
      <c r="X65" t="s">
        <v>225</v>
      </c>
      <c r="Y65" t="s">
        <v>226</v>
      </c>
      <c r="Z65" t="s">
        <v>139</v>
      </c>
      <c r="AA65" t="s">
        <v>227</v>
      </c>
      <c r="AB65" t="s">
        <v>228</v>
      </c>
      <c r="AC65" t="s">
        <v>229</v>
      </c>
      <c r="AD65" t="s">
        <v>37</v>
      </c>
      <c r="AE65" t="s">
        <v>36</v>
      </c>
      <c r="AF65">
        <v>85000000</v>
      </c>
      <c r="AG65">
        <v>85000000</v>
      </c>
      <c r="AH65" t="s">
        <v>100</v>
      </c>
      <c r="AI65" t="s">
        <v>32</v>
      </c>
      <c r="AJ65" t="s">
        <v>40</v>
      </c>
      <c r="AK65" t="s">
        <v>231</v>
      </c>
    </row>
    <row r="66" spans="2:37" x14ac:dyDescent="0.25">
      <c r="B66" t="s">
        <v>211</v>
      </c>
      <c r="C66" t="s">
        <v>280</v>
      </c>
      <c r="D66" t="s">
        <v>466</v>
      </c>
      <c r="E66" t="s">
        <v>467</v>
      </c>
      <c r="F66" t="s">
        <v>132</v>
      </c>
      <c r="G66" t="s">
        <v>468</v>
      </c>
      <c r="H66" t="s">
        <v>107</v>
      </c>
      <c r="I66" t="s">
        <v>31</v>
      </c>
      <c r="J66">
        <v>8.86</v>
      </c>
      <c r="K66" t="s">
        <v>37</v>
      </c>
      <c r="L66" t="s">
        <v>108</v>
      </c>
      <c r="M66">
        <v>1</v>
      </c>
      <c r="N66" t="s">
        <v>35</v>
      </c>
      <c r="O66" t="s">
        <v>37</v>
      </c>
      <c r="P66" t="s">
        <v>223</v>
      </c>
      <c r="Q66" t="s">
        <v>224</v>
      </c>
      <c r="R66" t="s">
        <v>223</v>
      </c>
      <c r="S66">
        <v>2</v>
      </c>
      <c r="T66">
        <v>-94.377194115754293</v>
      </c>
      <c r="U66">
        <v>13.016795999999999</v>
      </c>
      <c r="V66" t="s">
        <v>32</v>
      </c>
      <c r="W66" t="s">
        <v>32</v>
      </c>
      <c r="X66" t="s">
        <v>284</v>
      </c>
      <c r="Y66" t="s">
        <v>226</v>
      </c>
      <c r="Z66" t="s">
        <v>139</v>
      </c>
      <c r="AA66" t="s">
        <v>227</v>
      </c>
      <c r="AB66" t="s">
        <v>269</v>
      </c>
      <c r="AC66" t="s">
        <v>229</v>
      </c>
      <c r="AD66" t="s">
        <v>469</v>
      </c>
      <c r="AE66" t="s">
        <v>36</v>
      </c>
      <c r="AF66">
        <v>60000000</v>
      </c>
      <c r="AG66">
        <v>60000000</v>
      </c>
      <c r="AH66" t="s">
        <v>100</v>
      </c>
      <c r="AI66" t="s">
        <v>32</v>
      </c>
      <c r="AJ66" t="s">
        <v>286</v>
      </c>
      <c r="AK66" t="s">
        <v>287</v>
      </c>
    </row>
    <row r="67" spans="2:37" x14ac:dyDescent="0.25">
      <c r="B67" t="s">
        <v>205</v>
      </c>
      <c r="C67" t="s">
        <v>232</v>
      </c>
      <c r="D67" t="s">
        <v>470</v>
      </c>
      <c r="E67" t="s">
        <v>471</v>
      </c>
      <c r="F67" t="s">
        <v>136</v>
      </c>
      <c r="G67" t="s">
        <v>124</v>
      </c>
      <c r="H67" t="s">
        <v>107</v>
      </c>
      <c r="I67" t="s">
        <v>127</v>
      </c>
      <c r="J67">
        <v>0</v>
      </c>
      <c r="K67" t="s">
        <v>37</v>
      </c>
      <c r="L67" t="s">
        <v>108</v>
      </c>
      <c r="M67">
        <v>1</v>
      </c>
      <c r="N67" t="s">
        <v>35</v>
      </c>
      <c r="O67" t="s">
        <v>37</v>
      </c>
      <c r="P67" t="s">
        <v>32</v>
      </c>
      <c r="Q67" t="s">
        <v>32</v>
      </c>
      <c r="R67" t="s">
        <v>32</v>
      </c>
      <c r="S67" t="s">
        <v>37</v>
      </c>
      <c r="T67">
        <v>-17.23631939447845</v>
      </c>
      <c r="U67">
        <v>13.463384</v>
      </c>
      <c r="V67" t="s">
        <v>32</v>
      </c>
      <c r="W67" t="s">
        <v>32</v>
      </c>
      <c r="X67" t="s">
        <v>225</v>
      </c>
      <c r="Y67" t="s">
        <v>226</v>
      </c>
      <c r="Z67" t="s">
        <v>139</v>
      </c>
      <c r="AA67" t="s">
        <v>227</v>
      </c>
      <c r="AB67" t="s">
        <v>228</v>
      </c>
      <c r="AC67" t="s">
        <v>229</v>
      </c>
      <c r="AD67" t="s">
        <v>37</v>
      </c>
      <c r="AE67" t="s">
        <v>36</v>
      </c>
      <c r="AF67">
        <v>40230000</v>
      </c>
      <c r="AG67">
        <v>40230000</v>
      </c>
      <c r="AH67" t="s">
        <v>100</v>
      </c>
      <c r="AI67" t="s">
        <v>32</v>
      </c>
      <c r="AJ67" t="s">
        <v>40</v>
      </c>
      <c r="AK67" t="s">
        <v>231</v>
      </c>
    </row>
    <row r="68" spans="2:37" x14ac:dyDescent="0.25">
      <c r="B68" t="s">
        <v>207</v>
      </c>
      <c r="C68" t="s">
        <v>232</v>
      </c>
      <c r="D68" t="s">
        <v>472</v>
      </c>
      <c r="E68" t="s">
        <v>473</v>
      </c>
      <c r="F68" t="s">
        <v>135</v>
      </c>
      <c r="G68" t="s">
        <v>73</v>
      </c>
      <c r="H68" t="s">
        <v>107</v>
      </c>
      <c r="I68" t="s">
        <v>127</v>
      </c>
      <c r="J68">
        <v>0</v>
      </c>
      <c r="K68" t="s">
        <v>37</v>
      </c>
      <c r="L68" t="s">
        <v>108</v>
      </c>
      <c r="M68">
        <v>1</v>
      </c>
      <c r="N68" t="s">
        <v>35</v>
      </c>
      <c r="O68" t="s">
        <v>37</v>
      </c>
      <c r="P68" t="s">
        <v>32</v>
      </c>
      <c r="Q68" t="s">
        <v>32</v>
      </c>
      <c r="R68" t="s">
        <v>32</v>
      </c>
      <c r="S68" t="s">
        <v>37</v>
      </c>
      <c r="T68">
        <v>-92.860341236572097</v>
      </c>
      <c r="U68">
        <v>13.684896999999999</v>
      </c>
      <c r="V68">
        <v>3</v>
      </c>
      <c r="W68">
        <v>880000</v>
      </c>
      <c r="X68" t="s">
        <v>225</v>
      </c>
      <c r="Y68" t="s">
        <v>226</v>
      </c>
      <c r="Z68" t="s">
        <v>139</v>
      </c>
      <c r="AA68" t="s">
        <v>227</v>
      </c>
      <c r="AB68" t="s">
        <v>285</v>
      </c>
      <c r="AC68" t="s">
        <v>229</v>
      </c>
      <c r="AD68" t="s">
        <v>37</v>
      </c>
      <c r="AE68" t="s">
        <v>36</v>
      </c>
      <c r="AF68">
        <v>180000000</v>
      </c>
      <c r="AG68">
        <v>120100000</v>
      </c>
      <c r="AH68" t="s">
        <v>100</v>
      </c>
      <c r="AI68" t="s">
        <v>32</v>
      </c>
      <c r="AJ68" t="s">
        <v>40</v>
      </c>
      <c r="AK68" t="s">
        <v>231</v>
      </c>
    </row>
    <row r="69" spans="2:37" x14ac:dyDescent="0.25">
      <c r="B69" t="s">
        <v>204</v>
      </c>
      <c r="C69" t="s">
        <v>280</v>
      </c>
      <c r="D69" t="s">
        <v>474</v>
      </c>
      <c r="E69" t="s">
        <v>475</v>
      </c>
      <c r="F69" t="s">
        <v>476</v>
      </c>
      <c r="G69" t="s">
        <v>477</v>
      </c>
      <c r="H69" t="s">
        <v>107</v>
      </c>
      <c r="I69" t="s">
        <v>31</v>
      </c>
      <c r="J69">
        <v>9.7100000000000009</v>
      </c>
      <c r="K69" t="s">
        <v>37</v>
      </c>
      <c r="L69" t="s">
        <v>108</v>
      </c>
      <c r="M69">
        <v>1</v>
      </c>
      <c r="N69" t="s">
        <v>35</v>
      </c>
      <c r="O69" t="s">
        <v>37</v>
      </c>
      <c r="P69" t="s">
        <v>223</v>
      </c>
      <c r="Q69" t="s">
        <v>224</v>
      </c>
      <c r="R69" t="s">
        <v>223</v>
      </c>
      <c r="S69">
        <v>2</v>
      </c>
      <c r="T69">
        <v>-114.19046839371205</v>
      </c>
      <c r="U69">
        <v>13.281529000000001</v>
      </c>
      <c r="V69" t="s">
        <v>32</v>
      </c>
      <c r="W69" t="s">
        <v>32</v>
      </c>
      <c r="X69" t="s">
        <v>284</v>
      </c>
      <c r="Y69" t="s">
        <v>226</v>
      </c>
      <c r="Z69" t="s">
        <v>139</v>
      </c>
      <c r="AA69" t="s">
        <v>227</v>
      </c>
      <c r="AB69" t="s">
        <v>228</v>
      </c>
      <c r="AC69" t="s">
        <v>229</v>
      </c>
      <c r="AD69" t="s">
        <v>478</v>
      </c>
      <c r="AE69" t="s">
        <v>36</v>
      </c>
      <c r="AF69">
        <v>6000000</v>
      </c>
      <c r="AG69">
        <v>6000000</v>
      </c>
      <c r="AH69" t="s">
        <v>100</v>
      </c>
      <c r="AI69" t="s">
        <v>32</v>
      </c>
      <c r="AJ69" t="s">
        <v>286</v>
      </c>
      <c r="AK69" t="s">
        <v>287</v>
      </c>
    </row>
    <row r="70" spans="2:37" x14ac:dyDescent="0.25">
      <c r="B70" t="s">
        <v>208</v>
      </c>
      <c r="C70" t="s">
        <v>219</v>
      </c>
      <c r="D70" t="s">
        <v>479</v>
      </c>
      <c r="E70" t="s">
        <v>480</v>
      </c>
      <c r="F70" t="s">
        <v>92</v>
      </c>
      <c r="G70" t="s">
        <v>123</v>
      </c>
      <c r="H70" t="s">
        <v>107</v>
      </c>
      <c r="I70" t="s">
        <v>31</v>
      </c>
      <c r="J70">
        <v>8</v>
      </c>
      <c r="K70" t="s">
        <v>37</v>
      </c>
      <c r="L70" t="s">
        <v>108</v>
      </c>
      <c r="M70">
        <v>1</v>
      </c>
      <c r="N70" t="s">
        <v>35</v>
      </c>
      <c r="O70" t="s">
        <v>37</v>
      </c>
      <c r="P70" t="s">
        <v>32</v>
      </c>
      <c r="Q70" t="s">
        <v>32</v>
      </c>
      <c r="R70" t="s">
        <v>32</v>
      </c>
      <c r="S70">
        <v>2</v>
      </c>
      <c r="T70">
        <v>-30.739862007838248</v>
      </c>
      <c r="U70">
        <v>13.359643</v>
      </c>
      <c r="V70" t="s">
        <v>32</v>
      </c>
      <c r="W70" t="s">
        <v>32</v>
      </c>
      <c r="X70" t="s">
        <v>225</v>
      </c>
      <c r="Y70" t="s">
        <v>226</v>
      </c>
      <c r="Z70" t="s">
        <v>139</v>
      </c>
      <c r="AA70" t="s">
        <v>227</v>
      </c>
      <c r="AB70" t="s">
        <v>228</v>
      </c>
      <c r="AC70" t="s">
        <v>229</v>
      </c>
      <c r="AD70" t="s">
        <v>481</v>
      </c>
      <c r="AE70" t="s">
        <v>36</v>
      </c>
      <c r="AF70">
        <v>19500000</v>
      </c>
      <c r="AG70">
        <v>19500000</v>
      </c>
      <c r="AH70" t="s">
        <v>100</v>
      </c>
      <c r="AI70" t="s">
        <v>32</v>
      </c>
      <c r="AJ70" t="s">
        <v>40</v>
      </c>
      <c r="AK70" t="s">
        <v>231</v>
      </c>
    </row>
    <row r="71" spans="2:37" x14ac:dyDescent="0.25">
      <c r="B71" t="s">
        <v>210</v>
      </c>
      <c r="C71" t="s">
        <v>219</v>
      </c>
      <c r="D71" t="s">
        <v>482</v>
      </c>
      <c r="E71" t="s">
        <v>483</v>
      </c>
      <c r="F71" t="s">
        <v>484</v>
      </c>
      <c r="G71" t="s">
        <v>74</v>
      </c>
      <c r="H71" t="s">
        <v>107</v>
      </c>
      <c r="I71" t="s">
        <v>31</v>
      </c>
      <c r="J71">
        <v>8.1</v>
      </c>
      <c r="K71" t="s">
        <v>37</v>
      </c>
      <c r="L71" t="s">
        <v>108</v>
      </c>
      <c r="M71">
        <v>1</v>
      </c>
      <c r="N71" t="s">
        <v>35</v>
      </c>
      <c r="O71" t="s">
        <v>37</v>
      </c>
      <c r="P71" t="s">
        <v>32</v>
      </c>
      <c r="Q71" t="s">
        <v>32</v>
      </c>
      <c r="R71" t="s">
        <v>32</v>
      </c>
      <c r="S71">
        <v>2</v>
      </c>
      <c r="T71">
        <v>-253.67807448283716</v>
      </c>
      <c r="U71">
        <v>12.076719000000001</v>
      </c>
      <c r="V71" t="s">
        <v>32</v>
      </c>
      <c r="W71" t="s">
        <v>32</v>
      </c>
      <c r="X71" t="s">
        <v>225</v>
      </c>
      <c r="Y71" t="s">
        <v>226</v>
      </c>
      <c r="Z71" t="s">
        <v>139</v>
      </c>
      <c r="AA71" t="s">
        <v>227</v>
      </c>
      <c r="AB71" t="s">
        <v>228</v>
      </c>
      <c r="AC71" t="s">
        <v>229</v>
      </c>
      <c r="AD71" t="s">
        <v>485</v>
      </c>
      <c r="AE71" t="s">
        <v>36</v>
      </c>
      <c r="AF71">
        <v>12000000</v>
      </c>
      <c r="AG71">
        <v>12000000</v>
      </c>
      <c r="AH71" t="s">
        <v>100</v>
      </c>
      <c r="AI71" t="s">
        <v>32</v>
      </c>
      <c r="AJ71" t="s">
        <v>40</v>
      </c>
      <c r="AK71" t="s">
        <v>231</v>
      </c>
    </row>
    <row r="72" spans="2:37" x14ac:dyDescent="0.25">
      <c r="B72" t="s">
        <v>209</v>
      </c>
      <c r="C72" t="s">
        <v>244</v>
      </c>
      <c r="D72" t="s">
        <v>486</v>
      </c>
      <c r="E72" t="s">
        <v>487</v>
      </c>
      <c r="F72" t="s">
        <v>58</v>
      </c>
      <c r="G72" t="s">
        <v>64</v>
      </c>
      <c r="H72" t="s">
        <v>107</v>
      </c>
      <c r="I72" t="s">
        <v>127</v>
      </c>
      <c r="J72">
        <v>0</v>
      </c>
      <c r="K72" t="s">
        <v>37</v>
      </c>
      <c r="L72" t="s">
        <v>108</v>
      </c>
      <c r="M72">
        <v>99</v>
      </c>
      <c r="N72" t="s">
        <v>41</v>
      </c>
      <c r="O72" t="s">
        <v>37</v>
      </c>
      <c r="P72" t="s">
        <v>32</v>
      </c>
      <c r="Q72" t="s">
        <v>32</v>
      </c>
      <c r="R72" t="s">
        <v>32</v>
      </c>
      <c r="S72" t="s">
        <v>37</v>
      </c>
      <c r="T72" t="s">
        <v>32</v>
      </c>
      <c r="U72" t="s">
        <v>32</v>
      </c>
      <c r="V72" t="s">
        <v>32</v>
      </c>
      <c r="W72" t="s">
        <v>32</v>
      </c>
      <c r="X72" t="s">
        <v>249</v>
      </c>
      <c r="Y72" t="s">
        <v>226</v>
      </c>
      <c r="Z72" t="s">
        <v>139</v>
      </c>
      <c r="AA72" t="s">
        <v>227</v>
      </c>
      <c r="AB72" t="s">
        <v>228</v>
      </c>
      <c r="AC72" t="s">
        <v>229</v>
      </c>
      <c r="AD72" t="s">
        <v>37</v>
      </c>
      <c r="AE72" t="s">
        <v>36</v>
      </c>
      <c r="AF72">
        <v>46790000</v>
      </c>
      <c r="AG72">
        <v>46790000</v>
      </c>
      <c r="AH72" t="s">
        <v>100</v>
      </c>
      <c r="AI72" t="s">
        <v>32</v>
      </c>
      <c r="AJ72" t="s">
        <v>113</v>
      </c>
      <c r="AK72" t="s">
        <v>250</v>
      </c>
    </row>
    <row r="73" spans="2:37" x14ac:dyDescent="0.25">
      <c r="B73" t="s">
        <v>212</v>
      </c>
      <c r="C73" t="s">
        <v>444</v>
      </c>
      <c r="D73" t="s">
        <v>488</v>
      </c>
      <c r="E73" t="s">
        <v>489</v>
      </c>
      <c r="F73" t="s">
        <v>490</v>
      </c>
      <c r="G73" t="s">
        <v>129</v>
      </c>
      <c r="H73" t="s">
        <v>107</v>
      </c>
      <c r="I73" t="s">
        <v>127</v>
      </c>
      <c r="J73">
        <v>0</v>
      </c>
      <c r="K73" t="s">
        <v>37</v>
      </c>
      <c r="L73" t="s">
        <v>108</v>
      </c>
      <c r="M73">
        <v>1</v>
      </c>
      <c r="N73" t="s">
        <v>35</v>
      </c>
      <c r="O73" t="s">
        <v>37</v>
      </c>
      <c r="P73" t="s">
        <v>32</v>
      </c>
      <c r="Q73" t="s">
        <v>32</v>
      </c>
      <c r="R73" t="s">
        <v>32</v>
      </c>
      <c r="S73" t="s">
        <v>37</v>
      </c>
      <c r="T73" t="s">
        <v>32</v>
      </c>
      <c r="U73" t="s">
        <v>32</v>
      </c>
      <c r="V73" t="s">
        <v>32</v>
      </c>
      <c r="W73" t="s">
        <v>32</v>
      </c>
      <c r="X73" t="s">
        <v>447</v>
      </c>
      <c r="Y73" t="s">
        <v>226</v>
      </c>
      <c r="Z73" t="s">
        <v>139</v>
      </c>
      <c r="AA73" t="s">
        <v>227</v>
      </c>
      <c r="AB73" t="s">
        <v>228</v>
      </c>
      <c r="AC73" t="s">
        <v>229</v>
      </c>
      <c r="AD73" t="s">
        <v>37</v>
      </c>
      <c r="AE73" t="s">
        <v>36</v>
      </c>
      <c r="AF73">
        <v>260750000</v>
      </c>
      <c r="AG73">
        <v>260750000</v>
      </c>
      <c r="AH73" t="s">
        <v>100</v>
      </c>
      <c r="AI73" t="s">
        <v>32</v>
      </c>
      <c r="AJ73" t="s">
        <v>448</v>
      </c>
      <c r="AK73" t="s">
        <v>449</v>
      </c>
    </row>
    <row r="74" spans="2:37" x14ac:dyDescent="0.25">
      <c r="B74" t="s">
        <v>213</v>
      </c>
      <c r="C74" t="s">
        <v>373</v>
      </c>
      <c r="D74" t="s">
        <v>491</v>
      </c>
      <c r="E74" t="s">
        <v>492</v>
      </c>
      <c r="F74" t="s">
        <v>493</v>
      </c>
      <c r="G74" t="s">
        <v>494</v>
      </c>
      <c r="H74" t="s">
        <v>107</v>
      </c>
      <c r="I74" t="s">
        <v>31</v>
      </c>
      <c r="J74">
        <v>9.65</v>
      </c>
      <c r="K74" t="s">
        <v>37</v>
      </c>
      <c r="L74" t="s">
        <v>108</v>
      </c>
      <c r="M74">
        <v>1</v>
      </c>
      <c r="N74" t="s">
        <v>35</v>
      </c>
      <c r="O74" t="s">
        <v>37</v>
      </c>
      <c r="P74" t="s">
        <v>32</v>
      </c>
      <c r="Q74" t="s">
        <v>224</v>
      </c>
      <c r="R74" t="s">
        <v>32</v>
      </c>
      <c r="S74">
        <v>1</v>
      </c>
      <c r="T74">
        <v>-105.66356298379293</v>
      </c>
      <c r="U74">
        <v>12.899488999999999</v>
      </c>
      <c r="V74" t="s">
        <v>32</v>
      </c>
      <c r="W74" t="s">
        <v>32</v>
      </c>
      <c r="X74" t="s">
        <v>378</v>
      </c>
      <c r="Y74" t="s">
        <v>226</v>
      </c>
      <c r="Z74" t="s">
        <v>139</v>
      </c>
      <c r="AA74" t="s">
        <v>227</v>
      </c>
      <c r="AB74" t="s">
        <v>228</v>
      </c>
      <c r="AC74" t="s">
        <v>229</v>
      </c>
      <c r="AD74" t="s">
        <v>65</v>
      </c>
      <c r="AE74" t="s">
        <v>36</v>
      </c>
      <c r="AF74">
        <v>58800000</v>
      </c>
      <c r="AG74">
        <v>58800000</v>
      </c>
      <c r="AH74" t="s">
        <v>100</v>
      </c>
      <c r="AI74" t="s">
        <v>32</v>
      </c>
      <c r="AJ74" t="s">
        <v>40</v>
      </c>
      <c r="AK74" t="s">
        <v>380</v>
      </c>
    </row>
    <row r="75" spans="2:37" x14ac:dyDescent="0.25">
      <c r="B75" t="s">
        <v>214</v>
      </c>
      <c r="C75" t="s">
        <v>244</v>
      </c>
      <c r="D75" t="s">
        <v>495</v>
      </c>
      <c r="E75" t="s">
        <v>496</v>
      </c>
      <c r="F75" t="s">
        <v>497</v>
      </c>
      <c r="G75" t="s">
        <v>130</v>
      </c>
      <c r="H75" t="s">
        <v>107</v>
      </c>
      <c r="I75" t="s">
        <v>127</v>
      </c>
      <c r="J75">
        <v>0</v>
      </c>
      <c r="K75" t="s">
        <v>37</v>
      </c>
      <c r="L75" t="s">
        <v>108</v>
      </c>
      <c r="M75">
        <v>99</v>
      </c>
      <c r="N75" t="s">
        <v>41</v>
      </c>
      <c r="O75" t="s">
        <v>37</v>
      </c>
      <c r="P75" t="s">
        <v>32</v>
      </c>
      <c r="Q75" t="s">
        <v>32</v>
      </c>
      <c r="R75" t="s">
        <v>32</v>
      </c>
      <c r="S75" t="s">
        <v>37</v>
      </c>
      <c r="T75" t="s">
        <v>32</v>
      </c>
      <c r="U75" t="s">
        <v>32</v>
      </c>
      <c r="V75" t="s">
        <v>32</v>
      </c>
      <c r="W75" t="s">
        <v>32</v>
      </c>
      <c r="X75" t="s">
        <v>249</v>
      </c>
      <c r="Y75" t="s">
        <v>226</v>
      </c>
      <c r="Z75" t="s">
        <v>139</v>
      </c>
      <c r="AA75" t="s">
        <v>227</v>
      </c>
      <c r="AB75" t="s">
        <v>228</v>
      </c>
      <c r="AC75" t="s">
        <v>229</v>
      </c>
      <c r="AD75" t="s">
        <v>37</v>
      </c>
      <c r="AE75" t="s">
        <v>36</v>
      </c>
      <c r="AF75">
        <v>103100000</v>
      </c>
      <c r="AG75">
        <v>103100000</v>
      </c>
      <c r="AH75" t="s">
        <v>100</v>
      </c>
      <c r="AI75" t="s">
        <v>32</v>
      </c>
      <c r="AJ75" t="s">
        <v>113</v>
      </c>
      <c r="AK75" t="s">
        <v>250</v>
      </c>
    </row>
    <row r="76" spans="2:37" x14ac:dyDescent="0.25">
      <c r="B76" t="s">
        <v>215</v>
      </c>
      <c r="C76" t="s">
        <v>498</v>
      </c>
      <c r="D76" t="s">
        <v>499</v>
      </c>
      <c r="E76" t="s">
        <v>37</v>
      </c>
      <c r="F76" t="s">
        <v>500</v>
      </c>
      <c r="G76" t="s">
        <v>501</v>
      </c>
      <c r="H76" t="s">
        <v>107</v>
      </c>
      <c r="I76" t="s">
        <v>109</v>
      </c>
      <c r="J76">
        <v>14.65</v>
      </c>
      <c r="K76">
        <v>0</v>
      </c>
      <c r="L76" t="s">
        <v>37</v>
      </c>
      <c r="M76">
        <v>1421</v>
      </c>
      <c r="N76" t="s">
        <v>502</v>
      </c>
      <c r="O76" t="s">
        <v>37</v>
      </c>
      <c r="P76" t="s">
        <v>32</v>
      </c>
      <c r="Q76" t="s">
        <v>37</v>
      </c>
      <c r="R76" t="s">
        <v>32</v>
      </c>
      <c r="S76">
        <v>12</v>
      </c>
      <c r="T76" t="s">
        <v>37</v>
      </c>
      <c r="U76" t="s">
        <v>37</v>
      </c>
      <c r="V76" t="s">
        <v>32</v>
      </c>
      <c r="W76" t="s">
        <v>32</v>
      </c>
      <c r="X76" t="s">
        <v>37</v>
      </c>
      <c r="Y76" t="s">
        <v>37</v>
      </c>
      <c r="Z76" t="s">
        <v>33</v>
      </c>
      <c r="AA76" t="s">
        <v>34</v>
      </c>
      <c r="AB76" t="s">
        <v>37</v>
      </c>
      <c r="AC76" t="s">
        <v>37</v>
      </c>
      <c r="AD76" t="s">
        <v>503</v>
      </c>
      <c r="AE76" t="s">
        <v>37</v>
      </c>
      <c r="AF76" t="s">
        <v>37</v>
      </c>
      <c r="AG76" t="s">
        <v>37</v>
      </c>
      <c r="AH76" t="s">
        <v>37</v>
      </c>
      <c r="AI76" t="s">
        <v>112</v>
      </c>
      <c r="AJ76" t="s">
        <v>112</v>
      </c>
      <c r="AK76" t="s">
        <v>112</v>
      </c>
    </row>
    <row r="77" spans="2:37" x14ac:dyDescent="0.25">
      <c r="B77" t="s">
        <v>216</v>
      </c>
      <c r="C77" t="s">
        <v>219</v>
      </c>
      <c r="D77" t="s">
        <v>504</v>
      </c>
      <c r="E77" t="s">
        <v>505</v>
      </c>
      <c r="F77" t="s">
        <v>115</v>
      </c>
      <c r="G77" t="s">
        <v>506</v>
      </c>
      <c r="H77" t="s">
        <v>107</v>
      </c>
      <c r="I77" t="s">
        <v>127</v>
      </c>
      <c r="J77">
        <v>0</v>
      </c>
      <c r="K77" t="s">
        <v>37</v>
      </c>
      <c r="L77" t="s">
        <v>108</v>
      </c>
      <c r="M77">
        <v>99</v>
      </c>
      <c r="N77" t="s">
        <v>41</v>
      </c>
      <c r="O77" t="s">
        <v>37</v>
      </c>
      <c r="P77" t="s">
        <v>442</v>
      </c>
      <c r="Q77" t="s">
        <v>32</v>
      </c>
      <c r="R77" t="s">
        <v>32</v>
      </c>
      <c r="S77" t="s">
        <v>37</v>
      </c>
      <c r="T77" t="s">
        <v>32</v>
      </c>
      <c r="U77" t="s">
        <v>32</v>
      </c>
      <c r="V77" t="s">
        <v>32</v>
      </c>
      <c r="W77" t="s">
        <v>32</v>
      </c>
      <c r="X77" t="s">
        <v>225</v>
      </c>
      <c r="Y77" t="s">
        <v>226</v>
      </c>
      <c r="Z77" t="s">
        <v>139</v>
      </c>
      <c r="AA77" t="s">
        <v>227</v>
      </c>
      <c r="AB77" t="s">
        <v>228</v>
      </c>
      <c r="AC77" t="s">
        <v>229</v>
      </c>
      <c r="AD77" t="s">
        <v>37</v>
      </c>
      <c r="AE77" t="s">
        <v>36</v>
      </c>
      <c r="AF77">
        <v>106000000</v>
      </c>
      <c r="AG77">
        <v>106000000</v>
      </c>
      <c r="AH77" t="s">
        <v>100</v>
      </c>
      <c r="AI77" t="s">
        <v>32</v>
      </c>
      <c r="AJ77" t="s">
        <v>40</v>
      </c>
      <c r="AK77" t="s">
        <v>231</v>
      </c>
    </row>
    <row r="78" spans="2:37" x14ac:dyDescent="0.25">
      <c r="B78" t="s">
        <v>218</v>
      </c>
      <c r="C78" t="s">
        <v>280</v>
      </c>
      <c r="D78" t="s">
        <v>507</v>
      </c>
      <c r="E78" t="s">
        <v>508</v>
      </c>
      <c r="F78" t="s">
        <v>509</v>
      </c>
      <c r="G78" t="s">
        <v>510</v>
      </c>
      <c r="H78" t="s">
        <v>107</v>
      </c>
      <c r="I78" t="s">
        <v>127</v>
      </c>
      <c r="J78">
        <v>0</v>
      </c>
      <c r="K78" t="s">
        <v>37</v>
      </c>
      <c r="L78" t="s">
        <v>108</v>
      </c>
      <c r="M78">
        <v>1</v>
      </c>
      <c r="N78" t="s">
        <v>35</v>
      </c>
      <c r="O78" t="s">
        <v>37</v>
      </c>
      <c r="P78" t="s">
        <v>223</v>
      </c>
      <c r="Q78" t="s">
        <v>224</v>
      </c>
      <c r="R78" t="s">
        <v>223</v>
      </c>
      <c r="S78" t="s">
        <v>37</v>
      </c>
      <c r="T78">
        <v>-94.463254019144216</v>
      </c>
      <c r="U78">
        <v>12.723623</v>
      </c>
      <c r="V78" t="s">
        <v>32</v>
      </c>
      <c r="W78" t="s">
        <v>32</v>
      </c>
      <c r="X78" t="s">
        <v>284</v>
      </c>
      <c r="Y78" t="s">
        <v>226</v>
      </c>
      <c r="Z78" t="s">
        <v>139</v>
      </c>
      <c r="AA78" t="s">
        <v>227</v>
      </c>
      <c r="AB78" t="s">
        <v>228</v>
      </c>
      <c r="AC78" t="s">
        <v>229</v>
      </c>
      <c r="AD78" t="s">
        <v>37</v>
      </c>
      <c r="AE78" t="s">
        <v>36</v>
      </c>
      <c r="AF78">
        <v>72000000</v>
      </c>
      <c r="AG78">
        <v>72000000</v>
      </c>
      <c r="AH78" t="s">
        <v>100</v>
      </c>
      <c r="AI78" t="s">
        <v>32</v>
      </c>
      <c r="AJ78" t="s">
        <v>286</v>
      </c>
      <c r="AK78" t="s">
        <v>287</v>
      </c>
    </row>
    <row r="79" spans="2:37" x14ac:dyDescent="0.25">
      <c r="B79" t="s">
        <v>217</v>
      </c>
      <c r="C79" t="s">
        <v>280</v>
      </c>
      <c r="D79" t="s">
        <v>511</v>
      </c>
      <c r="E79" t="s">
        <v>512</v>
      </c>
      <c r="F79" t="s">
        <v>61</v>
      </c>
      <c r="G79" t="s">
        <v>126</v>
      </c>
      <c r="H79" t="s">
        <v>107</v>
      </c>
      <c r="I79" t="s">
        <v>31</v>
      </c>
      <c r="J79">
        <v>9.5</v>
      </c>
      <c r="K79" t="s">
        <v>37</v>
      </c>
      <c r="L79" t="s">
        <v>108</v>
      </c>
      <c r="M79">
        <v>1</v>
      </c>
      <c r="N79" t="s">
        <v>35</v>
      </c>
      <c r="O79" t="s">
        <v>37</v>
      </c>
      <c r="P79" t="s">
        <v>223</v>
      </c>
      <c r="Q79" t="s">
        <v>224</v>
      </c>
      <c r="R79" t="s">
        <v>223</v>
      </c>
      <c r="S79">
        <v>2</v>
      </c>
      <c r="T79">
        <v>-62.836857008190528</v>
      </c>
      <c r="U79">
        <v>13.216260999999999</v>
      </c>
      <c r="V79" t="s">
        <v>32</v>
      </c>
      <c r="W79" t="s">
        <v>32</v>
      </c>
      <c r="X79" t="s">
        <v>284</v>
      </c>
      <c r="Y79" t="s">
        <v>226</v>
      </c>
      <c r="Z79" t="s">
        <v>139</v>
      </c>
      <c r="AA79" t="s">
        <v>227</v>
      </c>
      <c r="AB79" t="s">
        <v>228</v>
      </c>
      <c r="AC79" t="s">
        <v>229</v>
      </c>
      <c r="AD79" t="s">
        <v>98</v>
      </c>
      <c r="AE79" t="s">
        <v>36</v>
      </c>
      <c r="AF79">
        <v>6000000</v>
      </c>
      <c r="AG79">
        <v>6000000</v>
      </c>
      <c r="AH79" t="s">
        <v>100</v>
      </c>
      <c r="AI79" t="s">
        <v>32</v>
      </c>
      <c r="AJ79" t="s">
        <v>286</v>
      </c>
      <c r="AK79"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db_formulae</vt:lpstr>
      <vt:lpstr>db_values_only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Siqueira, Thiago</dc:creator>
  <cp:lastModifiedBy>Siqueira, Thiago</cp:lastModifiedBy>
  <dcterms:created xsi:type="dcterms:W3CDTF">2025-04-16T15:42:18Z</dcterms:created>
  <dcterms:modified xsi:type="dcterms:W3CDTF">2025-06-28T02:12:32Z</dcterms:modified>
</cp:coreProperties>
</file>