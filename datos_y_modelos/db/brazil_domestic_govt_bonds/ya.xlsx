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bloomberglp-my.sharepoint.com/personal/tsiqueira4_bloomberg_com/Documents/Desktop/master_thesis_economics/datos_y_modelos/db/brazil_domestic_govt_bonds/"/>
    </mc:Choice>
  </mc:AlternateContent>
  <xr:revisionPtr revIDLastSave="3510" documentId="11_F25DC773A252ABDACC10484F01DC4B1A5ADE58F3" xr6:coauthVersionLast="47" xr6:coauthVersionMax="47" xr10:uidLastSave="{3257BA7B-05A8-4B4E-8E9B-AC17F4EDB5DE}"/>
  <bookViews>
    <workbookView xWindow="-120" yWindow="-120" windowWidth="29040" windowHeight="15840" activeTab="3" xr2:uid="{00000000-000D-0000-FFFF-FFFF00000000}"/>
  </bookViews>
  <sheets>
    <sheet name="hp" sheetId="1" r:id="rId1"/>
    <sheet name="ya" sheetId="5" r:id="rId2"/>
    <sheet name="hp_values_only" sheetId="3" r:id="rId3"/>
    <sheet name="ya_value_only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129" i="5" l="1" a="1"/>
  <c r="AZ129" i="5" s="1"/>
  <c r="AX129" i="5" a="1"/>
  <c r="AX129" i="5" s="1"/>
  <c r="AZ128" i="5" a="1"/>
  <c r="AZ128" i="5" s="1"/>
  <c r="AX128" i="5"/>
  <c r="AX128" i="5" a="1"/>
  <c r="AZ127" i="5" a="1"/>
  <c r="AZ127" i="5" s="1"/>
  <c r="AX127" i="5"/>
  <c r="AX127" i="5" a="1"/>
  <c r="AZ126" i="5"/>
  <c r="AZ126" i="5" a="1"/>
  <c r="AX126" i="5" a="1"/>
  <c r="AX126" i="5" s="1"/>
  <c r="AU126" i="5"/>
  <c r="AU126" i="5" a="1"/>
  <c r="AZ125" i="5"/>
  <c r="AZ125" i="5" a="1"/>
  <c r="AX125" i="5"/>
  <c r="AX125" i="5" a="1"/>
  <c r="AU125" i="5"/>
  <c r="AU125" i="5" a="1"/>
  <c r="AZ124" i="5" a="1"/>
  <c r="AZ124" i="5" s="1"/>
  <c r="AX124" i="5" a="1"/>
  <c r="AX124" i="5" s="1"/>
  <c r="AU124" i="5"/>
  <c r="AU124" i="5" a="1"/>
  <c r="AZ123" i="5" a="1"/>
  <c r="AZ123" i="5" s="1"/>
  <c r="AX123" i="5" a="1"/>
  <c r="AX123" i="5" s="1"/>
  <c r="AW123" i="5" a="1"/>
  <c r="AW123" i="5" s="1"/>
  <c r="AU123" i="5"/>
  <c r="AU123" i="5" a="1"/>
  <c r="AZ122" i="5"/>
  <c r="AZ122" i="5" a="1"/>
  <c r="AX122" i="5" a="1"/>
  <c r="AX122" i="5" s="1"/>
  <c r="AW122" i="5"/>
  <c r="AW122" i="5" a="1"/>
  <c r="AU122" i="5" a="1"/>
  <c r="AU122" i="5" s="1"/>
  <c r="AZ121" i="5"/>
  <c r="AZ121" i="5" a="1"/>
  <c r="AX121" i="5"/>
  <c r="AX121" i="5" a="1"/>
  <c r="AW121" i="5"/>
  <c r="AW121" i="5" a="1"/>
  <c r="AU121" i="5" a="1"/>
  <c r="AU121" i="5" s="1"/>
  <c r="AZ120" i="5" a="1"/>
  <c r="AZ120" i="5" s="1"/>
  <c r="AY120" i="5" a="1"/>
  <c r="AY120" i="5" s="1"/>
  <c r="AX120" i="5"/>
  <c r="AX120" i="5" a="1"/>
  <c r="AW120" i="5"/>
  <c r="AW120" i="5" a="1"/>
  <c r="AU120" i="5"/>
  <c r="AU120" i="5" a="1"/>
  <c r="AZ119" i="5" a="1"/>
  <c r="AZ119" i="5" s="1"/>
  <c r="AY119" i="5" a="1"/>
  <c r="AY119" i="5" s="1"/>
  <c r="AX119" i="5" a="1"/>
  <c r="AX119" i="5" s="1"/>
  <c r="AW119" i="5" a="1"/>
  <c r="AW119" i="5" s="1"/>
  <c r="AU119" i="5" a="1"/>
  <c r="AU119" i="5" s="1"/>
  <c r="AZ118" i="5"/>
  <c r="AZ118" i="5" a="1"/>
  <c r="AY118" i="5" a="1"/>
  <c r="AY118" i="5" s="1"/>
  <c r="AX118" i="5"/>
  <c r="AX118" i="5" a="1"/>
  <c r="AW118" i="5" a="1"/>
  <c r="AW118" i="5" s="1"/>
  <c r="AU118" i="5" a="1"/>
  <c r="AU118" i="5" s="1"/>
  <c r="AZ117" i="5"/>
  <c r="AZ117" i="5" a="1"/>
  <c r="AY117" i="5" a="1"/>
  <c r="AY117" i="5" s="1"/>
  <c r="AX117" i="5" a="1"/>
  <c r="AX117" i="5" s="1"/>
  <c r="AW117" i="5" a="1"/>
  <c r="AW117" i="5" s="1"/>
  <c r="AU117" i="5" a="1"/>
  <c r="AU117" i="5" s="1"/>
  <c r="AT117" i="5" a="1"/>
  <c r="AT117" i="5" s="1"/>
  <c r="AS117" i="5" a="1"/>
  <c r="AS117" i="5" s="1"/>
  <c r="AP117" i="5"/>
  <c r="AP117" i="5" a="1"/>
  <c r="AZ116" i="5" a="1"/>
  <c r="AZ116" i="5" s="1"/>
  <c r="AY116" i="5"/>
  <c r="AY116" i="5" a="1"/>
  <c r="AX116" i="5" a="1"/>
  <c r="AX116" i="5" s="1"/>
  <c r="AW116" i="5"/>
  <c r="AW116" i="5" a="1"/>
  <c r="AU116" i="5" a="1"/>
  <c r="AU116" i="5" s="1"/>
  <c r="AT116" i="5" a="1"/>
  <c r="AT116" i="5" s="1"/>
  <c r="AS116" i="5"/>
  <c r="AS116" i="5" a="1"/>
  <c r="AP116" i="5" a="1"/>
  <c r="AP116" i="5" s="1"/>
  <c r="AZ115" i="5"/>
  <c r="AZ115" i="5" a="1"/>
  <c r="AY115" i="5"/>
  <c r="AY115" i="5" a="1"/>
  <c r="AX115" i="5"/>
  <c r="AX115" i="5" a="1"/>
  <c r="AW115" i="5"/>
  <c r="AW115" i="5" a="1"/>
  <c r="AU115" i="5"/>
  <c r="AU115" i="5" a="1"/>
  <c r="AT115" i="5" a="1"/>
  <c r="AT115" i="5" s="1"/>
  <c r="AS115" i="5" a="1"/>
  <c r="AS115" i="5" s="1"/>
  <c r="AP115" i="5" a="1"/>
  <c r="AP115" i="5" s="1"/>
  <c r="AZ114" i="5" a="1"/>
  <c r="AZ114" i="5" s="1"/>
  <c r="AY114" i="5" a="1"/>
  <c r="AY114" i="5" s="1"/>
  <c r="AX114" i="5" a="1"/>
  <c r="AX114" i="5" s="1"/>
  <c r="AW114" i="5"/>
  <c r="AW114" i="5" a="1"/>
  <c r="AV114" i="5"/>
  <c r="AV114" i="5" a="1"/>
  <c r="AU114" i="5"/>
  <c r="AU114" i="5" a="1"/>
  <c r="AT114" i="5" a="1"/>
  <c r="AT114" i="5" s="1"/>
  <c r="AS114" i="5"/>
  <c r="AS114" i="5" a="1"/>
  <c r="AP114" i="5" a="1"/>
  <c r="AP114" i="5" s="1"/>
  <c r="AZ113" i="5" a="1"/>
  <c r="AZ113" i="5" s="1"/>
  <c r="AY113" i="5" a="1"/>
  <c r="AY113" i="5" s="1"/>
  <c r="AX113" i="5"/>
  <c r="AX113" i="5" a="1"/>
  <c r="AW113" i="5"/>
  <c r="AW113" i="5" a="1"/>
  <c r="AV113" i="5" a="1"/>
  <c r="AV113" i="5" s="1"/>
  <c r="AU113" i="5" a="1"/>
  <c r="AU113" i="5" s="1"/>
  <c r="AT113" i="5" a="1"/>
  <c r="AT113" i="5" s="1"/>
  <c r="AS113" i="5"/>
  <c r="AS113" i="5" a="1"/>
  <c r="AP113" i="5" a="1"/>
  <c r="AP113" i="5" s="1"/>
  <c r="AZ112" i="5" a="1"/>
  <c r="AZ112" i="5" s="1"/>
  <c r="AY112" i="5"/>
  <c r="AY112" i="5" a="1"/>
  <c r="AX112" i="5" a="1"/>
  <c r="AX112" i="5" s="1"/>
  <c r="AW112" i="5" a="1"/>
  <c r="AW112" i="5" s="1"/>
  <c r="AV112" i="5" a="1"/>
  <c r="AV112" i="5" s="1"/>
  <c r="AU112" i="5" a="1"/>
  <c r="AU112" i="5" s="1"/>
  <c r="AT112" i="5"/>
  <c r="AT112" i="5" a="1"/>
  <c r="AS112" i="5"/>
  <c r="AS112" i="5" a="1"/>
  <c r="AP112" i="5" a="1"/>
  <c r="AP112" i="5" s="1"/>
  <c r="AZ111" i="5"/>
  <c r="AZ111" i="5" a="1"/>
  <c r="AY111" i="5"/>
  <c r="AY111" i="5" a="1"/>
  <c r="AX111" i="5"/>
  <c r="AX111" i="5" a="1"/>
  <c r="AW111" i="5" a="1"/>
  <c r="AW111" i="5" s="1"/>
  <c r="AV111" i="5" a="1"/>
  <c r="AV111" i="5" s="1"/>
  <c r="AU111" i="5"/>
  <c r="AU111" i="5" a="1"/>
  <c r="AT111" i="5"/>
  <c r="AT111" i="5" a="1"/>
  <c r="AS111" i="5" a="1"/>
  <c r="AS111" i="5" s="1"/>
  <c r="AP111" i="5"/>
  <c r="AP111" i="5" a="1"/>
  <c r="AO111" i="5" a="1"/>
  <c r="AO111" i="5" s="1"/>
  <c r="AZ110" i="5"/>
  <c r="AZ110" i="5" a="1"/>
  <c r="AY110" i="5"/>
  <c r="AY110" i="5" a="1"/>
  <c r="AX110" i="5"/>
  <c r="AX110" i="5" a="1"/>
  <c r="AW110" i="5"/>
  <c r="AW110" i="5" a="1"/>
  <c r="AV110" i="5"/>
  <c r="AV110" i="5" a="1"/>
  <c r="AU110" i="5" a="1"/>
  <c r="AU110" i="5" s="1"/>
  <c r="AT110" i="5" a="1"/>
  <c r="AT110" i="5" s="1"/>
  <c r="AS110" i="5"/>
  <c r="AS110" i="5" a="1"/>
  <c r="AP110" i="5"/>
  <c r="AP110" i="5" a="1"/>
  <c r="AO110" i="5" a="1"/>
  <c r="AO110" i="5" s="1"/>
  <c r="AZ109" i="5" a="1"/>
  <c r="AZ109" i="5" s="1"/>
  <c r="AY109" i="5" a="1"/>
  <c r="AY109" i="5" s="1"/>
  <c r="AX109" i="5"/>
  <c r="AX109" i="5" a="1"/>
  <c r="AW109" i="5" a="1"/>
  <c r="AW109" i="5" s="1"/>
  <c r="AV109" i="5"/>
  <c r="AV109" i="5" a="1"/>
  <c r="AU109" i="5"/>
  <c r="AU109" i="5" a="1"/>
  <c r="AT109" i="5"/>
  <c r="AT109" i="5" a="1"/>
  <c r="AS109" i="5"/>
  <c r="AS109" i="5" a="1"/>
  <c r="AP109" i="5"/>
  <c r="AP109" i="5" a="1"/>
  <c r="AO109" i="5"/>
  <c r="AO109" i="5" a="1"/>
  <c r="AZ108" i="5" a="1"/>
  <c r="AZ108" i="5" s="1"/>
  <c r="AY108" i="5"/>
  <c r="AY108" i="5" a="1"/>
  <c r="AX108" i="5" a="1"/>
  <c r="AX108" i="5" s="1"/>
  <c r="AW108" i="5" a="1"/>
  <c r="AW108" i="5" s="1"/>
  <c r="AV108" i="5" a="1"/>
  <c r="AV108" i="5" s="1"/>
  <c r="AU108" i="5" a="1"/>
  <c r="AU108" i="5" s="1"/>
  <c r="AT108" i="5"/>
  <c r="AT108" i="5" a="1"/>
  <c r="AS108" i="5" a="1"/>
  <c r="AS108" i="5" s="1"/>
  <c r="AP108" i="5"/>
  <c r="AP108" i="5" a="1"/>
  <c r="AO108" i="5"/>
  <c r="AO108" i="5" a="1"/>
  <c r="AZ107" i="5" a="1"/>
  <c r="AZ107" i="5" s="1"/>
  <c r="AY107" i="5" a="1"/>
  <c r="AY107" i="5" s="1"/>
  <c r="AX107" i="5"/>
  <c r="AX107" i="5" a="1"/>
  <c r="AW107" i="5" a="1"/>
  <c r="AW107" i="5" s="1"/>
  <c r="AV107" i="5"/>
  <c r="AV107" i="5" a="1"/>
  <c r="AU107" i="5" a="1"/>
  <c r="AU107" i="5" s="1"/>
  <c r="AT107" i="5" a="1"/>
  <c r="AT107" i="5" s="1"/>
  <c r="AS107" i="5" a="1"/>
  <c r="AS107" i="5" s="1"/>
  <c r="AP107" i="5"/>
  <c r="AP107" i="5" a="1"/>
  <c r="AO107" i="5" a="1"/>
  <c r="AO107" i="5" s="1"/>
  <c r="AZ106" i="5"/>
  <c r="AZ106" i="5" a="1"/>
  <c r="AY106" i="5"/>
  <c r="AY106" i="5" a="1"/>
  <c r="AX106" i="5" a="1"/>
  <c r="AX106" i="5" s="1"/>
  <c r="AW106" i="5" a="1"/>
  <c r="AW106" i="5" s="1"/>
  <c r="AV106" i="5" a="1"/>
  <c r="AV106" i="5" s="1"/>
  <c r="AU106" i="5"/>
  <c r="AU106" i="5" a="1"/>
  <c r="AT106" i="5"/>
  <c r="AT106" i="5" a="1"/>
  <c r="AS106" i="5" a="1"/>
  <c r="AS106" i="5" s="1"/>
  <c r="AP106" i="5" a="1"/>
  <c r="AP106" i="5" s="1"/>
  <c r="AO106" i="5"/>
  <c r="AO106" i="5" a="1"/>
  <c r="AZ105" i="5" a="1"/>
  <c r="AZ105" i="5" s="1"/>
  <c r="AY105" i="5"/>
  <c r="AY105" i="5" a="1"/>
  <c r="AX105" i="5" a="1"/>
  <c r="AX105" i="5" s="1"/>
  <c r="AW105" i="5"/>
  <c r="AW105" i="5" a="1"/>
  <c r="AV105" i="5"/>
  <c r="AV105" i="5" a="1"/>
  <c r="AU105" i="5" a="1"/>
  <c r="AU105" i="5" s="1"/>
  <c r="AT105" i="5" a="1"/>
  <c r="AT105" i="5" s="1"/>
  <c r="AS105" i="5" a="1"/>
  <c r="AS105" i="5" s="1"/>
  <c r="AP105" i="5"/>
  <c r="AP105" i="5" a="1"/>
  <c r="AO105" i="5" a="1"/>
  <c r="AO105" i="5" s="1"/>
  <c r="AN105" i="5" a="1"/>
  <c r="AN105" i="5" s="1"/>
  <c r="AZ104" i="5" a="1"/>
  <c r="AZ104" i="5" s="1"/>
  <c r="AY104" i="5"/>
  <c r="AY104" i="5" a="1"/>
  <c r="AX104" i="5"/>
  <c r="AX104" i="5" a="1"/>
  <c r="AW104" i="5"/>
  <c r="AW104" i="5" a="1"/>
  <c r="AV104" i="5" a="1"/>
  <c r="AV104" i="5" s="1"/>
  <c r="AU104" i="5"/>
  <c r="AU104" i="5" a="1"/>
  <c r="AT104" i="5" a="1"/>
  <c r="AT104" i="5" s="1"/>
  <c r="AS104" i="5"/>
  <c r="AS104" i="5" a="1"/>
  <c r="AP104" i="5" a="1"/>
  <c r="AP104" i="5" s="1"/>
  <c r="AO104" i="5" a="1"/>
  <c r="AO104" i="5" s="1"/>
  <c r="AN104" i="5" a="1"/>
  <c r="AN104" i="5" s="1"/>
  <c r="AZ103" i="5"/>
  <c r="AZ103" i="5" a="1"/>
  <c r="AY103" i="5"/>
  <c r="AY103" i="5" a="1"/>
  <c r="AX103" i="5" a="1"/>
  <c r="AX103" i="5" s="1"/>
  <c r="AW103" i="5" a="1"/>
  <c r="AW103" i="5" s="1"/>
  <c r="AV103" i="5"/>
  <c r="AV103" i="5" a="1"/>
  <c r="AU103" i="5"/>
  <c r="AU103" i="5" a="1"/>
  <c r="AT103" i="5"/>
  <c r="AT103" i="5" a="1"/>
  <c r="AS103" i="5" a="1"/>
  <c r="AS103" i="5" s="1"/>
  <c r="AP103" i="5" a="1"/>
  <c r="AP103" i="5" s="1"/>
  <c r="AO103" i="5" a="1"/>
  <c r="AO103" i="5" s="1"/>
  <c r="AN103" i="5" a="1"/>
  <c r="AN103" i="5" s="1"/>
  <c r="AZ102" i="5" a="1"/>
  <c r="AZ102" i="5" s="1"/>
  <c r="AY102" i="5" a="1"/>
  <c r="AY102" i="5" s="1"/>
  <c r="AX102" i="5" a="1"/>
  <c r="AX102" i="5" s="1"/>
  <c r="AW102" i="5"/>
  <c r="AW102" i="5" a="1"/>
  <c r="AV102" i="5"/>
  <c r="AV102" i="5" a="1"/>
  <c r="AU102" i="5"/>
  <c r="AU102" i="5" a="1"/>
  <c r="AT102" i="5" a="1"/>
  <c r="AT102" i="5" s="1"/>
  <c r="AS102" i="5"/>
  <c r="AS102" i="5" a="1"/>
  <c r="AP102" i="5"/>
  <c r="AP102" i="5" a="1"/>
  <c r="AO102" i="5"/>
  <c r="AO102" i="5" a="1"/>
  <c r="AN102" i="5"/>
  <c r="AN102" i="5" a="1"/>
  <c r="AZ101" i="5"/>
  <c r="AZ101" i="5" a="1"/>
  <c r="AY101" i="5" a="1"/>
  <c r="AY101" i="5" s="1"/>
  <c r="AX101" i="5" a="1"/>
  <c r="AX101" i="5" s="1"/>
  <c r="AW101" i="5" a="1"/>
  <c r="AW101" i="5" s="1"/>
  <c r="AV101" i="5"/>
  <c r="AV101" i="5" a="1"/>
  <c r="AU101" i="5" a="1"/>
  <c r="AU101" i="5" s="1"/>
  <c r="AT101" i="5" a="1"/>
  <c r="AT101" i="5" s="1"/>
  <c r="AS101" i="5"/>
  <c r="AS101" i="5" a="1"/>
  <c r="AP101" i="5" a="1"/>
  <c r="AP101" i="5" s="1"/>
  <c r="AO101" i="5"/>
  <c r="AO101" i="5" a="1"/>
  <c r="AN101" i="5"/>
  <c r="AN101" i="5" a="1"/>
  <c r="AZ100" i="5"/>
  <c r="AZ100" i="5" a="1"/>
  <c r="AY100" i="5"/>
  <c r="AY100" i="5" a="1"/>
  <c r="AX100" i="5"/>
  <c r="AX100" i="5" a="1"/>
  <c r="AW100" i="5" a="1"/>
  <c r="AW100" i="5" s="1"/>
  <c r="AV100" i="5" a="1"/>
  <c r="AV100" i="5" s="1"/>
  <c r="AU100" i="5"/>
  <c r="AU100" i="5" a="1"/>
  <c r="AT100" i="5" a="1"/>
  <c r="AT100" i="5" s="1"/>
  <c r="AS100" i="5"/>
  <c r="AS100" i="5" a="1"/>
  <c r="AP100" i="5" a="1"/>
  <c r="AP100" i="5" s="1"/>
  <c r="AO100" i="5"/>
  <c r="AO100" i="5" a="1"/>
  <c r="AN100" i="5" a="1"/>
  <c r="AN100" i="5" s="1"/>
  <c r="AZ99" i="5" a="1"/>
  <c r="AZ99" i="5" s="1"/>
  <c r="AY99" i="5" a="1"/>
  <c r="AY99" i="5" s="1"/>
  <c r="AX99" i="5"/>
  <c r="AX99" i="5" a="1"/>
  <c r="AW99" i="5"/>
  <c r="AW99" i="5" a="1"/>
  <c r="AV99" i="5"/>
  <c r="AV99" i="5" a="1"/>
  <c r="AU99" i="5"/>
  <c r="AU99" i="5" a="1"/>
  <c r="AT99" i="5"/>
  <c r="AT99" i="5" a="1"/>
  <c r="AS99" i="5" a="1"/>
  <c r="AS99" i="5" s="1"/>
  <c r="AP99" i="5" a="1"/>
  <c r="AP99" i="5" s="1"/>
  <c r="AO99" i="5"/>
  <c r="AO99" i="5" a="1"/>
  <c r="AN99" i="5"/>
  <c r="AN99" i="5" a="1"/>
  <c r="AZ98" i="5" a="1"/>
  <c r="AZ98" i="5" s="1"/>
  <c r="AY98" i="5" a="1"/>
  <c r="AY98" i="5" s="1"/>
  <c r="AX98" i="5" a="1"/>
  <c r="AX98" i="5" s="1"/>
  <c r="AW98" i="5"/>
  <c r="AW98" i="5" a="1"/>
  <c r="AV98" i="5" a="1"/>
  <c r="AV98" i="5" s="1"/>
  <c r="AU98" i="5" a="1"/>
  <c r="AU98" i="5" s="1"/>
  <c r="AT98" i="5" a="1"/>
  <c r="AT98" i="5" s="1"/>
  <c r="AS98" i="5" a="1"/>
  <c r="AS98" i="5" s="1"/>
  <c r="AP98" i="5" a="1"/>
  <c r="AP98" i="5" s="1"/>
  <c r="AO98" i="5"/>
  <c r="AO98" i="5" a="1"/>
  <c r="AN98" i="5"/>
  <c r="AN98" i="5" a="1"/>
  <c r="AZ97" i="5"/>
  <c r="AZ97" i="5" a="1"/>
  <c r="AY97" i="5" a="1"/>
  <c r="AY97" i="5" s="1"/>
  <c r="AX97" i="5"/>
  <c r="AX97" i="5" a="1"/>
  <c r="AW97" i="5" a="1"/>
  <c r="AW97" i="5" s="1"/>
  <c r="AV97" i="5" a="1"/>
  <c r="AV97" i="5" s="1"/>
  <c r="AU97" i="5" a="1"/>
  <c r="AU97" i="5" s="1"/>
  <c r="AT97" i="5" a="1"/>
  <c r="AT97" i="5" s="1"/>
  <c r="AS97" i="5"/>
  <c r="AS97" i="5" a="1"/>
  <c r="AP97" i="5" a="1"/>
  <c r="AP97" i="5" s="1"/>
  <c r="AO97" i="5" a="1"/>
  <c r="AO97" i="5" s="1"/>
  <c r="AN97" i="5"/>
  <c r="AN97" i="5" a="1"/>
  <c r="AZ96" i="5" a="1"/>
  <c r="AZ96" i="5" s="1"/>
  <c r="AY96" i="5"/>
  <c r="AY96" i="5" a="1"/>
  <c r="AX96" i="5"/>
  <c r="AX96" i="5" a="1"/>
  <c r="AW96" i="5" a="1"/>
  <c r="AW96" i="5" s="1"/>
  <c r="AV96" i="5"/>
  <c r="AV96" i="5" a="1"/>
  <c r="AU96" i="5" a="1"/>
  <c r="AU96" i="5" s="1"/>
  <c r="AT96" i="5" a="1"/>
  <c r="AT96" i="5" s="1"/>
  <c r="AS96" i="5" a="1"/>
  <c r="AS96" i="5" s="1"/>
  <c r="AP96" i="5" a="1"/>
  <c r="AP96" i="5" s="1"/>
  <c r="AO96" i="5" a="1"/>
  <c r="AO96" i="5" s="1"/>
  <c r="AN96" i="5"/>
  <c r="AN96" i="5" a="1"/>
  <c r="AZ95" i="5" a="1"/>
  <c r="AZ95" i="5" s="1"/>
  <c r="AY95" i="5"/>
  <c r="AY95" i="5" a="1"/>
  <c r="AX95" i="5"/>
  <c r="AX95" i="5" a="1"/>
  <c r="AW95" i="5" a="1"/>
  <c r="AW95" i="5" s="1"/>
  <c r="AV95" i="5" a="1"/>
  <c r="AV95" i="5" s="1"/>
  <c r="AU95" i="5"/>
  <c r="AU95" i="5" a="1"/>
  <c r="AT95" i="5"/>
  <c r="AT95" i="5" a="1"/>
  <c r="AS95" i="5"/>
  <c r="AS95" i="5" a="1"/>
  <c r="AP95" i="5"/>
  <c r="AP95" i="5" a="1"/>
  <c r="AO95" i="5" a="1"/>
  <c r="AO95" i="5" s="1"/>
  <c r="AN95" i="5"/>
  <c r="AN95" i="5" a="1"/>
  <c r="AZ94" i="5" a="1"/>
  <c r="AZ94" i="5" s="1"/>
  <c r="AY94" i="5" a="1"/>
  <c r="AY94" i="5" s="1"/>
  <c r="AX94" i="5"/>
  <c r="AX94" i="5" a="1"/>
  <c r="AW94" i="5" a="1"/>
  <c r="AW94" i="5" s="1"/>
  <c r="AV94" i="5" a="1"/>
  <c r="AV94" i="5" s="1"/>
  <c r="AU94" i="5" a="1"/>
  <c r="AU94" i="5" s="1"/>
  <c r="AT94" i="5" a="1"/>
  <c r="AT94" i="5" s="1"/>
  <c r="AS94" i="5"/>
  <c r="AS94" i="5" a="1"/>
  <c r="AP94" i="5"/>
  <c r="AP94" i="5" a="1"/>
  <c r="AO94" i="5" a="1"/>
  <c r="AO94" i="5" s="1"/>
  <c r="AN94" i="5"/>
  <c r="AN94" i="5" a="1"/>
  <c r="AZ93" i="5" a="1"/>
  <c r="AZ93" i="5" s="1"/>
  <c r="AY93" i="5" a="1"/>
  <c r="AY93" i="5" s="1"/>
  <c r="AX93" i="5" a="1"/>
  <c r="AX93" i="5" s="1"/>
  <c r="AW93" i="5"/>
  <c r="AW93" i="5" a="1"/>
  <c r="AV93" i="5" a="1"/>
  <c r="AV93" i="5" s="1"/>
  <c r="AU93" i="5"/>
  <c r="AU93" i="5" a="1"/>
  <c r="AT93" i="5"/>
  <c r="AT93" i="5" a="1"/>
  <c r="AS93" i="5"/>
  <c r="AS93" i="5" a="1"/>
  <c r="AP93" i="5" a="1"/>
  <c r="AP93" i="5" s="1"/>
  <c r="AO93" i="5" a="1"/>
  <c r="AO93" i="5" s="1"/>
  <c r="AN93" i="5" a="1"/>
  <c r="AN93" i="5" s="1"/>
  <c r="AZ92" i="5"/>
  <c r="AZ92" i="5" a="1"/>
  <c r="AY92" i="5" a="1"/>
  <c r="AY92" i="5" s="1"/>
  <c r="AX92" i="5"/>
  <c r="AX92" i="5" a="1"/>
  <c r="AW92" i="5"/>
  <c r="AW92" i="5" a="1"/>
  <c r="AV92" i="5" a="1"/>
  <c r="AV92" i="5" s="1"/>
  <c r="AU92" i="5"/>
  <c r="AU92" i="5" a="1"/>
  <c r="AT92" i="5" a="1"/>
  <c r="AT92" i="5" s="1"/>
  <c r="AS92" i="5"/>
  <c r="AS92" i="5" a="1"/>
  <c r="AP92" i="5" a="1"/>
  <c r="AP92" i="5" s="1"/>
  <c r="AO92" i="5" a="1"/>
  <c r="AO92" i="5" s="1"/>
  <c r="AN92" i="5" a="1"/>
  <c r="AN92" i="5" s="1"/>
  <c r="AZ91" i="5" a="1"/>
  <c r="AZ91" i="5" s="1"/>
  <c r="AY91" i="5"/>
  <c r="AY91" i="5" a="1"/>
  <c r="AX91" i="5" a="1"/>
  <c r="AX91" i="5" s="1"/>
  <c r="AW91" i="5" a="1"/>
  <c r="AW91" i="5" s="1"/>
  <c r="AV91" i="5"/>
  <c r="AV91" i="5" a="1"/>
  <c r="AU91" i="5"/>
  <c r="AU91" i="5" a="1"/>
  <c r="AT91" i="5"/>
  <c r="AT91" i="5" a="1"/>
  <c r="AS91" i="5" a="1"/>
  <c r="AS91" i="5" s="1"/>
  <c r="AP91" i="5" a="1"/>
  <c r="AP91" i="5" s="1"/>
  <c r="AO91" i="5"/>
  <c r="AO91" i="5" a="1"/>
  <c r="AN91" i="5" a="1"/>
  <c r="AN91" i="5" s="1"/>
  <c r="AZ90" i="5"/>
  <c r="AZ90" i="5" a="1"/>
  <c r="AY90" i="5"/>
  <c r="AY90" i="5" a="1"/>
  <c r="AX90" i="5" a="1"/>
  <c r="AX90" i="5" s="1"/>
  <c r="AW90" i="5"/>
  <c r="AW90" i="5" a="1"/>
  <c r="AV90" i="5" a="1"/>
  <c r="AV90" i="5" s="1"/>
  <c r="AU90" i="5" a="1"/>
  <c r="AU90" i="5" s="1"/>
  <c r="AT90" i="5" a="1"/>
  <c r="AT90" i="5" s="1"/>
  <c r="AS90" i="5" a="1"/>
  <c r="AS90" i="5" s="1"/>
  <c r="AP90" i="5" a="1"/>
  <c r="AP90" i="5" s="1"/>
  <c r="AO90" i="5"/>
  <c r="AO90" i="5" a="1"/>
  <c r="AN90" i="5" a="1"/>
  <c r="AN90" i="5" s="1"/>
  <c r="AZ89" i="5"/>
  <c r="AZ89" i="5" a="1"/>
  <c r="AY89" i="5"/>
  <c r="AY89" i="5" a="1"/>
  <c r="AX89" i="5"/>
  <c r="AX89" i="5" a="1"/>
  <c r="AW89" i="5" a="1"/>
  <c r="AW89" i="5" s="1"/>
  <c r="AV89" i="5"/>
  <c r="AV89" i="5" a="1"/>
  <c r="AU89" i="5" a="1"/>
  <c r="AU89" i="5" s="1"/>
  <c r="AT89" i="5"/>
  <c r="AT89" i="5" a="1"/>
  <c r="AS89" i="5"/>
  <c r="AS89" i="5" a="1"/>
  <c r="AP89" i="5"/>
  <c r="AP89" i="5" a="1"/>
  <c r="AO89" i="5" a="1"/>
  <c r="AO89" i="5" s="1"/>
  <c r="AN89" i="5" a="1"/>
  <c r="AN89" i="5" s="1"/>
  <c r="AZ88" i="5" a="1"/>
  <c r="AZ88" i="5" s="1"/>
  <c r="AY88" i="5"/>
  <c r="AY88" i="5" a="1"/>
  <c r="AX88" i="5" a="1"/>
  <c r="AX88" i="5" s="1"/>
  <c r="AW88" i="5" a="1"/>
  <c r="AW88" i="5" s="1"/>
  <c r="AV88" i="5" a="1"/>
  <c r="AV88" i="5" s="1"/>
  <c r="AU88" i="5"/>
  <c r="AU88" i="5" a="1"/>
  <c r="AT88" i="5"/>
  <c r="AT88" i="5" a="1"/>
  <c r="AS88" i="5" a="1"/>
  <c r="AS88" i="5" s="1"/>
  <c r="AP88" i="5"/>
  <c r="AP88" i="5" a="1"/>
  <c r="AO88" i="5"/>
  <c r="AO88" i="5" a="1"/>
  <c r="AN88" i="5" a="1"/>
  <c r="AN88" i="5" s="1"/>
  <c r="AZ87" i="5" a="1"/>
  <c r="AZ87" i="5" s="1"/>
  <c r="AY87" i="5"/>
  <c r="AY87" i="5" a="1"/>
  <c r="AX87" i="5" a="1"/>
  <c r="AX87" i="5" s="1"/>
  <c r="AW87" i="5" a="1"/>
  <c r="AW87" i="5" s="1"/>
  <c r="AV87" i="5" a="1"/>
  <c r="AV87" i="5" s="1"/>
  <c r="AU87" i="5" a="1"/>
  <c r="AU87" i="5" s="1"/>
  <c r="AT87" i="5"/>
  <c r="AT87" i="5" a="1"/>
  <c r="AS87" i="5" a="1"/>
  <c r="AS87" i="5" s="1"/>
  <c r="AP87" i="5"/>
  <c r="AP87" i="5" a="1"/>
  <c r="AO87" i="5" a="1"/>
  <c r="AO87" i="5" s="1"/>
  <c r="AN87" i="5" a="1"/>
  <c r="AN87" i="5" s="1"/>
  <c r="AZ86" i="5" a="1"/>
  <c r="AZ86" i="5" s="1"/>
  <c r="AY86" i="5" a="1"/>
  <c r="AY86" i="5" s="1"/>
  <c r="AX86" i="5"/>
  <c r="AX86" i="5" a="1"/>
  <c r="AW86" i="5" a="1"/>
  <c r="AW86" i="5" s="1"/>
  <c r="AV86" i="5" a="1"/>
  <c r="AV86" i="5" s="1"/>
  <c r="AU86" i="5"/>
  <c r="AU86" i="5" a="1"/>
  <c r="AT86" i="5" a="1"/>
  <c r="AT86" i="5" s="1"/>
  <c r="AS86" i="5"/>
  <c r="AS86" i="5" a="1"/>
  <c r="AP86" i="5" a="1"/>
  <c r="AP86" i="5" s="1"/>
  <c r="AO86" i="5" a="1"/>
  <c r="AO86" i="5" s="1"/>
  <c r="AN86" i="5"/>
  <c r="AN86" i="5" a="1"/>
  <c r="AZ85" i="5"/>
  <c r="AZ85" i="5" a="1"/>
  <c r="AY85" i="5" a="1"/>
  <c r="AY85" i="5" s="1"/>
  <c r="AX85" i="5" a="1"/>
  <c r="AX85" i="5" s="1"/>
  <c r="AW85" i="5"/>
  <c r="AW85" i="5" a="1"/>
  <c r="AV85" i="5" a="1"/>
  <c r="AV85" i="5" s="1"/>
  <c r="AU85" i="5"/>
  <c r="AU85" i="5" a="1"/>
  <c r="AT85" i="5"/>
  <c r="AT85" i="5" a="1"/>
  <c r="AS85" i="5" a="1"/>
  <c r="AS85" i="5" s="1"/>
  <c r="AP85" i="5"/>
  <c r="AP85" i="5" a="1"/>
  <c r="AO85" i="5" a="1"/>
  <c r="AO85" i="5" s="1"/>
  <c r="AN85" i="5" a="1"/>
  <c r="AN85" i="5" s="1"/>
  <c r="AZ84" i="5" a="1"/>
  <c r="AZ84" i="5" s="1"/>
  <c r="AY84" i="5"/>
  <c r="AY84" i="5" a="1"/>
  <c r="AX84" i="5" a="1"/>
  <c r="AX84" i="5" s="1"/>
  <c r="AW84" i="5" a="1"/>
  <c r="AW84" i="5" s="1"/>
  <c r="AV84" i="5" a="1"/>
  <c r="AV84" i="5" s="1"/>
  <c r="AU84" i="5"/>
  <c r="AU84" i="5" a="1"/>
  <c r="AT84" i="5" a="1"/>
  <c r="AT84" i="5" s="1"/>
  <c r="AS84" i="5" a="1"/>
  <c r="AS84" i="5" s="1"/>
  <c r="AP84" i="5"/>
  <c r="AP84" i="5" a="1"/>
  <c r="AO84" i="5" a="1"/>
  <c r="AO84" i="5" s="1"/>
  <c r="AN84" i="5" a="1"/>
  <c r="AN84" i="5" s="1"/>
  <c r="AZ83" i="5" a="1"/>
  <c r="AZ83" i="5" s="1"/>
  <c r="AY83" i="5"/>
  <c r="AY83" i="5" a="1"/>
  <c r="AX83" i="5" a="1"/>
  <c r="AX83" i="5" s="1"/>
  <c r="AW83" i="5" a="1"/>
  <c r="AW83" i="5" s="1"/>
  <c r="AV83" i="5" a="1"/>
  <c r="AV83" i="5" s="1"/>
  <c r="AU83" i="5"/>
  <c r="AU83" i="5" a="1"/>
  <c r="AT83" i="5" a="1"/>
  <c r="AT83" i="5" s="1"/>
  <c r="AS83" i="5" a="1"/>
  <c r="AS83" i="5" s="1"/>
  <c r="AP83" i="5" a="1"/>
  <c r="AP83" i="5" s="1"/>
  <c r="AO83" i="5"/>
  <c r="AO83" i="5" a="1"/>
  <c r="AN83" i="5"/>
  <c r="AN83" i="5" a="1"/>
  <c r="AZ82" i="5" a="1"/>
  <c r="AZ82" i="5" s="1"/>
  <c r="AY82" i="5"/>
  <c r="AY82" i="5" a="1"/>
  <c r="AX82" i="5" a="1"/>
  <c r="AX82" i="5" s="1"/>
  <c r="AW82" i="5" a="1"/>
  <c r="AW82" i="5" s="1"/>
  <c r="AV82" i="5" a="1"/>
  <c r="AV82" i="5" s="1"/>
  <c r="AU82" i="5"/>
  <c r="AU82" i="5" a="1"/>
  <c r="AT82" i="5"/>
  <c r="AT82" i="5" a="1"/>
  <c r="AS82" i="5" a="1"/>
  <c r="AS82" i="5" s="1"/>
  <c r="AP82" i="5" a="1"/>
  <c r="AP82" i="5" s="1"/>
  <c r="AO82" i="5" a="1"/>
  <c r="AO82" i="5" s="1"/>
  <c r="AN82" i="5" a="1"/>
  <c r="AN82" i="5" s="1"/>
  <c r="AZ81" i="5" a="1"/>
  <c r="AZ81" i="5" s="1"/>
  <c r="AY81" i="5" a="1"/>
  <c r="AY81" i="5" s="1"/>
  <c r="AX81" i="5" a="1"/>
  <c r="AX81" i="5" s="1"/>
  <c r="AW81" i="5"/>
  <c r="AW81" i="5" a="1"/>
  <c r="AV81" i="5" a="1"/>
  <c r="AV81" i="5" s="1"/>
  <c r="AU81" i="5" a="1"/>
  <c r="AU81" i="5" s="1"/>
  <c r="AT81" i="5" a="1"/>
  <c r="AT81" i="5" s="1"/>
  <c r="AS81" i="5"/>
  <c r="AS81" i="5" a="1"/>
  <c r="AP81" i="5" a="1"/>
  <c r="AP81" i="5" s="1"/>
  <c r="AO81" i="5" a="1"/>
  <c r="AO81" i="5" s="1"/>
  <c r="AN81" i="5"/>
  <c r="AN81" i="5" a="1"/>
  <c r="AZ80" i="5" a="1"/>
  <c r="AZ80" i="5" s="1"/>
  <c r="AY80" i="5"/>
  <c r="AY80" i="5" a="1"/>
  <c r="AX80" i="5" a="1"/>
  <c r="AX80" i="5" s="1"/>
  <c r="AW80" i="5" a="1"/>
  <c r="AW80" i="5" s="1"/>
  <c r="AV80" i="5" a="1"/>
  <c r="AV80" i="5" s="1"/>
  <c r="AU80" i="5" a="1"/>
  <c r="AU80" i="5" s="1"/>
  <c r="AT80" i="5" a="1"/>
  <c r="AT80" i="5" s="1"/>
  <c r="AS80" i="5" a="1"/>
  <c r="AS80" i="5" s="1"/>
  <c r="AP80" i="5" a="1"/>
  <c r="AP80" i="5" s="1"/>
  <c r="AO80" i="5" a="1"/>
  <c r="AO80" i="5" s="1"/>
  <c r="AN80" i="5" a="1"/>
  <c r="AN80" i="5" s="1"/>
  <c r="AZ79" i="5"/>
  <c r="AZ79" i="5" a="1"/>
  <c r="AY79" i="5" a="1"/>
  <c r="AY79" i="5" s="1"/>
  <c r="AX79" i="5" a="1"/>
  <c r="AX79" i="5" s="1"/>
  <c r="AW79" i="5" a="1"/>
  <c r="AW79" i="5" s="1"/>
  <c r="AV79" i="5"/>
  <c r="AV79" i="5" a="1"/>
  <c r="AU79" i="5"/>
  <c r="AU79" i="5" a="1"/>
  <c r="AT79" i="5"/>
  <c r="AT79" i="5" a="1"/>
  <c r="AS79" i="5" a="1"/>
  <c r="AS79" i="5" s="1"/>
  <c r="AP79" i="5" a="1"/>
  <c r="AP79" i="5" s="1"/>
  <c r="AO79" i="5" a="1"/>
  <c r="AO79" i="5" s="1"/>
  <c r="AN79" i="5"/>
  <c r="AN79" i="5" a="1"/>
  <c r="AZ78" i="5"/>
  <c r="AZ78" i="5" a="1"/>
  <c r="AY78" i="5" a="1"/>
  <c r="AY78" i="5" s="1"/>
  <c r="AX78" i="5" a="1"/>
  <c r="AX78" i="5" s="1"/>
  <c r="AW78" i="5"/>
  <c r="AW78" i="5" a="1"/>
  <c r="AV78" i="5"/>
  <c r="AV78" i="5" a="1"/>
  <c r="AU78" i="5"/>
  <c r="AU78" i="5" a="1"/>
  <c r="AT78" i="5" a="1"/>
  <c r="AT78" i="5" s="1"/>
  <c r="AS78" i="5"/>
  <c r="AS78" i="5" a="1"/>
  <c r="AP78" i="5"/>
  <c r="AP78" i="5" a="1"/>
  <c r="AO78" i="5" a="1"/>
  <c r="AO78" i="5" s="1"/>
  <c r="AN78" i="5"/>
  <c r="AN78" i="5" a="1"/>
  <c r="AZ77" i="5" a="1"/>
  <c r="AZ77" i="5" s="1"/>
  <c r="AY77" i="5" a="1"/>
  <c r="AY77" i="5" s="1"/>
  <c r="AX77" i="5"/>
  <c r="AX77" i="5" a="1"/>
  <c r="AW77" i="5" a="1"/>
  <c r="AW77" i="5" s="1"/>
  <c r="AV77" i="5" a="1"/>
  <c r="AV77" i="5" s="1"/>
  <c r="AU77" i="5" a="1"/>
  <c r="AU77" i="5" s="1"/>
  <c r="AT77" i="5" a="1"/>
  <c r="AT77" i="5" s="1"/>
  <c r="AS77" i="5"/>
  <c r="AS77" i="5" a="1"/>
  <c r="AP77" i="5"/>
  <c r="AP77" i="5" a="1"/>
  <c r="AO77" i="5"/>
  <c r="AO77" i="5" a="1"/>
  <c r="AN77" i="5" a="1"/>
  <c r="AN77" i="5" s="1"/>
  <c r="AZ76" i="5" a="1"/>
  <c r="AZ76" i="5" s="1"/>
  <c r="AY76" i="5" a="1"/>
  <c r="AY76" i="5" s="1"/>
  <c r="AX76" i="5" a="1"/>
  <c r="AX76" i="5" s="1"/>
  <c r="AW76" i="5"/>
  <c r="AW76" i="5" a="1"/>
  <c r="AV76" i="5"/>
  <c r="AV76" i="5" a="1"/>
  <c r="AU76" i="5"/>
  <c r="AU76" i="5" a="1"/>
  <c r="AT76" i="5"/>
  <c r="AT76" i="5" a="1"/>
  <c r="AS76" i="5"/>
  <c r="AS76" i="5" a="1"/>
  <c r="AP76" i="5" a="1"/>
  <c r="AP76" i="5" s="1"/>
  <c r="AO76" i="5"/>
  <c r="AO76" i="5" a="1"/>
  <c r="AN76" i="5" a="1"/>
  <c r="AN76" i="5" s="1"/>
  <c r="AZ75" i="5"/>
  <c r="AZ75" i="5" a="1"/>
  <c r="AY75" i="5" a="1"/>
  <c r="AY75" i="5" s="1"/>
  <c r="AX75" i="5"/>
  <c r="AX75" i="5" a="1"/>
  <c r="AW75" i="5" a="1"/>
  <c r="AW75" i="5" s="1"/>
  <c r="AV75" i="5"/>
  <c r="AV75" i="5" a="1"/>
  <c r="AU75" i="5"/>
  <c r="AU75" i="5" a="1"/>
  <c r="AT75" i="5"/>
  <c r="AT75" i="5" a="1"/>
  <c r="AS75" i="5"/>
  <c r="AS75" i="5" a="1"/>
  <c r="AP75" i="5"/>
  <c r="AP75" i="5" a="1"/>
  <c r="AO75" i="5" a="1"/>
  <c r="AO75" i="5" s="1"/>
  <c r="AN75" i="5" a="1"/>
  <c r="AN75" i="5" s="1"/>
  <c r="AZ74" i="5" a="1"/>
  <c r="AZ74" i="5" s="1"/>
  <c r="AY74" i="5"/>
  <c r="AY74" i="5" a="1"/>
  <c r="AX74" i="5"/>
  <c r="AX74" i="5" a="1"/>
  <c r="AW74" i="5" a="1"/>
  <c r="AW74" i="5" s="1"/>
  <c r="AV74" i="5" a="1"/>
  <c r="AV74" i="5" s="1"/>
  <c r="AU74" i="5" a="1"/>
  <c r="AU74" i="5" s="1"/>
  <c r="AT74" i="5" a="1"/>
  <c r="AT74" i="5" s="1"/>
  <c r="AS74" i="5"/>
  <c r="AS74" i="5" a="1"/>
  <c r="AP74" i="5" a="1"/>
  <c r="AP74" i="5" s="1"/>
  <c r="AO74" i="5"/>
  <c r="AO74" i="5" a="1"/>
  <c r="AN74" i="5" a="1"/>
  <c r="AN74" i="5" s="1"/>
  <c r="AZ73" i="5" a="1"/>
  <c r="AZ73" i="5" s="1"/>
  <c r="AY73" i="5" a="1"/>
  <c r="AY73" i="5" s="1"/>
  <c r="AX73" i="5" a="1"/>
  <c r="AX73" i="5" s="1"/>
  <c r="AW73" i="5"/>
  <c r="AW73" i="5" a="1"/>
  <c r="AV73" i="5"/>
  <c r="AV73" i="5" a="1"/>
  <c r="AU73" i="5" a="1"/>
  <c r="AU73" i="5" s="1"/>
  <c r="AT73" i="5" a="1"/>
  <c r="AT73" i="5" s="1"/>
  <c r="AS73" i="5"/>
  <c r="AS73" i="5" a="1"/>
  <c r="AP73" i="5" a="1"/>
  <c r="AP73" i="5" s="1"/>
  <c r="AO73" i="5"/>
  <c r="AO73" i="5" a="1"/>
  <c r="AN73" i="5"/>
  <c r="AN73" i="5" a="1"/>
  <c r="AZ72" i="5"/>
  <c r="AZ72" i="5" a="1"/>
  <c r="AY72" i="5"/>
  <c r="AY72" i="5" a="1"/>
  <c r="AX72" i="5"/>
  <c r="AX72" i="5" a="1"/>
  <c r="AW72" i="5" a="1"/>
  <c r="AW72" i="5" s="1"/>
  <c r="AV72" i="5" a="1"/>
  <c r="AV72" i="5" s="1"/>
  <c r="AU72" i="5" a="1"/>
  <c r="AU72" i="5" s="1"/>
  <c r="AT72" i="5" a="1"/>
  <c r="AT72" i="5" s="1"/>
  <c r="AS72" i="5"/>
  <c r="AS72" i="5" a="1"/>
  <c r="AQ72" i="5"/>
  <c r="AQ72" i="5" a="1"/>
  <c r="AP72" i="5"/>
  <c r="AP72" i="5" a="1"/>
  <c r="AO72" i="5"/>
  <c r="AO72" i="5" a="1"/>
  <c r="AN72" i="5" a="1"/>
  <c r="AN72" i="5" s="1"/>
  <c r="AZ71" i="5"/>
  <c r="AZ71" i="5" a="1"/>
  <c r="AY71" i="5" a="1"/>
  <c r="AY71" i="5" s="1"/>
  <c r="AX71" i="5"/>
  <c r="AX71" i="5" a="1"/>
  <c r="AW71" i="5" a="1"/>
  <c r="AW71" i="5" s="1"/>
  <c r="AV71" i="5"/>
  <c r="AV71" i="5" a="1"/>
  <c r="AU71" i="5"/>
  <c r="AU71" i="5" a="1"/>
  <c r="AT71" i="5"/>
  <c r="AT71" i="5" a="1"/>
  <c r="AS71" i="5" a="1"/>
  <c r="AS71" i="5" s="1"/>
  <c r="AQ71" i="5"/>
  <c r="AQ71" i="5" a="1"/>
  <c r="AP71" i="5"/>
  <c r="AP71" i="5" a="1"/>
  <c r="AO71" i="5"/>
  <c r="AO71" i="5" a="1"/>
  <c r="AN71" i="5" a="1"/>
  <c r="AN71" i="5" s="1"/>
  <c r="AZ70" i="5" a="1"/>
  <c r="AZ70" i="5" s="1"/>
  <c r="AY70" i="5" a="1"/>
  <c r="AY70" i="5" s="1"/>
  <c r="AX70" i="5" a="1"/>
  <c r="AX70" i="5" s="1"/>
  <c r="AW70" i="5" a="1"/>
  <c r="AW70" i="5" s="1"/>
  <c r="AV70" i="5"/>
  <c r="AV70" i="5" a="1"/>
  <c r="AU70" i="5"/>
  <c r="AU70" i="5" a="1"/>
  <c r="AT70" i="5"/>
  <c r="AT70" i="5" a="1"/>
  <c r="AS70" i="5" a="1"/>
  <c r="AS70" i="5" s="1"/>
  <c r="AQ70" i="5"/>
  <c r="AQ70" i="5" a="1"/>
  <c r="AP70" i="5" a="1"/>
  <c r="AP70" i="5" s="1"/>
  <c r="AO70" i="5"/>
  <c r="AO70" i="5" a="1"/>
  <c r="AN70" i="5" a="1"/>
  <c r="AN70" i="5" s="1"/>
  <c r="AZ69" i="5"/>
  <c r="AZ69" i="5" a="1"/>
  <c r="AY69" i="5"/>
  <c r="AY69" i="5" a="1"/>
  <c r="AX69" i="5"/>
  <c r="AX69" i="5" a="1"/>
  <c r="AW69" i="5" a="1"/>
  <c r="AW69" i="5" s="1"/>
  <c r="AV69" i="5" a="1"/>
  <c r="AV69" i="5" s="1"/>
  <c r="AU69" i="5" a="1"/>
  <c r="AU69" i="5" s="1"/>
  <c r="AT69" i="5"/>
  <c r="AT69" i="5" a="1"/>
  <c r="AS69" i="5" a="1"/>
  <c r="AS69" i="5" s="1"/>
  <c r="AQ69" i="5"/>
  <c r="AQ69" i="5" a="1"/>
  <c r="AP69" i="5"/>
  <c r="AP69" i="5" a="1"/>
  <c r="AO69" i="5"/>
  <c r="AO69" i="5" a="1"/>
  <c r="AN69" i="5" a="1"/>
  <c r="AN69" i="5" s="1"/>
  <c r="AZ68" i="5" a="1"/>
  <c r="AZ68" i="5" s="1"/>
  <c r="AY68" i="5" a="1"/>
  <c r="AY68" i="5" s="1"/>
  <c r="AX68" i="5"/>
  <c r="AX68" i="5" a="1"/>
  <c r="AW68" i="5"/>
  <c r="AW68" i="5" a="1"/>
  <c r="AV68" i="5" a="1"/>
  <c r="AV68" i="5" s="1"/>
  <c r="AU68" i="5"/>
  <c r="AU68" i="5" a="1"/>
  <c r="AT68" i="5"/>
  <c r="AT68" i="5" a="1"/>
  <c r="AS68" i="5" a="1"/>
  <c r="AS68" i="5" s="1"/>
  <c r="AQ68" i="5" a="1"/>
  <c r="AQ68" i="5" s="1"/>
  <c r="AP68" i="5"/>
  <c r="AP68" i="5" a="1"/>
  <c r="AO68" i="5"/>
  <c r="AO68" i="5" a="1"/>
  <c r="AN68" i="5" a="1"/>
  <c r="AN68" i="5" s="1"/>
  <c r="AZ67" i="5" a="1"/>
  <c r="AZ67" i="5" s="1"/>
  <c r="AY67" i="5"/>
  <c r="AY67" i="5" a="1"/>
  <c r="AX67" i="5"/>
  <c r="AX67" i="5" a="1"/>
  <c r="AW67" i="5" a="1"/>
  <c r="AW67" i="5" s="1"/>
  <c r="AV67" i="5" a="1"/>
  <c r="AV67" i="5" s="1"/>
  <c r="AU67" i="5" a="1"/>
  <c r="AU67" i="5" s="1"/>
  <c r="AT67" i="5"/>
  <c r="AT67" i="5" a="1"/>
  <c r="AS67" i="5" a="1"/>
  <c r="AS67" i="5" s="1"/>
  <c r="AQ67" i="5" a="1"/>
  <c r="AQ67" i="5" s="1"/>
  <c r="AP67" i="5"/>
  <c r="AP67" i="5" a="1"/>
  <c r="AO67" i="5" a="1"/>
  <c r="AO67" i="5" s="1"/>
  <c r="AN67" i="5" a="1"/>
  <c r="AN67" i="5" s="1"/>
  <c r="AZ66" i="5" a="1"/>
  <c r="AZ66" i="5" s="1"/>
  <c r="AY66" i="5" a="1"/>
  <c r="AY66" i="5" s="1"/>
  <c r="AX66" i="5"/>
  <c r="AX66" i="5" a="1"/>
  <c r="AW66" i="5"/>
  <c r="AW66" i="5" a="1"/>
  <c r="AV66" i="5"/>
  <c r="AV66" i="5" a="1"/>
  <c r="AU66" i="5"/>
  <c r="AU66" i="5" a="1"/>
  <c r="AT66" i="5" a="1"/>
  <c r="AT66" i="5" s="1"/>
  <c r="AS66" i="5" a="1"/>
  <c r="AS66" i="5" s="1"/>
  <c r="AQ66" i="5" a="1"/>
  <c r="AQ66" i="5" s="1"/>
  <c r="AP66" i="5"/>
  <c r="AP66" i="5" a="1"/>
  <c r="AO66" i="5" a="1"/>
  <c r="AO66" i="5" s="1"/>
  <c r="AN66" i="5" a="1"/>
  <c r="AN66" i="5" s="1"/>
  <c r="AZ65" i="5" a="1"/>
  <c r="AZ65" i="5" s="1"/>
  <c r="AY65" i="5" a="1"/>
  <c r="AY65" i="5" s="1"/>
  <c r="AX65" i="5"/>
  <c r="AX65" i="5" a="1"/>
  <c r="AW65" i="5"/>
  <c r="AW65" i="5" a="1"/>
  <c r="AV65" i="5" a="1"/>
  <c r="AV65" i="5" s="1"/>
  <c r="AU65" i="5" a="1"/>
  <c r="AU65" i="5" s="1"/>
  <c r="AT65" i="5"/>
  <c r="AT65" i="5" a="1"/>
  <c r="AS65" i="5"/>
  <c r="AS65" i="5" a="1"/>
  <c r="AQ65" i="5" a="1"/>
  <c r="AQ65" i="5" s="1"/>
  <c r="AP65" i="5"/>
  <c r="AP65" i="5" a="1"/>
  <c r="AO65" i="5" a="1"/>
  <c r="AO65" i="5" s="1"/>
  <c r="AN65" i="5"/>
  <c r="AN65" i="5" a="1"/>
  <c r="AZ64" i="5" a="1"/>
  <c r="AZ64" i="5" s="1"/>
  <c r="AY64" i="5" a="1"/>
  <c r="AY64" i="5" s="1"/>
  <c r="AX64" i="5" a="1"/>
  <c r="AX64" i="5" s="1"/>
  <c r="AW64" i="5" a="1"/>
  <c r="AW64" i="5" s="1"/>
  <c r="AV64" i="5" a="1"/>
  <c r="AV64" i="5" s="1"/>
  <c r="AU64" i="5"/>
  <c r="AU64" i="5" a="1"/>
  <c r="AT64" i="5"/>
  <c r="AT64" i="5" a="1"/>
  <c r="AS64" i="5"/>
  <c r="AS64" i="5" a="1"/>
  <c r="AQ64" i="5" a="1"/>
  <c r="AQ64" i="5" s="1"/>
  <c r="AP64" i="5"/>
  <c r="AP64" i="5" a="1"/>
  <c r="AO64" i="5" a="1"/>
  <c r="AO64" i="5" s="1"/>
  <c r="AN64" i="5" a="1"/>
  <c r="AN64" i="5" s="1"/>
  <c r="AZ63" i="5" a="1"/>
  <c r="AZ63" i="5" s="1"/>
  <c r="AY63" i="5"/>
  <c r="AY63" i="5" a="1"/>
  <c r="AX63" i="5" a="1"/>
  <c r="AX63" i="5" s="1"/>
  <c r="AW63" i="5"/>
  <c r="AW63" i="5" a="1"/>
  <c r="AV63" i="5"/>
  <c r="AV63" i="5" a="1"/>
  <c r="AU63" i="5" a="1"/>
  <c r="AU63" i="5" s="1"/>
  <c r="AT63" i="5" a="1"/>
  <c r="AT63" i="5" s="1"/>
  <c r="AS63" i="5" a="1"/>
  <c r="AS63" i="5" s="1"/>
  <c r="AQ63" i="5"/>
  <c r="AQ63" i="5" a="1"/>
  <c r="AP63" i="5"/>
  <c r="AP63" i="5" a="1"/>
  <c r="AO63" i="5"/>
  <c r="AO63" i="5" a="1"/>
  <c r="AN63" i="5"/>
  <c r="AN63" i="5" a="1"/>
  <c r="AZ62" i="5"/>
  <c r="AZ62" i="5" a="1"/>
  <c r="AY62" i="5"/>
  <c r="AY62" i="5" a="1"/>
  <c r="AX62" i="5" a="1"/>
  <c r="AX62" i="5" s="1"/>
  <c r="AW62" i="5" a="1"/>
  <c r="AW62" i="5" s="1"/>
  <c r="AV62" i="5" a="1"/>
  <c r="AV62" i="5" s="1"/>
  <c r="AU62" i="5"/>
  <c r="AU62" i="5" a="1"/>
  <c r="AT62" i="5" a="1"/>
  <c r="AT62" i="5" s="1"/>
  <c r="AS62" i="5"/>
  <c r="AS62" i="5" a="1"/>
  <c r="AQ62" i="5"/>
  <c r="AQ62" i="5" a="1"/>
  <c r="AP62" i="5" a="1"/>
  <c r="AP62" i="5" s="1"/>
  <c r="AO62" i="5" a="1"/>
  <c r="AO62" i="5" s="1"/>
  <c r="AN62" i="5" a="1"/>
  <c r="AN62" i="5" s="1"/>
  <c r="AZ61" i="5" a="1"/>
  <c r="AZ61" i="5" s="1"/>
  <c r="AY61" i="5"/>
  <c r="AY61" i="5" a="1"/>
  <c r="AX61" i="5" a="1"/>
  <c r="AX61" i="5" s="1"/>
  <c r="AW61" i="5" a="1"/>
  <c r="AW61" i="5" s="1"/>
  <c r="AV61" i="5"/>
  <c r="AV61" i="5" a="1"/>
  <c r="AU61" i="5" a="1"/>
  <c r="AU61" i="5" s="1"/>
  <c r="AT61" i="5" a="1"/>
  <c r="AT61" i="5" s="1"/>
  <c r="AS61" i="5" a="1"/>
  <c r="AS61" i="5" s="1"/>
  <c r="AQ61" i="5"/>
  <c r="AQ61" i="5" a="1"/>
  <c r="AP61" i="5" a="1"/>
  <c r="AP61" i="5" s="1"/>
  <c r="AO61" i="5"/>
  <c r="AO61" i="5" a="1"/>
  <c r="AN61" i="5"/>
  <c r="AN61" i="5" a="1"/>
  <c r="AZ60" i="5" a="1"/>
  <c r="AZ60" i="5" s="1"/>
  <c r="AY60" i="5"/>
  <c r="AY60" i="5" a="1"/>
  <c r="AX60" i="5"/>
  <c r="AX60" i="5" a="1"/>
  <c r="AW60" i="5" a="1"/>
  <c r="AW60" i="5" s="1"/>
  <c r="AV60" i="5" a="1"/>
  <c r="AV60" i="5" s="1"/>
  <c r="AU60" i="5"/>
  <c r="AU60" i="5" a="1"/>
  <c r="AT60" i="5" a="1"/>
  <c r="AT60" i="5" s="1"/>
  <c r="AS60" i="5" a="1"/>
  <c r="AS60" i="5" s="1"/>
  <c r="AQ60" i="5"/>
  <c r="AQ60" i="5" a="1"/>
  <c r="AP60" i="5" a="1"/>
  <c r="AP60" i="5" s="1"/>
  <c r="AO60" i="5"/>
  <c r="AO60" i="5" a="1"/>
  <c r="AN60" i="5" a="1"/>
  <c r="AN60" i="5" s="1"/>
  <c r="AZ59" i="5"/>
  <c r="AZ59" i="5" a="1"/>
  <c r="AY59" i="5" a="1"/>
  <c r="AY59" i="5" s="1"/>
  <c r="AX59" i="5"/>
  <c r="AX59" i="5" a="1"/>
  <c r="AW59" i="5" a="1"/>
  <c r="AW59" i="5" s="1"/>
  <c r="AV59" i="5" a="1"/>
  <c r="AV59" i="5" s="1"/>
  <c r="AU59" i="5"/>
  <c r="AU59" i="5" a="1"/>
  <c r="AT59" i="5"/>
  <c r="AT59" i="5" a="1"/>
  <c r="AS59" i="5"/>
  <c r="AS59" i="5" a="1"/>
  <c r="AQ59" i="5"/>
  <c r="AQ59" i="5" a="1"/>
  <c r="AP59" i="5" a="1"/>
  <c r="AP59" i="5" s="1"/>
  <c r="AO59" i="5" a="1"/>
  <c r="AO59" i="5" s="1"/>
  <c r="AN59" i="5"/>
  <c r="AN59" i="5" a="1"/>
  <c r="AZ58" i="5"/>
  <c r="AZ58" i="5" a="1"/>
  <c r="AY58" i="5" a="1"/>
  <c r="AY58" i="5" s="1"/>
  <c r="AX58" i="5"/>
  <c r="AX58" i="5" a="1"/>
  <c r="AW58" i="5"/>
  <c r="AW58" i="5" a="1"/>
  <c r="AV58" i="5"/>
  <c r="AV58" i="5" a="1"/>
  <c r="AU58" i="5" a="1"/>
  <c r="AU58" i="5" s="1"/>
  <c r="AT58" i="5" a="1"/>
  <c r="AT58" i="5" s="1"/>
  <c r="AS58" i="5" a="1"/>
  <c r="AS58" i="5" s="1"/>
  <c r="AQ58" i="5"/>
  <c r="AQ58" i="5" a="1"/>
  <c r="AP58" i="5" a="1"/>
  <c r="AP58" i="5" s="1"/>
  <c r="AO58" i="5"/>
  <c r="AO58" i="5" a="1"/>
  <c r="AN58" i="5"/>
  <c r="AN58" i="5" a="1"/>
  <c r="AZ57" i="5" a="1"/>
  <c r="AZ57" i="5" s="1"/>
  <c r="AY57" i="5" a="1"/>
  <c r="AY57" i="5" s="1"/>
  <c r="AX57" i="5" a="1"/>
  <c r="AX57" i="5" s="1"/>
  <c r="AW57" i="5" a="1"/>
  <c r="AW57" i="5" s="1"/>
  <c r="AV57" i="5" a="1"/>
  <c r="AV57" i="5" s="1"/>
  <c r="AU57" i="5" a="1"/>
  <c r="AU57" i="5" s="1"/>
  <c r="AT57" i="5"/>
  <c r="AT57" i="5" a="1"/>
  <c r="AS57" i="5"/>
  <c r="AS57" i="5" a="1"/>
  <c r="AQ57" i="5" a="1"/>
  <c r="AQ57" i="5" s="1"/>
  <c r="AP57" i="5" a="1"/>
  <c r="AP57" i="5" s="1"/>
  <c r="AO57" i="5" a="1"/>
  <c r="AO57" i="5" s="1"/>
  <c r="AN57" i="5" a="1"/>
  <c r="AN57" i="5" s="1"/>
  <c r="AZ56" i="5"/>
  <c r="AZ56" i="5" a="1"/>
  <c r="AY56" i="5"/>
  <c r="AY56" i="5" a="1"/>
  <c r="AX56" i="5"/>
  <c r="AX56" i="5" a="1"/>
  <c r="AW56" i="5"/>
  <c r="AW56" i="5" a="1"/>
  <c r="AV56" i="5" a="1"/>
  <c r="AV56" i="5" s="1"/>
  <c r="AU56" i="5" a="1"/>
  <c r="AU56" i="5" s="1"/>
  <c r="AT56" i="5" a="1"/>
  <c r="AT56" i="5" s="1"/>
  <c r="AS56" i="5" a="1"/>
  <c r="AS56" i="5" s="1"/>
  <c r="AQ56" i="5" a="1"/>
  <c r="AQ56" i="5" s="1"/>
  <c r="AP56" i="5" a="1"/>
  <c r="AP56" i="5" s="1"/>
  <c r="AO56" i="5" a="1"/>
  <c r="AO56" i="5" s="1"/>
  <c r="AN56" i="5" a="1"/>
  <c r="AN56" i="5" s="1"/>
  <c r="AZ55" i="5"/>
  <c r="AZ55" i="5" a="1"/>
  <c r="AY55" i="5"/>
  <c r="AY55" i="5" a="1"/>
  <c r="AX55" i="5" a="1"/>
  <c r="AX55" i="5" s="1"/>
  <c r="AW55" i="5" a="1"/>
  <c r="AW55" i="5" s="1"/>
  <c r="AV55" i="5"/>
  <c r="AV55" i="5" a="1"/>
  <c r="AU55" i="5"/>
  <c r="AU55" i="5" a="1"/>
  <c r="AT55" i="5"/>
  <c r="AT55" i="5" a="1"/>
  <c r="AS55" i="5" a="1"/>
  <c r="AS55" i="5" s="1"/>
  <c r="AQ55" i="5" a="1"/>
  <c r="AQ55" i="5" s="1"/>
  <c r="AP55" i="5"/>
  <c r="AP55" i="5" a="1"/>
  <c r="AO55" i="5"/>
  <c r="AO55" i="5" a="1"/>
  <c r="AN55" i="5" a="1"/>
  <c r="AN55" i="5" s="1"/>
  <c r="AZ54" i="5" a="1"/>
  <c r="AZ54" i="5" s="1"/>
  <c r="AY54" i="5" a="1"/>
  <c r="AY54" i="5" s="1"/>
  <c r="AX54" i="5" a="1"/>
  <c r="AX54" i="5" s="1"/>
  <c r="AW54" i="5" a="1"/>
  <c r="AW54" i="5" s="1"/>
  <c r="AV54" i="5"/>
  <c r="AV54" i="5" a="1"/>
  <c r="AU54" i="5" a="1"/>
  <c r="AU54" i="5" s="1"/>
  <c r="AT54" i="5"/>
  <c r="AT54" i="5" a="1"/>
  <c r="AS54" i="5"/>
  <c r="AS54" i="5" a="1"/>
  <c r="AQ54" i="5" a="1"/>
  <c r="AQ54" i="5" s="1"/>
  <c r="AP54" i="5" a="1"/>
  <c r="AP54" i="5" s="1"/>
  <c r="AO54" i="5" a="1"/>
  <c r="AO54" i="5" s="1"/>
  <c r="AN54" i="5"/>
  <c r="AN54" i="5" a="1"/>
  <c r="AZ53" i="5" a="1"/>
  <c r="AZ53" i="5" s="1"/>
  <c r="AY53" i="5"/>
  <c r="AY53" i="5" a="1"/>
  <c r="AX53" i="5"/>
  <c r="AX53" i="5" a="1"/>
  <c r="AW53" i="5"/>
  <c r="AW53" i="5" a="1"/>
  <c r="AV53" i="5" a="1"/>
  <c r="AV53" i="5" s="1"/>
  <c r="AU53" i="5" a="1"/>
  <c r="AU53" i="5" s="1"/>
  <c r="AT53" i="5" a="1"/>
  <c r="AT53" i="5" s="1"/>
  <c r="AS53" i="5" a="1"/>
  <c r="AS53" i="5" s="1"/>
  <c r="AQ53" i="5"/>
  <c r="AQ53" i="5" a="1"/>
  <c r="AP53" i="5"/>
  <c r="AP53" i="5" a="1"/>
  <c r="AO53" i="5"/>
  <c r="AO53" i="5" a="1"/>
  <c r="AN53" i="5"/>
  <c r="AN53" i="5" a="1"/>
  <c r="AZ52" i="5" a="1"/>
  <c r="AZ52" i="5" s="1"/>
  <c r="AY52" i="5"/>
  <c r="AY52" i="5" a="1"/>
  <c r="AX52" i="5" a="1"/>
  <c r="AX52" i="5" s="1"/>
  <c r="AW52" i="5"/>
  <c r="AW52" i="5" a="1"/>
  <c r="AV52" i="5" a="1"/>
  <c r="AV52" i="5" s="1"/>
  <c r="AU52" i="5"/>
  <c r="AU52" i="5" a="1"/>
  <c r="AT52" i="5"/>
  <c r="AT52" i="5" a="1"/>
  <c r="AS52" i="5"/>
  <c r="AS52" i="5" a="1"/>
  <c r="AR52" i="5" a="1"/>
  <c r="AR52" i="5" s="1"/>
  <c r="AQ52" i="5"/>
  <c r="AQ52" i="5" a="1"/>
  <c r="AP52" i="5"/>
  <c r="AP52" i="5" a="1"/>
  <c r="AO52" i="5"/>
  <c r="AO52" i="5" a="1"/>
  <c r="AN52" i="5" a="1"/>
  <c r="AN52" i="5" s="1"/>
  <c r="AZ51" i="5" a="1"/>
  <c r="AZ51" i="5" s="1"/>
  <c r="AY51" i="5"/>
  <c r="AY51" i="5" a="1"/>
  <c r="AX51" i="5"/>
  <c r="AX51" i="5" a="1"/>
  <c r="AW51" i="5" a="1"/>
  <c r="AW51" i="5" s="1"/>
  <c r="AV51" i="5" a="1"/>
  <c r="AV51" i="5" s="1"/>
  <c r="AU51" i="5"/>
  <c r="AU51" i="5" a="1"/>
  <c r="AT51" i="5"/>
  <c r="AT51" i="5" a="1"/>
  <c r="AS51" i="5" a="1"/>
  <c r="AS51" i="5" s="1"/>
  <c r="AR51" i="5" a="1"/>
  <c r="AR51" i="5" s="1"/>
  <c r="AQ51" i="5" a="1"/>
  <c r="AQ51" i="5" s="1"/>
  <c r="AP51" i="5"/>
  <c r="AP51" i="5" a="1"/>
  <c r="AO51" i="5" a="1"/>
  <c r="AO51" i="5" s="1"/>
  <c r="AN51" i="5" a="1"/>
  <c r="AN51" i="5" s="1"/>
  <c r="AZ50" i="5" a="1"/>
  <c r="AZ50" i="5" s="1"/>
  <c r="AY50" i="5"/>
  <c r="AY50" i="5" a="1"/>
  <c r="AX50" i="5" a="1"/>
  <c r="AX50" i="5" s="1"/>
  <c r="AW50" i="5" a="1"/>
  <c r="AW50" i="5" s="1"/>
  <c r="AV50" i="5" a="1"/>
  <c r="AV50" i="5" s="1"/>
  <c r="AU50" i="5" a="1"/>
  <c r="AU50" i="5" s="1"/>
  <c r="AT50" i="5" a="1"/>
  <c r="AT50" i="5" s="1"/>
  <c r="AS50" i="5" a="1"/>
  <c r="AS50" i="5" s="1"/>
  <c r="AQ50" i="5"/>
  <c r="AQ50" i="5" a="1"/>
  <c r="AP50" i="5" a="1"/>
  <c r="AP50" i="5" s="1"/>
  <c r="AO50" i="5"/>
  <c r="AO50" i="5" a="1"/>
  <c r="AN50" i="5" a="1"/>
  <c r="AN50" i="5" s="1"/>
  <c r="AZ49" i="5" a="1"/>
  <c r="AZ49" i="5" s="1"/>
  <c r="AY49" i="5" a="1"/>
  <c r="AY49" i="5" s="1"/>
  <c r="AX49" i="5"/>
  <c r="AX49" i="5" a="1"/>
  <c r="AW49" i="5" a="1"/>
  <c r="AW49" i="5" s="1"/>
  <c r="AV49" i="5"/>
  <c r="AV49" i="5" a="1"/>
  <c r="AU49" i="5" a="1"/>
  <c r="AU49" i="5" s="1"/>
  <c r="AT49" i="5"/>
  <c r="AT49" i="5" a="1"/>
  <c r="AS49" i="5"/>
  <c r="AS49" i="5" a="1"/>
  <c r="AR49" i="5" a="1"/>
  <c r="AR49" i="5" s="1"/>
  <c r="AQ49" i="5" a="1"/>
  <c r="AQ49" i="5" s="1"/>
  <c r="AP49" i="5" a="1"/>
  <c r="AP49" i="5" s="1"/>
  <c r="AO49" i="5" a="1"/>
  <c r="AO49" i="5" s="1"/>
  <c r="AN49" i="5"/>
  <c r="AN49" i="5" a="1"/>
  <c r="AZ48" i="5" a="1"/>
  <c r="AZ48" i="5" s="1"/>
  <c r="AY48" i="5"/>
  <c r="AY48" i="5" a="1"/>
  <c r="AX48" i="5"/>
  <c r="AX48" i="5" a="1"/>
  <c r="AW48" i="5"/>
  <c r="AW48" i="5" a="1"/>
  <c r="AV48" i="5" a="1"/>
  <c r="AV48" i="5" s="1"/>
  <c r="AU48" i="5" a="1"/>
  <c r="AU48" i="5" s="1"/>
  <c r="AT48" i="5" a="1"/>
  <c r="AT48" i="5" s="1"/>
  <c r="AS48" i="5"/>
  <c r="AS48" i="5" a="1"/>
  <c r="AR48" i="5" a="1"/>
  <c r="AR48" i="5" s="1"/>
  <c r="AQ48" i="5"/>
  <c r="AQ48" i="5" a="1"/>
  <c r="AP48" i="5"/>
  <c r="AP48" i="5" a="1"/>
  <c r="AO48" i="5"/>
  <c r="AO48" i="5" a="1"/>
  <c r="AN48" i="5" a="1"/>
  <c r="AN48" i="5" s="1"/>
  <c r="AZ47" i="5"/>
  <c r="AZ47" i="5" a="1"/>
  <c r="AY47" i="5" a="1"/>
  <c r="AY47" i="5" s="1"/>
  <c r="AX47" i="5"/>
  <c r="AX47" i="5" a="1"/>
  <c r="AW47" i="5" a="1"/>
  <c r="AW47" i="5" s="1"/>
  <c r="AV47" i="5"/>
  <c r="AV47" i="5" a="1"/>
  <c r="AU47" i="5"/>
  <c r="AU47" i="5" a="1"/>
  <c r="AT47" i="5"/>
  <c r="AT47" i="5" a="1"/>
  <c r="AS47" i="5" a="1"/>
  <c r="AS47" i="5" s="1"/>
  <c r="AR47" i="5"/>
  <c r="AR47" i="5" a="1"/>
  <c r="AQ47" i="5"/>
  <c r="AQ47" i="5" a="1"/>
  <c r="AP47" i="5"/>
  <c r="AP47" i="5" a="1"/>
  <c r="AO47" i="5" a="1"/>
  <c r="AO47" i="5" s="1"/>
  <c r="AN47" i="5" a="1"/>
  <c r="AN47" i="5" s="1"/>
  <c r="AZ46" i="5"/>
  <c r="AZ46" i="5" a="1"/>
  <c r="AY46" i="5"/>
  <c r="AY46" i="5" a="1"/>
  <c r="AX46" i="5" a="1"/>
  <c r="AX46" i="5" s="1"/>
  <c r="AW46" i="5" a="1"/>
  <c r="AW46" i="5" s="1"/>
  <c r="AV46" i="5"/>
  <c r="AV46" i="5" a="1"/>
  <c r="AU46" i="5"/>
  <c r="AU46" i="5" a="1"/>
  <c r="AT46" i="5" a="1"/>
  <c r="AT46" i="5" s="1"/>
  <c r="AS46" i="5" a="1"/>
  <c r="AS46" i="5" s="1"/>
  <c r="AR46" i="5" a="1"/>
  <c r="AR46" i="5" s="1"/>
  <c r="AQ46" i="5"/>
  <c r="AQ46" i="5" a="1"/>
  <c r="AP46" i="5" a="1"/>
  <c r="AP46" i="5" s="1"/>
  <c r="AO46" i="5" a="1"/>
  <c r="AO46" i="5" s="1"/>
  <c r="AN46" i="5" a="1"/>
  <c r="AN46" i="5" s="1"/>
  <c r="AZ45" i="5"/>
  <c r="AZ45" i="5" a="1"/>
  <c r="AY45" i="5" a="1"/>
  <c r="AY45" i="5" s="1"/>
  <c r="AX45" i="5" a="1"/>
  <c r="AX45" i="5" s="1"/>
  <c r="AW45" i="5" a="1"/>
  <c r="AW45" i="5" s="1"/>
  <c r="AV45" i="5" a="1"/>
  <c r="AV45" i="5" s="1"/>
  <c r="AU45" i="5" a="1"/>
  <c r="AU45" i="5" s="1"/>
  <c r="AT45" i="5" a="1"/>
  <c r="AT45" i="5" s="1"/>
  <c r="AS45" i="5" a="1"/>
  <c r="AS45" i="5" s="1"/>
  <c r="AR45" i="5" a="1"/>
  <c r="AR45" i="5" s="1"/>
  <c r="AQ45" i="5" a="1"/>
  <c r="AQ45" i="5" s="1"/>
  <c r="AP45" i="5"/>
  <c r="AP45" i="5" a="1"/>
  <c r="AO45" i="5" a="1"/>
  <c r="AO45" i="5" s="1"/>
  <c r="AN45" i="5" a="1"/>
  <c r="AN45" i="5" s="1"/>
  <c r="AZ44" i="5" a="1"/>
  <c r="AZ44" i="5" s="1"/>
  <c r="AY44" i="5" a="1"/>
  <c r="AY44" i="5" s="1"/>
  <c r="AX44" i="5" a="1"/>
  <c r="AX44" i="5" s="1"/>
  <c r="AW44" i="5" a="1"/>
  <c r="AW44" i="5" s="1"/>
  <c r="AV44" i="5" a="1"/>
  <c r="AV44" i="5" s="1"/>
  <c r="AU44" i="5"/>
  <c r="AU44" i="5" a="1"/>
  <c r="AT44" i="5"/>
  <c r="AT44" i="5" a="1"/>
  <c r="AS44" i="5" a="1"/>
  <c r="AS44" i="5" s="1"/>
  <c r="AR44" i="5" a="1"/>
  <c r="AR44" i="5" s="1"/>
  <c r="AQ44" i="5" a="1"/>
  <c r="AQ44" i="5" s="1"/>
  <c r="AP44" i="5" a="1"/>
  <c r="AP44" i="5" s="1"/>
  <c r="AO44" i="5" a="1"/>
  <c r="AO44" i="5" s="1"/>
  <c r="AN44" i="5" a="1"/>
  <c r="AN44" i="5" s="1"/>
  <c r="AZ43" i="5"/>
  <c r="AZ43" i="5" a="1"/>
  <c r="AY43" i="5"/>
  <c r="AY43" i="5" a="1"/>
  <c r="AX43" i="5"/>
  <c r="AX43" i="5" a="1"/>
  <c r="AW43" i="5" a="1"/>
  <c r="AW43" i="5" s="1"/>
  <c r="AV43" i="5" a="1"/>
  <c r="AV43" i="5" s="1"/>
  <c r="AU43" i="5" a="1"/>
  <c r="AU43" i="5" s="1"/>
  <c r="AT43" i="5" a="1"/>
  <c r="AT43" i="5" s="1"/>
  <c r="AS43" i="5" a="1"/>
  <c r="AS43" i="5" s="1"/>
  <c r="AR43" i="5"/>
  <c r="AR43" i="5" a="1"/>
  <c r="AQ43" i="5"/>
  <c r="AQ43" i="5" a="1"/>
  <c r="AP43" i="5"/>
  <c r="AP43" i="5" a="1"/>
  <c r="AO43" i="5" a="1"/>
  <c r="AO43" i="5" s="1"/>
  <c r="AN43" i="5"/>
  <c r="AN43" i="5" a="1"/>
  <c r="AZ42" i="5" a="1"/>
  <c r="AZ42" i="5" s="1"/>
  <c r="AY42" i="5" a="1"/>
  <c r="AY42" i="5" s="1"/>
  <c r="AX42" i="5" a="1"/>
  <c r="AX42" i="5" s="1"/>
  <c r="AW42" i="5"/>
  <c r="AW42" i="5" a="1"/>
  <c r="AV42" i="5"/>
  <c r="AV42" i="5" a="1"/>
  <c r="AU42" i="5"/>
  <c r="AU42" i="5" a="1"/>
  <c r="AT42" i="5" a="1"/>
  <c r="AT42" i="5" s="1"/>
  <c r="AS42" i="5"/>
  <c r="AS42" i="5" a="1"/>
  <c r="AR42" i="5"/>
  <c r="AR42" i="5" a="1"/>
  <c r="AQ42" i="5" a="1"/>
  <c r="AQ42" i="5" s="1"/>
  <c r="AP42" i="5" a="1"/>
  <c r="AP42" i="5" s="1"/>
  <c r="AO42" i="5" a="1"/>
  <c r="AO42" i="5" s="1"/>
  <c r="AN42" i="5"/>
  <c r="AN42" i="5" a="1"/>
  <c r="AZ41" i="5"/>
  <c r="AZ41" i="5" a="1"/>
  <c r="AY41" i="5" a="1"/>
  <c r="AY41" i="5" s="1"/>
  <c r="AX41" i="5" a="1"/>
  <c r="AX41" i="5" s="1"/>
  <c r="AW41" i="5"/>
  <c r="AW41" i="5" a="1"/>
  <c r="AV41" i="5"/>
  <c r="AV41" i="5" a="1"/>
  <c r="AU41" i="5" a="1"/>
  <c r="AU41" i="5" s="1"/>
  <c r="AT41" i="5" a="1"/>
  <c r="AT41" i="5" s="1"/>
  <c r="AS41" i="5"/>
  <c r="AS41" i="5" a="1"/>
  <c r="AR41" i="5"/>
  <c r="AR41" i="5" a="1"/>
  <c r="AQ41" i="5" a="1"/>
  <c r="AQ41" i="5" s="1"/>
  <c r="AP41" i="5" a="1"/>
  <c r="AP41" i="5" s="1"/>
  <c r="AO41" i="5" a="1"/>
  <c r="AO41" i="5" s="1"/>
  <c r="AN41" i="5"/>
  <c r="AN41" i="5" a="1"/>
  <c r="AZ40" i="5" a="1"/>
  <c r="AZ40" i="5" s="1"/>
  <c r="AY40" i="5" a="1"/>
  <c r="AY40" i="5" s="1"/>
  <c r="AX40" i="5" a="1"/>
  <c r="AX40" i="5" s="1"/>
  <c r="AW40" i="5"/>
  <c r="AW40" i="5" a="1"/>
  <c r="AV40" i="5" a="1"/>
  <c r="AV40" i="5" s="1"/>
  <c r="AU40" i="5" a="1"/>
  <c r="AU40" i="5" s="1"/>
  <c r="AT40" i="5" a="1"/>
  <c r="AT40" i="5" s="1"/>
  <c r="AS40" i="5" a="1"/>
  <c r="AS40" i="5" s="1"/>
  <c r="AR40" i="5" a="1"/>
  <c r="AR40" i="5" s="1"/>
  <c r="AQ40" i="5"/>
  <c r="AQ40" i="5" a="1"/>
  <c r="AP40" i="5" a="1"/>
  <c r="AP40" i="5" s="1"/>
  <c r="AO40" i="5" a="1"/>
  <c r="AO40" i="5" s="1"/>
  <c r="AN40" i="5" a="1"/>
  <c r="AN40" i="5" s="1"/>
  <c r="AZ39" i="5"/>
  <c r="AZ39" i="5" a="1"/>
  <c r="AY39" i="5" a="1"/>
  <c r="AY39" i="5" s="1"/>
  <c r="AX39" i="5" a="1"/>
  <c r="AX39" i="5" s="1"/>
  <c r="AW39" i="5" a="1"/>
  <c r="AW39" i="5" s="1"/>
  <c r="AV39" i="5"/>
  <c r="AV39" i="5" a="1"/>
  <c r="AU39" i="5"/>
  <c r="AU39" i="5" a="1"/>
  <c r="AT39" i="5" a="1"/>
  <c r="AT39" i="5" s="1"/>
  <c r="AS39" i="5" a="1"/>
  <c r="AS39" i="5" s="1"/>
  <c r="AR39" i="5" a="1"/>
  <c r="AR39" i="5" s="1"/>
  <c r="AQ39" i="5" a="1"/>
  <c r="AQ39" i="5" s="1"/>
  <c r="AP39" i="5" a="1"/>
  <c r="AP39" i="5" s="1"/>
  <c r="AO39" i="5" a="1"/>
  <c r="AO39" i="5" s="1"/>
  <c r="AN39" i="5"/>
  <c r="AN39" i="5" a="1"/>
  <c r="AZ38" i="5"/>
  <c r="AZ38" i="5" a="1"/>
  <c r="AY38" i="5"/>
  <c r="AY38" i="5" a="1"/>
  <c r="AX38" i="5" a="1"/>
  <c r="AX38" i="5" s="1"/>
  <c r="AW38" i="5" a="1"/>
  <c r="AW38" i="5" s="1"/>
  <c r="AV38" i="5" a="1"/>
  <c r="AV38" i="5" s="1"/>
  <c r="AU38" i="5"/>
  <c r="AU38" i="5" a="1"/>
  <c r="AT38" i="5" a="1"/>
  <c r="AT38" i="5" s="1"/>
  <c r="AS38" i="5"/>
  <c r="AS38" i="5" a="1"/>
  <c r="AR38" i="5"/>
  <c r="AR38" i="5" a="1"/>
  <c r="AQ38" i="5"/>
  <c r="AQ38" i="5" a="1"/>
  <c r="AP38" i="5" a="1"/>
  <c r="AP38" i="5" s="1"/>
  <c r="AO38" i="5"/>
  <c r="AO38" i="5" a="1"/>
  <c r="AN38" i="5" a="1"/>
  <c r="AN38" i="5" s="1"/>
  <c r="AZ37" i="5" a="1"/>
  <c r="AZ37" i="5" s="1"/>
  <c r="AY37" i="5" a="1"/>
  <c r="AY37" i="5" s="1"/>
  <c r="AX37" i="5"/>
  <c r="AX37" i="5" a="1"/>
  <c r="AW37" i="5"/>
  <c r="AW37" i="5" a="1"/>
  <c r="AV37" i="5"/>
  <c r="AV37" i="5" a="1"/>
  <c r="AU37" i="5" a="1"/>
  <c r="AU37" i="5" s="1"/>
  <c r="AT37" i="5"/>
  <c r="AT37" i="5" a="1"/>
  <c r="AS37" i="5"/>
  <c r="AS37" i="5" a="1"/>
  <c r="AR37" i="5" a="1"/>
  <c r="AR37" i="5" s="1"/>
  <c r="AQ37" i="5" a="1"/>
  <c r="AQ37" i="5" s="1"/>
  <c r="AP37" i="5" a="1"/>
  <c r="AP37" i="5" s="1"/>
  <c r="AO37" i="5"/>
  <c r="AO37" i="5" a="1"/>
  <c r="AN37" i="5"/>
  <c r="AN37" i="5" a="1"/>
  <c r="AZ36" i="5" a="1"/>
  <c r="AZ36" i="5" s="1"/>
  <c r="AY36" i="5" a="1"/>
  <c r="AY36" i="5" s="1"/>
  <c r="AX36" i="5"/>
  <c r="AX36" i="5" a="1"/>
  <c r="AW36" i="5"/>
  <c r="AW36" i="5" a="1"/>
  <c r="AV36" i="5" a="1"/>
  <c r="AV36" i="5" s="1"/>
  <c r="AU36" i="5" a="1"/>
  <c r="AU36" i="5" s="1"/>
  <c r="AT36" i="5" a="1"/>
  <c r="AT36" i="5" s="1"/>
  <c r="AS36" i="5"/>
  <c r="AS36" i="5" a="1"/>
  <c r="AR36" i="5" a="1"/>
  <c r="AR36" i="5" s="1"/>
  <c r="AQ36" i="5" a="1"/>
  <c r="AQ36" i="5" s="1"/>
  <c r="AP36" i="5" a="1"/>
  <c r="AP36" i="5" s="1"/>
  <c r="AO36" i="5"/>
  <c r="AO36" i="5" a="1"/>
  <c r="AN36" i="5" a="1"/>
  <c r="AN36" i="5" s="1"/>
  <c r="AZ35" i="5" a="1"/>
  <c r="AZ35" i="5" s="1"/>
  <c r="AY35" i="5" a="1"/>
  <c r="AY35" i="5" s="1"/>
  <c r="AX35" i="5" a="1"/>
  <c r="AX35" i="5" s="1"/>
  <c r="AW35" i="5" a="1"/>
  <c r="AW35" i="5" s="1"/>
  <c r="AV35" i="5" a="1"/>
  <c r="AV35" i="5" s="1"/>
  <c r="AU35" i="5" a="1"/>
  <c r="AU35" i="5" s="1"/>
  <c r="AT35" i="5" a="1"/>
  <c r="AT35" i="5" s="1"/>
  <c r="AS35" i="5" a="1"/>
  <c r="AS35" i="5" s="1"/>
  <c r="AQ35" i="5" a="1"/>
  <c r="AQ35" i="5" s="1"/>
  <c r="AP35" i="5" a="1"/>
  <c r="AP35" i="5" s="1"/>
  <c r="AO35" i="5" a="1"/>
  <c r="AO35" i="5" s="1"/>
  <c r="AN35" i="5"/>
  <c r="AN35" i="5" a="1"/>
  <c r="AZ34" i="5" a="1"/>
  <c r="AZ34" i="5" s="1"/>
  <c r="AY34" i="5" a="1"/>
  <c r="AY34" i="5" s="1"/>
  <c r="AX34" i="5" a="1"/>
  <c r="AX34" i="5" s="1"/>
  <c r="AW34" i="5"/>
  <c r="AW34" i="5" a="1"/>
  <c r="AV34" i="5"/>
  <c r="AV34" i="5" a="1"/>
  <c r="AU34" i="5" a="1"/>
  <c r="AU34" i="5" s="1"/>
  <c r="AT34" i="5" a="1"/>
  <c r="AT34" i="5" s="1"/>
  <c r="AS34" i="5" a="1"/>
  <c r="AS34" i="5" s="1"/>
  <c r="AR34" i="5" a="1"/>
  <c r="AR34" i="5" s="1"/>
  <c r="AQ34" i="5" a="1"/>
  <c r="AQ34" i="5" s="1"/>
  <c r="AP34" i="5" a="1"/>
  <c r="AP34" i="5" s="1"/>
  <c r="AO34" i="5"/>
  <c r="AO34" i="5" a="1"/>
  <c r="AN34" i="5"/>
  <c r="AN34" i="5" a="1"/>
  <c r="AZ33" i="5"/>
  <c r="AZ33" i="5" a="1"/>
  <c r="AY33" i="5" a="1"/>
  <c r="AY33" i="5" s="1"/>
  <c r="AX33" i="5" a="1"/>
  <c r="AX33" i="5" s="1"/>
  <c r="AW33" i="5" a="1"/>
  <c r="AW33" i="5" s="1"/>
  <c r="AV33" i="5"/>
  <c r="AV33" i="5" a="1"/>
  <c r="AU33" i="5" a="1"/>
  <c r="AU33" i="5" s="1"/>
  <c r="AT33" i="5"/>
  <c r="AT33" i="5" a="1"/>
  <c r="AS33" i="5"/>
  <c r="AS33" i="5" a="1"/>
  <c r="AQ33" i="5" a="1"/>
  <c r="AQ33" i="5" s="1"/>
  <c r="AP33" i="5"/>
  <c r="AP33" i="5" a="1"/>
  <c r="AO33" i="5" a="1"/>
  <c r="AO33" i="5" s="1"/>
  <c r="AN33" i="5" a="1"/>
  <c r="AN33" i="5" s="1"/>
  <c r="AZ32" i="5" a="1"/>
  <c r="AZ32" i="5" s="1"/>
  <c r="AY32" i="5"/>
  <c r="AY32" i="5" a="1"/>
  <c r="AX32" i="5"/>
  <c r="AX32" i="5" a="1"/>
  <c r="AW32" i="5"/>
  <c r="AW32" i="5" a="1"/>
  <c r="AV32" i="5" a="1"/>
  <c r="AV32" i="5" s="1"/>
  <c r="AU32" i="5"/>
  <c r="AU32" i="5" a="1"/>
  <c r="AT32" i="5"/>
  <c r="AT32" i="5" a="1"/>
  <c r="AS32" i="5" a="1"/>
  <c r="AS32" i="5" s="1"/>
  <c r="AQ32" i="5" a="1"/>
  <c r="AQ32" i="5" s="1"/>
  <c r="AP32" i="5"/>
  <c r="AP32" i="5" a="1"/>
  <c r="AO32" i="5"/>
  <c r="AO32" i="5" a="1"/>
  <c r="AN32" i="5" a="1"/>
  <c r="AN32" i="5" s="1"/>
  <c r="AZ31" i="5" a="1"/>
  <c r="AZ31" i="5" s="1"/>
  <c r="AY31" i="5"/>
  <c r="AY31" i="5" a="1"/>
  <c r="AX31" i="5"/>
  <c r="AX31" i="5" a="1"/>
  <c r="AW31" i="5" a="1"/>
  <c r="AW31" i="5" s="1"/>
  <c r="AV31" i="5" a="1"/>
  <c r="AV31" i="5" s="1"/>
  <c r="AU31" i="5"/>
  <c r="AU31" i="5" a="1"/>
  <c r="AT31" i="5"/>
  <c r="AT31" i="5" a="1"/>
  <c r="AS31" i="5" a="1"/>
  <c r="AS31" i="5" s="1"/>
  <c r="AR31" i="5" a="1"/>
  <c r="AR31" i="5" s="1"/>
  <c r="AQ31" i="5" a="1"/>
  <c r="AQ31" i="5" s="1"/>
  <c r="AP31" i="5"/>
  <c r="AP31" i="5" a="1"/>
  <c r="AO31" i="5" a="1"/>
  <c r="AO31" i="5" s="1"/>
  <c r="AN31" i="5" a="1"/>
  <c r="AN31" i="5" s="1"/>
  <c r="AZ30" i="5" a="1"/>
  <c r="AZ30" i="5" s="1"/>
  <c r="AY30" i="5" a="1"/>
  <c r="AY30" i="5" s="1"/>
  <c r="AX30" i="5" a="1"/>
  <c r="AX30" i="5" s="1"/>
  <c r="AW30" i="5" a="1"/>
  <c r="AW30" i="5" s="1"/>
  <c r="AV30" i="5" a="1"/>
  <c r="AV30" i="5" s="1"/>
  <c r="AU30" i="5" a="1"/>
  <c r="AU30" i="5" s="1"/>
  <c r="AT30" i="5" a="1"/>
  <c r="AT30" i="5" s="1"/>
  <c r="AS30" i="5"/>
  <c r="AS30" i="5" a="1"/>
  <c r="AQ30" i="5" a="1"/>
  <c r="AQ30" i="5" s="1"/>
  <c r="AP30" i="5" a="1"/>
  <c r="AP30" i="5" s="1"/>
  <c r="AO30" i="5"/>
  <c r="AO30" i="5" a="1"/>
  <c r="AN30" i="5" a="1"/>
  <c r="AN30" i="5" s="1"/>
  <c r="AZ29" i="5" a="1"/>
  <c r="AZ29" i="5" s="1"/>
  <c r="AY29" i="5" a="1"/>
  <c r="AY29" i="5" s="1"/>
  <c r="AX29" i="5" a="1"/>
  <c r="AX29" i="5" s="1"/>
  <c r="AW29" i="5"/>
  <c r="AW29" i="5" a="1"/>
  <c r="AV29" i="5" a="1"/>
  <c r="AV29" i="5" s="1"/>
  <c r="AU29" i="5" a="1"/>
  <c r="AU29" i="5" s="1"/>
  <c r="AT29" i="5" a="1"/>
  <c r="AT29" i="5" s="1"/>
  <c r="AS29" i="5" a="1"/>
  <c r="AS29" i="5" s="1"/>
  <c r="AQ29" i="5" a="1"/>
  <c r="AQ29" i="5" s="1"/>
  <c r="AP29" i="5"/>
  <c r="AP29" i="5" a="1"/>
  <c r="AO29" i="5" a="1"/>
  <c r="AO29" i="5" s="1"/>
  <c r="AN29" i="5"/>
  <c r="AN29" i="5" a="1"/>
  <c r="AZ28" i="5" a="1"/>
  <c r="AZ28" i="5" s="1"/>
  <c r="AY28" i="5" a="1"/>
  <c r="AY28" i="5" s="1"/>
  <c r="AX28" i="5" a="1"/>
  <c r="AX28" i="5" s="1"/>
  <c r="AW28" i="5" a="1"/>
  <c r="AW28" i="5" s="1"/>
  <c r="AV28" i="5" a="1"/>
  <c r="AV28" i="5" s="1"/>
  <c r="AU28" i="5"/>
  <c r="AU28" i="5" a="1"/>
  <c r="AT28" i="5"/>
  <c r="AT28" i="5" a="1"/>
  <c r="AS28" i="5" a="1"/>
  <c r="AS28" i="5" s="1"/>
  <c r="AQ28" i="5"/>
  <c r="AQ28" i="5" a="1"/>
  <c r="AP28" i="5" a="1"/>
  <c r="AP28" i="5" s="1"/>
  <c r="AO28" i="5" a="1"/>
  <c r="AO28" i="5" s="1"/>
  <c r="AN28" i="5" a="1"/>
  <c r="AN28" i="5" s="1"/>
  <c r="AZ27" i="5"/>
  <c r="AZ27" i="5" a="1"/>
  <c r="AY27" i="5"/>
  <c r="AY27" i="5" a="1"/>
  <c r="AX27" i="5"/>
  <c r="AX27" i="5" a="1"/>
  <c r="AW27" i="5" a="1"/>
  <c r="AW27" i="5" s="1"/>
  <c r="AV27" i="5"/>
  <c r="AV27" i="5" a="1"/>
  <c r="AU27" i="5"/>
  <c r="AU27" i="5" a="1"/>
  <c r="AT27" i="5" a="1"/>
  <c r="AT27" i="5" s="1"/>
  <c r="AS27" i="5" a="1"/>
  <c r="AS27" i="5" s="1"/>
  <c r="AQ27" i="5"/>
  <c r="AQ27" i="5" a="1"/>
  <c r="AP27" i="5"/>
  <c r="AP27" i="5" a="1"/>
  <c r="AO27" i="5" a="1"/>
  <c r="AO27" i="5" s="1"/>
  <c r="AN27" i="5" a="1"/>
  <c r="AN27" i="5" s="1"/>
  <c r="AZ26" i="5"/>
  <c r="AZ26" i="5" a="1"/>
  <c r="AY26" i="5"/>
  <c r="AY26" i="5" a="1"/>
  <c r="AX26" i="5" a="1"/>
  <c r="AX26" i="5" s="1"/>
  <c r="AW26" i="5" a="1"/>
  <c r="AW26" i="5" s="1"/>
  <c r="AV26" i="5" a="1"/>
  <c r="AV26" i="5" s="1"/>
  <c r="AU26" i="5"/>
  <c r="AU26" i="5" a="1"/>
  <c r="AT26" i="5" a="1"/>
  <c r="AT26" i="5" s="1"/>
  <c r="AS26" i="5" a="1"/>
  <c r="AS26" i="5" s="1"/>
  <c r="AQ26" i="5"/>
  <c r="AQ26" i="5" a="1"/>
  <c r="AP26" i="5" a="1"/>
  <c r="AP26" i="5" s="1"/>
  <c r="AO26" i="5" a="1"/>
  <c r="AO26" i="5" s="1"/>
  <c r="AN26" i="5" a="1"/>
  <c r="AN26" i="5" s="1"/>
  <c r="AZ25" i="5"/>
  <c r="AZ25" i="5" a="1"/>
  <c r="AY25" i="5" a="1"/>
  <c r="AY25" i="5" s="1"/>
  <c r="AX25" i="5" a="1"/>
  <c r="AX25" i="5" s="1"/>
  <c r="AW25" i="5" a="1"/>
  <c r="AW25" i="5" s="1"/>
  <c r="AV25" i="5" a="1"/>
  <c r="AV25" i="5" s="1"/>
  <c r="AU25" i="5" a="1"/>
  <c r="AU25" i="5" s="1"/>
  <c r="AT25" i="5"/>
  <c r="AT25" i="5" a="1"/>
  <c r="AS25" i="5" a="1"/>
  <c r="AS25" i="5" s="1"/>
  <c r="AQ25" i="5" a="1"/>
  <c r="AQ25" i="5" s="1"/>
  <c r="AP25" i="5"/>
  <c r="AP25" i="5" a="1"/>
  <c r="AO25" i="5" a="1"/>
  <c r="AO25" i="5" s="1"/>
  <c r="AN25" i="5" a="1"/>
  <c r="AN25" i="5" s="1"/>
  <c r="AZ24" i="5" a="1"/>
  <c r="AZ24" i="5" s="1"/>
  <c r="AY24" i="5"/>
  <c r="AY24" i="5" a="1"/>
  <c r="AX24" i="5"/>
  <c r="AX24" i="5" a="1"/>
  <c r="AW24" i="5" a="1"/>
  <c r="AW24" i="5" s="1"/>
  <c r="AV24" i="5" a="1"/>
  <c r="AV24" i="5" s="1"/>
  <c r="AU24" i="5" a="1"/>
  <c r="AU24" i="5" s="1"/>
  <c r="AT24" i="5"/>
  <c r="AT24" i="5" a="1"/>
  <c r="AS24" i="5"/>
  <c r="AS24" i="5" a="1"/>
  <c r="AR24" i="5"/>
  <c r="AR24" i="5" a="1"/>
  <c r="AQ24" i="5"/>
  <c r="AQ24" i="5" a="1"/>
  <c r="AP24" i="5"/>
  <c r="AP24" i="5" a="1"/>
  <c r="AO24" i="5" a="1"/>
  <c r="AO24" i="5" s="1"/>
  <c r="AN24" i="5" a="1"/>
  <c r="AN24" i="5" s="1"/>
  <c r="AZ23" i="5" a="1"/>
  <c r="AZ23" i="5" s="1"/>
  <c r="AY23" i="5" a="1"/>
  <c r="AY23" i="5" s="1"/>
  <c r="AX23" i="5" a="1"/>
  <c r="AX23" i="5" s="1"/>
  <c r="AW23" i="5" a="1"/>
  <c r="AW23" i="5" s="1"/>
  <c r="AV23" i="5" a="1"/>
  <c r="AV23" i="5" s="1"/>
  <c r="AU23" i="5"/>
  <c r="AU23" i="5" a="1"/>
  <c r="AT23" i="5"/>
  <c r="AT23" i="5" a="1"/>
  <c r="AS23" i="5" a="1"/>
  <c r="AS23" i="5" s="1"/>
  <c r="AQ23" i="5"/>
  <c r="AQ23" i="5" a="1"/>
  <c r="AP23" i="5"/>
  <c r="AP23" i="5" a="1"/>
  <c r="AO23" i="5"/>
  <c r="AO23" i="5" a="1"/>
  <c r="AN23" i="5"/>
  <c r="AN23" i="5" a="1"/>
  <c r="AZ22" i="5"/>
  <c r="AZ22" i="5" a="1"/>
  <c r="AY22" i="5"/>
  <c r="AY22" i="5" a="1"/>
  <c r="AX22" i="5" a="1"/>
  <c r="AX22" i="5" s="1"/>
  <c r="AW22" i="5" a="1"/>
  <c r="AW22" i="5" s="1"/>
  <c r="AV22" i="5" a="1"/>
  <c r="AV22" i="5" s="1"/>
  <c r="AU22" i="5"/>
  <c r="AU22" i="5" a="1"/>
  <c r="AT22" i="5" a="1"/>
  <c r="AT22" i="5" s="1"/>
  <c r="AS22" i="5" a="1"/>
  <c r="AS22" i="5" s="1"/>
  <c r="AQ22" i="5"/>
  <c r="AQ22" i="5" a="1"/>
  <c r="AP22" i="5"/>
  <c r="AP22" i="5" a="1"/>
  <c r="AO22" i="5" a="1"/>
  <c r="AO22" i="5" s="1"/>
  <c r="AN22" i="5" a="1"/>
  <c r="AN22" i="5" s="1"/>
  <c r="AZ21" i="5" a="1"/>
  <c r="AZ21" i="5" s="1"/>
  <c r="AY21" i="5" a="1"/>
  <c r="AY21" i="5" s="1"/>
  <c r="AX21" i="5" a="1"/>
  <c r="AX21" i="5" s="1"/>
  <c r="AW21" i="5" a="1"/>
  <c r="AW21" i="5" s="1"/>
  <c r="AV21" i="5"/>
  <c r="AV21" i="5" a="1"/>
  <c r="AU21" i="5"/>
  <c r="AU21" i="5" a="1"/>
  <c r="AT21" i="5" a="1"/>
  <c r="AT21" i="5" s="1"/>
  <c r="AS21" i="5" a="1"/>
  <c r="AS21" i="5" s="1"/>
  <c r="AR21" i="5" a="1"/>
  <c r="AR21" i="5" s="1"/>
  <c r="AQ21" i="5" a="1"/>
  <c r="AQ21" i="5" s="1"/>
  <c r="AP21" i="5" a="1"/>
  <c r="AP21" i="5" s="1"/>
  <c r="AO21" i="5" a="1"/>
  <c r="AO21" i="5" s="1"/>
  <c r="AN21" i="5"/>
  <c r="AN21" i="5" a="1"/>
  <c r="AZ20" i="5"/>
  <c r="AZ20" i="5" a="1"/>
  <c r="AY20" i="5" a="1"/>
  <c r="AY20" i="5" s="1"/>
  <c r="AX20" i="5" a="1"/>
  <c r="AX20" i="5" s="1"/>
  <c r="AW20" i="5"/>
  <c r="AW20" i="5" a="1"/>
  <c r="AV20" i="5" a="1"/>
  <c r="AV20" i="5" s="1"/>
  <c r="AU20" i="5" a="1"/>
  <c r="AU20" i="5" s="1"/>
  <c r="AT20" i="5" a="1"/>
  <c r="AT20" i="5" s="1"/>
  <c r="AS20" i="5"/>
  <c r="AS20" i="5" a="1"/>
  <c r="AQ20" i="5" a="1"/>
  <c r="AQ20" i="5" s="1"/>
  <c r="AP20" i="5" a="1"/>
  <c r="AP20" i="5" s="1"/>
  <c r="AO20" i="5"/>
  <c r="AO20" i="5" a="1"/>
  <c r="AN20" i="5" a="1"/>
  <c r="AN20" i="5" s="1"/>
  <c r="AZ19" i="5" a="1"/>
  <c r="AZ19" i="5" s="1"/>
  <c r="AY19" i="5" a="1"/>
  <c r="AY19" i="5" s="1"/>
  <c r="AX19" i="5"/>
  <c r="AX19" i="5" a="1"/>
  <c r="AW19" i="5"/>
  <c r="AW19" i="5" a="1"/>
  <c r="AV19" i="5" a="1"/>
  <c r="AV19" i="5" s="1"/>
  <c r="AU19" i="5" a="1"/>
  <c r="AU19" i="5" s="1"/>
  <c r="AT19" i="5" a="1"/>
  <c r="AT19" i="5" s="1"/>
  <c r="AS19" i="5" a="1"/>
  <c r="AS19" i="5" s="1"/>
  <c r="AQ19" i="5" a="1"/>
  <c r="AQ19" i="5" s="1"/>
  <c r="AP19" i="5"/>
  <c r="AP19" i="5" a="1"/>
  <c r="AO19" i="5"/>
  <c r="AO19" i="5" a="1"/>
  <c r="AN19" i="5" a="1"/>
  <c r="AN19" i="5" s="1"/>
  <c r="AZ18" i="5" a="1"/>
  <c r="AZ18" i="5" s="1"/>
  <c r="AY18" i="5" a="1"/>
  <c r="AY18" i="5" s="1"/>
  <c r="AX18" i="5" a="1"/>
  <c r="AX18" i="5" s="1"/>
  <c r="AW18" i="5" a="1"/>
  <c r="AW18" i="5" s="1"/>
  <c r="AV18" i="5" a="1"/>
  <c r="AV18" i="5" s="1"/>
  <c r="AU18" i="5"/>
  <c r="AU18" i="5" a="1"/>
  <c r="AT18" i="5"/>
  <c r="AT18" i="5" a="1"/>
  <c r="AS18" i="5" a="1"/>
  <c r="AS18" i="5" s="1"/>
  <c r="AQ18" i="5"/>
  <c r="AQ18" i="5" a="1"/>
  <c r="AP18" i="5" a="1"/>
  <c r="AP18" i="5" s="1"/>
  <c r="AO18" i="5" a="1"/>
  <c r="AO18" i="5" s="1"/>
  <c r="AN18" i="5" a="1"/>
  <c r="AN18" i="5" s="1"/>
  <c r="AZ17" i="5"/>
  <c r="AZ17" i="5" a="1"/>
  <c r="AY17" i="5"/>
  <c r="AY17" i="5" a="1"/>
  <c r="AX17" i="5" a="1"/>
  <c r="AX17" i="5" s="1"/>
  <c r="AW17" i="5" a="1"/>
  <c r="AW17" i="5" s="1"/>
  <c r="AV17" i="5" a="1"/>
  <c r="AV17" i="5" s="1"/>
  <c r="AU17" i="5" a="1"/>
  <c r="AU17" i="5" s="1"/>
  <c r="AT17" i="5" a="1"/>
  <c r="AT17" i="5" s="1"/>
  <c r="AS17" i="5" a="1"/>
  <c r="AS17" i="5" s="1"/>
  <c r="AQ17" i="5"/>
  <c r="AQ17" i="5" a="1"/>
  <c r="AP17" i="5" a="1"/>
  <c r="AP17" i="5" s="1"/>
  <c r="AO17" i="5" a="1"/>
  <c r="AO17" i="5" s="1"/>
  <c r="AN17" i="5"/>
  <c r="AN17" i="5" a="1"/>
  <c r="AZ16" i="5" a="1"/>
  <c r="AZ16" i="5" s="1"/>
  <c r="AY16" i="5" a="1"/>
  <c r="AY16" i="5" s="1"/>
  <c r="AX16" i="5" a="1"/>
  <c r="AX16" i="5" s="1"/>
  <c r="AW16" i="5"/>
  <c r="AW16" i="5" a="1"/>
  <c r="AV16" i="5"/>
  <c r="AV16" i="5" a="1"/>
  <c r="AU16" i="5" a="1"/>
  <c r="AU16" i="5" s="1"/>
  <c r="AT16" i="5" a="1"/>
  <c r="AT16" i="5" s="1"/>
  <c r="AS16" i="5" a="1"/>
  <c r="AS16" i="5" s="1"/>
  <c r="AQ16" i="5" a="1"/>
  <c r="AQ16" i="5" s="1"/>
  <c r="AP16" i="5" a="1"/>
  <c r="AP16" i="5" s="1"/>
  <c r="AO16" i="5"/>
  <c r="AO16" i="5" a="1"/>
  <c r="AN16" i="5"/>
  <c r="AN16" i="5" a="1"/>
  <c r="AZ15" i="5" a="1"/>
  <c r="AZ15" i="5" s="1"/>
  <c r="AY15" i="5" a="1"/>
  <c r="AY15" i="5" s="1"/>
  <c r="AX15" i="5"/>
  <c r="AX15" i="5" a="1"/>
  <c r="AW15" i="5" a="1"/>
  <c r="AW15" i="5" s="1"/>
  <c r="AV15" i="5" a="1"/>
  <c r="AV15" i="5" s="1"/>
  <c r="AU15" i="5" a="1"/>
  <c r="AU15" i="5" s="1"/>
  <c r="AT15" i="5"/>
  <c r="AT15" i="5" a="1"/>
  <c r="AS15" i="5"/>
  <c r="AS15" i="5" a="1"/>
  <c r="AQ15" i="5" a="1"/>
  <c r="AQ15" i="5" s="1"/>
  <c r="AP15" i="5" a="1"/>
  <c r="AP15" i="5" s="1"/>
  <c r="AO15" i="5" a="1"/>
  <c r="AO15" i="5" s="1"/>
  <c r="AN15" i="5" a="1"/>
  <c r="AN15" i="5" s="1"/>
  <c r="AZ14" i="5" a="1"/>
  <c r="AZ14" i="5" s="1"/>
  <c r="AY14" i="5"/>
  <c r="AY14" i="5" a="1"/>
  <c r="AX14" i="5"/>
  <c r="AX14" i="5" a="1"/>
  <c r="AW14" i="5" a="1"/>
  <c r="AW14" i="5" s="1"/>
  <c r="AV14" i="5" a="1"/>
  <c r="AV14" i="5" s="1"/>
  <c r="AU14" i="5" a="1"/>
  <c r="AU14" i="5" s="1"/>
  <c r="AT14" i="5" a="1"/>
  <c r="AT14" i="5" s="1"/>
  <c r="AS14" i="5" a="1"/>
  <c r="AS14" i="5" s="1"/>
  <c r="AQ14" i="5"/>
  <c r="AQ14" i="5" a="1"/>
  <c r="AP14" i="5"/>
  <c r="AP14" i="5" a="1"/>
  <c r="AO14" i="5" a="1"/>
  <c r="AO14" i="5" s="1"/>
  <c r="AN14" i="5" a="1"/>
  <c r="AN14" i="5" s="1"/>
  <c r="AZ13" i="5"/>
  <c r="AZ13" i="5" a="1"/>
  <c r="AY13" i="5" a="1"/>
  <c r="AY13" i="5" s="1"/>
  <c r="AX13" i="5" a="1"/>
  <c r="AX13" i="5" s="1"/>
  <c r="AW13" i="5" a="1"/>
  <c r="AW13" i="5" s="1"/>
  <c r="AV13" i="5"/>
  <c r="AV13" i="5" a="1"/>
  <c r="AU13" i="5"/>
  <c r="AU13" i="5" a="1"/>
  <c r="AT13" i="5" a="1"/>
  <c r="AT13" i="5" s="1"/>
  <c r="AS13" i="5" a="1"/>
  <c r="AS13" i="5" s="1"/>
  <c r="AQ13" i="5" a="1"/>
  <c r="AQ13" i="5" s="1"/>
  <c r="AP13" i="5" a="1"/>
  <c r="AP13" i="5" s="1"/>
  <c r="AO13" i="5" a="1"/>
  <c r="AO13" i="5" s="1"/>
  <c r="AN13" i="5"/>
  <c r="AN13" i="5" a="1"/>
  <c r="AZ12" i="5"/>
  <c r="AZ12" i="5" a="1"/>
  <c r="AY12" i="5" a="1"/>
  <c r="AY12" i="5" s="1"/>
  <c r="AX12" i="5" a="1"/>
  <c r="AX12" i="5" s="1"/>
  <c r="AW12" i="5" a="1"/>
  <c r="AW12" i="5" s="1"/>
  <c r="AV12" i="5" a="1"/>
  <c r="AV12" i="5" s="1"/>
  <c r="AU12" i="5" a="1"/>
  <c r="AU12" i="5" s="1"/>
  <c r="AT12" i="5" a="1"/>
  <c r="AT12" i="5" s="1"/>
  <c r="AS12" i="5"/>
  <c r="AS12" i="5" a="1"/>
  <c r="AQ12" i="5" a="1"/>
  <c r="AQ12" i="5" s="1"/>
  <c r="AP12" i="5" a="1"/>
  <c r="AP12" i="5" s="1"/>
  <c r="AO12" i="5"/>
  <c r="AO12" i="5" a="1"/>
  <c r="AN12" i="5" a="1"/>
  <c r="AN12" i="5" s="1"/>
  <c r="AZ11" i="5" a="1"/>
  <c r="AZ11" i="5" s="1"/>
  <c r="AY11" i="5" a="1"/>
  <c r="AY11" i="5" s="1"/>
  <c r="AX11" i="5"/>
  <c r="AX11" i="5" a="1"/>
  <c r="AW11" i="5"/>
  <c r="AW11" i="5" a="1"/>
  <c r="AV11" i="5" a="1"/>
  <c r="AV11" i="5" s="1"/>
  <c r="AU11" i="5" a="1"/>
  <c r="AU11" i="5" s="1"/>
  <c r="AT11" i="5"/>
  <c r="AT11" i="5" a="1"/>
  <c r="AS11" i="5" a="1"/>
  <c r="AS11" i="5" s="1"/>
  <c r="AQ11" i="5" a="1"/>
  <c r="AQ11" i="5" s="1"/>
  <c r="AP11" i="5"/>
  <c r="AP11" i="5" a="1"/>
  <c r="AO11" i="5"/>
  <c r="AO11" i="5" a="1"/>
  <c r="AN11" i="5" a="1"/>
  <c r="AN11" i="5" s="1"/>
  <c r="AZ10" i="5" a="1"/>
  <c r="AZ10" i="5" s="1"/>
  <c r="AY10" i="5" a="1"/>
  <c r="AY10" i="5" s="1"/>
  <c r="AX10" i="5" a="1"/>
  <c r="AX10" i="5" s="1"/>
  <c r="AW10" i="5" a="1"/>
  <c r="AW10" i="5" s="1"/>
  <c r="AV10" i="5" a="1"/>
  <c r="AV10" i="5" s="1"/>
  <c r="AU10" i="5"/>
  <c r="AU10" i="5" a="1"/>
  <c r="AT10" i="5"/>
  <c r="AT10" i="5" a="1"/>
  <c r="AS10" i="5" a="1"/>
  <c r="AS10" i="5" s="1"/>
  <c r="AQ10" i="5"/>
  <c r="AQ10" i="5" a="1"/>
  <c r="AP10" i="5" a="1"/>
  <c r="AP10" i="5" s="1"/>
  <c r="AO10" i="5" a="1"/>
  <c r="AO10" i="5" s="1"/>
  <c r="AN10" i="5" a="1"/>
  <c r="AN10" i="5" s="1"/>
  <c r="AZ9" i="5"/>
  <c r="AZ9" i="5" a="1"/>
  <c r="AY9" i="5"/>
  <c r="AY9" i="5" a="1"/>
  <c r="AX9" i="5" a="1"/>
  <c r="AX9" i="5" s="1"/>
  <c r="AW9" i="5" a="1"/>
  <c r="AW9" i="5" s="1"/>
  <c r="AV9" i="5"/>
  <c r="AV9" i="5" a="1"/>
  <c r="AU9" i="5" a="1"/>
  <c r="AU9" i="5" s="1"/>
  <c r="AT9" i="5" a="1"/>
  <c r="AT9" i="5" s="1"/>
  <c r="AS9" i="5" a="1"/>
  <c r="AS9" i="5" s="1"/>
  <c r="AQ9" i="5"/>
  <c r="AQ9" i="5" a="1"/>
  <c r="AP9" i="5" a="1"/>
  <c r="AP9" i="5" s="1"/>
  <c r="AO9" i="5" a="1"/>
  <c r="AO9" i="5" s="1"/>
  <c r="AN9" i="5" a="1"/>
  <c r="AN9" i="5" s="1"/>
  <c r="AZ8" i="5" a="1"/>
  <c r="AZ8" i="5" s="1"/>
  <c r="AY8" i="5" a="1"/>
  <c r="AY8" i="5" s="1"/>
  <c r="AX8" i="5" a="1"/>
  <c r="AX8" i="5" s="1"/>
  <c r="AW8" i="5" a="1"/>
  <c r="AW8" i="5" s="1"/>
  <c r="AV8" i="5"/>
  <c r="AV8" i="5" a="1"/>
  <c r="AU8" i="5" a="1"/>
  <c r="AU8" i="5" s="1"/>
  <c r="AT8" i="5" a="1"/>
  <c r="AT8" i="5" s="1"/>
  <c r="AS8" i="5" a="1"/>
  <c r="AS8" i="5" s="1"/>
  <c r="AQ8" i="5" a="1"/>
  <c r="AQ8" i="5" s="1"/>
  <c r="AP8" i="5" a="1"/>
  <c r="AP8" i="5" s="1"/>
  <c r="AO8" i="5" a="1"/>
  <c r="AO8" i="5" s="1"/>
  <c r="AN8" i="5"/>
  <c r="AN8" i="5" a="1"/>
  <c r="AZ7" i="5" a="1"/>
  <c r="AZ7" i="5" s="1"/>
  <c r="AY7" i="5" a="1"/>
  <c r="AY7" i="5" s="1"/>
  <c r="AX7" i="5" a="1"/>
  <c r="AX7" i="5" s="1"/>
  <c r="AW7" i="5" a="1"/>
  <c r="AW7" i="5" s="1"/>
  <c r="AV7" i="5" a="1"/>
  <c r="AV7" i="5" s="1"/>
  <c r="AU7" i="5" a="1"/>
  <c r="AU7" i="5" s="1"/>
  <c r="AT7" i="5" a="1"/>
  <c r="AT7" i="5" s="1"/>
  <c r="AS7" i="5"/>
  <c r="AS7" i="5" a="1"/>
  <c r="AQ7" i="5" a="1"/>
  <c r="AQ7" i="5" s="1"/>
  <c r="AP7" i="5"/>
  <c r="AP7" i="5" a="1"/>
  <c r="AO7" i="5" a="1"/>
  <c r="AO7" i="5" s="1"/>
  <c r="AN7" i="5" a="1"/>
  <c r="AN7" i="5" s="1"/>
  <c r="AZ6" i="5" a="1"/>
  <c r="AZ6" i="5" s="1"/>
  <c r="AY6" i="5" a="1"/>
  <c r="AY6" i="5" s="1"/>
  <c r="AX6" i="5"/>
  <c r="AX6" i="5" a="1"/>
  <c r="AW6" i="5" a="1"/>
  <c r="AW6" i="5" s="1"/>
  <c r="AV6" i="5" a="1"/>
  <c r="AV6" i="5" s="1"/>
  <c r="AU6" i="5" a="1"/>
  <c r="AU6" i="5" s="1"/>
  <c r="AT6" i="5" a="1"/>
  <c r="AT6" i="5" s="1"/>
  <c r="AS6" i="5" a="1"/>
  <c r="AS6" i="5" s="1"/>
  <c r="AQ6" i="5" a="1"/>
  <c r="AQ6" i="5" s="1"/>
  <c r="AP6" i="5"/>
  <c r="AP6" i="5" a="1"/>
  <c r="AO6" i="5" a="1"/>
  <c r="AO6" i="5" s="1"/>
  <c r="AN6" i="5" a="1"/>
  <c r="AN6" i="5" s="1"/>
  <c r="AZ5" i="5" a="1"/>
  <c r="AZ5" i="5" s="1"/>
  <c r="AY5" i="5" a="1"/>
  <c r="AY5" i="5" s="1"/>
  <c r="AX5" i="5" a="1"/>
  <c r="AX5" i="5" s="1"/>
  <c r="AW5" i="5" a="1"/>
  <c r="AW5" i="5" s="1"/>
  <c r="AV5" i="5" a="1"/>
  <c r="AV5" i="5" s="1"/>
  <c r="AU5" i="5" a="1"/>
  <c r="AU5" i="5" s="1"/>
  <c r="AT5" i="5" a="1"/>
  <c r="AT5" i="5" s="1"/>
  <c r="AS5" i="5" a="1"/>
  <c r="AS5" i="5" s="1"/>
  <c r="AQ5" i="5" a="1"/>
  <c r="AQ5" i="5" s="1"/>
  <c r="AP5" i="5" a="1"/>
  <c r="AP5" i="5" s="1"/>
  <c r="AO5" i="5" a="1"/>
  <c r="AO5" i="5" s="1"/>
  <c r="AN5" i="5" a="1"/>
  <c r="AN5" i="5" s="1"/>
  <c r="AL129" i="5"/>
  <c r="AL129" i="5" a="1"/>
  <c r="AL128" i="5" a="1"/>
  <c r="AL128" i="5" s="1"/>
  <c r="AL127" i="5" a="1"/>
  <c r="AL127" i="5" s="1"/>
  <c r="AL126" i="5" a="1"/>
  <c r="AL126" i="5" s="1"/>
  <c r="AL125" i="5" a="1"/>
  <c r="AL125" i="5" s="1"/>
  <c r="AL124" i="5" a="1"/>
  <c r="AL124" i="5" s="1"/>
  <c r="AL123" i="5"/>
  <c r="AL123" i="5" a="1"/>
  <c r="AH123" i="5" a="1"/>
  <c r="AH123" i="5" s="1"/>
  <c r="AE123" i="5" a="1"/>
  <c r="AE123" i="5" s="1"/>
  <c r="X123" i="5" a="1"/>
  <c r="X123" i="5" s="1"/>
  <c r="AL122" i="5" a="1"/>
  <c r="AL122" i="5" s="1"/>
  <c r="AH122" i="5" a="1"/>
  <c r="AH122" i="5" s="1"/>
  <c r="AE122" i="5"/>
  <c r="AE122" i="5" a="1"/>
  <c r="X122" i="5" a="1"/>
  <c r="X122" i="5" s="1"/>
  <c r="AL121" i="5"/>
  <c r="AL121" i="5" a="1"/>
  <c r="AH121" i="5" a="1"/>
  <c r="AH121" i="5" s="1"/>
  <c r="AE121" i="5" a="1"/>
  <c r="AE121" i="5" s="1"/>
  <c r="X121" i="5" a="1"/>
  <c r="X121" i="5" s="1"/>
  <c r="AL120" i="5" a="1"/>
  <c r="AL120" i="5" s="1"/>
  <c r="AH120" i="5" a="1"/>
  <c r="AH120" i="5" s="1"/>
  <c r="AE120" i="5"/>
  <c r="AE120" i="5" a="1"/>
  <c r="X120" i="5" a="1"/>
  <c r="X120" i="5" s="1"/>
  <c r="AL119" i="5" a="1"/>
  <c r="AL119" i="5" s="1"/>
  <c r="AH119" i="5" a="1"/>
  <c r="AH119" i="5" s="1"/>
  <c r="AE119" i="5" a="1"/>
  <c r="AE119" i="5" s="1"/>
  <c r="X119" i="5" a="1"/>
  <c r="X119" i="5" s="1"/>
  <c r="AL118" i="5" a="1"/>
  <c r="AL118" i="5" s="1"/>
  <c r="AH118" i="5" a="1"/>
  <c r="AH118" i="5" s="1"/>
  <c r="AE118" i="5" a="1"/>
  <c r="AE118" i="5" s="1"/>
  <c r="X118" i="5" a="1"/>
  <c r="X118" i="5" s="1"/>
  <c r="AL117" i="5"/>
  <c r="AL117" i="5" a="1"/>
  <c r="AH117" i="5" a="1"/>
  <c r="AH117" i="5" s="1"/>
  <c r="AE117" i="5" a="1"/>
  <c r="AE117" i="5" s="1"/>
  <c r="X117" i="5" a="1"/>
  <c r="X117" i="5" s="1"/>
  <c r="AL116" i="5" a="1"/>
  <c r="AL116" i="5" s="1"/>
  <c r="AH116" i="5" a="1"/>
  <c r="AH116" i="5" s="1"/>
  <c r="AE116" i="5" a="1"/>
  <c r="AE116" i="5" s="1"/>
  <c r="X116" i="5" a="1"/>
  <c r="X116" i="5" s="1"/>
  <c r="AL115" i="5" a="1"/>
  <c r="AL115" i="5" s="1"/>
  <c r="AH115" i="5" a="1"/>
  <c r="AH115" i="5" s="1"/>
  <c r="AE115" i="5" a="1"/>
  <c r="AE115" i="5" s="1"/>
  <c r="X115" i="5" a="1"/>
  <c r="X115" i="5" s="1"/>
  <c r="AL114" i="5" a="1"/>
  <c r="AL114" i="5" s="1"/>
  <c r="AH114" i="5" a="1"/>
  <c r="AH114" i="5" s="1"/>
  <c r="AE114" i="5" a="1"/>
  <c r="AE114" i="5" s="1"/>
  <c r="X114" i="5" a="1"/>
  <c r="X114" i="5" s="1"/>
  <c r="AL113" i="5" a="1"/>
  <c r="AL113" i="5" s="1"/>
  <c r="AH113" i="5" a="1"/>
  <c r="AH113" i="5" s="1"/>
  <c r="AE113" i="5" a="1"/>
  <c r="AE113" i="5" s="1"/>
  <c r="X113" i="5" a="1"/>
  <c r="X113" i="5" s="1"/>
  <c r="AL112" i="5" a="1"/>
  <c r="AL112" i="5" s="1"/>
  <c r="AH112" i="5"/>
  <c r="AH112" i="5" a="1"/>
  <c r="AE112" i="5"/>
  <c r="AE112" i="5" a="1"/>
  <c r="X112" i="5" a="1"/>
  <c r="X112" i="5" s="1"/>
  <c r="AM111" i="5"/>
  <c r="AM111" i="5" a="1"/>
  <c r="AL111" i="5"/>
  <c r="AL111" i="5" a="1"/>
  <c r="AH111" i="5"/>
  <c r="AH111" i="5" a="1"/>
  <c r="AE111" i="5"/>
  <c r="AE111" i="5" a="1"/>
  <c r="AA111" i="5" a="1"/>
  <c r="AA111" i="5" s="1"/>
  <c r="Y111" i="5" a="1"/>
  <c r="Y111" i="5" s="1"/>
  <c r="X111" i="5" a="1"/>
  <c r="X111" i="5" s="1"/>
  <c r="S111" i="5" a="1"/>
  <c r="S111" i="5" s="1"/>
  <c r="AM110" i="5"/>
  <c r="AM110" i="5" a="1"/>
  <c r="AL110" i="5" a="1"/>
  <c r="AL110" i="5" s="1"/>
  <c r="AH110" i="5" a="1"/>
  <c r="AH110" i="5" s="1"/>
  <c r="AE110" i="5"/>
  <c r="AE110" i="5" a="1"/>
  <c r="AA110" i="5"/>
  <c r="AA110" i="5" a="1"/>
  <c r="Y110" i="5" a="1"/>
  <c r="Y110" i="5" s="1"/>
  <c r="X110" i="5" a="1"/>
  <c r="X110" i="5" s="1"/>
  <c r="S110" i="5"/>
  <c r="S110" i="5" a="1"/>
  <c r="AM109" i="5" a="1"/>
  <c r="AM109" i="5" s="1"/>
  <c r="AL109" i="5"/>
  <c r="AL109" i="5" a="1"/>
  <c r="AH109" i="5" a="1"/>
  <c r="AH109" i="5" s="1"/>
  <c r="AE109" i="5"/>
  <c r="AE109" i="5" a="1"/>
  <c r="AA109" i="5"/>
  <c r="AA109" i="5" a="1"/>
  <c r="Y109" i="5"/>
  <c r="Y109" i="5" a="1"/>
  <c r="X109" i="5"/>
  <c r="X109" i="5" a="1"/>
  <c r="S109" i="5"/>
  <c r="S109" i="5" a="1"/>
  <c r="AM108" i="5"/>
  <c r="AM108" i="5" a="1"/>
  <c r="AL108" i="5" a="1"/>
  <c r="AL108" i="5" s="1"/>
  <c r="AH108" i="5" a="1"/>
  <c r="AH108" i="5" s="1"/>
  <c r="AE108" i="5"/>
  <c r="AE108" i="5" a="1"/>
  <c r="AA108" i="5"/>
  <c r="AA108" i="5" a="1"/>
  <c r="Y108" i="5" a="1"/>
  <c r="Y108" i="5" s="1"/>
  <c r="X108" i="5" a="1"/>
  <c r="X108" i="5" s="1"/>
  <c r="S108" i="5" a="1"/>
  <c r="S108" i="5" s="1"/>
  <c r="AM107" i="5"/>
  <c r="AM107" i="5" a="1"/>
  <c r="AL107" i="5" a="1"/>
  <c r="AL107" i="5" s="1"/>
  <c r="AH107" i="5" a="1"/>
  <c r="AH107" i="5" s="1"/>
  <c r="AE107" i="5" a="1"/>
  <c r="AE107" i="5" s="1"/>
  <c r="AA107" i="5"/>
  <c r="AA107" i="5" a="1"/>
  <c r="Y107" i="5" a="1"/>
  <c r="Y107" i="5" s="1"/>
  <c r="X107" i="5" a="1"/>
  <c r="X107" i="5" s="1"/>
  <c r="S107" i="5" a="1"/>
  <c r="S107" i="5" s="1"/>
  <c r="AM106" i="5" a="1"/>
  <c r="AM106" i="5" s="1"/>
  <c r="AL106" i="5"/>
  <c r="AL106" i="5" a="1"/>
  <c r="AH106" i="5" a="1"/>
  <c r="AH106" i="5" s="1"/>
  <c r="AE106" i="5"/>
  <c r="AE106" i="5" a="1"/>
  <c r="AA106" i="5" a="1"/>
  <c r="AA106" i="5" s="1"/>
  <c r="Y106" i="5"/>
  <c r="Y106" i="5" a="1"/>
  <c r="X106" i="5" a="1"/>
  <c r="X106" i="5" s="1"/>
  <c r="S106" i="5" a="1"/>
  <c r="S106" i="5" s="1"/>
  <c r="AM105" i="5" a="1"/>
  <c r="AM105" i="5" s="1"/>
  <c r="AL105" i="5"/>
  <c r="AL105" i="5" a="1"/>
  <c r="AH105" i="5" a="1"/>
  <c r="AH105" i="5" s="1"/>
  <c r="AE105" i="5"/>
  <c r="AE105" i="5" a="1"/>
  <c r="AC105" i="5" a="1"/>
  <c r="AC105" i="5" s="1"/>
  <c r="AA105" i="5" a="1"/>
  <c r="AA105" i="5" s="1"/>
  <c r="Y105" i="5"/>
  <c r="Y105" i="5" a="1"/>
  <c r="X105" i="5"/>
  <c r="X105" i="5" a="1"/>
  <c r="V105" i="5" a="1"/>
  <c r="V105" i="5" s="1"/>
  <c r="S105" i="5" a="1"/>
  <c r="S105" i="5" s="1"/>
  <c r="AM104" i="5"/>
  <c r="AM104" i="5" a="1"/>
  <c r="AL104" i="5" a="1"/>
  <c r="AL104" i="5" s="1"/>
  <c r="AH104" i="5" a="1"/>
  <c r="AH104" i="5" s="1"/>
  <c r="AE104" i="5"/>
  <c r="AE104" i="5" a="1"/>
  <c r="AC104" i="5"/>
  <c r="AC104" i="5" a="1"/>
  <c r="AA104" i="5"/>
  <c r="AA104" i="5" a="1"/>
  <c r="Y104" i="5"/>
  <c r="Y104" i="5" a="1"/>
  <c r="X104" i="5"/>
  <c r="X104" i="5" a="1"/>
  <c r="V104" i="5" a="1"/>
  <c r="V104" i="5" s="1"/>
  <c r="S104" i="5"/>
  <c r="S104" i="5" a="1"/>
  <c r="AM103" i="5" a="1"/>
  <c r="AM103" i="5" s="1"/>
  <c r="AL103" i="5" a="1"/>
  <c r="AL103" i="5" s="1"/>
  <c r="AH103" i="5" a="1"/>
  <c r="AH103" i="5" s="1"/>
  <c r="AE103" i="5"/>
  <c r="AE103" i="5" a="1"/>
  <c r="AC103" i="5"/>
  <c r="AC103" i="5" a="1"/>
  <c r="AA103" i="5"/>
  <c r="AA103" i="5" a="1"/>
  <c r="Y103" i="5" a="1"/>
  <c r="Y103" i="5" s="1"/>
  <c r="X103" i="5"/>
  <c r="X103" i="5" a="1"/>
  <c r="V103" i="5" a="1"/>
  <c r="V103" i="5" s="1"/>
  <c r="S103" i="5"/>
  <c r="S103" i="5" a="1"/>
  <c r="AM102" i="5"/>
  <c r="AM102" i="5" a="1"/>
  <c r="AL102" i="5"/>
  <c r="AL102" i="5" a="1"/>
  <c r="AH102" i="5"/>
  <c r="AH102" i="5" a="1"/>
  <c r="AE102" i="5"/>
  <c r="AE102" i="5" a="1"/>
  <c r="AC102" i="5"/>
  <c r="AC102" i="5" a="1"/>
  <c r="AA102" i="5" a="1"/>
  <c r="AA102" i="5" s="1"/>
  <c r="Y102" i="5"/>
  <c r="Y102" i="5" a="1"/>
  <c r="X102" i="5"/>
  <c r="X102" i="5" a="1"/>
  <c r="V102" i="5"/>
  <c r="V102" i="5" a="1"/>
  <c r="S102" i="5"/>
  <c r="S102" i="5" a="1"/>
  <c r="AM101" i="5" a="1"/>
  <c r="AM101" i="5" s="1"/>
  <c r="AL101" i="5" a="1"/>
  <c r="AL101" i="5" s="1"/>
  <c r="AH101" i="5" a="1"/>
  <c r="AH101" i="5" s="1"/>
  <c r="AE101" i="5" a="1"/>
  <c r="AE101" i="5" s="1"/>
  <c r="AC101" i="5" a="1"/>
  <c r="AC101" i="5" s="1"/>
  <c r="AA101" i="5" a="1"/>
  <c r="AA101" i="5" s="1"/>
  <c r="Y101" i="5"/>
  <c r="Y101" i="5" a="1"/>
  <c r="X101" i="5" a="1"/>
  <c r="X101" i="5" s="1"/>
  <c r="V101" i="5" a="1"/>
  <c r="V101" i="5" s="1"/>
  <c r="S101" i="5"/>
  <c r="S101" i="5" a="1"/>
  <c r="AM100" i="5" a="1"/>
  <c r="AM100" i="5" s="1"/>
  <c r="AL100" i="5"/>
  <c r="AL100" i="5" a="1"/>
  <c r="AH100" i="5" a="1"/>
  <c r="AH100" i="5" s="1"/>
  <c r="AE100" i="5"/>
  <c r="AE100" i="5" a="1"/>
  <c r="AC100" i="5" a="1"/>
  <c r="AC100" i="5" s="1"/>
  <c r="AA100" i="5"/>
  <c r="AA100" i="5" a="1"/>
  <c r="Y100" i="5"/>
  <c r="Y100" i="5" a="1"/>
  <c r="X100" i="5" a="1"/>
  <c r="X100" i="5" s="1"/>
  <c r="V100" i="5" a="1"/>
  <c r="V100" i="5" s="1"/>
  <c r="S100" i="5"/>
  <c r="S100" i="5" a="1"/>
  <c r="AM99" i="5"/>
  <c r="AM99" i="5" a="1"/>
  <c r="AL99" i="5"/>
  <c r="AL99" i="5" a="1"/>
  <c r="AI99" i="5"/>
  <c r="AI99" i="5" a="1"/>
  <c r="AH99" i="5" a="1"/>
  <c r="AH99" i="5" s="1"/>
  <c r="AE99" i="5"/>
  <c r="AE99" i="5" a="1"/>
  <c r="AC99" i="5" a="1"/>
  <c r="AC99" i="5" s="1"/>
  <c r="AA99" i="5" a="1"/>
  <c r="AA99" i="5" s="1"/>
  <c r="Y99" i="5"/>
  <c r="Y99" i="5" a="1"/>
  <c r="X99" i="5" a="1"/>
  <c r="X99" i="5" s="1"/>
  <c r="V99" i="5"/>
  <c r="V99" i="5" a="1"/>
  <c r="S99" i="5"/>
  <c r="S99" i="5" a="1"/>
  <c r="R99" i="5"/>
  <c r="R99" i="5" a="1"/>
  <c r="AM98" i="5" a="1"/>
  <c r="AM98" i="5" s="1"/>
  <c r="AL98" i="5" a="1"/>
  <c r="AL98" i="5" s="1"/>
  <c r="AI98" i="5" a="1"/>
  <c r="AI98" i="5" s="1"/>
  <c r="AH98" i="5" a="1"/>
  <c r="AH98" i="5" s="1"/>
  <c r="AE98" i="5"/>
  <c r="AE98" i="5" a="1"/>
  <c r="AC98" i="5"/>
  <c r="AC98" i="5" a="1"/>
  <c r="AA98" i="5"/>
  <c r="AA98" i="5" a="1"/>
  <c r="Y98" i="5" a="1"/>
  <c r="Y98" i="5" s="1"/>
  <c r="X98" i="5" a="1"/>
  <c r="X98" i="5" s="1"/>
  <c r="V98" i="5" a="1"/>
  <c r="V98" i="5" s="1"/>
  <c r="S98" i="5"/>
  <c r="S98" i="5" a="1"/>
  <c r="R98" i="5" a="1"/>
  <c r="R98" i="5" s="1"/>
  <c r="AM97" i="5" a="1"/>
  <c r="AM97" i="5" s="1"/>
  <c r="AL97" i="5"/>
  <c r="AL97" i="5" a="1"/>
  <c r="AI97" i="5" a="1"/>
  <c r="AI97" i="5" s="1"/>
  <c r="AH97" i="5"/>
  <c r="AH97" i="5" a="1"/>
  <c r="AE97" i="5"/>
  <c r="AE97" i="5" a="1"/>
  <c r="AC97" i="5" a="1"/>
  <c r="AC97" i="5" s="1"/>
  <c r="AA97" i="5" a="1"/>
  <c r="AA97" i="5" s="1"/>
  <c r="Y97" i="5" a="1"/>
  <c r="Y97" i="5" s="1"/>
  <c r="X97" i="5" a="1"/>
  <c r="X97" i="5" s="1"/>
  <c r="V97" i="5" a="1"/>
  <c r="V97" i="5" s="1"/>
  <c r="S97" i="5" a="1"/>
  <c r="S97" i="5" s="1"/>
  <c r="R97" i="5"/>
  <c r="R97" i="5" a="1"/>
  <c r="AM96" i="5"/>
  <c r="AM96" i="5" a="1"/>
  <c r="AL96" i="5" a="1"/>
  <c r="AL96" i="5" s="1"/>
  <c r="AJ96" i="5" a="1"/>
  <c r="AJ96" i="5" s="1"/>
  <c r="AI96" i="5"/>
  <c r="AI96" i="5" a="1"/>
  <c r="AH96" i="5" a="1"/>
  <c r="AH96" i="5" s="1"/>
  <c r="AE96" i="5"/>
  <c r="AE96" i="5" a="1"/>
  <c r="AC96" i="5"/>
  <c r="AC96" i="5" a="1"/>
  <c r="AA96" i="5" a="1"/>
  <c r="AA96" i="5" s="1"/>
  <c r="Y96" i="5" a="1"/>
  <c r="Y96" i="5" s="1"/>
  <c r="X96" i="5" a="1"/>
  <c r="X96" i="5" s="1"/>
  <c r="V96" i="5" a="1"/>
  <c r="V96" i="5" s="1"/>
  <c r="S96" i="5" a="1"/>
  <c r="S96" i="5" s="1"/>
  <c r="R96" i="5" a="1"/>
  <c r="R96" i="5" s="1"/>
  <c r="AM95" i="5" a="1"/>
  <c r="AM95" i="5" s="1"/>
  <c r="AL95" i="5"/>
  <c r="AL95" i="5" a="1"/>
  <c r="AJ95" i="5" a="1"/>
  <c r="AJ95" i="5" s="1"/>
  <c r="AI95" i="5" a="1"/>
  <c r="AI95" i="5" s="1"/>
  <c r="AH95" i="5"/>
  <c r="AH95" i="5" a="1"/>
  <c r="AE95" i="5"/>
  <c r="AE95" i="5" a="1"/>
  <c r="AC95" i="5" a="1"/>
  <c r="AC95" i="5" s="1"/>
  <c r="AA95" i="5"/>
  <c r="AA95" i="5" a="1"/>
  <c r="Y95" i="5" a="1"/>
  <c r="Y95" i="5" s="1"/>
  <c r="X95" i="5"/>
  <c r="X95" i="5" a="1"/>
  <c r="V95" i="5" a="1"/>
  <c r="V95" i="5" s="1"/>
  <c r="S95" i="5"/>
  <c r="S95" i="5" a="1"/>
  <c r="R95" i="5"/>
  <c r="R95" i="5" a="1"/>
  <c r="AM94" i="5"/>
  <c r="AM94" i="5" a="1"/>
  <c r="AL94" i="5"/>
  <c r="AL94" i="5" a="1"/>
  <c r="AJ94" i="5" a="1"/>
  <c r="AJ94" i="5" s="1"/>
  <c r="AI94" i="5" a="1"/>
  <c r="AI94" i="5" s="1"/>
  <c r="AH94" i="5" a="1"/>
  <c r="AH94" i="5" s="1"/>
  <c r="AE94" i="5"/>
  <c r="AE94" i="5" a="1"/>
  <c r="AC94" i="5" a="1"/>
  <c r="AC94" i="5" s="1"/>
  <c r="AA94" i="5"/>
  <c r="AA94" i="5" a="1"/>
  <c r="Y94" i="5"/>
  <c r="Y94" i="5" a="1"/>
  <c r="X94" i="5"/>
  <c r="X94" i="5" a="1"/>
  <c r="V94" i="5"/>
  <c r="V94" i="5" a="1"/>
  <c r="S94" i="5"/>
  <c r="S94" i="5" a="1"/>
  <c r="R94" i="5"/>
  <c r="R94" i="5" a="1"/>
  <c r="AM93" i="5" a="1"/>
  <c r="AM93" i="5" s="1"/>
  <c r="AL93" i="5" a="1"/>
  <c r="AL93" i="5" s="1"/>
  <c r="AJ93" i="5" a="1"/>
  <c r="AJ93" i="5" s="1"/>
  <c r="AI93" i="5" a="1"/>
  <c r="AI93" i="5" s="1"/>
  <c r="AH93" i="5" a="1"/>
  <c r="AH93" i="5" s="1"/>
  <c r="AE93" i="5" a="1"/>
  <c r="AE93" i="5" s="1"/>
  <c r="AC93" i="5" a="1"/>
  <c r="AC93" i="5" s="1"/>
  <c r="AA93" i="5"/>
  <c r="AA93" i="5" a="1"/>
  <c r="Y93" i="5"/>
  <c r="Y93" i="5" a="1"/>
  <c r="X93" i="5" a="1"/>
  <c r="X93" i="5" s="1"/>
  <c r="V93" i="5" a="1"/>
  <c r="V93" i="5" s="1"/>
  <c r="S93" i="5"/>
  <c r="S93" i="5" a="1"/>
  <c r="R93" i="5" a="1"/>
  <c r="R93" i="5" s="1"/>
  <c r="K93" i="5"/>
  <c r="K93" i="5" a="1"/>
  <c r="AM92" i="5" a="1"/>
  <c r="AM92" i="5" s="1"/>
  <c r="AL92" i="5"/>
  <c r="AL92" i="5" a="1"/>
  <c r="AJ92" i="5" a="1"/>
  <c r="AJ92" i="5" s="1"/>
  <c r="AI92" i="5" a="1"/>
  <c r="AI92" i="5" s="1"/>
  <c r="AH92" i="5" a="1"/>
  <c r="AH92" i="5" s="1"/>
  <c r="AE92" i="5"/>
  <c r="AE92" i="5" a="1"/>
  <c r="AC92" i="5"/>
  <c r="AC92" i="5" a="1"/>
  <c r="AA92" i="5"/>
  <c r="AA92" i="5" a="1"/>
  <c r="Y92" i="5" a="1"/>
  <c r="Y92" i="5" s="1"/>
  <c r="X92" i="5"/>
  <c r="X92" i="5" a="1"/>
  <c r="V92" i="5" a="1"/>
  <c r="V92" i="5" s="1"/>
  <c r="S92" i="5" a="1"/>
  <c r="S92" i="5" s="1"/>
  <c r="R92" i="5" a="1"/>
  <c r="R92" i="5" s="1"/>
  <c r="K92" i="5"/>
  <c r="K92" i="5" a="1"/>
  <c r="AM91" i="5" a="1"/>
  <c r="AM91" i="5" s="1"/>
  <c r="AL91" i="5" a="1"/>
  <c r="AL91" i="5" s="1"/>
  <c r="AJ91" i="5"/>
  <c r="AJ91" i="5" a="1"/>
  <c r="AI91" i="5"/>
  <c r="AI91" i="5" a="1"/>
  <c r="AH91" i="5" a="1"/>
  <c r="AH91" i="5" s="1"/>
  <c r="AE91" i="5"/>
  <c r="AE91" i="5" a="1"/>
  <c r="AC91" i="5" a="1"/>
  <c r="AC91" i="5" s="1"/>
  <c r="AA91" i="5" a="1"/>
  <c r="AA91" i="5" s="1"/>
  <c r="Y91" i="5"/>
  <c r="Y91" i="5" a="1"/>
  <c r="X91" i="5" a="1"/>
  <c r="X91" i="5" s="1"/>
  <c r="V91" i="5" a="1"/>
  <c r="V91" i="5" s="1"/>
  <c r="S91" i="5"/>
  <c r="S91" i="5" a="1"/>
  <c r="R91" i="5"/>
  <c r="R91" i="5" a="1"/>
  <c r="K91" i="5" a="1"/>
  <c r="K91" i="5" s="1"/>
  <c r="AM90" i="5" a="1"/>
  <c r="AM90" i="5" s="1"/>
  <c r="AL90" i="5"/>
  <c r="AL90" i="5" a="1"/>
  <c r="AJ90" i="5"/>
  <c r="AJ90" i="5" a="1"/>
  <c r="AI90" i="5" a="1"/>
  <c r="AI90" i="5" s="1"/>
  <c r="AH90" i="5"/>
  <c r="AH90" i="5" a="1"/>
  <c r="AF90" i="5" a="1"/>
  <c r="AF90" i="5" s="1"/>
  <c r="AE90" i="5"/>
  <c r="AE90" i="5" a="1"/>
  <c r="AC90" i="5"/>
  <c r="AC90" i="5" a="1"/>
  <c r="AA90" i="5" a="1"/>
  <c r="AA90" i="5" s="1"/>
  <c r="Y90" i="5" a="1"/>
  <c r="Y90" i="5" s="1"/>
  <c r="X90" i="5" a="1"/>
  <c r="X90" i="5" s="1"/>
  <c r="V90" i="5"/>
  <c r="V90" i="5" a="1"/>
  <c r="S90" i="5"/>
  <c r="S90" i="5" a="1"/>
  <c r="R90" i="5"/>
  <c r="R90" i="5" a="1"/>
  <c r="K90" i="5" a="1"/>
  <c r="K90" i="5" s="1"/>
  <c r="AM89" i="5" a="1"/>
  <c r="AM89" i="5" s="1"/>
  <c r="AL89" i="5"/>
  <c r="AL89" i="5" a="1"/>
  <c r="AJ89" i="5" a="1"/>
  <c r="AJ89" i="5" s="1"/>
  <c r="AI89" i="5" a="1"/>
  <c r="AI89" i="5" s="1"/>
  <c r="AH89" i="5" a="1"/>
  <c r="AH89" i="5" s="1"/>
  <c r="AF89" i="5"/>
  <c r="AF89" i="5" a="1"/>
  <c r="AE89" i="5" a="1"/>
  <c r="AE89" i="5" s="1"/>
  <c r="AC89" i="5" a="1"/>
  <c r="AC89" i="5" s="1"/>
  <c r="AA89" i="5" a="1"/>
  <c r="AA89" i="5" s="1"/>
  <c r="Y89" i="5" a="1"/>
  <c r="Y89" i="5" s="1"/>
  <c r="X89" i="5" a="1"/>
  <c r="X89" i="5" s="1"/>
  <c r="V89" i="5"/>
  <c r="V89" i="5" a="1"/>
  <c r="S89" i="5" a="1"/>
  <c r="S89" i="5" s="1"/>
  <c r="R89" i="5"/>
  <c r="R89" i="5" a="1"/>
  <c r="K89" i="5" a="1"/>
  <c r="K89" i="5" s="1"/>
  <c r="AM88" i="5"/>
  <c r="AM88" i="5" a="1"/>
  <c r="AL88" i="5" a="1"/>
  <c r="AL88" i="5" s="1"/>
  <c r="AJ88" i="5" a="1"/>
  <c r="AJ88" i="5" s="1"/>
  <c r="AI88" i="5" a="1"/>
  <c r="AI88" i="5" s="1"/>
  <c r="AH88" i="5"/>
  <c r="AH88" i="5" a="1"/>
  <c r="AF88" i="5"/>
  <c r="AF88" i="5" a="1"/>
  <c r="AE88" i="5"/>
  <c r="AE88" i="5" a="1"/>
  <c r="AC88" i="5" a="1"/>
  <c r="AC88" i="5" s="1"/>
  <c r="AA88" i="5"/>
  <c r="AA88" i="5" a="1"/>
  <c r="Y88" i="5"/>
  <c r="Y88" i="5" a="1"/>
  <c r="X88" i="5" a="1"/>
  <c r="X88" i="5" s="1"/>
  <c r="V88" i="5" a="1"/>
  <c r="V88" i="5" s="1"/>
  <c r="S88" i="5"/>
  <c r="S88" i="5" a="1"/>
  <c r="R88" i="5" a="1"/>
  <c r="R88" i="5" s="1"/>
  <c r="K88" i="5"/>
  <c r="K88" i="5" a="1"/>
  <c r="AM87" i="5" a="1"/>
  <c r="AM87" i="5" s="1"/>
  <c r="AL87" i="5" a="1"/>
  <c r="AL87" i="5" s="1"/>
  <c r="AK87" i="5"/>
  <c r="AK87" i="5" a="1"/>
  <c r="AJ87" i="5" a="1"/>
  <c r="AJ87" i="5" s="1"/>
  <c r="AI87" i="5" a="1"/>
  <c r="AI87" i="5" s="1"/>
  <c r="AH87" i="5" a="1"/>
  <c r="AH87" i="5" s="1"/>
  <c r="AF87" i="5"/>
  <c r="AF87" i="5" a="1"/>
  <c r="AE87" i="5" a="1"/>
  <c r="AE87" i="5" s="1"/>
  <c r="AC87" i="5" a="1"/>
  <c r="AC87" i="5" s="1"/>
  <c r="AA87" i="5" a="1"/>
  <c r="AA87" i="5" s="1"/>
  <c r="Y87" i="5" a="1"/>
  <c r="Y87" i="5" s="1"/>
  <c r="X87" i="5"/>
  <c r="X87" i="5" a="1"/>
  <c r="V87" i="5"/>
  <c r="V87" i="5" a="1"/>
  <c r="T87" i="5" a="1"/>
  <c r="T87" i="5" s="1"/>
  <c r="S87" i="5" a="1"/>
  <c r="S87" i="5" s="1"/>
  <c r="R87" i="5" a="1"/>
  <c r="R87" i="5" s="1"/>
  <c r="P87" i="5"/>
  <c r="P87" i="5" a="1"/>
  <c r="O87" i="5"/>
  <c r="O87" i="5" a="1"/>
  <c r="K87" i="5"/>
  <c r="K87" i="5" a="1"/>
  <c r="I87" i="5" a="1"/>
  <c r="I87" i="5" s="1"/>
  <c r="AM86" i="5" a="1"/>
  <c r="AM86" i="5" s="1"/>
  <c r="AL86" i="5" a="1"/>
  <c r="AL86" i="5" s="1"/>
  <c r="AK86" i="5" a="1"/>
  <c r="AK86" i="5" s="1"/>
  <c r="AJ86" i="5" a="1"/>
  <c r="AJ86" i="5" s="1"/>
  <c r="AI86" i="5" a="1"/>
  <c r="AI86" i="5" s="1"/>
  <c r="AH86" i="5" a="1"/>
  <c r="AH86" i="5" s="1"/>
  <c r="AF86" i="5" a="1"/>
  <c r="AF86" i="5" s="1"/>
  <c r="AE86" i="5" a="1"/>
  <c r="AE86" i="5" s="1"/>
  <c r="AC86" i="5"/>
  <c r="AC86" i="5" a="1"/>
  <c r="AA86" i="5" a="1"/>
  <c r="AA86" i="5" s="1"/>
  <c r="Y86" i="5"/>
  <c r="Y86" i="5" a="1"/>
  <c r="X86" i="5"/>
  <c r="X86" i="5" a="1"/>
  <c r="V86" i="5" a="1"/>
  <c r="V86" i="5" s="1"/>
  <c r="T86" i="5" a="1"/>
  <c r="T86" i="5" s="1"/>
  <c r="S86" i="5"/>
  <c r="S86" i="5" a="1"/>
  <c r="R86" i="5"/>
  <c r="R86" i="5" a="1"/>
  <c r="P86" i="5" a="1"/>
  <c r="P86" i="5" s="1"/>
  <c r="O86" i="5" a="1"/>
  <c r="O86" i="5" s="1"/>
  <c r="K86" i="5" a="1"/>
  <c r="K86" i="5" s="1"/>
  <c r="I86" i="5" a="1"/>
  <c r="I86" i="5" s="1"/>
  <c r="AM85" i="5" a="1"/>
  <c r="AM85" i="5" s="1"/>
  <c r="AL85" i="5"/>
  <c r="AL85" i="5" a="1"/>
  <c r="AK85" i="5" a="1"/>
  <c r="AK85" i="5" s="1"/>
  <c r="AJ85" i="5" a="1"/>
  <c r="AJ85" i="5" s="1"/>
  <c r="AI85" i="5"/>
  <c r="AI85" i="5" a="1"/>
  <c r="AH85" i="5"/>
  <c r="AH85" i="5" a="1"/>
  <c r="AF85" i="5"/>
  <c r="AF85" i="5" a="1"/>
  <c r="AE85" i="5" a="1"/>
  <c r="AE85" i="5" s="1"/>
  <c r="AC85" i="5" a="1"/>
  <c r="AC85" i="5" s="1"/>
  <c r="AA85" i="5" a="1"/>
  <c r="AA85" i="5" s="1"/>
  <c r="Y85" i="5"/>
  <c r="Y85" i="5" a="1"/>
  <c r="X85" i="5"/>
  <c r="X85" i="5" a="1"/>
  <c r="V85" i="5" a="1"/>
  <c r="V85" i="5" s="1"/>
  <c r="T85" i="5"/>
  <c r="T85" i="5" a="1"/>
  <c r="S85" i="5" a="1"/>
  <c r="S85" i="5" s="1"/>
  <c r="R85" i="5"/>
  <c r="R85" i="5" a="1"/>
  <c r="P85" i="5"/>
  <c r="P85" i="5" a="1"/>
  <c r="O85" i="5" a="1"/>
  <c r="O85" i="5" s="1"/>
  <c r="K85" i="5" a="1"/>
  <c r="K85" i="5" s="1"/>
  <c r="I85" i="5" a="1"/>
  <c r="I85" i="5" s="1"/>
  <c r="AM84" i="5"/>
  <c r="AM84" i="5" a="1"/>
  <c r="AL84" i="5" a="1"/>
  <c r="AL84" i="5" s="1"/>
  <c r="AK84" i="5"/>
  <c r="AK84" i="5" a="1"/>
  <c r="AJ84" i="5"/>
  <c r="AJ84" i="5" a="1"/>
  <c r="AI84" i="5" a="1"/>
  <c r="AI84" i="5" s="1"/>
  <c r="AH84" i="5" a="1"/>
  <c r="AH84" i="5" s="1"/>
  <c r="AF84" i="5"/>
  <c r="AF84" i="5" a="1"/>
  <c r="AE84" i="5"/>
  <c r="AE84" i="5" a="1"/>
  <c r="AC84" i="5"/>
  <c r="AC84" i="5" a="1"/>
  <c r="AA84" i="5" a="1"/>
  <c r="AA84" i="5" s="1"/>
  <c r="Y84" i="5"/>
  <c r="Y84" i="5" a="1"/>
  <c r="X84" i="5"/>
  <c r="X84" i="5" a="1"/>
  <c r="V84" i="5"/>
  <c r="V84" i="5" a="1"/>
  <c r="T84" i="5"/>
  <c r="T84" i="5" a="1"/>
  <c r="S84" i="5"/>
  <c r="S84" i="5" a="1"/>
  <c r="R84" i="5" a="1"/>
  <c r="R84" i="5" s="1"/>
  <c r="P84" i="5" a="1"/>
  <c r="P84" i="5" s="1"/>
  <c r="O84" i="5" a="1"/>
  <c r="O84" i="5" s="1"/>
  <c r="K84" i="5" a="1"/>
  <c r="K84" i="5" s="1"/>
  <c r="I84" i="5"/>
  <c r="I84" i="5" a="1"/>
  <c r="AM83" i="5"/>
  <c r="AM83" i="5" a="1"/>
  <c r="AL83" i="5" a="1"/>
  <c r="AL83" i="5" s="1"/>
  <c r="AK83" i="5" a="1"/>
  <c r="AK83" i="5" s="1"/>
  <c r="AJ83" i="5" a="1"/>
  <c r="AJ83" i="5" s="1"/>
  <c r="AI83" i="5" a="1"/>
  <c r="AI83" i="5" s="1"/>
  <c r="AH83" i="5" a="1"/>
  <c r="AH83" i="5" s="1"/>
  <c r="AF83" i="5" a="1"/>
  <c r="AF83" i="5" s="1"/>
  <c r="AE83" i="5" a="1"/>
  <c r="AE83" i="5" s="1"/>
  <c r="AC83" i="5" a="1"/>
  <c r="AC83" i="5" s="1"/>
  <c r="AA83" i="5"/>
  <c r="AA83" i="5" a="1"/>
  <c r="Y83" i="5" a="1"/>
  <c r="Y83" i="5" s="1"/>
  <c r="X83" i="5" a="1"/>
  <c r="X83" i="5" s="1"/>
  <c r="V83" i="5"/>
  <c r="V83" i="5" a="1"/>
  <c r="T83" i="5" a="1"/>
  <c r="T83" i="5" s="1"/>
  <c r="S83" i="5" a="1"/>
  <c r="S83" i="5" s="1"/>
  <c r="R83" i="5" a="1"/>
  <c r="R83" i="5" s="1"/>
  <c r="P83" i="5"/>
  <c r="P83" i="5" a="1"/>
  <c r="O83" i="5" a="1"/>
  <c r="O83" i="5" s="1"/>
  <c r="K83" i="5" a="1"/>
  <c r="K83" i="5" s="1"/>
  <c r="I83" i="5" a="1"/>
  <c r="I83" i="5" s="1"/>
  <c r="AM82" i="5" a="1"/>
  <c r="AM82" i="5" s="1"/>
  <c r="AL82" i="5" a="1"/>
  <c r="AL82" i="5" s="1"/>
  <c r="AK82" i="5" a="1"/>
  <c r="AK82" i="5" s="1"/>
  <c r="AJ82" i="5" a="1"/>
  <c r="AJ82" i="5" s="1"/>
  <c r="AI82" i="5"/>
  <c r="AI82" i="5" a="1"/>
  <c r="AH82" i="5"/>
  <c r="AH82" i="5" a="1"/>
  <c r="AF82" i="5" a="1"/>
  <c r="AF82" i="5" s="1"/>
  <c r="AE82" i="5"/>
  <c r="AE82" i="5" a="1"/>
  <c r="AC82" i="5"/>
  <c r="AC82" i="5" a="1"/>
  <c r="AA82" i="5"/>
  <c r="AA82" i="5" a="1"/>
  <c r="Y82" i="5" a="1"/>
  <c r="Y82" i="5" s="1"/>
  <c r="X82" i="5" a="1"/>
  <c r="X82" i="5" s="1"/>
  <c r="V82" i="5"/>
  <c r="V82" i="5" a="1"/>
  <c r="T82" i="5"/>
  <c r="T82" i="5" a="1"/>
  <c r="S82" i="5" a="1"/>
  <c r="S82" i="5" s="1"/>
  <c r="R82" i="5" a="1"/>
  <c r="R82" i="5" s="1"/>
  <c r="P82" i="5" a="1"/>
  <c r="P82" i="5" s="1"/>
  <c r="O82" i="5"/>
  <c r="O82" i="5" a="1"/>
  <c r="K82" i="5" a="1"/>
  <c r="K82" i="5" s="1"/>
  <c r="I82" i="5" a="1"/>
  <c r="I82" i="5" s="1"/>
  <c r="AM81" i="5" a="1"/>
  <c r="AM81" i="5" s="1"/>
  <c r="AL81" i="5" a="1"/>
  <c r="AL81" i="5" s="1"/>
  <c r="AK81" i="5" a="1"/>
  <c r="AK81" i="5" s="1"/>
  <c r="AJ81" i="5" a="1"/>
  <c r="AJ81" i="5" s="1"/>
  <c r="AI81" i="5" a="1"/>
  <c r="AI81" i="5" s="1"/>
  <c r="AH81" i="5"/>
  <c r="AH81" i="5" a="1"/>
  <c r="AG81" i="5"/>
  <c r="AG81" i="5" a="1"/>
  <c r="AF81" i="5"/>
  <c r="AF81" i="5" a="1"/>
  <c r="AE81" i="5"/>
  <c r="AE81" i="5" a="1"/>
  <c r="AC81" i="5"/>
  <c r="AC81" i="5" a="1"/>
  <c r="AA81" i="5" a="1"/>
  <c r="AA81" i="5" s="1"/>
  <c r="Y81" i="5" a="1"/>
  <c r="Y81" i="5" s="1"/>
  <c r="X81" i="5" a="1"/>
  <c r="X81" i="5" s="1"/>
  <c r="V81" i="5"/>
  <c r="V81" i="5" a="1"/>
  <c r="T81" i="5"/>
  <c r="T81" i="5" a="1"/>
  <c r="S81" i="5" a="1"/>
  <c r="S81" i="5" s="1"/>
  <c r="R81" i="5" a="1"/>
  <c r="R81" i="5" s="1"/>
  <c r="P81" i="5"/>
  <c r="P81" i="5" a="1"/>
  <c r="O81" i="5" a="1"/>
  <c r="O81" i="5" s="1"/>
  <c r="K81" i="5" a="1"/>
  <c r="K81" i="5" s="1"/>
  <c r="I81" i="5" a="1"/>
  <c r="I81" i="5" s="1"/>
  <c r="AM80" i="5" a="1"/>
  <c r="AM80" i="5" s="1"/>
  <c r="AL80" i="5" a="1"/>
  <c r="AL80" i="5" s="1"/>
  <c r="AK80" i="5"/>
  <c r="AK80" i="5" a="1"/>
  <c r="AJ80" i="5" a="1"/>
  <c r="AJ80" i="5" s="1"/>
  <c r="AI80" i="5"/>
  <c r="AI80" i="5" a="1"/>
  <c r="AH80" i="5"/>
  <c r="AH80" i="5" a="1"/>
  <c r="AG80" i="5"/>
  <c r="AG80" i="5" a="1"/>
  <c r="AF80" i="5" a="1"/>
  <c r="AF80" i="5" s="1"/>
  <c r="AE80" i="5"/>
  <c r="AE80" i="5" a="1"/>
  <c r="AC80" i="5" a="1"/>
  <c r="AC80" i="5" s="1"/>
  <c r="AA80" i="5" a="1"/>
  <c r="AA80" i="5" s="1"/>
  <c r="Y80" i="5" a="1"/>
  <c r="Y80" i="5" s="1"/>
  <c r="X80" i="5"/>
  <c r="X80" i="5" a="1"/>
  <c r="V80" i="5" a="1"/>
  <c r="V80" i="5" s="1"/>
  <c r="T80" i="5" a="1"/>
  <c r="T80" i="5" s="1"/>
  <c r="S80" i="5" a="1"/>
  <c r="S80" i="5" s="1"/>
  <c r="R80" i="5" a="1"/>
  <c r="R80" i="5" s="1"/>
  <c r="P80" i="5" a="1"/>
  <c r="P80" i="5" s="1"/>
  <c r="O80" i="5" a="1"/>
  <c r="O80" i="5" s="1"/>
  <c r="K80" i="5" a="1"/>
  <c r="K80" i="5" s="1"/>
  <c r="I80" i="5"/>
  <c r="I80" i="5" a="1"/>
  <c r="AM79" i="5" a="1"/>
  <c r="AM79" i="5" s="1"/>
  <c r="AL79" i="5" a="1"/>
  <c r="AL79" i="5" s="1"/>
  <c r="AK79" i="5"/>
  <c r="AK79" i="5" a="1"/>
  <c r="AJ79" i="5" a="1"/>
  <c r="AJ79" i="5" s="1"/>
  <c r="AI79" i="5"/>
  <c r="AI79" i="5" a="1"/>
  <c r="AH79" i="5"/>
  <c r="AH79" i="5" a="1"/>
  <c r="AG79" i="5" a="1"/>
  <c r="AG79" i="5" s="1"/>
  <c r="AF79" i="5"/>
  <c r="AF79" i="5" a="1"/>
  <c r="AE79" i="5"/>
  <c r="AE79" i="5" a="1"/>
  <c r="AC79" i="5" a="1"/>
  <c r="AC79" i="5" s="1"/>
  <c r="AA79" i="5"/>
  <c r="AA79" i="5" a="1"/>
  <c r="Y79" i="5" a="1"/>
  <c r="Y79" i="5" s="1"/>
  <c r="X79" i="5" a="1"/>
  <c r="X79" i="5" s="1"/>
  <c r="V79" i="5"/>
  <c r="V79" i="5" a="1"/>
  <c r="T79" i="5"/>
  <c r="T79" i="5" a="1"/>
  <c r="S79" i="5"/>
  <c r="S79" i="5" a="1"/>
  <c r="R79" i="5"/>
  <c r="R79" i="5" a="1"/>
  <c r="P79" i="5"/>
  <c r="P79" i="5" a="1"/>
  <c r="O79" i="5" a="1"/>
  <c r="O79" i="5" s="1"/>
  <c r="K79" i="5"/>
  <c r="K79" i="5" a="1"/>
  <c r="I79" i="5" a="1"/>
  <c r="I79" i="5" s="1"/>
  <c r="AM78" i="5"/>
  <c r="AM78" i="5" a="1"/>
  <c r="AL78" i="5"/>
  <c r="AL78" i="5" a="1"/>
  <c r="AK78" i="5"/>
  <c r="AK78" i="5" a="1"/>
  <c r="AJ78" i="5" a="1"/>
  <c r="AJ78" i="5" s="1"/>
  <c r="AI78" i="5" a="1"/>
  <c r="AI78" i="5" s="1"/>
  <c r="AH78" i="5"/>
  <c r="AH78" i="5" a="1"/>
  <c r="AG78" i="5" a="1"/>
  <c r="AG78" i="5" s="1"/>
  <c r="AF78" i="5" a="1"/>
  <c r="AF78" i="5" s="1"/>
  <c r="AE78" i="5" a="1"/>
  <c r="AE78" i="5" s="1"/>
  <c r="AC78" i="5"/>
  <c r="AC78" i="5" a="1"/>
  <c r="AA78" i="5"/>
  <c r="AA78" i="5" a="1"/>
  <c r="Y78" i="5" a="1"/>
  <c r="Y78" i="5" s="1"/>
  <c r="X78" i="5" a="1"/>
  <c r="X78" i="5" s="1"/>
  <c r="V78" i="5"/>
  <c r="V78" i="5" a="1"/>
  <c r="T78" i="5" a="1"/>
  <c r="T78" i="5" s="1"/>
  <c r="S78" i="5"/>
  <c r="S78" i="5" a="1"/>
  <c r="R78" i="5" a="1"/>
  <c r="R78" i="5" s="1"/>
  <c r="P78" i="5"/>
  <c r="P78" i="5" a="1"/>
  <c r="O78" i="5"/>
  <c r="O78" i="5" a="1"/>
  <c r="K78" i="5" a="1"/>
  <c r="K78" i="5" s="1"/>
  <c r="I78" i="5" a="1"/>
  <c r="I78" i="5" s="1"/>
  <c r="AM77" i="5"/>
  <c r="AM77" i="5" a="1"/>
  <c r="AL77" i="5" a="1"/>
  <c r="AL77" i="5" s="1"/>
  <c r="AK77" i="5"/>
  <c r="AK77" i="5" a="1"/>
  <c r="AJ77" i="5" a="1"/>
  <c r="AJ77" i="5" s="1"/>
  <c r="AI77" i="5"/>
  <c r="AI77" i="5" a="1"/>
  <c r="AH77" i="5"/>
  <c r="AH77" i="5" a="1"/>
  <c r="AG77" i="5" a="1"/>
  <c r="AG77" i="5" s="1"/>
  <c r="AF77" i="5"/>
  <c r="AF77" i="5" a="1"/>
  <c r="AE77" i="5"/>
  <c r="AE77" i="5" a="1"/>
  <c r="AC77" i="5"/>
  <c r="AC77" i="5" a="1"/>
  <c r="AA77" i="5" a="1"/>
  <c r="AA77" i="5" s="1"/>
  <c r="Y77" i="5"/>
  <c r="Y77" i="5" a="1"/>
  <c r="X77" i="5" a="1"/>
  <c r="X77" i="5" s="1"/>
  <c r="V77" i="5" a="1"/>
  <c r="V77" i="5" s="1"/>
  <c r="T77" i="5"/>
  <c r="T77" i="5" a="1"/>
  <c r="S77" i="5" a="1"/>
  <c r="S77" i="5" s="1"/>
  <c r="R77" i="5"/>
  <c r="R77" i="5" a="1"/>
  <c r="P77" i="5"/>
  <c r="P77" i="5" a="1"/>
  <c r="O77" i="5" a="1"/>
  <c r="O77" i="5" s="1"/>
  <c r="K77" i="5" a="1"/>
  <c r="K77" i="5" s="1"/>
  <c r="I77" i="5"/>
  <c r="I77" i="5" a="1"/>
  <c r="AM76" i="5"/>
  <c r="AM76" i="5" a="1"/>
  <c r="AL76" i="5"/>
  <c r="AL76" i="5" a="1"/>
  <c r="AK76" i="5" a="1"/>
  <c r="AK76" i="5" s="1"/>
  <c r="AJ76" i="5" a="1"/>
  <c r="AJ76" i="5" s="1"/>
  <c r="AI76" i="5" a="1"/>
  <c r="AI76" i="5" s="1"/>
  <c r="AH76" i="5"/>
  <c r="AH76" i="5" a="1"/>
  <c r="AG76" i="5"/>
  <c r="AG76" i="5" a="1"/>
  <c r="AF76" i="5"/>
  <c r="AF76" i="5" a="1"/>
  <c r="AE76" i="5" a="1"/>
  <c r="AE76" i="5" s="1"/>
  <c r="AC76" i="5"/>
  <c r="AC76" i="5" a="1"/>
  <c r="AA76" i="5" a="1"/>
  <c r="AA76" i="5" s="1"/>
  <c r="Y76" i="5" a="1"/>
  <c r="Y76" i="5" s="1"/>
  <c r="X76" i="5"/>
  <c r="X76" i="5" a="1"/>
  <c r="V76" i="5"/>
  <c r="V76" i="5" a="1"/>
  <c r="T76" i="5"/>
  <c r="T76" i="5" a="1"/>
  <c r="S76" i="5"/>
  <c r="S76" i="5" a="1"/>
  <c r="R76" i="5"/>
  <c r="R76" i="5" a="1"/>
  <c r="P76" i="5"/>
  <c r="P76" i="5" a="1"/>
  <c r="O76" i="5"/>
  <c r="O76" i="5" a="1"/>
  <c r="K76" i="5" a="1"/>
  <c r="K76" i="5" s="1"/>
  <c r="I76" i="5" a="1"/>
  <c r="I76" i="5" s="1"/>
  <c r="AM75" i="5"/>
  <c r="AM75" i="5" a="1"/>
  <c r="AL75" i="5"/>
  <c r="AL75" i="5" a="1"/>
  <c r="AK75" i="5"/>
  <c r="AK75" i="5" a="1"/>
  <c r="AJ75" i="5" a="1"/>
  <c r="AJ75" i="5" s="1"/>
  <c r="AI75" i="5"/>
  <c r="AI75" i="5" a="1"/>
  <c r="AH75" i="5" a="1"/>
  <c r="AH75" i="5" s="1"/>
  <c r="AG75" i="5" a="1"/>
  <c r="AG75" i="5" s="1"/>
  <c r="AF75" i="5" a="1"/>
  <c r="AF75" i="5" s="1"/>
  <c r="AE75" i="5" a="1"/>
  <c r="AE75" i="5" s="1"/>
  <c r="AC75" i="5"/>
  <c r="AC75" i="5" a="1"/>
  <c r="AA75" i="5"/>
  <c r="AA75" i="5" a="1"/>
  <c r="Y75" i="5"/>
  <c r="Y75" i="5" a="1"/>
  <c r="X75" i="5" a="1"/>
  <c r="X75" i="5" s="1"/>
  <c r="V75" i="5" a="1"/>
  <c r="V75" i="5" s="1"/>
  <c r="T75" i="5"/>
  <c r="T75" i="5" a="1"/>
  <c r="S75" i="5"/>
  <c r="S75" i="5" a="1"/>
  <c r="R75" i="5" a="1"/>
  <c r="R75" i="5" s="1"/>
  <c r="P75" i="5" a="1"/>
  <c r="P75" i="5" s="1"/>
  <c r="O75" i="5"/>
  <c r="O75" i="5" a="1"/>
  <c r="K75" i="5"/>
  <c r="K75" i="5" a="1"/>
  <c r="I75" i="5"/>
  <c r="I75" i="5" a="1"/>
  <c r="AM74" i="5" a="1"/>
  <c r="AM74" i="5" s="1"/>
  <c r="AL74" i="5"/>
  <c r="AL74" i="5" a="1"/>
  <c r="AK74" i="5" a="1"/>
  <c r="AK74" i="5" s="1"/>
  <c r="AJ74" i="5" a="1"/>
  <c r="AJ74" i="5" s="1"/>
  <c r="AI74" i="5" a="1"/>
  <c r="AI74" i="5" s="1"/>
  <c r="AH74" i="5"/>
  <c r="AH74" i="5" a="1"/>
  <c r="AG74" i="5" a="1"/>
  <c r="AG74" i="5" s="1"/>
  <c r="AF74" i="5" a="1"/>
  <c r="AF74" i="5" s="1"/>
  <c r="AE74" i="5" a="1"/>
  <c r="AE74" i="5" s="1"/>
  <c r="AC74" i="5"/>
  <c r="AC74" i="5" a="1"/>
  <c r="AA74" i="5"/>
  <c r="AA74" i="5" a="1"/>
  <c r="Y74" i="5" a="1"/>
  <c r="Y74" i="5" s="1"/>
  <c r="X74" i="5" a="1"/>
  <c r="X74" i="5" s="1"/>
  <c r="V74" i="5"/>
  <c r="V74" i="5" a="1"/>
  <c r="T74" i="5" a="1"/>
  <c r="T74" i="5" s="1"/>
  <c r="S74" i="5"/>
  <c r="S74" i="5" a="1"/>
  <c r="R74" i="5" a="1"/>
  <c r="R74" i="5" s="1"/>
  <c r="P74" i="5" a="1"/>
  <c r="P74" i="5" s="1"/>
  <c r="O74" i="5" a="1"/>
  <c r="O74" i="5" s="1"/>
  <c r="K74" i="5" a="1"/>
  <c r="K74" i="5" s="1"/>
  <c r="I74" i="5" a="1"/>
  <c r="I74" i="5" s="1"/>
  <c r="AM73" i="5"/>
  <c r="AM73" i="5" a="1"/>
  <c r="AL73" i="5" a="1"/>
  <c r="AL73" i="5" s="1"/>
  <c r="AK73" i="5"/>
  <c r="AK73" i="5" a="1"/>
  <c r="AJ73" i="5"/>
  <c r="AJ73" i="5" a="1"/>
  <c r="AI73" i="5"/>
  <c r="AI73" i="5" a="1"/>
  <c r="AH73" i="5" a="1"/>
  <c r="AH73" i="5" s="1"/>
  <c r="AG73" i="5"/>
  <c r="AG73" i="5" a="1"/>
  <c r="AF73" i="5" a="1"/>
  <c r="AF73" i="5" s="1"/>
  <c r="AE73" i="5" a="1"/>
  <c r="AE73" i="5" s="1"/>
  <c r="AC73" i="5"/>
  <c r="AC73" i="5" a="1"/>
  <c r="AA73" i="5"/>
  <c r="AA73" i="5" a="1"/>
  <c r="Y73" i="5"/>
  <c r="Y73" i="5" a="1"/>
  <c r="X73" i="5" a="1"/>
  <c r="X73" i="5" s="1"/>
  <c r="V73" i="5" a="1"/>
  <c r="V73" i="5" s="1"/>
  <c r="T73" i="5" a="1"/>
  <c r="T73" i="5" s="1"/>
  <c r="S73" i="5" a="1"/>
  <c r="S73" i="5" s="1"/>
  <c r="R73" i="5"/>
  <c r="R73" i="5" a="1"/>
  <c r="P73" i="5" a="1"/>
  <c r="P73" i="5" s="1"/>
  <c r="O73" i="5" a="1"/>
  <c r="O73" i="5" s="1"/>
  <c r="K73" i="5"/>
  <c r="K73" i="5" a="1"/>
  <c r="I73" i="5"/>
  <c r="I73" i="5" a="1"/>
  <c r="AM72" i="5" a="1"/>
  <c r="AM72" i="5" s="1"/>
  <c r="AL72" i="5" a="1"/>
  <c r="AL72" i="5" s="1"/>
  <c r="AK72" i="5"/>
  <c r="AK72" i="5" a="1"/>
  <c r="AJ72" i="5"/>
  <c r="AJ72" i="5" a="1"/>
  <c r="AI72" i="5"/>
  <c r="AI72" i="5" a="1"/>
  <c r="AH72" i="5" a="1"/>
  <c r="AH72" i="5" s="1"/>
  <c r="AG72" i="5"/>
  <c r="AG72" i="5" a="1"/>
  <c r="AF72" i="5" a="1"/>
  <c r="AF72" i="5" s="1"/>
  <c r="AE72" i="5" a="1"/>
  <c r="AE72" i="5" s="1"/>
  <c r="AC72" i="5" a="1"/>
  <c r="AC72" i="5" s="1"/>
  <c r="AB72" i="5"/>
  <c r="AB72" i="5" a="1"/>
  <c r="AA72" i="5" a="1"/>
  <c r="AA72" i="5" s="1"/>
  <c r="Z72" i="5"/>
  <c r="Z72" i="5" a="1"/>
  <c r="Y72" i="5" a="1"/>
  <c r="Y72" i="5" s="1"/>
  <c r="X72" i="5" a="1"/>
  <c r="X72" i="5" s="1"/>
  <c r="W72" i="5" a="1"/>
  <c r="W72" i="5" s="1"/>
  <c r="V72" i="5"/>
  <c r="V72" i="5" a="1"/>
  <c r="T72" i="5"/>
  <c r="T72" i="5" a="1"/>
  <c r="S72" i="5" a="1"/>
  <c r="S72" i="5" s="1"/>
  <c r="R72" i="5"/>
  <c r="R72" i="5" a="1"/>
  <c r="P72" i="5"/>
  <c r="P72" i="5" a="1"/>
  <c r="O72" i="5" a="1"/>
  <c r="O72" i="5" s="1"/>
  <c r="K72" i="5"/>
  <c r="K72" i="5" a="1"/>
  <c r="I72" i="5"/>
  <c r="I72" i="5" a="1"/>
  <c r="AM71" i="5"/>
  <c r="AM71" i="5" a="1"/>
  <c r="AL71" i="5" a="1"/>
  <c r="AL71" i="5" s="1"/>
  <c r="AK71" i="5" a="1"/>
  <c r="AK71" i="5" s="1"/>
  <c r="AJ71" i="5" a="1"/>
  <c r="AJ71" i="5" s="1"/>
  <c r="AI71" i="5"/>
  <c r="AI71" i="5" a="1"/>
  <c r="AH71" i="5"/>
  <c r="AH71" i="5" a="1"/>
  <c r="AG71" i="5"/>
  <c r="AG71" i="5" a="1"/>
  <c r="AF71" i="5" a="1"/>
  <c r="AF71" i="5" s="1"/>
  <c r="AE71" i="5"/>
  <c r="AE71" i="5" a="1"/>
  <c r="AC71" i="5" a="1"/>
  <c r="AC71" i="5" s="1"/>
  <c r="AB71" i="5" a="1"/>
  <c r="AB71" i="5" s="1"/>
  <c r="AA71" i="5"/>
  <c r="AA71" i="5" a="1"/>
  <c r="Z71" i="5"/>
  <c r="Z71" i="5" a="1"/>
  <c r="Y71" i="5" a="1"/>
  <c r="Y71" i="5" s="1"/>
  <c r="X71" i="5" a="1"/>
  <c r="X71" i="5" s="1"/>
  <c r="W71" i="5"/>
  <c r="W71" i="5" a="1"/>
  <c r="V71" i="5" a="1"/>
  <c r="V71" i="5" s="1"/>
  <c r="T71" i="5"/>
  <c r="T71" i="5" a="1"/>
  <c r="S71" i="5" a="1"/>
  <c r="S71" i="5" s="1"/>
  <c r="R71" i="5"/>
  <c r="R71" i="5" a="1"/>
  <c r="P71" i="5"/>
  <c r="P71" i="5" a="1"/>
  <c r="O71" i="5"/>
  <c r="O71" i="5" a="1"/>
  <c r="K71" i="5" a="1"/>
  <c r="K71" i="5" s="1"/>
  <c r="I71" i="5"/>
  <c r="I71" i="5" a="1"/>
  <c r="AM70" i="5" a="1"/>
  <c r="AM70" i="5" s="1"/>
  <c r="AL70" i="5" a="1"/>
  <c r="AL70" i="5" s="1"/>
  <c r="AK70" i="5"/>
  <c r="AK70" i="5" a="1"/>
  <c r="AJ70" i="5" a="1"/>
  <c r="AJ70" i="5" s="1"/>
  <c r="AI70" i="5"/>
  <c r="AI70" i="5" a="1"/>
  <c r="AH70" i="5"/>
  <c r="AH70" i="5" a="1"/>
  <c r="AG70" i="5" a="1"/>
  <c r="AG70" i="5" s="1"/>
  <c r="AF70" i="5" a="1"/>
  <c r="AF70" i="5" s="1"/>
  <c r="AE70" i="5"/>
  <c r="AE70" i="5" a="1"/>
  <c r="AC70" i="5" a="1"/>
  <c r="AC70" i="5" s="1"/>
  <c r="AB70" i="5" a="1"/>
  <c r="AB70" i="5" s="1"/>
  <c r="AA70" i="5" a="1"/>
  <c r="AA70" i="5" s="1"/>
  <c r="Z70" i="5"/>
  <c r="Z70" i="5" a="1"/>
  <c r="Y70" i="5" a="1"/>
  <c r="Y70" i="5" s="1"/>
  <c r="X70" i="5"/>
  <c r="X70" i="5" a="1"/>
  <c r="W70" i="5" a="1"/>
  <c r="W70" i="5" s="1"/>
  <c r="V70" i="5" a="1"/>
  <c r="V70" i="5" s="1"/>
  <c r="T70" i="5" a="1"/>
  <c r="T70" i="5" s="1"/>
  <c r="S70" i="5"/>
  <c r="S70" i="5" a="1"/>
  <c r="R70" i="5"/>
  <c r="R70" i="5" a="1"/>
  <c r="P70" i="5" a="1"/>
  <c r="P70" i="5" s="1"/>
  <c r="O70" i="5"/>
  <c r="O70" i="5" a="1"/>
  <c r="K70" i="5" a="1"/>
  <c r="K70" i="5" s="1"/>
  <c r="I70" i="5" a="1"/>
  <c r="I70" i="5" s="1"/>
  <c r="AM69" i="5"/>
  <c r="AM69" i="5" a="1"/>
  <c r="AL69" i="5" a="1"/>
  <c r="AL69" i="5" s="1"/>
  <c r="AK69" i="5"/>
  <c r="AK69" i="5" a="1"/>
  <c r="AJ69" i="5"/>
  <c r="AJ69" i="5" a="1"/>
  <c r="AI69" i="5" a="1"/>
  <c r="AI69" i="5" s="1"/>
  <c r="AH69" i="5"/>
  <c r="AH69" i="5" a="1"/>
  <c r="AG69" i="5" a="1"/>
  <c r="AG69" i="5" s="1"/>
  <c r="AF69" i="5"/>
  <c r="AF69" i="5" a="1"/>
  <c r="AE69" i="5"/>
  <c r="AE69" i="5" a="1"/>
  <c r="AC69" i="5"/>
  <c r="AC69" i="5" a="1"/>
  <c r="AB69" i="5"/>
  <c r="AB69" i="5" a="1"/>
  <c r="AA69" i="5" a="1"/>
  <c r="AA69" i="5" s="1"/>
  <c r="Z69" i="5"/>
  <c r="Z69" i="5" a="1"/>
  <c r="Y69" i="5" a="1"/>
  <c r="Y69" i="5" s="1"/>
  <c r="X69" i="5"/>
  <c r="X69" i="5" a="1"/>
  <c r="W69" i="5"/>
  <c r="W69" i="5" a="1"/>
  <c r="V69" i="5"/>
  <c r="V69" i="5" a="1"/>
  <c r="T69" i="5"/>
  <c r="T69" i="5" a="1"/>
  <c r="S69" i="5" a="1"/>
  <c r="S69" i="5" s="1"/>
  <c r="R69" i="5" a="1"/>
  <c r="R69" i="5" s="1"/>
  <c r="P69" i="5" a="1"/>
  <c r="P69" i="5" s="1"/>
  <c r="O69" i="5" a="1"/>
  <c r="O69" i="5" s="1"/>
  <c r="K69" i="5"/>
  <c r="K69" i="5" a="1"/>
  <c r="I69" i="5" a="1"/>
  <c r="I69" i="5" s="1"/>
  <c r="AM68" i="5" a="1"/>
  <c r="AM68" i="5" s="1"/>
  <c r="AL68" i="5" a="1"/>
  <c r="AL68" i="5" s="1"/>
  <c r="AK68" i="5" a="1"/>
  <c r="AK68" i="5" s="1"/>
  <c r="AJ68" i="5"/>
  <c r="AJ68" i="5" a="1"/>
  <c r="AI68" i="5" a="1"/>
  <c r="AI68" i="5" s="1"/>
  <c r="AH68" i="5"/>
  <c r="AH68" i="5" a="1"/>
  <c r="AG68" i="5"/>
  <c r="AG68" i="5" a="1"/>
  <c r="AF68" i="5"/>
  <c r="AF68" i="5" a="1"/>
  <c r="AE68" i="5" a="1"/>
  <c r="AE68" i="5" s="1"/>
  <c r="AC68" i="5" a="1"/>
  <c r="AC68" i="5" s="1"/>
  <c r="AB68" i="5"/>
  <c r="AB68" i="5" a="1"/>
  <c r="AA68" i="5" a="1"/>
  <c r="AA68" i="5" s="1"/>
  <c r="Z68" i="5"/>
  <c r="Z68" i="5" a="1"/>
  <c r="Y68" i="5"/>
  <c r="Y68" i="5" a="1"/>
  <c r="X68" i="5"/>
  <c r="X68" i="5" a="1"/>
  <c r="W68" i="5" a="1"/>
  <c r="W68" i="5" s="1"/>
  <c r="V68" i="5" a="1"/>
  <c r="V68" i="5" s="1"/>
  <c r="T68" i="5"/>
  <c r="T68" i="5" a="1"/>
  <c r="S68" i="5" a="1"/>
  <c r="S68" i="5" s="1"/>
  <c r="R68" i="5"/>
  <c r="R68" i="5" a="1"/>
  <c r="P68" i="5" a="1"/>
  <c r="P68" i="5" s="1"/>
  <c r="O68" i="5"/>
  <c r="O68" i="5" a="1"/>
  <c r="K68" i="5"/>
  <c r="K68" i="5" a="1"/>
  <c r="I68" i="5"/>
  <c r="I68" i="5" a="1"/>
  <c r="AM67" i="5" a="1"/>
  <c r="AM67" i="5" s="1"/>
  <c r="AL67" i="5"/>
  <c r="AL67" i="5" a="1"/>
  <c r="AK67" i="5" a="1"/>
  <c r="AK67" i="5" s="1"/>
  <c r="AJ67" i="5"/>
  <c r="AJ67" i="5" a="1"/>
  <c r="AI67" i="5" a="1"/>
  <c r="AI67" i="5" s="1"/>
  <c r="AH67" i="5" a="1"/>
  <c r="AH67" i="5" s="1"/>
  <c r="AG67" i="5"/>
  <c r="AG67" i="5" a="1"/>
  <c r="AF67" i="5" a="1"/>
  <c r="AF67" i="5" s="1"/>
  <c r="AE67" i="5" a="1"/>
  <c r="AE67" i="5" s="1"/>
  <c r="AC67" i="5"/>
  <c r="AC67" i="5" a="1"/>
  <c r="AB67" i="5"/>
  <c r="AB67" i="5" a="1"/>
  <c r="AA67" i="5" a="1"/>
  <c r="AA67" i="5" s="1"/>
  <c r="Z67" i="5"/>
  <c r="Z67" i="5" a="1"/>
  <c r="Y67" i="5" a="1"/>
  <c r="Y67" i="5" s="1"/>
  <c r="X67" i="5" a="1"/>
  <c r="X67" i="5" s="1"/>
  <c r="W67" i="5"/>
  <c r="W67" i="5" a="1"/>
  <c r="V67" i="5" a="1"/>
  <c r="V67" i="5" s="1"/>
  <c r="T67" i="5"/>
  <c r="T67" i="5" a="1"/>
  <c r="S67" i="5" a="1"/>
  <c r="S67" i="5" s="1"/>
  <c r="R67" i="5"/>
  <c r="R67" i="5" a="1"/>
  <c r="P67" i="5"/>
  <c r="P67" i="5" a="1"/>
  <c r="O67" i="5" a="1"/>
  <c r="O67" i="5" s="1"/>
  <c r="K67" i="5"/>
  <c r="K67" i="5" a="1"/>
  <c r="I67" i="5"/>
  <c r="I67" i="5" a="1"/>
  <c r="AM66" i="5"/>
  <c r="AM66" i="5" a="1"/>
  <c r="AL66" i="5"/>
  <c r="AL66" i="5" a="1"/>
  <c r="AK66" i="5" a="1"/>
  <c r="AK66" i="5" s="1"/>
  <c r="AJ66" i="5"/>
  <c r="AJ66" i="5" a="1"/>
  <c r="AI66" i="5"/>
  <c r="AI66" i="5" a="1"/>
  <c r="AH66" i="5" a="1"/>
  <c r="AH66" i="5" s="1"/>
  <c r="AG66" i="5"/>
  <c r="AG66" i="5" a="1"/>
  <c r="AF66" i="5" a="1"/>
  <c r="AF66" i="5" s="1"/>
  <c r="AE66" i="5"/>
  <c r="AE66" i="5" a="1"/>
  <c r="AC66" i="5" a="1"/>
  <c r="AC66" i="5" s="1"/>
  <c r="AB66" i="5"/>
  <c r="AB66" i="5" a="1"/>
  <c r="AA66" i="5" a="1"/>
  <c r="AA66" i="5" s="1"/>
  <c r="Z66" i="5"/>
  <c r="Z66" i="5" a="1"/>
  <c r="Y66" i="5" a="1"/>
  <c r="Y66" i="5" s="1"/>
  <c r="X66" i="5"/>
  <c r="X66" i="5" a="1"/>
  <c r="W66" i="5"/>
  <c r="W66" i="5" a="1"/>
  <c r="V66" i="5"/>
  <c r="V66" i="5" a="1"/>
  <c r="T66" i="5"/>
  <c r="T66" i="5" a="1"/>
  <c r="S66" i="5" a="1"/>
  <c r="S66" i="5" s="1"/>
  <c r="R66" i="5"/>
  <c r="R66" i="5" a="1"/>
  <c r="P66" i="5" a="1"/>
  <c r="P66" i="5" s="1"/>
  <c r="O66" i="5"/>
  <c r="O66" i="5" a="1"/>
  <c r="K66" i="5"/>
  <c r="K66" i="5" a="1"/>
  <c r="I66" i="5" a="1"/>
  <c r="I66" i="5" s="1"/>
  <c r="AM65" i="5" a="1"/>
  <c r="AM65" i="5" s="1"/>
  <c r="AL65" i="5" a="1"/>
  <c r="AL65" i="5" s="1"/>
  <c r="AK65" i="5"/>
  <c r="AK65" i="5" a="1"/>
  <c r="AJ65" i="5"/>
  <c r="AJ65" i="5" a="1"/>
  <c r="AI65" i="5" a="1"/>
  <c r="AI65" i="5" s="1"/>
  <c r="AH65" i="5"/>
  <c r="AH65" i="5" a="1"/>
  <c r="AG65" i="5" a="1"/>
  <c r="AG65" i="5" s="1"/>
  <c r="AF65" i="5" a="1"/>
  <c r="AF65" i="5" s="1"/>
  <c r="AE65" i="5"/>
  <c r="AE65" i="5" a="1"/>
  <c r="AC65" i="5"/>
  <c r="AC65" i="5" a="1"/>
  <c r="AB65" i="5" a="1"/>
  <c r="AB65" i="5" s="1"/>
  <c r="AA65" i="5"/>
  <c r="AA65" i="5" a="1"/>
  <c r="Z65" i="5"/>
  <c r="Z65" i="5" a="1"/>
  <c r="Y65" i="5"/>
  <c r="Y65" i="5" a="1"/>
  <c r="X65" i="5" a="1"/>
  <c r="X65" i="5" s="1"/>
  <c r="W65" i="5"/>
  <c r="W65" i="5" a="1"/>
  <c r="V65" i="5" a="1"/>
  <c r="V65" i="5" s="1"/>
  <c r="T65" i="5"/>
  <c r="T65" i="5" a="1"/>
  <c r="S65" i="5" a="1"/>
  <c r="S65" i="5" s="1"/>
  <c r="R65" i="5"/>
  <c r="R65" i="5" a="1"/>
  <c r="P65" i="5" a="1"/>
  <c r="P65" i="5" s="1"/>
  <c r="O65" i="5" a="1"/>
  <c r="O65" i="5" s="1"/>
  <c r="K65" i="5" a="1"/>
  <c r="K65" i="5" s="1"/>
  <c r="I65" i="5" a="1"/>
  <c r="I65" i="5" s="1"/>
  <c r="AM64" i="5" a="1"/>
  <c r="AM64" i="5" s="1"/>
  <c r="AL64" i="5"/>
  <c r="AL64" i="5" a="1"/>
  <c r="AK64" i="5"/>
  <c r="AK64" i="5" a="1"/>
  <c r="AJ64" i="5"/>
  <c r="AJ64" i="5" a="1"/>
  <c r="AI64" i="5"/>
  <c r="AI64" i="5" a="1"/>
  <c r="AH64" i="5" a="1"/>
  <c r="AH64" i="5" s="1"/>
  <c r="AG64" i="5"/>
  <c r="AG64" i="5" a="1"/>
  <c r="AF64" i="5"/>
  <c r="AF64" i="5" a="1"/>
  <c r="AE64" i="5" a="1"/>
  <c r="AE64" i="5" s="1"/>
  <c r="AC64" i="5"/>
  <c r="AC64" i="5" a="1"/>
  <c r="AB64" i="5"/>
  <c r="AB64" i="5" a="1"/>
  <c r="AA64" i="5"/>
  <c r="AA64" i="5" a="1"/>
  <c r="Z64" i="5"/>
  <c r="Z64" i="5" a="1"/>
  <c r="Y64" i="5"/>
  <c r="Y64" i="5" a="1"/>
  <c r="X64" i="5"/>
  <c r="X64" i="5" a="1"/>
  <c r="W64" i="5" a="1"/>
  <c r="W64" i="5" s="1"/>
  <c r="V64" i="5"/>
  <c r="V64" i="5" a="1"/>
  <c r="T64" i="5"/>
  <c r="T64" i="5" a="1"/>
  <c r="S64" i="5" a="1"/>
  <c r="S64" i="5" s="1"/>
  <c r="R64" i="5" a="1"/>
  <c r="R64" i="5" s="1"/>
  <c r="P64" i="5"/>
  <c r="P64" i="5" a="1"/>
  <c r="O64" i="5"/>
  <c r="O64" i="5" a="1"/>
  <c r="K64" i="5" a="1"/>
  <c r="K64" i="5" s="1"/>
  <c r="I64" i="5" a="1"/>
  <c r="I64" i="5" s="1"/>
  <c r="AM63" i="5"/>
  <c r="AM63" i="5" a="1"/>
  <c r="AL63" i="5"/>
  <c r="AL63" i="5" a="1"/>
  <c r="AK63" i="5"/>
  <c r="AK63" i="5" a="1"/>
  <c r="AJ63" i="5" a="1"/>
  <c r="AJ63" i="5" s="1"/>
  <c r="AI63" i="5" a="1"/>
  <c r="AI63" i="5" s="1"/>
  <c r="AH63" i="5" a="1"/>
  <c r="AH63" i="5" s="1"/>
  <c r="AG63" i="5"/>
  <c r="AG63" i="5" a="1"/>
  <c r="AF63" i="5"/>
  <c r="AF63" i="5" a="1"/>
  <c r="AE63" i="5" a="1"/>
  <c r="AE63" i="5" s="1"/>
  <c r="AC63" i="5" a="1"/>
  <c r="AC63" i="5" s="1"/>
  <c r="AB63" i="5" a="1"/>
  <c r="AB63" i="5" s="1"/>
  <c r="AA63" i="5" a="1"/>
  <c r="AA63" i="5" s="1"/>
  <c r="Z63" i="5"/>
  <c r="Z63" i="5" a="1"/>
  <c r="Y63" i="5"/>
  <c r="Y63" i="5" a="1"/>
  <c r="X63" i="5"/>
  <c r="X63" i="5" a="1"/>
  <c r="W63" i="5"/>
  <c r="W63" i="5" a="1"/>
  <c r="V63" i="5"/>
  <c r="V63" i="5" a="1"/>
  <c r="T63" i="5" a="1"/>
  <c r="T63" i="5" s="1"/>
  <c r="S63" i="5"/>
  <c r="S63" i="5" a="1"/>
  <c r="R63" i="5" a="1"/>
  <c r="R63" i="5" s="1"/>
  <c r="P63" i="5"/>
  <c r="P63" i="5" a="1"/>
  <c r="O63" i="5"/>
  <c r="O63" i="5" a="1"/>
  <c r="K63" i="5"/>
  <c r="K63" i="5" a="1"/>
  <c r="I63" i="5" a="1"/>
  <c r="I63" i="5" s="1"/>
  <c r="E63" i="5" a="1"/>
  <c r="E63" i="5" s="1"/>
  <c r="AM62" i="5"/>
  <c r="AM62" i="5" a="1"/>
  <c r="AL62" i="5" a="1"/>
  <c r="AL62" i="5" s="1"/>
  <c r="AK62" i="5"/>
  <c r="AK62" i="5" a="1"/>
  <c r="AJ62" i="5" a="1"/>
  <c r="AJ62" i="5" s="1"/>
  <c r="AI62" i="5"/>
  <c r="AI62" i="5" a="1"/>
  <c r="AH62" i="5"/>
  <c r="AH62" i="5" a="1"/>
  <c r="AG62" i="5"/>
  <c r="AG62" i="5" a="1"/>
  <c r="AF62" i="5" a="1"/>
  <c r="AF62" i="5" s="1"/>
  <c r="AE62" i="5"/>
  <c r="AE62" i="5" a="1"/>
  <c r="AC62" i="5"/>
  <c r="AC62" i="5" a="1"/>
  <c r="AB62" i="5" a="1"/>
  <c r="AB62" i="5" s="1"/>
  <c r="AA62" i="5"/>
  <c r="AA62" i="5" a="1"/>
  <c r="Z62" i="5" a="1"/>
  <c r="Z62" i="5" s="1"/>
  <c r="Y62" i="5"/>
  <c r="Y62" i="5" a="1"/>
  <c r="X62" i="5" a="1"/>
  <c r="X62" i="5" s="1"/>
  <c r="W62" i="5"/>
  <c r="W62" i="5" a="1"/>
  <c r="V62" i="5" a="1"/>
  <c r="V62" i="5" s="1"/>
  <c r="T62" i="5" a="1"/>
  <c r="T62" i="5" s="1"/>
  <c r="S62" i="5"/>
  <c r="S62" i="5" a="1"/>
  <c r="R62" i="5" a="1"/>
  <c r="R62" i="5" s="1"/>
  <c r="P62" i="5" a="1"/>
  <c r="P62" i="5" s="1"/>
  <c r="O62" i="5"/>
  <c r="O62" i="5" a="1"/>
  <c r="K62" i="5"/>
  <c r="K62" i="5" a="1"/>
  <c r="I62" i="5"/>
  <c r="I62" i="5" a="1"/>
  <c r="E62" i="5" a="1"/>
  <c r="E62" i="5" s="1"/>
  <c r="AM61" i="5" a="1"/>
  <c r="AM61" i="5" s="1"/>
  <c r="AL61" i="5"/>
  <c r="AL61" i="5" a="1"/>
  <c r="AK61" i="5"/>
  <c r="AK61" i="5" a="1"/>
  <c r="AJ61" i="5"/>
  <c r="AJ61" i="5" a="1"/>
  <c r="AI61" i="5"/>
  <c r="AI61" i="5" a="1"/>
  <c r="AH61" i="5"/>
  <c r="AH61" i="5" a="1"/>
  <c r="AG61" i="5"/>
  <c r="AG61" i="5" a="1"/>
  <c r="AF61" i="5"/>
  <c r="AF61" i="5" a="1"/>
  <c r="AE61" i="5" a="1"/>
  <c r="AE61" i="5" s="1"/>
  <c r="AC61" i="5"/>
  <c r="AC61" i="5" a="1"/>
  <c r="AB61" i="5"/>
  <c r="AB61" i="5" a="1"/>
  <c r="AA61" i="5"/>
  <c r="AA61" i="5" a="1"/>
  <c r="Z61" i="5" a="1"/>
  <c r="Z61" i="5" s="1"/>
  <c r="Y61" i="5" a="1"/>
  <c r="Y61" i="5" s="1"/>
  <c r="X61" i="5"/>
  <c r="X61" i="5" a="1"/>
  <c r="W61" i="5" a="1"/>
  <c r="W61" i="5" s="1"/>
  <c r="V61" i="5"/>
  <c r="V61" i="5" a="1"/>
  <c r="T61" i="5"/>
  <c r="T61" i="5" a="1"/>
  <c r="S61" i="5"/>
  <c r="S61" i="5" a="1"/>
  <c r="R61" i="5"/>
  <c r="R61" i="5" a="1"/>
  <c r="P61" i="5"/>
  <c r="P61" i="5" a="1"/>
  <c r="O61" i="5" a="1"/>
  <c r="O61" i="5" s="1"/>
  <c r="K61" i="5"/>
  <c r="K61" i="5" a="1"/>
  <c r="I61" i="5"/>
  <c r="I61" i="5" a="1"/>
  <c r="E61" i="5"/>
  <c r="E61" i="5" a="1"/>
  <c r="AM60" i="5" a="1"/>
  <c r="AM60" i="5" s="1"/>
  <c r="AL60" i="5" a="1"/>
  <c r="AL60" i="5" s="1"/>
  <c r="AK60" i="5"/>
  <c r="AK60" i="5" a="1"/>
  <c r="AJ60" i="5"/>
  <c r="AJ60" i="5" a="1"/>
  <c r="AI60" i="5" a="1"/>
  <c r="AI60" i="5" s="1"/>
  <c r="AH60" i="5"/>
  <c r="AH60" i="5" a="1"/>
  <c r="AG60" i="5"/>
  <c r="AG60" i="5" a="1"/>
  <c r="AF60" i="5"/>
  <c r="AF60" i="5" a="1"/>
  <c r="AE60" i="5" a="1"/>
  <c r="AE60" i="5" s="1"/>
  <c r="AC60" i="5" a="1"/>
  <c r="AC60" i="5" s="1"/>
  <c r="AB60" i="5"/>
  <c r="AB60" i="5" a="1"/>
  <c r="AA60" i="5" a="1"/>
  <c r="AA60" i="5" s="1"/>
  <c r="Z60" i="5" a="1"/>
  <c r="Z60" i="5" s="1"/>
  <c r="Y60" i="5"/>
  <c r="Y60" i="5" a="1"/>
  <c r="X60" i="5" a="1"/>
  <c r="X60" i="5" s="1"/>
  <c r="W60" i="5"/>
  <c r="W60" i="5" a="1"/>
  <c r="V60" i="5" a="1"/>
  <c r="V60" i="5" s="1"/>
  <c r="T60" i="5"/>
  <c r="T60" i="5" a="1"/>
  <c r="S60" i="5" a="1"/>
  <c r="S60" i="5" s="1"/>
  <c r="R60" i="5"/>
  <c r="R60" i="5" a="1"/>
  <c r="P60" i="5"/>
  <c r="P60" i="5" a="1"/>
  <c r="O60" i="5" a="1"/>
  <c r="O60" i="5" s="1"/>
  <c r="K60" i="5"/>
  <c r="K60" i="5" a="1"/>
  <c r="I60" i="5"/>
  <c r="I60" i="5" a="1"/>
  <c r="E60" i="5" a="1"/>
  <c r="E60" i="5" s="1"/>
  <c r="AM59" i="5"/>
  <c r="AM59" i="5" a="1"/>
  <c r="AL59" i="5"/>
  <c r="AL59" i="5" a="1"/>
  <c r="AK59" i="5"/>
  <c r="AK59" i="5" a="1"/>
  <c r="AJ59" i="5"/>
  <c r="AJ59" i="5" a="1"/>
  <c r="AI59" i="5"/>
  <c r="AI59" i="5" a="1"/>
  <c r="AH59" i="5" a="1"/>
  <c r="AH59" i="5" s="1"/>
  <c r="AG59" i="5"/>
  <c r="AG59" i="5" a="1"/>
  <c r="AF59" i="5" a="1"/>
  <c r="AF59" i="5" s="1"/>
  <c r="AE59" i="5" a="1"/>
  <c r="AE59" i="5" s="1"/>
  <c r="AC59" i="5" a="1"/>
  <c r="AC59" i="5" s="1"/>
  <c r="AB59" i="5"/>
  <c r="AB59" i="5" a="1"/>
  <c r="AA59" i="5"/>
  <c r="AA59" i="5" a="1"/>
  <c r="Z59" i="5"/>
  <c r="Z59" i="5" a="1"/>
  <c r="Y59" i="5" a="1"/>
  <c r="Y59" i="5" s="1"/>
  <c r="X59" i="5" a="1"/>
  <c r="X59" i="5" s="1"/>
  <c r="W59" i="5"/>
  <c r="W59" i="5" a="1"/>
  <c r="V59" i="5"/>
  <c r="V59" i="5" a="1"/>
  <c r="T59" i="5"/>
  <c r="T59" i="5" a="1"/>
  <c r="S59" i="5"/>
  <c r="S59" i="5" a="1"/>
  <c r="R59" i="5"/>
  <c r="R59" i="5" a="1"/>
  <c r="P59" i="5" a="1"/>
  <c r="P59" i="5" s="1"/>
  <c r="O59" i="5" a="1"/>
  <c r="O59" i="5" s="1"/>
  <c r="K59" i="5"/>
  <c r="K59" i="5" a="1"/>
  <c r="I59" i="5"/>
  <c r="I59" i="5" a="1"/>
  <c r="E59" i="5" a="1"/>
  <c r="E59" i="5" s="1"/>
  <c r="AM58" i="5"/>
  <c r="AM58" i="5" a="1"/>
  <c r="AL58" i="5"/>
  <c r="AL58" i="5" a="1"/>
  <c r="AK58" i="5" a="1"/>
  <c r="AK58" i="5" s="1"/>
  <c r="AJ58" i="5"/>
  <c r="AJ58" i="5" a="1"/>
  <c r="AI58" i="5" a="1"/>
  <c r="AI58" i="5" s="1"/>
  <c r="AH58" i="5"/>
  <c r="AH58" i="5" a="1"/>
  <c r="AG58" i="5" a="1"/>
  <c r="AG58" i="5" s="1"/>
  <c r="AF58" i="5" a="1"/>
  <c r="AF58" i="5" s="1"/>
  <c r="AE58" i="5"/>
  <c r="AE58" i="5" a="1"/>
  <c r="AC58" i="5"/>
  <c r="AC58" i="5" a="1"/>
  <c r="AB58" i="5"/>
  <c r="AB58" i="5" a="1"/>
  <c r="AA58" i="5"/>
  <c r="AA58" i="5" a="1"/>
  <c r="Z58" i="5" a="1"/>
  <c r="Z58" i="5" s="1"/>
  <c r="Y58" i="5" a="1"/>
  <c r="Y58" i="5" s="1"/>
  <c r="X58" i="5" a="1"/>
  <c r="X58" i="5" s="1"/>
  <c r="W58" i="5"/>
  <c r="W58" i="5" a="1"/>
  <c r="V58" i="5"/>
  <c r="V58" i="5" a="1"/>
  <c r="T58" i="5"/>
  <c r="T58" i="5" a="1"/>
  <c r="S58" i="5"/>
  <c r="S58" i="5" a="1"/>
  <c r="R58" i="5"/>
  <c r="R58" i="5" a="1"/>
  <c r="P58" i="5"/>
  <c r="P58" i="5" a="1"/>
  <c r="O58" i="5"/>
  <c r="O58" i="5" a="1"/>
  <c r="K58" i="5"/>
  <c r="K58" i="5" a="1"/>
  <c r="I58" i="5" a="1"/>
  <c r="I58" i="5" s="1"/>
  <c r="E58" i="5"/>
  <c r="E58" i="5" a="1"/>
  <c r="AM57" i="5" a="1"/>
  <c r="AM57" i="5" s="1"/>
  <c r="AL57" i="5"/>
  <c r="AL57" i="5" a="1"/>
  <c r="AK57" i="5" a="1"/>
  <c r="AK57" i="5" s="1"/>
  <c r="AJ57" i="5"/>
  <c r="AJ57" i="5" a="1"/>
  <c r="AI57" i="5" a="1"/>
  <c r="AI57" i="5" s="1"/>
  <c r="AH57" i="5"/>
  <c r="AH57" i="5" a="1"/>
  <c r="AG57" i="5" a="1"/>
  <c r="AG57" i="5" s="1"/>
  <c r="AF57" i="5"/>
  <c r="AF57" i="5" a="1"/>
  <c r="AE57" i="5" a="1"/>
  <c r="AE57" i="5" s="1"/>
  <c r="AC57" i="5" a="1"/>
  <c r="AC57" i="5" s="1"/>
  <c r="AB57" i="5"/>
  <c r="AB57" i="5" a="1"/>
  <c r="AA57" i="5" a="1"/>
  <c r="AA57" i="5" s="1"/>
  <c r="Z57" i="5"/>
  <c r="Z57" i="5" a="1"/>
  <c r="Y57" i="5" a="1"/>
  <c r="Y57" i="5" s="1"/>
  <c r="X57" i="5"/>
  <c r="X57" i="5" a="1"/>
  <c r="W57" i="5" a="1"/>
  <c r="W57" i="5" s="1"/>
  <c r="V57" i="5"/>
  <c r="V57" i="5" a="1"/>
  <c r="T57" i="5"/>
  <c r="T57" i="5" a="1"/>
  <c r="S57" i="5" a="1"/>
  <c r="S57" i="5" s="1"/>
  <c r="R57" i="5"/>
  <c r="R57" i="5" a="1"/>
  <c r="P57" i="5"/>
  <c r="P57" i="5" a="1"/>
  <c r="O57" i="5" a="1"/>
  <c r="O57" i="5" s="1"/>
  <c r="K57" i="5" a="1"/>
  <c r="K57" i="5" s="1"/>
  <c r="I57" i="5" a="1"/>
  <c r="I57" i="5" s="1"/>
  <c r="E57" i="5"/>
  <c r="E57" i="5" a="1"/>
  <c r="AM56" i="5" a="1"/>
  <c r="AM56" i="5" s="1"/>
  <c r="AL56" i="5" a="1"/>
  <c r="AL56" i="5" s="1"/>
  <c r="AK56" i="5"/>
  <c r="AK56" i="5" a="1"/>
  <c r="AJ56" i="5" a="1"/>
  <c r="AJ56" i="5" s="1"/>
  <c r="AI56" i="5" a="1"/>
  <c r="AI56" i="5" s="1"/>
  <c r="AH56" i="5"/>
  <c r="AH56" i="5" a="1"/>
  <c r="AG56" i="5"/>
  <c r="AG56" i="5" a="1"/>
  <c r="AF56" i="5"/>
  <c r="AF56" i="5" a="1"/>
  <c r="AE56" i="5" a="1"/>
  <c r="AE56" i="5" s="1"/>
  <c r="AC56" i="5"/>
  <c r="AC56" i="5" a="1"/>
  <c r="AB56" i="5"/>
  <c r="AB56" i="5" a="1"/>
  <c r="AA56" i="5" a="1"/>
  <c r="AA56" i="5" s="1"/>
  <c r="Z56" i="5"/>
  <c r="Z56" i="5" a="1"/>
  <c r="Y56" i="5"/>
  <c r="Y56" i="5" a="1"/>
  <c r="X56" i="5"/>
  <c r="X56" i="5" a="1"/>
  <c r="W56" i="5" a="1"/>
  <c r="W56" i="5" s="1"/>
  <c r="V56" i="5" a="1"/>
  <c r="V56" i="5" s="1"/>
  <c r="T56" i="5" a="1"/>
  <c r="T56" i="5" s="1"/>
  <c r="S56" i="5"/>
  <c r="S56" i="5" a="1"/>
  <c r="R56" i="5"/>
  <c r="R56" i="5" a="1"/>
  <c r="P56" i="5"/>
  <c r="P56" i="5" a="1"/>
  <c r="O56" i="5" a="1"/>
  <c r="O56" i="5" s="1"/>
  <c r="K56" i="5" a="1"/>
  <c r="K56" i="5" s="1"/>
  <c r="I56" i="5"/>
  <c r="I56" i="5" a="1"/>
  <c r="E56" i="5"/>
  <c r="E56" i="5" a="1"/>
  <c r="AM55" i="5"/>
  <c r="AM55" i="5" a="1"/>
  <c r="AL55" i="5" a="1"/>
  <c r="AL55" i="5" s="1"/>
  <c r="AK55" i="5"/>
  <c r="AK55" i="5" a="1"/>
  <c r="AJ55" i="5"/>
  <c r="AJ55" i="5" a="1"/>
  <c r="AI55" i="5"/>
  <c r="AI55" i="5" a="1"/>
  <c r="AH55" i="5"/>
  <c r="AH55" i="5" a="1"/>
  <c r="AG55" i="5" a="1"/>
  <c r="AG55" i="5" s="1"/>
  <c r="AF55" i="5"/>
  <c r="AF55" i="5" a="1"/>
  <c r="AE55" i="5" a="1"/>
  <c r="AE55" i="5" s="1"/>
  <c r="AC55" i="5"/>
  <c r="AC55" i="5" a="1"/>
  <c r="AB55" i="5"/>
  <c r="AB55" i="5" a="1"/>
  <c r="AA55" i="5"/>
  <c r="AA55" i="5" a="1"/>
  <c r="Z55" i="5"/>
  <c r="Z55" i="5" a="1"/>
  <c r="Y55" i="5" a="1"/>
  <c r="Y55" i="5" s="1"/>
  <c r="X55" i="5"/>
  <c r="X55" i="5" a="1"/>
  <c r="W55" i="5"/>
  <c r="W55" i="5" a="1"/>
  <c r="V55" i="5"/>
  <c r="V55" i="5" a="1"/>
  <c r="T55" i="5"/>
  <c r="T55" i="5" a="1"/>
  <c r="S55" i="5"/>
  <c r="S55" i="5" a="1"/>
  <c r="R55" i="5"/>
  <c r="R55" i="5" a="1"/>
  <c r="P55" i="5"/>
  <c r="P55" i="5" a="1"/>
  <c r="O55" i="5" a="1"/>
  <c r="O55" i="5" s="1"/>
  <c r="K55" i="5"/>
  <c r="K55" i="5" a="1"/>
  <c r="I55" i="5" a="1"/>
  <c r="I55" i="5" s="1"/>
  <c r="E55" i="5" a="1"/>
  <c r="E55" i="5" s="1"/>
  <c r="AM54" i="5"/>
  <c r="AM54" i="5" a="1"/>
  <c r="AL54" i="5" a="1"/>
  <c r="AL54" i="5" s="1"/>
  <c r="AK54" i="5"/>
  <c r="AK54" i="5" a="1"/>
  <c r="AJ54" i="5" a="1"/>
  <c r="AJ54" i="5" s="1"/>
  <c r="AI54" i="5"/>
  <c r="AI54" i="5" a="1"/>
  <c r="AH54" i="5" a="1"/>
  <c r="AH54" i="5" s="1"/>
  <c r="AG54" i="5" a="1"/>
  <c r="AG54" i="5" s="1"/>
  <c r="AF54" i="5" a="1"/>
  <c r="AF54" i="5" s="1"/>
  <c r="AE54" i="5"/>
  <c r="AE54" i="5" a="1"/>
  <c r="AC54" i="5"/>
  <c r="AC54" i="5" a="1"/>
  <c r="AB54" i="5" a="1"/>
  <c r="AB54" i="5" s="1"/>
  <c r="AA54" i="5"/>
  <c r="AA54" i="5" a="1"/>
  <c r="Z54" i="5" a="1"/>
  <c r="Z54" i="5" s="1"/>
  <c r="Y54" i="5" a="1"/>
  <c r="Y54" i="5" s="1"/>
  <c r="X54" i="5" a="1"/>
  <c r="X54" i="5" s="1"/>
  <c r="W54" i="5"/>
  <c r="W54" i="5" a="1"/>
  <c r="V54" i="5" a="1"/>
  <c r="V54" i="5" s="1"/>
  <c r="T54" i="5" a="1"/>
  <c r="T54" i="5" s="1"/>
  <c r="S54" i="5"/>
  <c r="S54" i="5" a="1"/>
  <c r="R54" i="5" a="1"/>
  <c r="R54" i="5" s="1"/>
  <c r="P54" i="5" a="1"/>
  <c r="P54" i="5" s="1"/>
  <c r="O54" i="5"/>
  <c r="O54" i="5" a="1"/>
  <c r="K54" i="5"/>
  <c r="K54" i="5" a="1"/>
  <c r="I54" i="5"/>
  <c r="I54" i="5" a="1"/>
  <c r="E54" i="5"/>
  <c r="E54" i="5" a="1"/>
  <c r="AM53" i="5" a="1"/>
  <c r="AM53" i="5" s="1"/>
  <c r="AL53" i="5"/>
  <c r="AL53" i="5" a="1"/>
  <c r="AK53" i="5" a="1"/>
  <c r="AK53" i="5" s="1"/>
  <c r="AJ53" i="5" a="1"/>
  <c r="AJ53" i="5" s="1"/>
  <c r="AI53" i="5" a="1"/>
  <c r="AI53" i="5" s="1"/>
  <c r="AH53" i="5"/>
  <c r="AH53" i="5" a="1"/>
  <c r="AG53" i="5" a="1"/>
  <c r="AG53" i="5" s="1"/>
  <c r="AF53" i="5"/>
  <c r="AF53" i="5" a="1"/>
  <c r="AE53" i="5" a="1"/>
  <c r="AE53" i="5" s="1"/>
  <c r="AC53" i="5" a="1"/>
  <c r="AC53" i="5" s="1"/>
  <c r="AB53" i="5"/>
  <c r="AB53" i="5" a="1"/>
  <c r="AA53" i="5" a="1"/>
  <c r="AA53" i="5" s="1"/>
  <c r="Z53" i="5" a="1"/>
  <c r="Z53" i="5" s="1"/>
  <c r="Y53" i="5"/>
  <c r="Y53" i="5" a="1"/>
  <c r="X53" i="5"/>
  <c r="X53" i="5" a="1"/>
  <c r="W53" i="5"/>
  <c r="W53" i="5" a="1"/>
  <c r="V53" i="5"/>
  <c r="V53" i="5" a="1"/>
  <c r="T53" i="5" a="1"/>
  <c r="T53" i="5" s="1"/>
  <c r="S53" i="5"/>
  <c r="S53" i="5" a="1"/>
  <c r="R53" i="5" a="1"/>
  <c r="R53" i="5" s="1"/>
  <c r="P53" i="5"/>
  <c r="P53" i="5" a="1"/>
  <c r="O53" i="5"/>
  <c r="O53" i="5" a="1"/>
  <c r="K53" i="5" a="1"/>
  <c r="K53" i="5" s="1"/>
  <c r="I53" i="5"/>
  <c r="I53" i="5" a="1"/>
  <c r="E53" i="5"/>
  <c r="E53" i="5" a="1"/>
  <c r="AM52" i="5" a="1"/>
  <c r="AM52" i="5" s="1"/>
  <c r="AL52" i="5" a="1"/>
  <c r="AL52" i="5" s="1"/>
  <c r="AK52" i="5"/>
  <c r="AK52" i="5" a="1"/>
  <c r="AJ52" i="5" a="1"/>
  <c r="AJ52" i="5" s="1"/>
  <c r="AI52" i="5" a="1"/>
  <c r="AI52" i="5" s="1"/>
  <c r="AH52" i="5" a="1"/>
  <c r="AH52" i="5" s="1"/>
  <c r="AG52" i="5"/>
  <c r="AG52" i="5" a="1"/>
  <c r="AF52" i="5"/>
  <c r="AF52" i="5" a="1"/>
  <c r="AE52" i="5" a="1"/>
  <c r="AE52" i="5" s="1"/>
  <c r="AC52" i="5" a="1"/>
  <c r="AC52" i="5" s="1"/>
  <c r="AB52" i="5"/>
  <c r="AB52" i="5" a="1"/>
  <c r="AA52" i="5" a="1"/>
  <c r="AA52" i="5" s="1"/>
  <c r="Z52" i="5"/>
  <c r="Z52" i="5" a="1"/>
  <c r="Y52" i="5"/>
  <c r="Y52" i="5" a="1"/>
  <c r="X52" i="5"/>
  <c r="X52" i="5" a="1"/>
  <c r="W52" i="5" a="1"/>
  <c r="W52" i="5" s="1"/>
  <c r="V52" i="5" a="1"/>
  <c r="V52" i="5" s="1"/>
  <c r="T52" i="5" a="1"/>
  <c r="T52" i="5" s="1"/>
  <c r="S52" i="5" a="1"/>
  <c r="S52" i="5" s="1"/>
  <c r="R52" i="5" a="1"/>
  <c r="R52" i="5" s="1"/>
  <c r="P52" i="5" a="1"/>
  <c r="P52" i="5" s="1"/>
  <c r="O52" i="5"/>
  <c r="O52" i="5" a="1"/>
  <c r="K52" i="5"/>
  <c r="K52" i="5" a="1"/>
  <c r="I52" i="5"/>
  <c r="I52" i="5" a="1"/>
  <c r="E52" i="5" a="1"/>
  <c r="E52" i="5" s="1"/>
  <c r="AM51" i="5"/>
  <c r="AM51" i="5" a="1"/>
  <c r="AL51" i="5"/>
  <c r="AL51" i="5" a="1"/>
  <c r="AK51" i="5" a="1"/>
  <c r="AK51" i="5" s="1"/>
  <c r="AJ51" i="5"/>
  <c r="AJ51" i="5" a="1"/>
  <c r="AI51" i="5" a="1"/>
  <c r="AI51" i="5" s="1"/>
  <c r="AH51" i="5"/>
  <c r="AH51" i="5" a="1"/>
  <c r="AG51" i="5" a="1"/>
  <c r="AG51" i="5" s="1"/>
  <c r="AF51" i="5" a="1"/>
  <c r="AF51" i="5" s="1"/>
  <c r="AE51" i="5"/>
  <c r="AE51" i="5" a="1"/>
  <c r="AC51" i="5" a="1"/>
  <c r="AC51" i="5" s="1"/>
  <c r="AB51" i="5"/>
  <c r="AB51" i="5" a="1"/>
  <c r="AA51" i="5" a="1"/>
  <c r="AA51" i="5" s="1"/>
  <c r="Z51" i="5"/>
  <c r="Z51" i="5" a="1"/>
  <c r="Y51" i="5" a="1"/>
  <c r="Y51" i="5" s="1"/>
  <c r="X51" i="5" a="1"/>
  <c r="X51" i="5" s="1"/>
  <c r="W51" i="5" a="1"/>
  <c r="W51" i="5" s="1"/>
  <c r="V51" i="5"/>
  <c r="V51" i="5" a="1"/>
  <c r="T51" i="5"/>
  <c r="T51" i="5" a="1"/>
  <c r="S51" i="5" a="1"/>
  <c r="S51" i="5" s="1"/>
  <c r="R51" i="5"/>
  <c r="R51" i="5" a="1"/>
  <c r="P51" i="5" a="1"/>
  <c r="P51" i="5" s="1"/>
  <c r="O51" i="5" a="1"/>
  <c r="O51" i="5" s="1"/>
  <c r="K51" i="5"/>
  <c r="K51" i="5" a="1"/>
  <c r="I51" i="5" a="1"/>
  <c r="I51" i="5" s="1"/>
  <c r="E51" i="5"/>
  <c r="E51" i="5" a="1"/>
  <c r="AM50" i="5"/>
  <c r="AM50" i="5" a="1"/>
  <c r="AL50" i="5"/>
  <c r="AL50" i="5" a="1"/>
  <c r="AK50" i="5" a="1"/>
  <c r="AK50" i="5" s="1"/>
  <c r="AJ50" i="5" a="1"/>
  <c r="AJ50" i="5" s="1"/>
  <c r="AI50" i="5" a="1"/>
  <c r="AI50" i="5" s="1"/>
  <c r="AH50" i="5" a="1"/>
  <c r="AH50" i="5" s="1"/>
  <c r="AG50" i="5"/>
  <c r="AG50" i="5" a="1"/>
  <c r="AF50" i="5"/>
  <c r="AF50" i="5" a="1"/>
  <c r="AE50" i="5"/>
  <c r="AE50" i="5" a="1"/>
  <c r="AC50" i="5"/>
  <c r="AC50" i="5" a="1"/>
  <c r="AB50" i="5" a="1"/>
  <c r="AB50" i="5" s="1"/>
  <c r="AA50" i="5"/>
  <c r="AA50" i="5" a="1"/>
  <c r="Z50" i="5"/>
  <c r="Z50" i="5" a="1"/>
  <c r="Y50" i="5" a="1"/>
  <c r="Y50" i="5" s="1"/>
  <c r="X50" i="5"/>
  <c r="X50" i="5" a="1"/>
  <c r="W50" i="5"/>
  <c r="W50" i="5" a="1"/>
  <c r="V50" i="5"/>
  <c r="V50" i="5" a="1"/>
  <c r="T50" i="5" a="1"/>
  <c r="T50" i="5" s="1"/>
  <c r="S50" i="5" a="1"/>
  <c r="S50" i="5" s="1"/>
  <c r="R50" i="5" a="1"/>
  <c r="R50" i="5" s="1"/>
  <c r="P50" i="5"/>
  <c r="P50" i="5" a="1"/>
  <c r="O50" i="5"/>
  <c r="O50" i="5" a="1"/>
  <c r="K50" i="5" a="1"/>
  <c r="K50" i="5" s="1"/>
  <c r="I50" i="5"/>
  <c r="I50" i="5" a="1"/>
  <c r="E50" i="5" a="1"/>
  <c r="E50" i="5" s="1"/>
  <c r="AM49" i="5"/>
  <c r="AM49" i="5" a="1"/>
  <c r="AL49" i="5" a="1"/>
  <c r="AL49" i="5" s="1"/>
  <c r="AK49" i="5" a="1"/>
  <c r="AK49" i="5" s="1"/>
  <c r="AJ49" i="5" a="1"/>
  <c r="AJ49" i="5" s="1"/>
  <c r="AI49" i="5"/>
  <c r="AI49" i="5" a="1"/>
  <c r="AH49" i="5"/>
  <c r="AH49" i="5" a="1"/>
  <c r="AG49" i="5" a="1"/>
  <c r="AG49" i="5" s="1"/>
  <c r="AF49" i="5" a="1"/>
  <c r="AF49" i="5" s="1"/>
  <c r="AE49" i="5"/>
  <c r="AE49" i="5" a="1"/>
  <c r="AC49" i="5" a="1"/>
  <c r="AC49" i="5" s="1"/>
  <c r="AB49" i="5" a="1"/>
  <c r="AB49" i="5" s="1"/>
  <c r="AA49" i="5"/>
  <c r="AA49" i="5" a="1"/>
  <c r="Z49" i="5"/>
  <c r="Z49" i="5" a="1"/>
  <c r="Y49" i="5" a="1"/>
  <c r="Y49" i="5" s="1"/>
  <c r="X49" i="5" a="1"/>
  <c r="X49" i="5" s="1"/>
  <c r="W49" i="5"/>
  <c r="W49" i="5" a="1"/>
  <c r="V49" i="5" a="1"/>
  <c r="V49" i="5" s="1"/>
  <c r="T49" i="5" a="1"/>
  <c r="T49" i="5" s="1"/>
  <c r="S49" i="5"/>
  <c r="S49" i="5" a="1"/>
  <c r="R49" i="5"/>
  <c r="R49" i="5" a="1"/>
  <c r="P49" i="5" a="1"/>
  <c r="P49" i="5" s="1"/>
  <c r="O49" i="5"/>
  <c r="O49" i="5" a="1"/>
  <c r="K49" i="5"/>
  <c r="K49" i="5" a="1"/>
  <c r="I49" i="5" a="1"/>
  <c r="I49" i="5" s="1"/>
  <c r="E49" i="5" a="1"/>
  <c r="E49" i="5" s="1"/>
  <c r="AM48" i="5"/>
  <c r="AM48" i="5" a="1"/>
  <c r="AL48" i="5"/>
  <c r="AL48" i="5" a="1"/>
  <c r="AK48" i="5"/>
  <c r="AK48" i="5" a="1"/>
  <c r="AJ48" i="5"/>
  <c r="AJ48" i="5" a="1"/>
  <c r="AI48" i="5"/>
  <c r="AI48" i="5" a="1"/>
  <c r="AH48" i="5" a="1"/>
  <c r="AH48" i="5" s="1"/>
  <c r="AG48" i="5" a="1"/>
  <c r="AG48" i="5" s="1"/>
  <c r="AF48" i="5"/>
  <c r="AF48" i="5" a="1"/>
  <c r="AE48" i="5" a="1"/>
  <c r="AE48" i="5" s="1"/>
  <c r="AC48" i="5"/>
  <c r="AC48" i="5" a="1"/>
  <c r="AB48" i="5" a="1"/>
  <c r="AB48" i="5" s="1"/>
  <c r="AA48" i="5" a="1"/>
  <c r="AA48" i="5" s="1"/>
  <c r="Z48" i="5" a="1"/>
  <c r="Z48" i="5" s="1"/>
  <c r="Y48" i="5" a="1"/>
  <c r="Y48" i="5" s="1"/>
  <c r="X48" i="5" a="1"/>
  <c r="X48" i="5" s="1"/>
  <c r="W48" i="5" a="1"/>
  <c r="W48" i="5" s="1"/>
  <c r="V48" i="5" a="1"/>
  <c r="V48" i="5" s="1"/>
  <c r="T48" i="5" a="1"/>
  <c r="T48" i="5" s="1"/>
  <c r="S48" i="5" a="1"/>
  <c r="S48" i="5" s="1"/>
  <c r="R48" i="5"/>
  <c r="R48" i="5" a="1"/>
  <c r="P48" i="5"/>
  <c r="P48" i="5" a="1"/>
  <c r="O48" i="5" a="1"/>
  <c r="O48" i="5" s="1"/>
  <c r="K48" i="5" a="1"/>
  <c r="K48" i="5" s="1"/>
  <c r="I48" i="5"/>
  <c r="I48" i="5" a="1"/>
  <c r="E48" i="5"/>
  <c r="E48" i="5" a="1"/>
  <c r="AM47" i="5" a="1"/>
  <c r="AM47" i="5" s="1"/>
  <c r="AL47" i="5"/>
  <c r="AL47" i="5" a="1"/>
  <c r="AK47" i="5" a="1"/>
  <c r="AK47" i="5" s="1"/>
  <c r="AJ47" i="5" a="1"/>
  <c r="AJ47" i="5" s="1"/>
  <c r="AI47" i="5" a="1"/>
  <c r="AI47" i="5" s="1"/>
  <c r="AH47" i="5"/>
  <c r="AH47" i="5" a="1"/>
  <c r="AG47" i="5"/>
  <c r="AG47" i="5" a="1"/>
  <c r="AF47" i="5"/>
  <c r="AF47" i="5" a="1"/>
  <c r="AE47" i="5" a="1"/>
  <c r="AE47" i="5" s="1"/>
  <c r="AC47" i="5"/>
  <c r="AC47" i="5" a="1"/>
  <c r="AB47" i="5" a="1"/>
  <c r="AB47" i="5" s="1"/>
  <c r="AA47" i="5" a="1"/>
  <c r="AA47" i="5" s="1"/>
  <c r="Z47" i="5" a="1"/>
  <c r="Z47" i="5" s="1"/>
  <c r="Y47" i="5" a="1"/>
  <c r="Y47" i="5" s="1"/>
  <c r="X47" i="5"/>
  <c r="X47" i="5" a="1"/>
  <c r="W47" i="5" a="1"/>
  <c r="W47" i="5" s="1"/>
  <c r="V47" i="5" a="1"/>
  <c r="V47" i="5" s="1"/>
  <c r="T47" i="5"/>
  <c r="T47" i="5" a="1"/>
  <c r="S47" i="5" a="1"/>
  <c r="S47" i="5" s="1"/>
  <c r="R47" i="5" a="1"/>
  <c r="R47" i="5" s="1"/>
  <c r="P47" i="5"/>
  <c r="P47" i="5" a="1"/>
  <c r="O47" i="5" a="1"/>
  <c r="O47" i="5" s="1"/>
  <c r="K47" i="5" a="1"/>
  <c r="K47" i="5" s="1"/>
  <c r="I47" i="5"/>
  <c r="I47" i="5" a="1"/>
  <c r="E47" i="5" a="1"/>
  <c r="E47" i="5" s="1"/>
  <c r="AM46" i="5" a="1"/>
  <c r="AM46" i="5" s="1"/>
  <c r="AL46" i="5"/>
  <c r="AL46" i="5" a="1"/>
  <c r="AK46" i="5" a="1"/>
  <c r="AK46" i="5" s="1"/>
  <c r="AJ46" i="5"/>
  <c r="AJ46" i="5" a="1"/>
  <c r="AI46" i="5"/>
  <c r="AI46" i="5" a="1"/>
  <c r="AH46" i="5"/>
  <c r="AH46" i="5" a="1"/>
  <c r="AG46" i="5" a="1"/>
  <c r="AG46" i="5" s="1"/>
  <c r="AF46" i="5"/>
  <c r="AF46" i="5" a="1"/>
  <c r="AE46" i="5"/>
  <c r="AE46" i="5" a="1"/>
  <c r="AC46" i="5" a="1"/>
  <c r="AC46" i="5" s="1"/>
  <c r="AB46" i="5" a="1"/>
  <c r="AB46" i="5" s="1"/>
  <c r="AA46" i="5"/>
  <c r="AA46" i="5" a="1"/>
  <c r="Z46" i="5" a="1"/>
  <c r="Z46" i="5" s="1"/>
  <c r="Y46" i="5" a="1"/>
  <c r="Y46" i="5" s="1"/>
  <c r="X46" i="5" a="1"/>
  <c r="X46" i="5" s="1"/>
  <c r="W46" i="5" a="1"/>
  <c r="W46" i="5" s="1"/>
  <c r="V46" i="5"/>
  <c r="V46" i="5" a="1"/>
  <c r="T46" i="5" a="1"/>
  <c r="T46" i="5" s="1"/>
  <c r="S46" i="5"/>
  <c r="S46" i="5" a="1"/>
  <c r="R46" i="5" a="1"/>
  <c r="R46" i="5" s="1"/>
  <c r="P46" i="5"/>
  <c r="P46" i="5" a="1"/>
  <c r="O46" i="5"/>
  <c r="O46" i="5" a="1"/>
  <c r="K46" i="5"/>
  <c r="K46" i="5" a="1"/>
  <c r="I46" i="5" a="1"/>
  <c r="I46" i="5" s="1"/>
  <c r="E46" i="5"/>
  <c r="E46" i="5" a="1"/>
  <c r="AM45" i="5"/>
  <c r="AM45" i="5" a="1"/>
  <c r="AL45" i="5"/>
  <c r="AL45" i="5" a="1"/>
  <c r="AK45" i="5" a="1"/>
  <c r="AK45" i="5" s="1"/>
  <c r="AJ45" i="5" a="1"/>
  <c r="AJ45" i="5" s="1"/>
  <c r="AI45" i="5"/>
  <c r="AI45" i="5" a="1"/>
  <c r="AH45" i="5"/>
  <c r="AH45" i="5" a="1"/>
  <c r="AG45" i="5"/>
  <c r="AG45" i="5" a="1"/>
  <c r="AF45" i="5"/>
  <c r="AF45" i="5" a="1"/>
  <c r="AE45" i="5"/>
  <c r="AE45" i="5" a="1"/>
  <c r="AC45" i="5" a="1"/>
  <c r="AC45" i="5" s="1"/>
  <c r="AB45" i="5"/>
  <c r="AB45" i="5" a="1"/>
  <c r="AA45" i="5" a="1"/>
  <c r="AA45" i="5" s="1"/>
  <c r="Z45" i="5"/>
  <c r="Z45" i="5" a="1"/>
  <c r="Y45" i="5"/>
  <c r="Y45" i="5" a="1"/>
  <c r="X45" i="5" a="1"/>
  <c r="X45" i="5" s="1"/>
  <c r="W45" i="5"/>
  <c r="W45" i="5" a="1"/>
  <c r="V45" i="5"/>
  <c r="V45" i="5" a="1"/>
  <c r="T45" i="5"/>
  <c r="T45" i="5" a="1"/>
  <c r="S45" i="5" a="1"/>
  <c r="S45" i="5" s="1"/>
  <c r="R45" i="5"/>
  <c r="R45" i="5" a="1"/>
  <c r="P45" i="5" a="1"/>
  <c r="P45" i="5" s="1"/>
  <c r="O45" i="5" a="1"/>
  <c r="O45" i="5" s="1"/>
  <c r="K45" i="5" a="1"/>
  <c r="K45" i="5" s="1"/>
  <c r="I45" i="5" a="1"/>
  <c r="I45" i="5" s="1"/>
  <c r="E45" i="5"/>
  <c r="E45" i="5" a="1"/>
  <c r="AM44" i="5"/>
  <c r="AM44" i="5" a="1"/>
  <c r="AL44" i="5" a="1"/>
  <c r="AL44" i="5" s="1"/>
  <c r="AK44" i="5" a="1"/>
  <c r="AK44" i="5" s="1"/>
  <c r="AJ44" i="5" a="1"/>
  <c r="AJ44" i="5" s="1"/>
  <c r="AI44" i="5" a="1"/>
  <c r="AI44" i="5" s="1"/>
  <c r="AH44" i="5" a="1"/>
  <c r="AH44" i="5" s="1"/>
  <c r="AG44" i="5"/>
  <c r="AG44" i="5" a="1"/>
  <c r="AF44" i="5"/>
  <c r="AF44" i="5" a="1"/>
  <c r="AE44" i="5" a="1"/>
  <c r="AE44" i="5" s="1"/>
  <c r="AC44" i="5" a="1"/>
  <c r="AC44" i="5" s="1"/>
  <c r="AB44" i="5"/>
  <c r="AB44" i="5" a="1"/>
  <c r="AA44" i="5" a="1"/>
  <c r="AA44" i="5" s="1"/>
  <c r="Z44" i="5" a="1"/>
  <c r="Z44" i="5" s="1"/>
  <c r="Y44" i="5"/>
  <c r="Y44" i="5" a="1"/>
  <c r="X44" i="5" a="1"/>
  <c r="X44" i="5" s="1"/>
  <c r="W44" i="5"/>
  <c r="W44" i="5" a="1"/>
  <c r="V44" i="5"/>
  <c r="V44" i="5" a="1"/>
  <c r="T44" i="5"/>
  <c r="T44" i="5" a="1"/>
  <c r="S44" i="5" a="1"/>
  <c r="S44" i="5" s="1"/>
  <c r="R44" i="5" a="1"/>
  <c r="R44" i="5" s="1"/>
  <c r="P44" i="5" a="1"/>
  <c r="P44" i="5" s="1"/>
  <c r="O44" i="5"/>
  <c r="O44" i="5" a="1"/>
  <c r="K44" i="5" a="1"/>
  <c r="K44" i="5" s="1"/>
  <c r="I44" i="5"/>
  <c r="I44" i="5" a="1"/>
  <c r="E44" i="5" a="1"/>
  <c r="E44" i="5" s="1"/>
  <c r="AM43" i="5" a="1"/>
  <c r="AM43" i="5" s="1"/>
  <c r="AL43" i="5" a="1"/>
  <c r="AL43" i="5" s="1"/>
  <c r="AK43" i="5"/>
  <c r="AK43" i="5" a="1"/>
  <c r="AJ43" i="5"/>
  <c r="AJ43" i="5" a="1"/>
  <c r="AI43" i="5"/>
  <c r="AI43" i="5" a="1"/>
  <c r="AH43" i="5" a="1"/>
  <c r="AH43" i="5" s="1"/>
  <c r="AG43" i="5"/>
  <c r="AG43" i="5" a="1"/>
  <c r="AF43" i="5" a="1"/>
  <c r="AF43" i="5" s="1"/>
  <c r="AE43" i="5" a="1"/>
  <c r="AE43" i="5" s="1"/>
  <c r="AC43" i="5"/>
  <c r="AC43" i="5" a="1"/>
  <c r="AB43" i="5"/>
  <c r="AB43" i="5" a="1"/>
  <c r="AA43" i="5"/>
  <c r="AA43" i="5" a="1"/>
  <c r="Z43" i="5"/>
  <c r="Z43" i="5" a="1"/>
  <c r="Y43" i="5"/>
  <c r="Y43" i="5" a="1"/>
  <c r="X43" i="5" a="1"/>
  <c r="X43" i="5" s="1"/>
  <c r="W43" i="5" a="1"/>
  <c r="W43" i="5" s="1"/>
  <c r="V43" i="5" a="1"/>
  <c r="V43" i="5" s="1"/>
  <c r="T43" i="5"/>
  <c r="T43" i="5" a="1"/>
  <c r="S43" i="5" a="1"/>
  <c r="S43" i="5" s="1"/>
  <c r="R43" i="5"/>
  <c r="R43" i="5" a="1"/>
  <c r="P43" i="5"/>
  <c r="P43" i="5" a="1"/>
  <c r="O43" i="5"/>
  <c r="O43" i="5" a="1"/>
  <c r="K43" i="5" a="1"/>
  <c r="K43" i="5" s="1"/>
  <c r="I43" i="5" a="1"/>
  <c r="I43" i="5" s="1"/>
  <c r="E43" i="5" a="1"/>
  <c r="E43" i="5" s="1"/>
  <c r="AM42" i="5"/>
  <c r="AM42" i="5" a="1"/>
  <c r="AL42" i="5" a="1"/>
  <c r="AL42" i="5" s="1"/>
  <c r="AK42" i="5" a="1"/>
  <c r="AK42" i="5" s="1"/>
  <c r="AJ42" i="5"/>
  <c r="AJ42" i="5" a="1"/>
  <c r="AI42" i="5" a="1"/>
  <c r="AI42" i="5" s="1"/>
  <c r="AH42" i="5"/>
  <c r="AH42" i="5" a="1"/>
  <c r="AG42" i="5"/>
  <c r="AG42" i="5" a="1"/>
  <c r="AF42" i="5" a="1"/>
  <c r="AF42" i="5" s="1"/>
  <c r="AE42" i="5"/>
  <c r="AE42" i="5" a="1"/>
  <c r="AC42" i="5" a="1"/>
  <c r="AC42" i="5" s="1"/>
  <c r="AB42" i="5" a="1"/>
  <c r="AB42" i="5" s="1"/>
  <c r="AA42" i="5"/>
  <c r="AA42" i="5" a="1"/>
  <c r="Z42" i="5"/>
  <c r="Z42" i="5" a="1"/>
  <c r="Y42" i="5"/>
  <c r="Y42" i="5" a="1"/>
  <c r="X42" i="5" a="1"/>
  <c r="X42" i="5" s="1"/>
  <c r="W42" i="5"/>
  <c r="W42" i="5" a="1"/>
  <c r="V42" i="5" a="1"/>
  <c r="V42" i="5" s="1"/>
  <c r="T42" i="5" a="1"/>
  <c r="T42" i="5" s="1"/>
  <c r="S42" i="5" a="1"/>
  <c r="S42" i="5" s="1"/>
  <c r="R42" i="5"/>
  <c r="R42" i="5" a="1"/>
  <c r="P42" i="5" a="1"/>
  <c r="P42" i="5" s="1"/>
  <c r="O42" i="5"/>
  <c r="O42" i="5" a="1"/>
  <c r="K42" i="5" a="1"/>
  <c r="K42" i="5" s="1"/>
  <c r="I42" i="5"/>
  <c r="I42" i="5" a="1"/>
  <c r="E42" i="5" a="1"/>
  <c r="E42" i="5" s="1"/>
  <c r="AM41" i="5" a="1"/>
  <c r="AM41" i="5" s="1"/>
  <c r="AL41" i="5" a="1"/>
  <c r="AL41" i="5" s="1"/>
  <c r="AK41" i="5" a="1"/>
  <c r="AK41" i="5" s="1"/>
  <c r="AJ41" i="5"/>
  <c r="AJ41" i="5" a="1"/>
  <c r="AI41" i="5"/>
  <c r="AI41" i="5" a="1"/>
  <c r="AH41" i="5"/>
  <c r="AH41" i="5" a="1"/>
  <c r="AG41" i="5" a="1"/>
  <c r="AG41" i="5" s="1"/>
  <c r="AF41" i="5" a="1"/>
  <c r="AF41" i="5" s="1"/>
  <c r="AE41" i="5"/>
  <c r="AE41" i="5" a="1"/>
  <c r="AC41" i="5" a="1"/>
  <c r="AC41" i="5" s="1"/>
  <c r="AB41" i="5"/>
  <c r="AB41" i="5" a="1"/>
  <c r="AA41" i="5"/>
  <c r="AA41" i="5" a="1"/>
  <c r="Z41" i="5"/>
  <c r="Z41" i="5" a="1"/>
  <c r="Y41" i="5"/>
  <c r="Y41" i="5" a="1"/>
  <c r="X41" i="5" a="1"/>
  <c r="X41" i="5" s="1"/>
  <c r="W41" i="5"/>
  <c r="W41" i="5" a="1"/>
  <c r="V41" i="5" a="1"/>
  <c r="V41" i="5" s="1"/>
  <c r="T41" i="5"/>
  <c r="T41" i="5" a="1"/>
  <c r="S41" i="5"/>
  <c r="S41" i="5" a="1"/>
  <c r="R41" i="5"/>
  <c r="R41" i="5" a="1"/>
  <c r="P41" i="5" a="1"/>
  <c r="P41" i="5" s="1"/>
  <c r="O41" i="5"/>
  <c r="O41" i="5" a="1"/>
  <c r="K41" i="5"/>
  <c r="K41" i="5" a="1"/>
  <c r="I41" i="5" a="1"/>
  <c r="I41" i="5" s="1"/>
  <c r="E41" i="5" a="1"/>
  <c r="E41" i="5" s="1"/>
  <c r="AM40" i="5"/>
  <c r="AM40" i="5" a="1"/>
  <c r="AL40" i="5"/>
  <c r="AL40" i="5" a="1"/>
  <c r="AK40" i="5"/>
  <c r="AK40" i="5" a="1"/>
  <c r="AJ40" i="5" a="1"/>
  <c r="AJ40" i="5" s="1"/>
  <c r="AI40" i="5"/>
  <c r="AI40" i="5" a="1"/>
  <c r="AH40" i="5"/>
  <c r="AH40" i="5" a="1"/>
  <c r="AG40" i="5"/>
  <c r="AG40" i="5" a="1"/>
  <c r="AF40" i="5"/>
  <c r="AF40" i="5" a="1"/>
  <c r="AE40" i="5"/>
  <c r="AE40" i="5" a="1"/>
  <c r="AC40" i="5"/>
  <c r="AC40" i="5" a="1"/>
  <c r="AB40" i="5" a="1"/>
  <c r="AB40" i="5" s="1"/>
  <c r="AA40" i="5" a="1"/>
  <c r="AA40" i="5" s="1"/>
  <c r="Z40" i="5"/>
  <c r="Z40" i="5" a="1"/>
  <c r="Y40" i="5" a="1"/>
  <c r="Y40" i="5" s="1"/>
  <c r="X40" i="5" a="1"/>
  <c r="X40" i="5" s="1"/>
  <c r="W40" i="5" a="1"/>
  <c r="W40" i="5" s="1"/>
  <c r="V40" i="5"/>
  <c r="V40" i="5" a="1"/>
  <c r="T40" i="5"/>
  <c r="T40" i="5" a="1"/>
  <c r="S40" i="5"/>
  <c r="S40" i="5" a="1"/>
  <c r="R40" i="5" a="1"/>
  <c r="R40" i="5" s="1"/>
  <c r="P40" i="5" a="1"/>
  <c r="P40" i="5" s="1"/>
  <c r="O40" i="5" a="1"/>
  <c r="O40" i="5" s="1"/>
  <c r="K40" i="5" a="1"/>
  <c r="K40" i="5" s="1"/>
  <c r="I40" i="5"/>
  <c r="I40" i="5" a="1"/>
  <c r="E40" i="5"/>
  <c r="E40" i="5" a="1"/>
  <c r="AM39" i="5" a="1"/>
  <c r="AM39" i="5" s="1"/>
  <c r="AL39" i="5" a="1"/>
  <c r="AL39" i="5" s="1"/>
  <c r="AK39" i="5"/>
  <c r="AK39" i="5" a="1"/>
  <c r="AJ39" i="5" a="1"/>
  <c r="AJ39" i="5" s="1"/>
  <c r="AI39" i="5"/>
  <c r="AI39" i="5" a="1"/>
  <c r="AH39" i="5" a="1"/>
  <c r="AH39" i="5" s="1"/>
  <c r="AG39" i="5"/>
  <c r="AG39" i="5" a="1"/>
  <c r="AF39" i="5"/>
  <c r="AF39" i="5" a="1"/>
  <c r="AE39" i="5"/>
  <c r="AE39" i="5" a="1"/>
  <c r="AC39" i="5" a="1"/>
  <c r="AC39" i="5" s="1"/>
  <c r="AB39" i="5"/>
  <c r="AB39" i="5" a="1"/>
  <c r="AA39" i="5" a="1"/>
  <c r="AA39" i="5" s="1"/>
  <c r="Z39" i="5"/>
  <c r="Z39" i="5" a="1"/>
  <c r="Y39" i="5"/>
  <c r="Y39" i="5" a="1"/>
  <c r="X39" i="5"/>
  <c r="X39" i="5" a="1"/>
  <c r="W39" i="5" a="1"/>
  <c r="W39" i="5" s="1"/>
  <c r="V39" i="5" a="1"/>
  <c r="V39" i="5" s="1"/>
  <c r="T39" i="5"/>
  <c r="T39" i="5" a="1"/>
  <c r="S39" i="5" a="1"/>
  <c r="S39" i="5" s="1"/>
  <c r="R39" i="5" a="1"/>
  <c r="R39" i="5" s="1"/>
  <c r="P39" i="5"/>
  <c r="P39" i="5" a="1"/>
  <c r="O39" i="5"/>
  <c r="O39" i="5" a="1"/>
  <c r="M39" i="5" a="1"/>
  <c r="M39" i="5" s="1"/>
  <c r="K39" i="5"/>
  <c r="K39" i="5" a="1"/>
  <c r="I39" i="5"/>
  <c r="I39" i="5" a="1"/>
  <c r="H39" i="5"/>
  <c r="H39" i="5" a="1"/>
  <c r="E39" i="5" a="1"/>
  <c r="E39" i="5" s="1"/>
  <c r="AM38" i="5"/>
  <c r="AM38" i="5" a="1"/>
  <c r="AL38" i="5"/>
  <c r="AL38" i="5" a="1"/>
  <c r="AK38" i="5" a="1"/>
  <c r="AK38" i="5" s="1"/>
  <c r="AJ38" i="5"/>
  <c r="AJ38" i="5" a="1"/>
  <c r="AI38" i="5"/>
  <c r="AI38" i="5" a="1"/>
  <c r="AH38" i="5" a="1"/>
  <c r="AH38" i="5" s="1"/>
  <c r="AG38" i="5" a="1"/>
  <c r="AG38" i="5" s="1"/>
  <c r="AF38" i="5"/>
  <c r="AF38" i="5" a="1"/>
  <c r="AE38" i="5" a="1"/>
  <c r="AE38" i="5" s="1"/>
  <c r="AC38" i="5"/>
  <c r="AC38" i="5" a="1"/>
  <c r="AB38" i="5"/>
  <c r="AB38" i="5" a="1"/>
  <c r="AA38" i="5"/>
  <c r="AA38" i="5" a="1"/>
  <c r="Z38" i="5" a="1"/>
  <c r="Z38" i="5" s="1"/>
  <c r="Y38" i="5" a="1"/>
  <c r="Y38" i="5" s="1"/>
  <c r="X38" i="5"/>
  <c r="X38" i="5" a="1"/>
  <c r="W38" i="5"/>
  <c r="W38" i="5" a="1"/>
  <c r="V38" i="5"/>
  <c r="V38" i="5" a="1"/>
  <c r="T38" i="5" a="1"/>
  <c r="T38" i="5" s="1"/>
  <c r="S38" i="5"/>
  <c r="S38" i="5" a="1"/>
  <c r="R38" i="5" a="1"/>
  <c r="R38" i="5" s="1"/>
  <c r="P38" i="5" a="1"/>
  <c r="P38" i="5" s="1"/>
  <c r="O38" i="5" a="1"/>
  <c r="O38" i="5" s="1"/>
  <c r="M38" i="5" a="1"/>
  <c r="M38" i="5" s="1"/>
  <c r="K38" i="5"/>
  <c r="K38" i="5" a="1"/>
  <c r="I38" i="5" a="1"/>
  <c r="I38" i="5" s="1"/>
  <c r="H38" i="5" a="1"/>
  <c r="H38" i="5" s="1"/>
  <c r="E38" i="5"/>
  <c r="E38" i="5" a="1"/>
  <c r="AM37" i="5"/>
  <c r="AM37" i="5" a="1"/>
  <c r="AL37" i="5"/>
  <c r="AL37" i="5" a="1"/>
  <c r="AK37" i="5"/>
  <c r="AK37" i="5" a="1"/>
  <c r="AJ37" i="5" a="1"/>
  <c r="AJ37" i="5" s="1"/>
  <c r="AI37" i="5" a="1"/>
  <c r="AI37" i="5" s="1"/>
  <c r="AH37" i="5" a="1"/>
  <c r="AH37" i="5" s="1"/>
  <c r="AG37" i="5" a="1"/>
  <c r="AG37" i="5" s="1"/>
  <c r="AF37" i="5" a="1"/>
  <c r="AF37" i="5" s="1"/>
  <c r="AE37" i="5" a="1"/>
  <c r="AE37" i="5" s="1"/>
  <c r="AC37" i="5" a="1"/>
  <c r="AC37" i="5" s="1"/>
  <c r="AB37" i="5"/>
  <c r="AB37" i="5" a="1"/>
  <c r="AA37" i="5" a="1"/>
  <c r="AA37" i="5" s="1"/>
  <c r="Z37" i="5"/>
  <c r="Z37" i="5" a="1"/>
  <c r="Y37" i="5"/>
  <c r="Y37" i="5" a="1"/>
  <c r="X37" i="5" a="1"/>
  <c r="X37" i="5" s="1"/>
  <c r="W37" i="5"/>
  <c r="W37" i="5" a="1"/>
  <c r="V37" i="5"/>
  <c r="V37" i="5" a="1"/>
  <c r="T37" i="5"/>
  <c r="T37" i="5" a="1"/>
  <c r="S37" i="5" a="1"/>
  <c r="S37" i="5" s="1"/>
  <c r="R37" i="5"/>
  <c r="R37" i="5" a="1"/>
  <c r="P37" i="5"/>
  <c r="P37" i="5" a="1"/>
  <c r="O37" i="5"/>
  <c r="O37" i="5" a="1"/>
  <c r="M37" i="5"/>
  <c r="M37" i="5" a="1"/>
  <c r="K37" i="5" a="1"/>
  <c r="K37" i="5" s="1"/>
  <c r="I37" i="5" a="1"/>
  <c r="I37" i="5" s="1"/>
  <c r="H37" i="5"/>
  <c r="H37" i="5" a="1"/>
  <c r="E37" i="5" a="1"/>
  <c r="E37" i="5" s="1"/>
  <c r="AM36" i="5"/>
  <c r="AM36" i="5" a="1"/>
  <c r="AL36" i="5"/>
  <c r="AL36" i="5" a="1"/>
  <c r="AK36" i="5"/>
  <c r="AK36" i="5" a="1"/>
  <c r="AJ36" i="5" a="1"/>
  <c r="AJ36" i="5" s="1"/>
  <c r="AI36" i="5" a="1"/>
  <c r="AI36" i="5" s="1"/>
  <c r="AH36" i="5"/>
  <c r="AH36" i="5" a="1"/>
  <c r="AG36" i="5" a="1"/>
  <c r="AG36" i="5" s="1"/>
  <c r="AF36" i="5" a="1"/>
  <c r="AF36" i="5" s="1"/>
  <c r="AE36" i="5"/>
  <c r="AE36" i="5" a="1"/>
  <c r="AC36" i="5" a="1"/>
  <c r="AC36" i="5" s="1"/>
  <c r="AB36" i="5" a="1"/>
  <c r="AB36" i="5" s="1"/>
  <c r="AA36" i="5" a="1"/>
  <c r="AA36" i="5" s="1"/>
  <c r="Z36" i="5" a="1"/>
  <c r="Z36" i="5" s="1"/>
  <c r="Y36" i="5"/>
  <c r="Y36" i="5" a="1"/>
  <c r="X36" i="5"/>
  <c r="X36" i="5" a="1"/>
  <c r="W36" i="5"/>
  <c r="W36" i="5" a="1"/>
  <c r="V36" i="5"/>
  <c r="V36" i="5" a="1"/>
  <c r="T36" i="5" a="1"/>
  <c r="T36" i="5" s="1"/>
  <c r="S36" i="5" a="1"/>
  <c r="S36" i="5" s="1"/>
  <c r="R36" i="5"/>
  <c r="R36" i="5" a="1"/>
  <c r="P36" i="5"/>
  <c r="P36" i="5" a="1"/>
  <c r="O36" i="5"/>
  <c r="O36" i="5" a="1"/>
  <c r="M36" i="5" a="1"/>
  <c r="M36" i="5" s="1"/>
  <c r="K36" i="5"/>
  <c r="K36" i="5" a="1"/>
  <c r="I36" i="5"/>
  <c r="I36" i="5" a="1"/>
  <c r="H36" i="5"/>
  <c r="H36" i="5" a="1"/>
  <c r="E36" i="5" a="1"/>
  <c r="E36" i="5" s="1"/>
  <c r="AM35" i="5"/>
  <c r="AM35" i="5" a="1"/>
  <c r="AL35" i="5" a="1"/>
  <c r="AL35" i="5" s="1"/>
  <c r="AK35" i="5" a="1"/>
  <c r="AK35" i="5" s="1"/>
  <c r="AJ35" i="5" a="1"/>
  <c r="AJ35" i="5" s="1"/>
  <c r="AI35" i="5" a="1"/>
  <c r="AI35" i="5" s="1"/>
  <c r="AH35" i="5"/>
  <c r="AH35" i="5" a="1"/>
  <c r="AG35" i="5"/>
  <c r="AG35" i="5" a="1"/>
  <c r="AF35" i="5" a="1"/>
  <c r="AF35" i="5" s="1"/>
  <c r="AE35" i="5"/>
  <c r="AE35" i="5" a="1"/>
  <c r="AC35" i="5" a="1"/>
  <c r="AC35" i="5" s="1"/>
  <c r="AB35" i="5" a="1"/>
  <c r="AB35" i="5" s="1"/>
  <c r="AA35" i="5" a="1"/>
  <c r="AA35" i="5" s="1"/>
  <c r="Z35" i="5"/>
  <c r="Z35" i="5" a="1"/>
  <c r="Y35" i="5"/>
  <c r="Y35" i="5" a="1"/>
  <c r="X35" i="5" a="1"/>
  <c r="X35" i="5" s="1"/>
  <c r="W35" i="5" a="1"/>
  <c r="W35" i="5" s="1"/>
  <c r="V35" i="5" a="1"/>
  <c r="V35" i="5" s="1"/>
  <c r="T35" i="5" a="1"/>
  <c r="T35" i="5" s="1"/>
  <c r="S35" i="5" a="1"/>
  <c r="S35" i="5" s="1"/>
  <c r="R35" i="5"/>
  <c r="R35" i="5" a="1"/>
  <c r="P35" i="5"/>
  <c r="P35" i="5" a="1"/>
  <c r="O35" i="5" a="1"/>
  <c r="O35" i="5" s="1"/>
  <c r="M35" i="5" a="1"/>
  <c r="M35" i="5" s="1"/>
  <c r="K35" i="5" a="1"/>
  <c r="K35" i="5" s="1"/>
  <c r="I35" i="5"/>
  <c r="I35" i="5" a="1"/>
  <c r="H35" i="5"/>
  <c r="H35" i="5" a="1"/>
  <c r="E35" i="5"/>
  <c r="E35" i="5" a="1"/>
  <c r="AM34" i="5"/>
  <c r="AM34" i="5" a="1"/>
  <c r="AL34" i="5"/>
  <c r="AL34" i="5" a="1"/>
  <c r="AK34" i="5"/>
  <c r="AK34" i="5" a="1"/>
  <c r="AJ34" i="5"/>
  <c r="AJ34" i="5" a="1"/>
  <c r="AI34" i="5"/>
  <c r="AI34" i="5" a="1"/>
  <c r="AH34" i="5"/>
  <c r="AH34" i="5" a="1"/>
  <c r="AG34" i="5"/>
  <c r="AG34" i="5" a="1"/>
  <c r="AF34" i="5"/>
  <c r="AF34" i="5" a="1"/>
  <c r="AE34" i="5"/>
  <c r="AE34" i="5" a="1"/>
  <c r="AC34" i="5"/>
  <c r="AC34" i="5" a="1"/>
  <c r="AB34" i="5"/>
  <c r="AB34" i="5" a="1"/>
  <c r="AA34" i="5"/>
  <c r="AA34" i="5" a="1"/>
  <c r="Z34" i="5"/>
  <c r="Z34" i="5" a="1"/>
  <c r="Y34" i="5"/>
  <c r="Y34" i="5" a="1"/>
  <c r="X34" i="5"/>
  <c r="X34" i="5" a="1"/>
  <c r="W34" i="5"/>
  <c r="W34" i="5" a="1"/>
  <c r="V34" i="5"/>
  <c r="V34" i="5" a="1"/>
  <c r="T34" i="5"/>
  <c r="T34" i="5" a="1"/>
  <c r="S34" i="5"/>
  <c r="S34" i="5" a="1"/>
  <c r="R34" i="5"/>
  <c r="R34" i="5" a="1"/>
  <c r="P34" i="5" a="1"/>
  <c r="P34" i="5" s="1"/>
  <c r="O34" i="5" a="1"/>
  <c r="O34" i="5" s="1"/>
  <c r="M34" i="5" a="1"/>
  <c r="M34" i="5" s="1"/>
  <c r="K34" i="5"/>
  <c r="K34" i="5" a="1"/>
  <c r="I34" i="5"/>
  <c r="I34" i="5" a="1"/>
  <c r="H34" i="5" a="1"/>
  <c r="H34" i="5" s="1"/>
  <c r="E34" i="5" a="1"/>
  <c r="E34" i="5" s="1"/>
  <c r="AM33" i="5"/>
  <c r="AM33" i="5" a="1"/>
  <c r="AL33" i="5"/>
  <c r="AL33" i="5" a="1"/>
  <c r="AK33" i="5" a="1"/>
  <c r="AK33" i="5" s="1"/>
  <c r="AJ33" i="5" a="1"/>
  <c r="AJ33" i="5" s="1"/>
  <c r="AI33" i="5" a="1"/>
  <c r="AI33" i="5" s="1"/>
  <c r="AH33" i="5" a="1"/>
  <c r="AH33" i="5" s="1"/>
  <c r="AG33" i="5" a="1"/>
  <c r="AG33" i="5" s="1"/>
  <c r="AF33" i="5" a="1"/>
  <c r="AF33" i="5" s="1"/>
  <c r="AE33" i="5"/>
  <c r="AE33" i="5" a="1"/>
  <c r="AC33" i="5" a="1"/>
  <c r="AC33" i="5" s="1"/>
  <c r="AB33" i="5" a="1"/>
  <c r="AB33" i="5" s="1"/>
  <c r="AA33" i="5" a="1"/>
  <c r="AA33" i="5" s="1"/>
  <c r="Z33" i="5" a="1"/>
  <c r="Z33" i="5" s="1"/>
  <c r="Y33" i="5"/>
  <c r="Y33" i="5" a="1"/>
  <c r="X33" i="5"/>
  <c r="X33" i="5" a="1"/>
  <c r="W33" i="5"/>
  <c r="W33" i="5" a="1"/>
  <c r="V33" i="5"/>
  <c r="V33" i="5" a="1"/>
  <c r="T33" i="5"/>
  <c r="T33" i="5" a="1"/>
  <c r="S33" i="5" a="1"/>
  <c r="S33" i="5" s="1"/>
  <c r="R33" i="5"/>
  <c r="R33" i="5" a="1"/>
  <c r="P33" i="5"/>
  <c r="P33" i="5" a="1"/>
  <c r="O33" i="5"/>
  <c r="O33" i="5" a="1"/>
  <c r="M33" i="5" a="1"/>
  <c r="M33" i="5" s="1"/>
  <c r="K33" i="5" a="1"/>
  <c r="K33" i="5" s="1"/>
  <c r="I33" i="5" a="1"/>
  <c r="I33" i="5" s="1"/>
  <c r="H33" i="5" a="1"/>
  <c r="H33" i="5" s="1"/>
  <c r="E33" i="5"/>
  <c r="E33" i="5" a="1"/>
  <c r="AM32" i="5" a="1"/>
  <c r="AM32" i="5" s="1"/>
  <c r="AL32" i="5"/>
  <c r="AL32" i="5" a="1"/>
  <c r="AK32" i="5" a="1"/>
  <c r="AK32" i="5" s="1"/>
  <c r="AJ32" i="5" a="1"/>
  <c r="AJ32" i="5" s="1"/>
  <c r="AI32" i="5" a="1"/>
  <c r="AI32" i="5" s="1"/>
  <c r="AH32" i="5"/>
  <c r="AH32" i="5" a="1"/>
  <c r="AG32" i="5" a="1"/>
  <c r="AG32" i="5" s="1"/>
  <c r="AF32" i="5"/>
  <c r="AF32" i="5" a="1"/>
  <c r="AE32" i="5"/>
  <c r="AE32" i="5" a="1"/>
  <c r="AC32" i="5" a="1"/>
  <c r="AC32" i="5" s="1"/>
  <c r="AB32" i="5" a="1"/>
  <c r="AB32" i="5" s="1"/>
  <c r="AA32" i="5" a="1"/>
  <c r="AA32" i="5" s="1"/>
  <c r="Z32" i="5"/>
  <c r="Z32" i="5" a="1"/>
  <c r="Y32" i="5" a="1"/>
  <c r="Y32" i="5" s="1"/>
  <c r="X32" i="5"/>
  <c r="X32" i="5" a="1"/>
  <c r="W32" i="5"/>
  <c r="W32" i="5" a="1"/>
  <c r="V32" i="5"/>
  <c r="V32" i="5" a="1"/>
  <c r="T32" i="5" a="1"/>
  <c r="T32" i="5" s="1"/>
  <c r="S32" i="5"/>
  <c r="S32" i="5" a="1"/>
  <c r="R32" i="5"/>
  <c r="R32" i="5" a="1"/>
  <c r="P32" i="5"/>
  <c r="P32" i="5" a="1"/>
  <c r="O32" i="5" a="1"/>
  <c r="O32" i="5" s="1"/>
  <c r="M32" i="5"/>
  <c r="M32" i="5" a="1"/>
  <c r="K32" i="5" a="1"/>
  <c r="K32" i="5" s="1"/>
  <c r="I32" i="5"/>
  <c r="I32" i="5" a="1"/>
  <c r="H32" i="5"/>
  <c r="H32" i="5" a="1"/>
  <c r="E32" i="5" a="1"/>
  <c r="E32" i="5" s="1"/>
  <c r="AM31" i="5" a="1"/>
  <c r="AM31" i="5" s="1"/>
  <c r="AL31" i="5" a="1"/>
  <c r="AL31" i="5" s="1"/>
  <c r="AK31" i="5"/>
  <c r="AK31" i="5" a="1"/>
  <c r="AJ31" i="5"/>
  <c r="AJ31" i="5" a="1"/>
  <c r="AI31" i="5"/>
  <c r="AI31" i="5" a="1"/>
  <c r="AH31" i="5" a="1"/>
  <c r="AH31" i="5" s="1"/>
  <c r="AG31" i="5"/>
  <c r="AG31" i="5" a="1"/>
  <c r="AF31" i="5" a="1"/>
  <c r="AF31" i="5" s="1"/>
  <c r="AE31" i="5" a="1"/>
  <c r="AE31" i="5" s="1"/>
  <c r="AC31" i="5"/>
  <c r="AC31" i="5" a="1"/>
  <c r="AB31" i="5"/>
  <c r="AB31" i="5" a="1"/>
  <c r="AA31" i="5"/>
  <c r="AA31" i="5" a="1"/>
  <c r="Z31" i="5" a="1"/>
  <c r="Z31" i="5" s="1"/>
  <c r="Y31" i="5"/>
  <c r="Y31" i="5" a="1"/>
  <c r="X31" i="5" a="1"/>
  <c r="X31" i="5" s="1"/>
  <c r="W31" i="5" a="1"/>
  <c r="W31" i="5" s="1"/>
  <c r="V31" i="5" a="1"/>
  <c r="V31" i="5" s="1"/>
  <c r="T31" i="5"/>
  <c r="T31" i="5" a="1"/>
  <c r="S31" i="5" a="1"/>
  <c r="S31" i="5" s="1"/>
  <c r="R31" i="5"/>
  <c r="R31" i="5" a="1"/>
  <c r="P31" i="5"/>
  <c r="P31" i="5" a="1"/>
  <c r="O31" i="5"/>
  <c r="O31" i="5" a="1"/>
  <c r="M31" i="5"/>
  <c r="M31" i="5" a="1"/>
  <c r="K31" i="5" a="1"/>
  <c r="K31" i="5" s="1"/>
  <c r="I31" i="5" a="1"/>
  <c r="I31" i="5" s="1"/>
  <c r="H31" i="5"/>
  <c r="H31" i="5" a="1"/>
  <c r="E31" i="5"/>
  <c r="E31" i="5" a="1"/>
  <c r="AM30" i="5"/>
  <c r="AM30" i="5" a="1"/>
  <c r="AL30" i="5" a="1"/>
  <c r="AL30" i="5" s="1"/>
  <c r="AK30" i="5"/>
  <c r="AK30" i="5" a="1"/>
  <c r="AJ30" i="5" a="1"/>
  <c r="AJ30" i="5" s="1"/>
  <c r="AI30" i="5"/>
  <c r="AI30" i="5" a="1"/>
  <c r="AH30" i="5"/>
  <c r="AH30" i="5" a="1"/>
  <c r="AG30" i="5"/>
  <c r="AG30" i="5" a="1"/>
  <c r="AF30" i="5"/>
  <c r="AF30" i="5" a="1"/>
  <c r="AE30" i="5"/>
  <c r="AE30" i="5" a="1"/>
  <c r="AC30" i="5"/>
  <c r="AC30" i="5" a="1"/>
  <c r="AB30" i="5" a="1"/>
  <c r="AB30" i="5" s="1"/>
  <c r="AA30" i="5"/>
  <c r="AA30" i="5" a="1"/>
  <c r="Z30" i="5"/>
  <c r="Z30" i="5" a="1"/>
  <c r="Y30" i="5"/>
  <c r="Y30" i="5" a="1"/>
  <c r="X30" i="5"/>
  <c r="X30" i="5" a="1"/>
  <c r="W30" i="5"/>
  <c r="W30" i="5" a="1"/>
  <c r="V30" i="5" a="1"/>
  <c r="V30" i="5" s="1"/>
  <c r="T30" i="5" a="1"/>
  <c r="T30" i="5" s="1"/>
  <c r="S30" i="5"/>
  <c r="S30" i="5" a="1"/>
  <c r="R30" i="5"/>
  <c r="R30" i="5" a="1"/>
  <c r="P30" i="5"/>
  <c r="P30" i="5" a="1"/>
  <c r="O30" i="5" a="1"/>
  <c r="O30" i="5" s="1"/>
  <c r="M30" i="5" a="1"/>
  <c r="M30" i="5" s="1"/>
  <c r="K30" i="5"/>
  <c r="K30" i="5" a="1"/>
  <c r="I30" i="5"/>
  <c r="I30" i="5" a="1"/>
  <c r="H30" i="5"/>
  <c r="H30" i="5" a="1"/>
  <c r="E30" i="5" a="1"/>
  <c r="E30" i="5" s="1"/>
  <c r="AM29" i="5" a="1"/>
  <c r="AM29" i="5" s="1"/>
  <c r="AL29" i="5"/>
  <c r="AL29" i="5" a="1"/>
  <c r="AK29" i="5" a="1"/>
  <c r="AK29" i="5" s="1"/>
  <c r="AJ29" i="5"/>
  <c r="AJ29" i="5" a="1"/>
  <c r="AI29" i="5"/>
  <c r="AI29" i="5" a="1"/>
  <c r="AH29" i="5"/>
  <c r="AH29" i="5" a="1"/>
  <c r="AG29" i="5" a="1"/>
  <c r="AG29" i="5" s="1"/>
  <c r="AF29" i="5" a="1"/>
  <c r="AF29" i="5" s="1"/>
  <c r="AE29" i="5" a="1"/>
  <c r="AE29" i="5" s="1"/>
  <c r="AC29" i="5" a="1"/>
  <c r="AC29" i="5" s="1"/>
  <c r="AB29" i="5" a="1"/>
  <c r="AB29" i="5" s="1"/>
  <c r="AA29" i="5"/>
  <c r="AA29" i="5" a="1"/>
  <c r="Z29" i="5"/>
  <c r="Z29" i="5" a="1"/>
  <c r="Y29" i="5"/>
  <c r="Y29" i="5" a="1"/>
  <c r="X29" i="5" a="1"/>
  <c r="X29" i="5" s="1"/>
  <c r="W29" i="5" a="1"/>
  <c r="W29" i="5" s="1"/>
  <c r="V29" i="5"/>
  <c r="V29" i="5" a="1"/>
  <c r="T29" i="5"/>
  <c r="T29" i="5" a="1"/>
  <c r="S29" i="5"/>
  <c r="S29" i="5" a="1"/>
  <c r="R29" i="5"/>
  <c r="R29" i="5" a="1"/>
  <c r="P29" i="5" a="1"/>
  <c r="P29" i="5" s="1"/>
  <c r="O29" i="5" a="1"/>
  <c r="O29" i="5" s="1"/>
  <c r="M29" i="5" a="1"/>
  <c r="M29" i="5" s="1"/>
  <c r="K29" i="5"/>
  <c r="K29" i="5" a="1"/>
  <c r="I29" i="5"/>
  <c r="I29" i="5" a="1"/>
  <c r="H29" i="5" a="1"/>
  <c r="H29" i="5" s="1"/>
  <c r="E29" i="5" a="1"/>
  <c r="E29" i="5" s="1"/>
  <c r="AM28" i="5" a="1"/>
  <c r="AM28" i="5" s="1"/>
  <c r="AL28" i="5"/>
  <c r="AL28" i="5" a="1"/>
  <c r="AK28" i="5" a="1"/>
  <c r="AK28" i="5" s="1"/>
  <c r="AJ28" i="5" a="1"/>
  <c r="AJ28" i="5" s="1"/>
  <c r="AI28" i="5" a="1"/>
  <c r="AI28" i="5" s="1"/>
  <c r="AH28" i="5"/>
  <c r="AH28" i="5" a="1"/>
  <c r="AG28" i="5"/>
  <c r="AG28" i="5" a="1"/>
  <c r="AF28" i="5" a="1"/>
  <c r="AF28" i="5" s="1"/>
  <c r="AE28" i="5"/>
  <c r="AE28" i="5" a="1"/>
  <c r="AC28" i="5" a="1"/>
  <c r="AC28" i="5" s="1"/>
  <c r="AB28" i="5"/>
  <c r="AB28" i="5" a="1"/>
  <c r="AA28" i="5"/>
  <c r="AA28" i="5" a="1"/>
  <c r="Z28" i="5"/>
  <c r="Z28" i="5" a="1"/>
  <c r="Y28" i="5" a="1"/>
  <c r="Y28" i="5" s="1"/>
  <c r="X28" i="5" a="1"/>
  <c r="X28" i="5" s="1"/>
  <c r="W28" i="5" a="1"/>
  <c r="W28" i="5" s="1"/>
  <c r="V28" i="5"/>
  <c r="V28" i="5" a="1"/>
  <c r="T28" i="5" a="1"/>
  <c r="T28" i="5" s="1"/>
  <c r="S28" i="5"/>
  <c r="S28" i="5" a="1"/>
  <c r="R28" i="5"/>
  <c r="R28" i="5" a="1"/>
  <c r="P28" i="5" a="1"/>
  <c r="P28" i="5" s="1"/>
  <c r="O28" i="5" a="1"/>
  <c r="O28" i="5" s="1"/>
  <c r="M28" i="5" a="1"/>
  <c r="M28" i="5" s="1"/>
  <c r="K28" i="5"/>
  <c r="K28" i="5" a="1"/>
  <c r="I28" i="5"/>
  <c r="I28" i="5" a="1"/>
  <c r="H28" i="5" a="1"/>
  <c r="H28" i="5" s="1"/>
  <c r="E28" i="5"/>
  <c r="E28" i="5" a="1"/>
  <c r="AM27" i="5" a="1"/>
  <c r="AM27" i="5" s="1"/>
  <c r="AL27" i="5"/>
  <c r="AL27" i="5" a="1"/>
  <c r="AK27" i="5"/>
  <c r="AK27" i="5" a="1"/>
  <c r="AJ27" i="5"/>
  <c r="AJ27" i="5" a="1"/>
  <c r="AI27" i="5" a="1"/>
  <c r="AI27" i="5" s="1"/>
  <c r="AH27" i="5" a="1"/>
  <c r="AH27" i="5" s="1"/>
  <c r="AG27" i="5" a="1"/>
  <c r="AG27" i="5" s="1"/>
  <c r="AF27" i="5" a="1"/>
  <c r="AF27" i="5" s="1"/>
  <c r="AE27" i="5" a="1"/>
  <c r="AE27" i="5" s="1"/>
  <c r="AC27" i="5" a="1"/>
  <c r="AC27" i="5" s="1"/>
  <c r="AB27" i="5"/>
  <c r="AB27" i="5" a="1"/>
  <c r="AA27" i="5" a="1"/>
  <c r="AA27" i="5" s="1"/>
  <c r="Z27" i="5"/>
  <c r="Z27" i="5" a="1"/>
  <c r="Y27" i="5" a="1"/>
  <c r="Y27" i="5" s="1"/>
  <c r="X27" i="5" a="1"/>
  <c r="X27" i="5" s="1"/>
  <c r="W27" i="5" a="1"/>
  <c r="W27" i="5" s="1"/>
  <c r="V27" i="5" a="1"/>
  <c r="V27" i="5" s="1"/>
  <c r="T27" i="5" a="1"/>
  <c r="T27" i="5" s="1"/>
  <c r="S27" i="5" a="1"/>
  <c r="S27" i="5" s="1"/>
  <c r="R27" i="5"/>
  <c r="R27" i="5" a="1"/>
  <c r="P27" i="5"/>
  <c r="P27" i="5" a="1"/>
  <c r="O27" i="5" a="1"/>
  <c r="O27" i="5" s="1"/>
  <c r="M27" i="5" a="1"/>
  <c r="M27" i="5" s="1"/>
  <c r="K27" i="5" a="1"/>
  <c r="K27" i="5" s="1"/>
  <c r="I27" i="5"/>
  <c r="I27" i="5" a="1"/>
  <c r="H27" i="5" a="1"/>
  <c r="H27" i="5" s="1"/>
  <c r="E27" i="5" a="1"/>
  <c r="E27" i="5" s="1"/>
  <c r="AM26" i="5" a="1"/>
  <c r="AM26" i="5" s="1"/>
  <c r="AL26" i="5" a="1"/>
  <c r="AL26" i="5" s="1"/>
  <c r="AK26" i="5" a="1"/>
  <c r="AK26" i="5" s="1"/>
  <c r="AJ26" i="5"/>
  <c r="AJ26" i="5" a="1"/>
  <c r="AI26" i="5"/>
  <c r="AI26" i="5" a="1"/>
  <c r="AH26" i="5"/>
  <c r="AH26" i="5" a="1"/>
  <c r="AG26" i="5" a="1"/>
  <c r="AG26" i="5" s="1"/>
  <c r="AF26" i="5"/>
  <c r="AF26" i="5" a="1"/>
  <c r="AE26" i="5" a="1"/>
  <c r="AE26" i="5" s="1"/>
  <c r="AC26" i="5" a="1"/>
  <c r="AC26" i="5" s="1"/>
  <c r="AB26" i="5" a="1"/>
  <c r="AB26" i="5" s="1"/>
  <c r="AA26" i="5"/>
  <c r="AA26" i="5" a="1"/>
  <c r="Z26" i="5" a="1"/>
  <c r="Z26" i="5" s="1"/>
  <c r="Y26" i="5" a="1"/>
  <c r="Y26" i="5" s="1"/>
  <c r="X26" i="5" a="1"/>
  <c r="X26" i="5" s="1"/>
  <c r="W26" i="5" a="1"/>
  <c r="W26" i="5" s="1"/>
  <c r="V26" i="5" a="1"/>
  <c r="V26" i="5" s="1"/>
  <c r="T26" i="5" a="1"/>
  <c r="T26" i="5" s="1"/>
  <c r="S26" i="5"/>
  <c r="S26" i="5" a="1"/>
  <c r="R26" i="5"/>
  <c r="R26" i="5" a="1"/>
  <c r="P26" i="5" a="1"/>
  <c r="P26" i="5" s="1"/>
  <c r="O26" i="5"/>
  <c r="O26" i="5" a="1"/>
  <c r="M26" i="5" a="1"/>
  <c r="M26" i="5" s="1"/>
  <c r="K26" i="5" a="1"/>
  <c r="K26" i="5" s="1"/>
  <c r="I26" i="5" a="1"/>
  <c r="I26" i="5" s="1"/>
  <c r="H26" i="5" a="1"/>
  <c r="H26" i="5" s="1"/>
  <c r="E26" i="5" a="1"/>
  <c r="E26" i="5" s="1"/>
  <c r="AM25" i="5"/>
  <c r="AM25" i="5" a="1"/>
  <c r="AL25" i="5" a="1"/>
  <c r="AL25" i="5" s="1"/>
  <c r="AK25" i="5"/>
  <c r="AK25" i="5" a="1"/>
  <c r="AJ25" i="5"/>
  <c r="AJ25" i="5" a="1"/>
  <c r="AI25" i="5"/>
  <c r="AI25" i="5" a="1"/>
  <c r="AH25" i="5" a="1"/>
  <c r="AH25" i="5" s="1"/>
  <c r="AG25" i="5" a="1"/>
  <c r="AG25" i="5" s="1"/>
  <c r="AF25" i="5" a="1"/>
  <c r="AF25" i="5" s="1"/>
  <c r="AE25" i="5" a="1"/>
  <c r="AE25" i="5" s="1"/>
  <c r="AC25" i="5"/>
  <c r="AC25" i="5" a="1"/>
  <c r="AB25" i="5" a="1"/>
  <c r="AB25" i="5" s="1"/>
  <c r="AA25" i="5" a="1"/>
  <c r="AA25" i="5" s="1"/>
  <c r="Z25" i="5" a="1"/>
  <c r="Z25" i="5" s="1"/>
  <c r="Y25" i="5" a="1"/>
  <c r="Y25" i="5" s="1"/>
  <c r="X25" i="5"/>
  <c r="X25" i="5" a="1"/>
  <c r="W25" i="5" a="1"/>
  <c r="W25" i="5" s="1"/>
  <c r="V25" i="5" a="1"/>
  <c r="V25" i="5" s="1"/>
  <c r="T25" i="5"/>
  <c r="T25" i="5" a="1"/>
  <c r="S25" i="5"/>
  <c r="S25" i="5" a="1"/>
  <c r="R25" i="5"/>
  <c r="R25" i="5" a="1"/>
  <c r="P25" i="5" a="1"/>
  <c r="P25" i="5" s="1"/>
  <c r="O25" i="5" a="1"/>
  <c r="O25" i="5" s="1"/>
  <c r="M25" i="5" a="1"/>
  <c r="M25" i="5" s="1"/>
  <c r="K25" i="5" a="1"/>
  <c r="K25" i="5" s="1"/>
  <c r="I25" i="5" a="1"/>
  <c r="I25" i="5" s="1"/>
  <c r="H25" i="5" a="1"/>
  <c r="H25" i="5" s="1"/>
  <c r="E25" i="5" a="1"/>
  <c r="E25" i="5" s="1"/>
  <c r="AM24" i="5" a="1"/>
  <c r="AM24" i="5" s="1"/>
  <c r="AL24" i="5"/>
  <c r="AL24" i="5" a="1"/>
  <c r="AK24" i="5"/>
  <c r="AK24" i="5" a="1"/>
  <c r="AJ24" i="5" a="1"/>
  <c r="AJ24" i="5" s="1"/>
  <c r="AI24" i="5" a="1"/>
  <c r="AI24" i="5" s="1"/>
  <c r="AH24" i="5" a="1"/>
  <c r="AH24" i="5" s="1"/>
  <c r="AG24" i="5" a="1"/>
  <c r="AG24" i="5" s="1"/>
  <c r="AF24" i="5" a="1"/>
  <c r="AF24" i="5" s="1"/>
  <c r="AE24" i="5" a="1"/>
  <c r="AE24" i="5" s="1"/>
  <c r="AC24" i="5" a="1"/>
  <c r="AC24" i="5" s="1"/>
  <c r="AB24" i="5" a="1"/>
  <c r="AB24" i="5" s="1"/>
  <c r="AA24" i="5"/>
  <c r="AA24" i="5" a="1"/>
  <c r="Z24" i="5" a="1"/>
  <c r="Z24" i="5" s="1"/>
  <c r="Y24" i="5"/>
  <c r="Y24" i="5" a="1"/>
  <c r="X24" i="5" a="1"/>
  <c r="X24" i="5" s="1"/>
  <c r="W24" i="5" a="1"/>
  <c r="W24" i="5" s="1"/>
  <c r="V24" i="5" a="1"/>
  <c r="V24" i="5" s="1"/>
  <c r="T24" i="5" a="1"/>
  <c r="T24" i="5" s="1"/>
  <c r="S24" i="5" a="1"/>
  <c r="S24" i="5" s="1"/>
  <c r="R24" i="5" a="1"/>
  <c r="R24" i="5" s="1"/>
  <c r="P24" i="5" a="1"/>
  <c r="P24" i="5" s="1"/>
  <c r="O24" i="5" a="1"/>
  <c r="O24" i="5" s="1"/>
  <c r="M24" i="5" a="1"/>
  <c r="M24" i="5" s="1"/>
  <c r="K24" i="5"/>
  <c r="K24" i="5" a="1"/>
  <c r="I24" i="5" a="1"/>
  <c r="I24" i="5" s="1"/>
  <c r="H24" i="5"/>
  <c r="H24" i="5" a="1"/>
  <c r="E24" i="5"/>
  <c r="E24" i="5" a="1"/>
  <c r="AM23" i="5" a="1"/>
  <c r="AM23" i="5" s="1"/>
  <c r="AL23" i="5"/>
  <c r="AL23" i="5" a="1"/>
  <c r="AK23" i="5" a="1"/>
  <c r="AK23" i="5" s="1"/>
  <c r="AJ23" i="5" a="1"/>
  <c r="AJ23" i="5" s="1"/>
  <c r="AI23" i="5" a="1"/>
  <c r="AI23" i="5" s="1"/>
  <c r="AH23" i="5" a="1"/>
  <c r="AH23" i="5" s="1"/>
  <c r="AG23" i="5" a="1"/>
  <c r="AG23" i="5" s="1"/>
  <c r="AF23" i="5" a="1"/>
  <c r="AF23" i="5" s="1"/>
  <c r="AE23" i="5" a="1"/>
  <c r="AE23" i="5" s="1"/>
  <c r="AC23" i="5"/>
  <c r="AC23" i="5" a="1"/>
  <c r="AB23" i="5"/>
  <c r="AB23" i="5" a="1"/>
  <c r="AA23" i="5" a="1"/>
  <c r="AA23" i="5" s="1"/>
  <c r="Z23" i="5"/>
  <c r="Z23" i="5" a="1"/>
  <c r="Y23" i="5" a="1"/>
  <c r="Y23" i="5" s="1"/>
  <c r="X23" i="5" a="1"/>
  <c r="X23" i="5" s="1"/>
  <c r="W23" i="5" a="1"/>
  <c r="W23" i="5" s="1"/>
  <c r="V23" i="5" a="1"/>
  <c r="V23" i="5" s="1"/>
  <c r="T23" i="5" a="1"/>
  <c r="T23" i="5" s="1"/>
  <c r="S23" i="5" a="1"/>
  <c r="S23" i="5" s="1"/>
  <c r="R23" i="5" a="1"/>
  <c r="R23" i="5" s="1"/>
  <c r="P23" i="5" a="1"/>
  <c r="P23" i="5" s="1"/>
  <c r="O23" i="5" a="1"/>
  <c r="O23" i="5" s="1"/>
  <c r="M23" i="5"/>
  <c r="M23" i="5" a="1"/>
  <c r="K23" i="5"/>
  <c r="K23" i="5" a="1"/>
  <c r="I23" i="5"/>
  <c r="I23" i="5" a="1"/>
  <c r="H23" i="5" a="1"/>
  <c r="H23" i="5" s="1"/>
  <c r="E23" i="5" a="1"/>
  <c r="E23" i="5" s="1"/>
  <c r="AM22" i="5"/>
  <c r="AM22" i="5" a="1"/>
  <c r="AL22" i="5" a="1"/>
  <c r="AL22" i="5" s="1"/>
  <c r="AK22" i="5" a="1"/>
  <c r="AK22" i="5" s="1"/>
  <c r="AJ22" i="5" a="1"/>
  <c r="AJ22" i="5" s="1"/>
  <c r="AI22" i="5" a="1"/>
  <c r="AI22" i="5" s="1"/>
  <c r="AH22" i="5" a="1"/>
  <c r="AH22" i="5" s="1"/>
  <c r="AG22" i="5" a="1"/>
  <c r="AG22" i="5" s="1"/>
  <c r="AF22" i="5" a="1"/>
  <c r="AF22" i="5" s="1"/>
  <c r="AE22" i="5"/>
  <c r="AE22" i="5" a="1"/>
  <c r="AC22" i="5"/>
  <c r="AC22" i="5" a="1"/>
  <c r="AB22" i="5" a="1"/>
  <c r="AB22" i="5" s="1"/>
  <c r="AA22" i="5"/>
  <c r="AA22" i="5" a="1"/>
  <c r="Z22" i="5" a="1"/>
  <c r="Z22" i="5" s="1"/>
  <c r="Y22" i="5" a="1"/>
  <c r="Y22" i="5" s="1"/>
  <c r="X22" i="5"/>
  <c r="X22" i="5" a="1"/>
  <c r="W22" i="5"/>
  <c r="W22" i="5" a="1"/>
  <c r="V22" i="5"/>
  <c r="V22" i="5" a="1"/>
  <c r="T22" i="5" a="1"/>
  <c r="T22" i="5" s="1"/>
  <c r="S22" i="5" a="1"/>
  <c r="S22" i="5" s="1"/>
  <c r="R22" i="5" a="1"/>
  <c r="R22" i="5" s="1"/>
  <c r="P22" i="5"/>
  <c r="P22" i="5" a="1"/>
  <c r="O22" i="5" a="1"/>
  <c r="O22" i="5" s="1"/>
  <c r="M22" i="5"/>
  <c r="M22" i="5" a="1"/>
  <c r="K22" i="5" a="1"/>
  <c r="K22" i="5" s="1"/>
  <c r="I22" i="5" a="1"/>
  <c r="I22" i="5" s="1"/>
  <c r="H22" i="5" a="1"/>
  <c r="H22" i="5" s="1"/>
  <c r="E22" i="5"/>
  <c r="E22" i="5" a="1"/>
  <c r="AM21" i="5" a="1"/>
  <c r="AM21" i="5" s="1"/>
  <c r="AL21" i="5" a="1"/>
  <c r="AL21" i="5" s="1"/>
  <c r="AK21" i="5" a="1"/>
  <c r="AK21" i="5" s="1"/>
  <c r="AJ21" i="5"/>
  <c r="AJ21" i="5" a="1"/>
  <c r="AI21" i="5" a="1"/>
  <c r="AI21" i="5" s="1"/>
  <c r="AH21" i="5" a="1"/>
  <c r="AH21" i="5" s="1"/>
  <c r="AG21" i="5" a="1"/>
  <c r="AG21" i="5" s="1"/>
  <c r="AF21" i="5"/>
  <c r="AF21" i="5" a="1"/>
  <c r="AE21" i="5"/>
  <c r="AE21" i="5" a="1"/>
  <c r="AC21" i="5" a="1"/>
  <c r="AC21" i="5" s="1"/>
  <c r="AB21" i="5"/>
  <c r="AB21" i="5" a="1"/>
  <c r="AA21" i="5" a="1"/>
  <c r="AA21" i="5" s="1"/>
  <c r="Z21" i="5" a="1"/>
  <c r="Z21" i="5" s="1"/>
  <c r="Y21" i="5"/>
  <c r="Y21" i="5" a="1"/>
  <c r="X21" i="5"/>
  <c r="X21" i="5" a="1"/>
  <c r="W21" i="5"/>
  <c r="W21" i="5" a="1"/>
  <c r="V21" i="5" a="1"/>
  <c r="V21" i="5" s="1"/>
  <c r="T21" i="5" a="1"/>
  <c r="T21" i="5" s="1"/>
  <c r="S21" i="5"/>
  <c r="S21" i="5" a="1"/>
  <c r="R21" i="5" a="1"/>
  <c r="R21" i="5" s="1"/>
  <c r="P21" i="5" a="1"/>
  <c r="P21" i="5" s="1"/>
  <c r="O21" i="5"/>
  <c r="O21" i="5" a="1"/>
  <c r="M21" i="5" a="1"/>
  <c r="M21" i="5" s="1"/>
  <c r="K21" i="5"/>
  <c r="K21" i="5" a="1"/>
  <c r="I21" i="5" a="1"/>
  <c r="I21" i="5" s="1"/>
  <c r="H21" i="5" a="1"/>
  <c r="H21" i="5" s="1"/>
  <c r="E21" i="5" a="1"/>
  <c r="E21" i="5" s="1"/>
  <c r="AM20" i="5" a="1"/>
  <c r="AM20" i="5" s="1"/>
  <c r="AL20" i="5" a="1"/>
  <c r="AL20" i="5" s="1"/>
  <c r="AK20" i="5"/>
  <c r="AK20" i="5" a="1"/>
  <c r="AJ20" i="5" a="1"/>
  <c r="AJ20" i="5" s="1"/>
  <c r="AI20" i="5" a="1"/>
  <c r="AI20" i="5" s="1"/>
  <c r="AH20" i="5" a="1"/>
  <c r="AH20" i="5" s="1"/>
  <c r="AG20" i="5"/>
  <c r="AG20" i="5" a="1"/>
  <c r="AF20" i="5" a="1"/>
  <c r="AF20" i="5" s="1"/>
  <c r="AE20" i="5" a="1"/>
  <c r="AE20" i="5" s="1"/>
  <c r="AC20" i="5" a="1"/>
  <c r="AC20" i="5" s="1"/>
  <c r="AB20" i="5" a="1"/>
  <c r="AB20" i="5" s="1"/>
  <c r="AA20" i="5" a="1"/>
  <c r="AA20" i="5" s="1"/>
  <c r="Z20" i="5" a="1"/>
  <c r="Z20" i="5" s="1"/>
  <c r="Y20" i="5" a="1"/>
  <c r="Y20" i="5" s="1"/>
  <c r="X20" i="5" a="1"/>
  <c r="X20" i="5" s="1"/>
  <c r="W20" i="5"/>
  <c r="W20" i="5" a="1"/>
  <c r="V20" i="5" a="1"/>
  <c r="V20" i="5" s="1"/>
  <c r="T20" i="5"/>
  <c r="T20" i="5" a="1"/>
  <c r="S20" i="5" a="1"/>
  <c r="S20" i="5" s="1"/>
  <c r="R20" i="5" a="1"/>
  <c r="R20" i="5" s="1"/>
  <c r="P20" i="5" a="1"/>
  <c r="P20" i="5" s="1"/>
  <c r="O20" i="5"/>
  <c r="O20" i="5" a="1"/>
  <c r="M20" i="5" a="1"/>
  <c r="M20" i="5" s="1"/>
  <c r="K20" i="5" a="1"/>
  <c r="K20" i="5" s="1"/>
  <c r="I20" i="5" a="1"/>
  <c r="I20" i="5" s="1"/>
  <c r="H20" i="5" a="1"/>
  <c r="H20" i="5" s="1"/>
  <c r="E20" i="5" a="1"/>
  <c r="E20" i="5" s="1"/>
  <c r="AM19" i="5" a="1"/>
  <c r="AM19" i="5" s="1"/>
  <c r="AL19" i="5"/>
  <c r="AL19" i="5" a="1"/>
  <c r="AK19" i="5" a="1"/>
  <c r="AK19" i="5" s="1"/>
  <c r="AJ19" i="5"/>
  <c r="AJ19" i="5" a="1"/>
  <c r="AI19" i="5" a="1"/>
  <c r="AI19" i="5" s="1"/>
  <c r="AH19" i="5" a="1"/>
  <c r="AH19" i="5" s="1"/>
  <c r="AG19" i="5"/>
  <c r="AG19" i="5" a="1"/>
  <c r="AF19" i="5" a="1"/>
  <c r="AF19" i="5" s="1"/>
  <c r="AE19" i="5" a="1"/>
  <c r="AE19" i="5" s="1"/>
  <c r="AC19" i="5" a="1"/>
  <c r="AC19" i="5" s="1"/>
  <c r="AB19" i="5" a="1"/>
  <c r="AB19" i="5" s="1"/>
  <c r="AA19" i="5" a="1"/>
  <c r="AA19" i="5" s="1"/>
  <c r="Z19" i="5" a="1"/>
  <c r="Z19" i="5" s="1"/>
  <c r="Y19" i="5"/>
  <c r="Y19" i="5" a="1"/>
  <c r="X19" i="5"/>
  <c r="X19" i="5" a="1"/>
  <c r="W19" i="5"/>
  <c r="W19" i="5" a="1"/>
  <c r="V19" i="5" a="1"/>
  <c r="V19" i="5" s="1"/>
  <c r="T19" i="5" a="1"/>
  <c r="T19" i="5" s="1"/>
  <c r="S19" i="5" a="1"/>
  <c r="S19" i="5" s="1"/>
  <c r="R19" i="5" a="1"/>
  <c r="R19" i="5" s="1"/>
  <c r="P19" i="5"/>
  <c r="P19" i="5" a="1"/>
  <c r="O19" i="5" a="1"/>
  <c r="O19" i="5" s="1"/>
  <c r="M19" i="5" a="1"/>
  <c r="M19" i="5" s="1"/>
  <c r="K19" i="5" a="1"/>
  <c r="K19" i="5" s="1"/>
  <c r="I19" i="5"/>
  <c r="I19" i="5" a="1"/>
  <c r="H19" i="5"/>
  <c r="H19" i="5" a="1"/>
  <c r="E19" i="5" a="1"/>
  <c r="E19" i="5" s="1"/>
  <c r="AM18" i="5"/>
  <c r="AM18" i="5" a="1"/>
  <c r="AL18" i="5" a="1"/>
  <c r="AL18" i="5" s="1"/>
  <c r="AK18" i="5" a="1"/>
  <c r="AK18" i="5" s="1"/>
  <c r="AJ18" i="5" a="1"/>
  <c r="AJ18" i="5" s="1"/>
  <c r="AI18" i="5" a="1"/>
  <c r="AI18" i="5" s="1"/>
  <c r="AH18" i="5"/>
  <c r="AH18" i="5" a="1"/>
  <c r="AG18" i="5" a="1"/>
  <c r="AG18" i="5" s="1"/>
  <c r="AF18" i="5" a="1"/>
  <c r="AF18" i="5" s="1"/>
  <c r="AE18" i="5" a="1"/>
  <c r="AE18" i="5" s="1"/>
  <c r="AC18" i="5"/>
  <c r="AC18" i="5" a="1"/>
  <c r="AB18" i="5" a="1"/>
  <c r="AB18" i="5" s="1"/>
  <c r="AA18" i="5" a="1"/>
  <c r="AA18" i="5" s="1"/>
  <c r="Z18" i="5"/>
  <c r="Z18" i="5" a="1"/>
  <c r="Y18" i="5"/>
  <c r="Y18" i="5" a="1"/>
  <c r="X18" i="5" a="1"/>
  <c r="X18" i="5" s="1"/>
  <c r="W18" i="5" a="1"/>
  <c r="W18" i="5" s="1"/>
  <c r="V18" i="5" a="1"/>
  <c r="V18" i="5" s="1"/>
  <c r="T18" i="5" a="1"/>
  <c r="T18" i="5" s="1"/>
  <c r="S18" i="5" a="1"/>
  <c r="S18" i="5" s="1"/>
  <c r="R18" i="5" a="1"/>
  <c r="R18" i="5" s="1"/>
  <c r="P18" i="5" a="1"/>
  <c r="P18" i="5" s="1"/>
  <c r="O18" i="5" a="1"/>
  <c r="O18" i="5" s="1"/>
  <c r="M18" i="5"/>
  <c r="M18" i="5" a="1"/>
  <c r="K18" i="5"/>
  <c r="K18" i="5" a="1"/>
  <c r="I18" i="5"/>
  <c r="I18" i="5" a="1"/>
  <c r="H18" i="5"/>
  <c r="H18" i="5" a="1"/>
  <c r="E18" i="5"/>
  <c r="E18" i="5" a="1"/>
  <c r="AM17" i="5" a="1"/>
  <c r="AM17" i="5" s="1"/>
  <c r="AL17" i="5" a="1"/>
  <c r="AL17" i="5" s="1"/>
  <c r="AK17" i="5" a="1"/>
  <c r="AK17" i="5" s="1"/>
  <c r="AJ17" i="5" a="1"/>
  <c r="AJ17" i="5" s="1"/>
  <c r="AI17" i="5"/>
  <c r="AI17" i="5" a="1"/>
  <c r="AH17" i="5" a="1"/>
  <c r="AH17" i="5" s="1"/>
  <c r="AG17" i="5" a="1"/>
  <c r="AG17" i="5" s="1"/>
  <c r="AF17" i="5" a="1"/>
  <c r="AF17" i="5" s="1"/>
  <c r="AE17" i="5"/>
  <c r="AE17" i="5" a="1"/>
  <c r="AC17" i="5" a="1"/>
  <c r="AC17" i="5" s="1"/>
  <c r="AB17" i="5" a="1"/>
  <c r="AB17" i="5" s="1"/>
  <c r="AA17" i="5"/>
  <c r="AA17" i="5" a="1"/>
  <c r="Z17" i="5"/>
  <c r="Z17" i="5" a="1"/>
  <c r="Y17" i="5" a="1"/>
  <c r="Y17" i="5" s="1"/>
  <c r="X17" i="5" a="1"/>
  <c r="X17" i="5" s="1"/>
  <c r="W17" i="5" a="1"/>
  <c r="W17" i="5" s="1"/>
  <c r="V17" i="5" a="1"/>
  <c r="V17" i="5" s="1"/>
  <c r="T17" i="5" a="1"/>
  <c r="T17" i="5" s="1"/>
  <c r="S17" i="5" a="1"/>
  <c r="S17" i="5" s="1"/>
  <c r="R17" i="5"/>
  <c r="R17" i="5" a="1"/>
  <c r="P17" i="5" a="1"/>
  <c r="P17" i="5" s="1"/>
  <c r="O17" i="5" a="1"/>
  <c r="O17" i="5" s="1"/>
  <c r="M17" i="5" a="1"/>
  <c r="M17" i="5" s="1"/>
  <c r="K17" i="5" a="1"/>
  <c r="K17" i="5" s="1"/>
  <c r="I17" i="5" a="1"/>
  <c r="I17" i="5" s="1"/>
  <c r="H17" i="5"/>
  <c r="H17" i="5" a="1"/>
  <c r="E17" i="5" a="1"/>
  <c r="E17" i="5" s="1"/>
  <c r="AM16" i="5" a="1"/>
  <c r="AM16" i="5" s="1"/>
  <c r="AL16" i="5" a="1"/>
  <c r="AL16" i="5" s="1"/>
  <c r="AK16" i="5" a="1"/>
  <c r="AK16" i="5" s="1"/>
  <c r="AJ16" i="5" a="1"/>
  <c r="AJ16" i="5" s="1"/>
  <c r="AI16" i="5"/>
  <c r="AI16" i="5" a="1"/>
  <c r="AH16" i="5" a="1"/>
  <c r="AH16" i="5" s="1"/>
  <c r="AG16" i="5" a="1"/>
  <c r="AG16" i="5" s="1"/>
  <c r="AF16" i="5"/>
  <c r="AF16" i="5" a="1"/>
  <c r="AE16" i="5" a="1"/>
  <c r="AE16" i="5" s="1"/>
  <c r="AC16" i="5" a="1"/>
  <c r="AC16" i="5" s="1"/>
  <c r="AB16" i="5" a="1"/>
  <c r="AB16" i="5" s="1"/>
  <c r="AA16" i="5"/>
  <c r="AA16" i="5" a="1"/>
  <c r="Z16" i="5"/>
  <c r="Z16" i="5" a="1"/>
  <c r="Y16" i="5" a="1"/>
  <c r="Y16" i="5" s="1"/>
  <c r="X16" i="5" a="1"/>
  <c r="X16" i="5" s="1"/>
  <c r="W16" i="5" a="1"/>
  <c r="W16" i="5" s="1"/>
  <c r="V16" i="5" a="1"/>
  <c r="V16" i="5" s="1"/>
  <c r="T16" i="5" a="1"/>
  <c r="T16" i="5" s="1"/>
  <c r="S16" i="5"/>
  <c r="S16" i="5" a="1"/>
  <c r="R16" i="5"/>
  <c r="R16" i="5" a="1"/>
  <c r="P16" i="5" a="1"/>
  <c r="P16" i="5" s="1"/>
  <c r="O16" i="5"/>
  <c r="O16" i="5" a="1"/>
  <c r="M16" i="5" a="1"/>
  <c r="M16" i="5" s="1"/>
  <c r="K16" i="5" a="1"/>
  <c r="K16" i="5" s="1"/>
  <c r="I16" i="5"/>
  <c r="I16" i="5" a="1"/>
  <c r="H16" i="5" a="1"/>
  <c r="H16" i="5" s="1"/>
  <c r="E16" i="5" a="1"/>
  <c r="E16" i="5" s="1"/>
  <c r="AM15" i="5" a="1"/>
  <c r="AM15" i="5" s="1"/>
  <c r="AL15" i="5" a="1"/>
  <c r="AL15" i="5" s="1"/>
  <c r="AK15" i="5"/>
  <c r="AK15" i="5" a="1"/>
  <c r="AJ15" i="5"/>
  <c r="AJ15" i="5" a="1"/>
  <c r="AI15" i="5" a="1"/>
  <c r="AI15" i="5" s="1"/>
  <c r="AH15" i="5" a="1"/>
  <c r="AH15" i="5" s="1"/>
  <c r="AG15" i="5"/>
  <c r="AG15" i="5" a="1"/>
  <c r="AF15" i="5" a="1"/>
  <c r="AF15" i="5" s="1"/>
  <c r="AE15" i="5" a="1"/>
  <c r="AE15" i="5" s="1"/>
  <c r="AC15" i="5" a="1"/>
  <c r="AC15" i="5" s="1"/>
  <c r="AB15" i="5"/>
  <c r="AB15" i="5" a="1"/>
  <c r="AA15" i="5"/>
  <c r="AA15" i="5" a="1"/>
  <c r="Z15" i="5" a="1"/>
  <c r="Z15" i="5" s="1"/>
  <c r="Y15" i="5"/>
  <c r="Y15" i="5" a="1"/>
  <c r="X15" i="5" a="1"/>
  <c r="X15" i="5" s="1"/>
  <c r="W15" i="5" a="1"/>
  <c r="W15" i="5" s="1"/>
  <c r="V15" i="5"/>
  <c r="V15" i="5" a="1"/>
  <c r="T15" i="5"/>
  <c r="T15" i="5" a="1"/>
  <c r="S15" i="5"/>
  <c r="S15" i="5" a="1"/>
  <c r="R15" i="5" a="1"/>
  <c r="R15" i="5" s="1"/>
  <c r="P15" i="5"/>
  <c r="P15" i="5" a="1"/>
  <c r="O15" i="5" a="1"/>
  <c r="O15" i="5" s="1"/>
  <c r="N15" i="5" a="1"/>
  <c r="N15" i="5" s="1"/>
  <c r="M15" i="5" a="1"/>
  <c r="M15" i="5" s="1"/>
  <c r="K15" i="5"/>
  <c r="K15" i="5" a="1"/>
  <c r="I15" i="5" a="1"/>
  <c r="I15" i="5" s="1"/>
  <c r="H15" i="5" a="1"/>
  <c r="H15" i="5" s="1"/>
  <c r="F15" i="5" a="1"/>
  <c r="F15" i="5" s="1"/>
  <c r="E15" i="5" a="1"/>
  <c r="E15" i="5" s="1"/>
  <c r="AM14" i="5" a="1"/>
  <c r="AM14" i="5" s="1"/>
  <c r="AL14" i="5"/>
  <c r="AL14" i="5" a="1"/>
  <c r="AK14" i="5"/>
  <c r="AK14" i="5" a="1"/>
  <c r="AJ14" i="5" a="1"/>
  <c r="AJ14" i="5" s="1"/>
  <c r="AI14" i="5" a="1"/>
  <c r="AI14" i="5" s="1"/>
  <c r="AH14" i="5" a="1"/>
  <c r="AH14" i="5" s="1"/>
  <c r="AG14" i="5" a="1"/>
  <c r="AG14" i="5" s="1"/>
  <c r="AF14" i="5" a="1"/>
  <c r="AF14" i="5" s="1"/>
  <c r="AE14" i="5" a="1"/>
  <c r="AE14" i="5" s="1"/>
  <c r="AC14" i="5"/>
  <c r="AC14" i="5" a="1"/>
  <c r="AB14" i="5" a="1"/>
  <c r="AB14" i="5" s="1"/>
  <c r="AA14" i="5" a="1"/>
  <c r="AA14" i="5" s="1"/>
  <c r="Z14" i="5" a="1"/>
  <c r="Z14" i="5" s="1"/>
  <c r="Y14" i="5"/>
  <c r="Y14" i="5" a="1"/>
  <c r="X14" i="5" a="1"/>
  <c r="X14" i="5" s="1"/>
  <c r="W14" i="5" a="1"/>
  <c r="W14" i="5" s="1"/>
  <c r="V14" i="5" a="1"/>
  <c r="V14" i="5" s="1"/>
  <c r="T14" i="5"/>
  <c r="T14" i="5" a="1"/>
  <c r="S14" i="5" a="1"/>
  <c r="S14" i="5" s="1"/>
  <c r="R14" i="5" a="1"/>
  <c r="R14" i="5" s="1"/>
  <c r="P14" i="5" a="1"/>
  <c r="P14" i="5" s="1"/>
  <c r="O14" i="5" a="1"/>
  <c r="O14" i="5" s="1"/>
  <c r="N14" i="5" a="1"/>
  <c r="N14" i="5" s="1"/>
  <c r="M14" i="5"/>
  <c r="M14" i="5" a="1"/>
  <c r="K14" i="5" a="1"/>
  <c r="K14" i="5" s="1"/>
  <c r="I14" i="5" a="1"/>
  <c r="I14" i="5" s="1"/>
  <c r="H14" i="5"/>
  <c r="H14" i="5" a="1"/>
  <c r="F14" i="5" a="1"/>
  <c r="F14" i="5" s="1"/>
  <c r="E14" i="5" a="1"/>
  <c r="E14" i="5" s="1"/>
  <c r="AM13" i="5"/>
  <c r="AM13" i="5" a="1"/>
  <c r="AL13" i="5"/>
  <c r="AL13" i="5" a="1"/>
  <c r="AK13" i="5" a="1"/>
  <c r="AK13" i="5" s="1"/>
  <c r="AJ13" i="5" a="1"/>
  <c r="AJ13" i="5" s="1"/>
  <c r="AI13" i="5"/>
  <c r="AI13" i="5" a="1"/>
  <c r="AH13" i="5" a="1"/>
  <c r="AH13" i="5" s="1"/>
  <c r="AG13" i="5" a="1"/>
  <c r="AG13" i="5" s="1"/>
  <c r="AF13" i="5"/>
  <c r="AF13" i="5" a="1"/>
  <c r="AE13" i="5" a="1"/>
  <c r="AE13" i="5" s="1"/>
  <c r="AC13" i="5" a="1"/>
  <c r="AC13" i="5" s="1"/>
  <c r="AB13" i="5" a="1"/>
  <c r="AB13" i="5" s="1"/>
  <c r="AA13" i="5" a="1"/>
  <c r="AA13" i="5" s="1"/>
  <c r="Z13" i="5"/>
  <c r="Z13" i="5" a="1"/>
  <c r="Y13" i="5" a="1"/>
  <c r="Y13" i="5" s="1"/>
  <c r="X13" i="5" a="1"/>
  <c r="X13" i="5" s="1"/>
  <c r="W13" i="5" a="1"/>
  <c r="W13" i="5" s="1"/>
  <c r="V13" i="5" a="1"/>
  <c r="V13" i="5" s="1"/>
  <c r="T13" i="5" a="1"/>
  <c r="T13" i="5" s="1"/>
  <c r="S13" i="5" a="1"/>
  <c r="S13" i="5" s="1"/>
  <c r="R13" i="5" a="1"/>
  <c r="R13" i="5" s="1"/>
  <c r="P13" i="5" a="1"/>
  <c r="P13" i="5" s="1"/>
  <c r="O13" i="5" a="1"/>
  <c r="O13" i="5" s="1"/>
  <c r="N13" i="5"/>
  <c r="N13" i="5" a="1"/>
  <c r="M13" i="5" a="1"/>
  <c r="M13" i="5" s="1"/>
  <c r="K13" i="5" a="1"/>
  <c r="K13" i="5" s="1"/>
  <c r="I13" i="5"/>
  <c r="I13" i="5" a="1"/>
  <c r="H13" i="5" a="1"/>
  <c r="H13" i="5" s="1"/>
  <c r="F13" i="5" a="1"/>
  <c r="F13" i="5" s="1"/>
  <c r="E13" i="5" a="1"/>
  <c r="E13" i="5" s="1"/>
  <c r="AM12" i="5" a="1"/>
  <c r="AM12" i="5" s="1"/>
  <c r="AL12" i="5"/>
  <c r="AL12" i="5" a="1"/>
  <c r="AK12" i="5" a="1"/>
  <c r="AK12" i="5" s="1"/>
  <c r="AJ12" i="5" a="1"/>
  <c r="AJ12" i="5" s="1"/>
  <c r="AI12" i="5" a="1"/>
  <c r="AI12" i="5" s="1"/>
  <c r="AH12" i="5" a="1"/>
  <c r="AH12" i="5" s="1"/>
  <c r="AG12" i="5" a="1"/>
  <c r="AG12" i="5" s="1"/>
  <c r="AF12" i="5" a="1"/>
  <c r="AF12" i="5" s="1"/>
  <c r="AE12" i="5" a="1"/>
  <c r="AE12" i="5" s="1"/>
  <c r="AC12" i="5" a="1"/>
  <c r="AC12" i="5" s="1"/>
  <c r="AB12" i="5" a="1"/>
  <c r="AB12" i="5" s="1"/>
  <c r="AA12" i="5"/>
  <c r="AA12" i="5" a="1"/>
  <c r="Z12" i="5" a="1"/>
  <c r="Z12" i="5" s="1"/>
  <c r="Y12" i="5" a="1"/>
  <c r="Y12" i="5" s="1"/>
  <c r="X12" i="5" a="1"/>
  <c r="X12" i="5" s="1"/>
  <c r="W12" i="5" a="1"/>
  <c r="W12" i="5" s="1"/>
  <c r="V12" i="5" a="1"/>
  <c r="V12" i="5" s="1"/>
  <c r="T12" i="5" a="1"/>
  <c r="T12" i="5" s="1"/>
  <c r="S12" i="5" a="1"/>
  <c r="S12" i="5" s="1"/>
  <c r="R12" i="5" a="1"/>
  <c r="R12" i="5" s="1"/>
  <c r="P12" i="5" a="1"/>
  <c r="P12" i="5" s="1"/>
  <c r="O12" i="5" a="1"/>
  <c r="O12" i="5" s="1"/>
  <c r="N12" i="5" a="1"/>
  <c r="N12" i="5" s="1"/>
  <c r="M12" i="5"/>
  <c r="M12" i="5" a="1"/>
  <c r="K12" i="5" a="1"/>
  <c r="K12" i="5" s="1"/>
  <c r="I12" i="5" a="1"/>
  <c r="I12" i="5" s="1"/>
  <c r="H12" i="5" a="1"/>
  <c r="H12" i="5" s="1"/>
  <c r="F12" i="5" a="1"/>
  <c r="F12" i="5" s="1"/>
  <c r="E12" i="5" a="1"/>
  <c r="E12" i="5" s="1"/>
  <c r="AM11" i="5" a="1"/>
  <c r="AM11" i="5" s="1"/>
  <c r="AL11" i="5"/>
  <c r="AL11" i="5" a="1"/>
  <c r="AK11" i="5" a="1"/>
  <c r="AK11" i="5" s="1"/>
  <c r="AJ11" i="5" a="1"/>
  <c r="AJ11" i="5" s="1"/>
  <c r="AI11" i="5" a="1"/>
  <c r="AI11" i="5" s="1"/>
  <c r="AH11" i="5"/>
  <c r="AH11" i="5" a="1"/>
  <c r="AG11" i="5"/>
  <c r="AG11" i="5" a="1"/>
  <c r="AF11" i="5" a="1"/>
  <c r="AF11" i="5" s="1"/>
  <c r="AE11" i="5"/>
  <c r="AE11" i="5" a="1"/>
  <c r="AC11" i="5" a="1"/>
  <c r="AC11" i="5" s="1"/>
  <c r="AB11" i="5"/>
  <c r="AB11" i="5" a="1"/>
  <c r="AA11" i="5" a="1"/>
  <c r="AA11" i="5" s="1"/>
  <c r="Z11" i="5" a="1"/>
  <c r="Z11" i="5" s="1"/>
  <c r="Y11" i="5"/>
  <c r="Y11" i="5" a="1"/>
  <c r="X11" i="5"/>
  <c r="X11" i="5" a="1"/>
  <c r="W11" i="5"/>
  <c r="W11" i="5" a="1"/>
  <c r="V11" i="5" a="1"/>
  <c r="V11" i="5" s="1"/>
  <c r="T11" i="5" a="1"/>
  <c r="T11" i="5" s="1"/>
  <c r="S11" i="5" a="1"/>
  <c r="S11" i="5" s="1"/>
  <c r="R11" i="5" a="1"/>
  <c r="R11" i="5" s="1"/>
  <c r="P11" i="5" a="1"/>
  <c r="P11" i="5" s="1"/>
  <c r="O11" i="5"/>
  <c r="O11" i="5" a="1"/>
  <c r="N11" i="5"/>
  <c r="N11" i="5" a="1"/>
  <c r="M11" i="5" a="1"/>
  <c r="M11" i="5" s="1"/>
  <c r="K11" i="5" a="1"/>
  <c r="K11" i="5" s="1"/>
  <c r="I11" i="5" a="1"/>
  <c r="I11" i="5" s="1"/>
  <c r="H11" i="5" a="1"/>
  <c r="H11" i="5" s="1"/>
  <c r="F11" i="5"/>
  <c r="F11" i="5" a="1"/>
  <c r="E11" i="5" a="1"/>
  <c r="E11" i="5" s="1"/>
  <c r="AM10" i="5"/>
  <c r="AM10" i="5" a="1"/>
  <c r="AL10" i="5" a="1"/>
  <c r="AL10" i="5" s="1"/>
  <c r="AK10" i="5"/>
  <c r="AK10" i="5" a="1"/>
  <c r="AJ10" i="5"/>
  <c r="AJ10" i="5" a="1"/>
  <c r="AI10" i="5" a="1"/>
  <c r="AI10" i="5" s="1"/>
  <c r="AH10" i="5" a="1"/>
  <c r="AH10" i="5" s="1"/>
  <c r="AG10" i="5" a="1"/>
  <c r="AG10" i="5" s="1"/>
  <c r="AF10" i="5"/>
  <c r="AF10" i="5" a="1"/>
  <c r="AE10" i="5" a="1"/>
  <c r="AE10" i="5" s="1"/>
  <c r="AC10" i="5" a="1"/>
  <c r="AC10" i="5" s="1"/>
  <c r="AB10" i="5" a="1"/>
  <c r="AB10" i="5" s="1"/>
  <c r="AA10" i="5" a="1"/>
  <c r="AA10" i="5" s="1"/>
  <c r="Z10" i="5" a="1"/>
  <c r="Z10" i="5" s="1"/>
  <c r="Y10" i="5" a="1"/>
  <c r="Y10" i="5" s="1"/>
  <c r="X10" i="5" a="1"/>
  <c r="X10" i="5" s="1"/>
  <c r="W10" i="5" a="1"/>
  <c r="W10" i="5" s="1"/>
  <c r="V10" i="5" a="1"/>
  <c r="V10" i="5" s="1"/>
  <c r="T10" i="5"/>
  <c r="T10" i="5" a="1"/>
  <c r="S10" i="5"/>
  <c r="S10" i="5" a="1"/>
  <c r="R10" i="5" a="1"/>
  <c r="R10" i="5" s="1"/>
  <c r="P10" i="5" a="1"/>
  <c r="P10" i="5" s="1"/>
  <c r="O10" i="5"/>
  <c r="O10" i="5" a="1"/>
  <c r="N10" i="5" a="1"/>
  <c r="N10" i="5" s="1"/>
  <c r="M10" i="5"/>
  <c r="M10" i="5" a="1"/>
  <c r="K10" i="5" a="1"/>
  <c r="K10" i="5" s="1"/>
  <c r="I10" i="5"/>
  <c r="I10" i="5" a="1"/>
  <c r="H10" i="5"/>
  <c r="H10" i="5" a="1"/>
  <c r="F10" i="5" a="1"/>
  <c r="F10" i="5" s="1"/>
  <c r="E10" i="5" a="1"/>
  <c r="E10" i="5" s="1"/>
  <c r="AM9" i="5" a="1"/>
  <c r="AM9" i="5" s="1"/>
  <c r="AL9" i="5"/>
  <c r="AL9" i="5" a="1"/>
  <c r="AK9" i="5"/>
  <c r="AK9" i="5" a="1"/>
  <c r="AJ9" i="5"/>
  <c r="AJ9" i="5" a="1"/>
  <c r="AI9" i="5"/>
  <c r="AI9" i="5" a="1"/>
  <c r="AH9" i="5"/>
  <c r="AH9" i="5" a="1"/>
  <c r="AG9" i="5" a="1"/>
  <c r="AG9" i="5" s="1"/>
  <c r="AF9" i="5" a="1"/>
  <c r="AF9" i="5" s="1"/>
  <c r="AE9" i="5" a="1"/>
  <c r="AE9" i="5" s="1"/>
  <c r="AC9" i="5" a="1"/>
  <c r="AC9" i="5" s="1"/>
  <c r="AB9" i="5" a="1"/>
  <c r="AB9" i="5" s="1"/>
  <c r="AA9" i="5" a="1"/>
  <c r="AA9" i="5" s="1"/>
  <c r="Z9" i="5"/>
  <c r="Z9" i="5" a="1"/>
  <c r="Y9" i="5" a="1"/>
  <c r="Y9" i="5" s="1"/>
  <c r="X9" i="5"/>
  <c r="X9" i="5" a="1"/>
  <c r="W9" i="5" a="1"/>
  <c r="W9" i="5" s="1"/>
  <c r="V9" i="5" a="1"/>
  <c r="V9" i="5" s="1"/>
  <c r="T9" i="5"/>
  <c r="T9" i="5" a="1"/>
  <c r="S9" i="5" a="1"/>
  <c r="S9" i="5" s="1"/>
  <c r="R9" i="5" a="1"/>
  <c r="R9" i="5" s="1"/>
  <c r="P9" i="5"/>
  <c r="P9" i="5" a="1"/>
  <c r="O9" i="5" a="1"/>
  <c r="O9" i="5" s="1"/>
  <c r="N9" i="5"/>
  <c r="N9" i="5" a="1"/>
  <c r="M9" i="5"/>
  <c r="M9" i="5" a="1"/>
  <c r="K9" i="5" a="1"/>
  <c r="K9" i="5" s="1"/>
  <c r="I9" i="5"/>
  <c r="I9" i="5" a="1"/>
  <c r="H9" i="5"/>
  <c r="H9" i="5" a="1"/>
  <c r="F9" i="5" a="1"/>
  <c r="F9" i="5" s="1"/>
  <c r="E9" i="5"/>
  <c r="E9" i="5" a="1"/>
  <c r="AM8" i="5" a="1"/>
  <c r="AM8" i="5" s="1"/>
  <c r="AL8" i="5" a="1"/>
  <c r="AL8" i="5" s="1"/>
  <c r="AK8" i="5" a="1"/>
  <c r="AK8" i="5" s="1"/>
  <c r="AJ8" i="5" a="1"/>
  <c r="AJ8" i="5" s="1"/>
  <c r="AI8" i="5"/>
  <c r="AI8" i="5" a="1"/>
  <c r="AH8" i="5" a="1"/>
  <c r="AH8" i="5" s="1"/>
  <c r="AG8" i="5" a="1"/>
  <c r="AG8" i="5" s="1"/>
  <c r="AF8" i="5"/>
  <c r="AF8" i="5" a="1"/>
  <c r="AE8" i="5" a="1"/>
  <c r="AE8" i="5" s="1"/>
  <c r="AC8" i="5" a="1"/>
  <c r="AC8" i="5" s="1"/>
  <c r="AB8" i="5" a="1"/>
  <c r="AB8" i="5" s="1"/>
  <c r="AA8" i="5"/>
  <c r="AA8" i="5" a="1"/>
  <c r="Z8" i="5" a="1"/>
  <c r="Z8" i="5" s="1"/>
  <c r="Y8" i="5" a="1"/>
  <c r="Y8" i="5" s="1"/>
  <c r="X8" i="5"/>
  <c r="X8" i="5" a="1"/>
  <c r="W8" i="5" a="1"/>
  <c r="W8" i="5" s="1"/>
  <c r="V8" i="5"/>
  <c r="V8" i="5" a="1"/>
  <c r="T8" i="5" a="1"/>
  <c r="T8" i="5" s="1"/>
  <c r="S8" i="5"/>
  <c r="S8" i="5" a="1"/>
  <c r="R8" i="5" a="1"/>
  <c r="R8" i="5" s="1"/>
  <c r="P8" i="5"/>
  <c r="P8" i="5" a="1"/>
  <c r="O8" i="5" a="1"/>
  <c r="O8" i="5" s="1"/>
  <c r="N8" i="5"/>
  <c r="N8" i="5" a="1"/>
  <c r="M8" i="5"/>
  <c r="M8" i="5" a="1"/>
  <c r="K8" i="5"/>
  <c r="K8" i="5" a="1"/>
  <c r="I8" i="5" a="1"/>
  <c r="I8" i="5" s="1"/>
  <c r="H8" i="5"/>
  <c r="H8" i="5" a="1"/>
  <c r="F8" i="5" a="1"/>
  <c r="F8" i="5" s="1"/>
  <c r="E8" i="5" a="1"/>
  <c r="E8" i="5" s="1"/>
  <c r="AM7" i="5" a="1"/>
  <c r="AM7" i="5" s="1"/>
  <c r="AL7" i="5"/>
  <c r="AL7" i="5" a="1"/>
  <c r="AK7" i="5" a="1"/>
  <c r="AK7" i="5" s="1"/>
  <c r="AJ7" i="5" a="1"/>
  <c r="AJ7" i="5" s="1"/>
  <c r="AI7" i="5"/>
  <c r="AI7" i="5" a="1"/>
  <c r="AH7" i="5" a="1"/>
  <c r="AH7" i="5" s="1"/>
  <c r="AG7" i="5" a="1"/>
  <c r="AG7" i="5" s="1"/>
  <c r="AF7" i="5" a="1"/>
  <c r="AF7" i="5" s="1"/>
  <c r="AE7" i="5" a="1"/>
  <c r="AE7" i="5" s="1"/>
  <c r="AC7" i="5" a="1"/>
  <c r="AC7" i="5" s="1"/>
  <c r="AB7" i="5" a="1"/>
  <c r="AB7" i="5" s="1"/>
  <c r="AA7" i="5"/>
  <c r="AA7" i="5" a="1"/>
  <c r="Z7" i="5" a="1"/>
  <c r="Z7" i="5" s="1"/>
  <c r="Y7" i="5" a="1"/>
  <c r="Y7" i="5" s="1"/>
  <c r="X7" i="5" a="1"/>
  <c r="X7" i="5" s="1"/>
  <c r="W7" i="5"/>
  <c r="W7" i="5" a="1"/>
  <c r="V7" i="5" a="1"/>
  <c r="V7" i="5" s="1"/>
  <c r="T7" i="5" a="1"/>
  <c r="T7" i="5" s="1"/>
  <c r="S7" i="5"/>
  <c r="S7" i="5" a="1"/>
  <c r="R7" i="5" a="1"/>
  <c r="R7" i="5" s="1"/>
  <c r="P7" i="5" a="1"/>
  <c r="P7" i="5" s="1"/>
  <c r="O7" i="5" a="1"/>
  <c r="O7" i="5" s="1"/>
  <c r="N7" i="5"/>
  <c r="N7" i="5" a="1"/>
  <c r="M7" i="5" a="1"/>
  <c r="M7" i="5" s="1"/>
  <c r="K7" i="5"/>
  <c r="K7" i="5" a="1"/>
  <c r="I7" i="5"/>
  <c r="I7" i="5" a="1"/>
  <c r="H7" i="5" a="1"/>
  <c r="H7" i="5" s="1"/>
  <c r="F7" i="5" a="1"/>
  <c r="F7" i="5" s="1"/>
  <c r="E7" i="5" a="1"/>
  <c r="E7" i="5" s="1"/>
  <c r="AM6" i="5" a="1"/>
  <c r="AM6" i="5" s="1"/>
  <c r="AL6" i="5"/>
  <c r="AL6" i="5" a="1"/>
  <c r="AK6" i="5" a="1"/>
  <c r="AK6" i="5" s="1"/>
  <c r="AJ6" i="5"/>
  <c r="AJ6" i="5" a="1"/>
  <c r="AI6" i="5"/>
  <c r="AI6" i="5" a="1"/>
  <c r="AH6" i="5" a="1"/>
  <c r="AH6" i="5" s="1"/>
  <c r="AG6" i="5" a="1"/>
  <c r="AG6" i="5" s="1"/>
  <c r="AF6" i="5" a="1"/>
  <c r="AF6" i="5" s="1"/>
  <c r="AE6" i="5" a="1"/>
  <c r="AE6" i="5" s="1"/>
  <c r="AC6" i="5" a="1"/>
  <c r="AC6" i="5" s="1"/>
  <c r="AB6" i="5" a="1"/>
  <c r="AB6" i="5" s="1"/>
  <c r="AA6" i="5" a="1"/>
  <c r="AA6" i="5" s="1"/>
  <c r="Z6" i="5" a="1"/>
  <c r="Z6" i="5" s="1"/>
  <c r="Y6" i="5" a="1"/>
  <c r="Y6" i="5" s="1"/>
  <c r="X6" i="5" a="1"/>
  <c r="X6" i="5" s="1"/>
  <c r="W6" i="5" a="1"/>
  <c r="W6" i="5" s="1"/>
  <c r="V6" i="5"/>
  <c r="V6" i="5" a="1"/>
  <c r="T6" i="5" a="1"/>
  <c r="T6" i="5" s="1"/>
  <c r="S6" i="5" a="1"/>
  <c r="S6" i="5" s="1"/>
  <c r="R6" i="5" a="1"/>
  <c r="R6" i="5" s="1"/>
  <c r="P6" i="5" a="1"/>
  <c r="P6" i="5" s="1"/>
  <c r="O6" i="5" a="1"/>
  <c r="O6" i="5" s="1"/>
  <c r="N6" i="5"/>
  <c r="N6" i="5" a="1"/>
  <c r="M6" i="5" a="1"/>
  <c r="M6" i="5" s="1"/>
  <c r="K6" i="5" a="1"/>
  <c r="K6" i="5" s="1"/>
  <c r="I6" i="5" a="1"/>
  <c r="I6" i="5" s="1"/>
  <c r="H6" i="5" a="1"/>
  <c r="H6" i="5" s="1"/>
  <c r="F6" i="5"/>
  <c r="F6" i="5" a="1"/>
  <c r="E6" i="5" a="1"/>
  <c r="E6" i="5" s="1"/>
  <c r="AM5" i="5" a="1"/>
  <c r="AM5" i="5" s="1"/>
  <c r="AL5" i="5" a="1"/>
  <c r="AL5" i="5" s="1"/>
  <c r="AK5" i="5" a="1"/>
  <c r="AK5" i="5" s="1"/>
  <c r="AJ5" i="5" a="1"/>
  <c r="AJ5" i="5" s="1"/>
  <c r="AI5" i="5" a="1"/>
  <c r="AI5" i="5" s="1"/>
  <c r="AH5" i="5"/>
  <c r="AH5" i="5" a="1"/>
  <c r="AG5" i="5"/>
  <c r="AG5" i="5" a="1"/>
  <c r="AF5" i="5" a="1"/>
  <c r="AF5" i="5" s="1"/>
  <c r="AE5" i="5" a="1"/>
  <c r="AE5" i="5" s="1"/>
  <c r="AC5" i="5" a="1"/>
  <c r="AC5" i="5" s="1"/>
  <c r="AB5" i="5" a="1"/>
  <c r="AB5" i="5" s="1"/>
  <c r="AA5" i="5" a="1"/>
  <c r="AA5" i="5" s="1"/>
  <c r="Z5" i="5"/>
  <c r="Z5" i="5" a="1"/>
  <c r="Y5" i="5"/>
  <c r="Y5" i="5" a="1"/>
  <c r="X5" i="5" a="1"/>
  <c r="X5" i="5" s="1"/>
  <c r="W5" i="5" a="1"/>
  <c r="W5" i="5" s="1"/>
  <c r="V5" i="5" a="1"/>
  <c r="V5" i="5" s="1"/>
  <c r="T5" i="5" a="1"/>
  <c r="T5" i="5" s="1"/>
  <c r="S5" i="5" a="1"/>
  <c r="S5" i="5" s="1"/>
  <c r="R5" i="5" a="1"/>
  <c r="R5" i="5" s="1"/>
  <c r="P5" i="5" a="1"/>
  <c r="P5" i="5" s="1"/>
  <c r="O5" i="5"/>
  <c r="O5" i="5" a="1"/>
  <c r="N5" i="5"/>
  <c r="N5" i="5" a="1"/>
  <c r="M5" i="5" a="1"/>
  <c r="M5" i="5" s="1"/>
  <c r="K5" i="5" a="1"/>
  <c r="K5" i="5" s="1"/>
  <c r="I5" i="5"/>
  <c r="I5" i="5" a="1"/>
  <c r="H5" i="5" a="1"/>
  <c r="H5" i="5" s="1"/>
  <c r="F5" i="5"/>
  <c r="F5" i="5" a="1"/>
  <c r="E5" i="5"/>
  <c r="E5" i="5" a="1"/>
  <c r="D6" i="5" a="1"/>
  <c r="D6" i="5" s="1"/>
  <c r="D7" i="5" a="1"/>
  <c r="D7" i="5"/>
  <c r="D8" i="5" a="1"/>
  <c r="D8" i="5" s="1"/>
  <c r="D9" i="5" a="1"/>
  <c r="D9" i="5" s="1"/>
  <c r="D10" i="5" a="1"/>
  <c r="D10" i="5"/>
  <c r="D11" i="5" a="1"/>
  <c r="D11" i="5"/>
  <c r="D12" i="5" a="1"/>
  <c r="D12" i="5"/>
  <c r="D13" i="5" a="1"/>
  <c r="D13" i="5"/>
  <c r="D14" i="5" a="1"/>
  <c r="D14" i="5" s="1"/>
  <c r="D15" i="5" a="1"/>
  <c r="D15" i="5"/>
  <c r="D16" i="5" a="1"/>
  <c r="D16" i="5" s="1"/>
  <c r="D17" i="5" a="1"/>
  <c r="D17" i="5" s="1"/>
  <c r="D18" i="5" a="1"/>
  <c r="D18" i="5"/>
  <c r="D19" i="5" a="1"/>
  <c r="D19" i="5"/>
  <c r="D20" i="5" a="1"/>
  <c r="D20" i="5"/>
  <c r="D21" i="5" a="1"/>
  <c r="D21" i="5"/>
  <c r="D22" i="5" a="1"/>
  <c r="D22" i="5" s="1"/>
  <c r="D23" i="5" a="1"/>
  <c r="D23" i="5"/>
  <c r="D24" i="5" a="1"/>
  <c r="D24" i="5" s="1"/>
  <c r="D25" i="5" a="1"/>
  <c r="D25" i="5" s="1"/>
  <c r="D26" i="5" a="1"/>
  <c r="D26" i="5"/>
  <c r="D27" i="5" a="1"/>
  <c r="D27" i="5"/>
  <c r="D28" i="5" a="1"/>
  <c r="D28" i="5"/>
  <c r="D29" i="5" a="1"/>
  <c r="D29" i="5"/>
  <c r="D30" i="5" a="1"/>
  <c r="D30" i="5" s="1"/>
  <c r="D31" i="5" a="1"/>
  <c r="D31" i="5"/>
  <c r="D32" i="5" a="1"/>
  <c r="D32" i="5" s="1"/>
  <c r="D33" i="5" a="1"/>
  <c r="D33" i="5" s="1"/>
  <c r="D34" i="5" a="1"/>
  <c r="D34" i="5"/>
  <c r="D35" i="5" a="1"/>
  <c r="D35" i="5"/>
  <c r="D36" i="5" a="1"/>
  <c r="D36" i="5"/>
  <c r="D37" i="5" a="1"/>
  <c r="D37" i="5"/>
  <c r="D38" i="5" a="1"/>
  <c r="D38" i="5" s="1"/>
  <c r="D39" i="5" a="1"/>
  <c r="D39" i="5"/>
  <c r="D40" i="5" a="1"/>
  <c r="D40" i="5" s="1"/>
  <c r="D41" i="5" a="1"/>
  <c r="D41" i="5" s="1"/>
  <c r="D42" i="5" a="1"/>
  <c r="D42" i="5"/>
  <c r="D43" i="5" a="1"/>
  <c r="D43" i="5"/>
  <c r="D44" i="5" a="1"/>
  <c r="D44" i="5"/>
  <c r="D45" i="5" a="1"/>
  <c r="D45" i="5"/>
  <c r="D46" i="5" a="1"/>
  <c r="D46" i="5" s="1"/>
  <c r="D47" i="5" a="1"/>
  <c r="D47" i="5"/>
  <c r="D48" i="5" a="1"/>
  <c r="D48" i="5" s="1"/>
  <c r="D49" i="5" a="1"/>
  <c r="D49" i="5" s="1"/>
  <c r="D50" i="5" a="1"/>
  <c r="D50" i="5"/>
  <c r="D51" i="5" a="1"/>
  <c r="D51" i="5"/>
  <c r="D52" i="5" a="1"/>
  <c r="D52" i="5"/>
  <c r="D53" i="5" a="1"/>
  <c r="D53" i="5"/>
  <c r="D54" i="5" a="1"/>
  <c r="D54" i="5" s="1"/>
  <c r="D55" i="5" a="1"/>
  <c r="D55" i="5"/>
  <c r="D56" i="5" a="1"/>
  <c r="D56" i="5" s="1"/>
  <c r="D57" i="5" a="1"/>
  <c r="D57" i="5" s="1"/>
  <c r="D58" i="5" a="1"/>
  <c r="D58" i="5"/>
  <c r="D59" i="5" a="1"/>
  <c r="D59" i="5"/>
  <c r="D60" i="5" a="1"/>
  <c r="D60" i="5"/>
  <c r="D61" i="5" a="1"/>
  <c r="D61" i="5"/>
  <c r="D62" i="5" a="1"/>
  <c r="D62" i="5" s="1"/>
  <c r="D63" i="5" a="1"/>
  <c r="D63" i="5"/>
  <c r="D64" i="5" a="1"/>
  <c r="D64" i="5" s="1"/>
  <c r="D65" i="5" a="1"/>
  <c r="D65" i="5" s="1"/>
  <c r="D66" i="5" a="1"/>
  <c r="D66" i="5"/>
  <c r="D67" i="5" a="1"/>
  <c r="D67" i="5"/>
  <c r="D68" i="5" a="1"/>
  <c r="D68" i="5"/>
  <c r="D69" i="5" a="1"/>
  <c r="D69" i="5"/>
  <c r="D70" i="5" a="1"/>
  <c r="D70" i="5" s="1"/>
  <c r="D71" i="5" a="1"/>
  <c r="D71" i="5"/>
  <c r="D72" i="5" a="1"/>
  <c r="D72" i="5" s="1"/>
  <c r="D73" i="5" a="1"/>
  <c r="D73" i="5" s="1"/>
  <c r="D74" i="5" a="1"/>
  <c r="D74" i="5"/>
  <c r="D75" i="5" a="1"/>
  <c r="D75" i="5"/>
  <c r="D76" i="5" a="1"/>
  <c r="D76" i="5"/>
  <c r="D77" i="5" a="1"/>
  <c r="D77" i="5"/>
  <c r="D78" i="5" a="1"/>
  <c r="D78" i="5" s="1"/>
  <c r="D79" i="5" a="1"/>
  <c r="D79" i="5"/>
  <c r="D80" i="5" a="1"/>
  <c r="D80" i="5" s="1"/>
  <c r="D81" i="5" a="1"/>
  <c r="D81" i="5" s="1"/>
  <c r="D82" i="5" a="1"/>
  <c r="D82" i="5"/>
  <c r="D83" i="5" a="1"/>
  <c r="D83" i="5"/>
  <c r="D84" i="5" a="1"/>
  <c r="D84" i="5"/>
  <c r="D85" i="5" a="1"/>
  <c r="D85" i="5"/>
  <c r="D86" i="5" a="1"/>
  <c r="D86" i="5" s="1"/>
  <c r="D87" i="5" a="1"/>
  <c r="D87" i="5"/>
  <c r="D88" i="5" a="1"/>
  <c r="D88" i="5" s="1"/>
  <c r="D89" i="5" a="1"/>
  <c r="D89" i="5" s="1"/>
  <c r="D90" i="5" a="1"/>
  <c r="D90" i="5"/>
  <c r="D91" i="5" a="1"/>
  <c r="D91" i="5"/>
  <c r="D92" i="5" a="1"/>
  <c r="D92" i="5"/>
  <c r="D93" i="5" a="1"/>
  <c r="D93" i="5"/>
  <c r="D94" i="5" a="1"/>
  <c r="D94" i="5" s="1"/>
  <c r="D95" i="5" a="1"/>
  <c r="D95" i="5"/>
  <c r="D96" i="5" a="1"/>
  <c r="D96" i="5" s="1"/>
  <c r="D97" i="5" a="1"/>
  <c r="D97" i="5" s="1"/>
  <c r="D98" i="5" a="1"/>
  <c r="D98" i="5"/>
  <c r="D99" i="5" a="1"/>
  <c r="D99" i="5"/>
  <c r="D100" i="5" a="1"/>
  <c r="D100" i="5"/>
  <c r="D101" i="5" a="1"/>
  <c r="D101" i="5"/>
  <c r="D102" i="5" a="1"/>
  <c r="D102" i="5" s="1"/>
  <c r="D103" i="5" a="1"/>
  <c r="D103" i="5"/>
  <c r="D104" i="5" a="1"/>
  <c r="D104" i="5" s="1"/>
  <c r="D105" i="5" a="1"/>
  <c r="D105" i="5" s="1"/>
  <c r="D106" i="5" a="1"/>
  <c r="D106" i="5"/>
  <c r="D107" i="5" a="1"/>
  <c r="D107" i="5"/>
  <c r="D108" i="5" a="1"/>
  <c r="D108" i="5"/>
  <c r="D109" i="5" a="1"/>
  <c r="D109" i="5"/>
  <c r="D110" i="5" a="1"/>
  <c r="D110" i="5" s="1"/>
  <c r="D111" i="5" a="1"/>
  <c r="D111" i="5"/>
  <c r="D5" i="5" a="1"/>
  <c r="D5" i="5" s="1"/>
  <c r="B2" i="5"/>
  <c r="AQ109" i="5" a="1"/>
  <c r="AQ90" i="5" a="1"/>
  <c r="AR18" i="5" a="1"/>
  <c r="AR10" i="5" a="1"/>
  <c r="AN122" i="5" a="1"/>
  <c r="AS118" i="5" a="1"/>
  <c r="AQ91" i="5" a="1"/>
  <c r="AR75" i="5" a="1"/>
  <c r="AR123" i="5" a="1"/>
  <c r="AR70" i="5" a="1"/>
  <c r="AR102" i="5" a="1"/>
  <c r="AR13" i="5" a="1"/>
  <c r="AQ127" i="5" a="1"/>
  <c r="AR61" i="5" a="1"/>
  <c r="AR5" i="5" a="1"/>
  <c r="AR32" i="5" a="1"/>
  <c r="AR56" i="5" a="1"/>
  <c r="AR66" i="5" a="1"/>
  <c r="AN114" i="5" a="1"/>
  <c r="AQ73" i="5" a="1"/>
  <c r="AQ86" i="5" a="1"/>
  <c r="AO117" i="5" a="1"/>
  <c r="AR63" i="5" a="1"/>
  <c r="AR30" i="5" a="1"/>
  <c r="AR27" i="5" a="1"/>
  <c r="AQ87" i="5" a="1"/>
  <c r="AR103" i="5" a="1"/>
  <c r="AR86" i="5" a="1"/>
  <c r="AQ111" i="5" a="1"/>
  <c r="AR73" i="5" a="1"/>
  <c r="AQ116" i="5" a="1"/>
  <c r="AN106" i="5" a="1"/>
  <c r="AQ104" i="5" a="1"/>
  <c r="AR12" i="5" a="1"/>
  <c r="AR25" i="5" a="1"/>
  <c r="AS123" i="5" a="1"/>
  <c r="AO114" i="5" a="1"/>
  <c r="AR68" i="5" a="1"/>
  <c r="AR79" i="5" a="1"/>
  <c r="AR99" i="5" a="1"/>
  <c r="AQ100" i="5" a="1"/>
  <c r="AR7" i="5" a="1"/>
  <c r="AR20" i="5" a="1"/>
  <c r="AQ105" i="5" a="1"/>
  <c r="AR9" i="5" a="1"/>
  <c r="AQ82" i="5" a="1"/>
  <c r="AR115" i="5" a="1"/>
  <c r="AR122" i="5" a="1"/>
  <c r="AR121" i="5" a="1"/>
  <c r="AR111" i="5" a="1"/>
  <c r="AU128" i="5" a="1"/>
  <c r="AQ76" i="5" a="1"/>
  <c r="AT122" i="5" a="1"/>
  <c r="AR35" i="5" a="1"/>
  <c r="AS122" i="5" a="1"/>
  <c r="AT123" i="5" a="1"/>
  <c r="AR64" i="5" a="1"/>
  <c r="AR59" i="5" a="1"/>
  <c r="AR80" i="5" a="1"/>
  <c r="AR87" i="5" a="1"/>
  <c r="AR28" i="5" a="1"/>
  <c r="AR17" i="5" a="1"/>
  <c r="AQ112" i="5" a="1"/>
  <c r="AR105" i="5" a="1"/>
  <c r="AR65" i="5" a="1"/>
  <c r="AN107" i="5" a="1"/>
  <c r="AQ95" i="5" a="1"/>
  <c r="AR76" i="5" a="1"/>
  <c r="AR71" i="5" a="1"/>
  <c r="AV128" i="5" a="1"/>
  <c r="AR15" i="5" a="1"/>
  <c r="AR26" i="5" a="1"/>
  <c r="AR62" i="5" a="1"/>
  <c r="AQ88" i="5" a="1"/>
  <c r="AR33" i="5" a="1"/>
  <c r="AQ106" i="5" a="1"/>
  <c r="AS120" i="5" a="1"/>
  <c r="AS121" i="5" a="1"/>
  <c r="AR6" i="5" a="1"/>
  <c r="AR14" i="5" a="1"/>
  <c r="AR82" i="5" a="1"/>
  <c r="AR11" i="5" a="1"/>
  <c r="AR22" i="5" a="1"/>
  <c r="AW128" i="5" a="1"/>
  <c r="AV116" i="5" a="1"/>
  <c r="AR60" i="5" a="1"/>
  <c r="AR19" i="5" a="1"/>
  <c r="AR50" i="5" a="1"/>
  <c r="AT121" i="5" a="1"/>
  <c r="AR101" i="5" a="1"/>
  <c r="AN119" i="5" a="1"/>
  <c r="AQ83" i="5" a="1"/>
  <c r="AN109" i="5" a="1"/>
  <c r="AQ75" i="5" a="1"/>
  <c r="AR8" i="5" a="1"/>
  <c r="AR67" i="5" a="1"/>
  <c r="AQ77" i="5" a="1"/>
  <c r="AR89" i="5" a="1"/>
  <c r="AW126" i="5" a="1"/>
  <c r="AR83" i="5" a="1"/>
  <c r="AO119" i="5" a="1"/>
  <c r="AR92" i="5" a="1"/>
  <c r="AQ108" i="5" a="1"/>
  <c r="AR29" i="5" a="1"/>
  <c r="AR107" i="5" a="1"/>
  <c r="AR16" i="5" a="1"/>
  <c r="AN123" i="5" a="1"/>
  <c r="AR97" i="5" a="1"/>
  <c r="AR58" i="5" a="1"/>
  <c r="AS119" i="5" a="1"/>
  <c r="AQ80" i="5" a="1"/>
  <c r="AQ85" i="5" a="1"/>
  <c r="AO116" i="5" a="1"/>
  <c r="AV124" i="5" a="1"/>
  <c r="AT119" i="5" a="1"/>
  <c r="AQ93" i="5" a="1"/>
  <c r="AV122" i="5" a="1"/>
  <c r="AR84" i="5" a="1"/>
  <c r="AR72" i="5" a="1"/>
  <c r="AR54" i="5" a="1"/>
  <c r="AR90" i="5" a="1"/>
  <c r="AR23" i="5" a="1"/>
  <c r="AW124" i="5" a="1"/>
  <c r="AQ129" i="5" a="1"/>
  <c r="AS127" i="5" a="1"/>
  <c r="AR88" i="5" a="1"/>
  <c r="AR78" i="5" a="1"/>
  <c r="AN110" i="5" a="1"/>
  <c r="AQ94" i="5" a="1"/>
  <c r="AR108" i="5" a="1"/>
  <c r="AO115" i="5" a="1"/>
  <c r="AR85" i="5" a="1"/>
  <c r="AR127" i="5" a="1"/>
  <c r="AQ96" i="5" a="1"/>
  <c r="AR100" i="5" a="1"/>
  <c r="AN126" i="5" a="1"/>
  <c r="AV123" i="5" a="1"/>
  <c r="AQ110" i="5" a="1"/>
  <c r="AQ114" i="5" a="1"/>
  <c r="AR106" i="5" a="1"/>
  <c r="AO126" i="5" a="1"/>
  <c r="AQ115" i="5" a="1"/>
  <c r="AN120" i="5" a="1"/>
  <c r="AS125" i="5" a="1"/>
  <c r="AN125" i="5" a="1"/>
  <c r="AO125" i="5" a="1"/>
  <c r="AO118" i="5" a="1"/>
  <c r="AO120" i="5" a="1"/>
  <c r="AR74" i="5" a="1"/>
  <c r="AR129" i="5" a="1"/>
  <c r="AN121" i="5" a="1"/>
  <c r="AQ89" i="5" a="1"/>
  <c r="AQ125" i="5" a="1"/>
  <c r="AR55" i="5" a="1"/>
  <c r="AR81" i="5" a="1"/>
  <c r="AQ107" i="5" a="1"/>
  <c r="AQ84" i="5" a="1"/>
  <c r="AN124" i="5" a="1"/>
  <c r="AQ92" i="5" a="1"/>
  <c r="AR53" i="5" a="1"/>
  <c r="AR94" i="5" a="1"/>
  <c r="AR125" i="5" a="1"/>
  <c r="AQ79" i="5" a="1"/>
  <c r="AR57" i="5" a="1"/>
  <c r="AQ97" i="5" a="1"/>
  <c r="AN128" i="5" a="1"/>
  <c r="AO122" i="5" a="1"/>
  <c r="AP118" i="5" a="1"/>
  <c r="AR120" i="5" a="1"/>
  <c r="AR104" i="5" a="1"/>
  <c r="AR93" i="5" a="1"/>
  <c r="AN111" i="5" a="1"/>
  <c r="AN108" i="5" a="1"/>
  <c r="AP121" i="5" a="1"/>
  <c r="AR91" i="5" a="1"/>
  <c r="AR110" i="5" a="1"/>
  <c r="AO124" i="5" a="1"/>
  <c r="AN113" i="5" a="1"/>
  <c r="AO121" i="5" a="1"/>
  <c r="AV126" i="5" a="1"/>
  <c r="AQ101" i="5" a="1"/>
  <c r="AR117" i="5" a="1"/>
  <c r="AP120" i="5" a="1"/>
  <c r="AR112" i="5" a="1"/>
  <c r="AQ78" i="5" a="1"/>
  <c r="AR114" i="5" a="1"/>
  <c r="AR116" i="5" a="1"/>
  <c r="AQ98" i="5" a="1"/>
  <c r="AO113" i="5" a="1"/>
  <c r="AN115" i="5" a="1"/>
  <c r="AQ103" i="5" a="1"/>
  <c r="AV115" i="5" a="1"/>
  <c r="AQ118" i="5" a="1"/>
  <c r="AQ120" i="5" a="1"/>
  <c r="AV121" i="5" a="1"/>
  <c r="AQ113" i="5" a="1"/>
  <c r="AY123" i="5" a="1"/>
  <c r="AR126" i="5" a="1"/>
  <c r="AN127" i="5" a="1"/>
  <c r="AR77" i="5" a="1"/>
  <c r="AO127" i="5" a="1"/>
  <c r="AY121" i="5" a="1"/>
  <c r="AO129" i="5" a="1"/>
  <c r="AY122" i="5" a="1"/>
  <c r="AR95" i="5" a="1"/>
  <c r="AT120" i="5" a="1"/>
  <c r="AV129" i="5" a="1"/>
  <c r="AP123" i="5" a="1"/>
  <c r="AQ126" i="5" a="1"/>
  <c r="AR109" i="5" a="1"/>
  <c r="AT125" i="5" a="1"/>
  <c r="AV117" i="5" a="1"/>
  <c r="AP128" i="5" a="1"/>
  <c r="AU127" i="5" a="1"/>
  <c r="AO123" i="5" a="1"/>
  <c r="AS126" i="5" a="1"/>
  <c r="AR69" i="5" a="1"/>
  <c r="AT126" i="5" a="1"/>
  <c r="AY127" i="5" a="1"/>
  <c r="AP127" i="5" a="1"/>
  <c r="AP125" i="5" a="1"/>
  <c r="AY124" i="5" a="1"/>
  <c r="AP124" i="5" a="1"/>
  <c r="AS129" i="5" a="1"/>
  <c r="AR113" i="5" a="1"/>
  <c r="AR128" i="5" a="1"/>
  <c r="AT118" i="5" a="1"/>
  <c r="AS124" i="5" a="1"/>
  <c r="AR119" i="5" a="1"/>
  <c r="AQ117" i="5" a="1"/>
  <c r="AP129" i="5" a="1"/>
  <c r="AP119" i="5" a="1"/>
  <c r="AN118" i="5" a="1"/>
  <c r="AO128" i="5" a="1"/>
  <c r="AQ122" i="5" a="1"/>
  <c r="AP126" i="5" a="1"/>
  <c r="AN112" i="5" a="1"/>
  <c r="AU129" i="5" a="1"/>
  <c r="AV125" i="5" a="1"/>
  <c r="AQ81" i="5" a="1"/>
  <c r="AY125" i="5" a="1"/>
  <c r="AO112" i="5" a="1"/>
  <c r="AV118" i="5" a="1"/>
  <c r="AP122" i="5" a="1"/>
  <c r="AT127" i="5" a="1"/>
  <c r="AS128" i="5" a="1"/>
  <c r="AQ123" i="5" a="1"/>
  <c r="AT129" i="5" a="1"/>
  <c r="AQ128" i="5" a="1"/>
  <c r="AV119" i="5" a="1"/>
  <c r="AR118" i="5" a="1"/>
  <c r="AN117" i="5" a="1"/>
  <c r="AW125" i="5" a="1"/>
  <c r="AY128" i="5" a="1"/>
  <c r="AW127" i="5" a="1"/>
  <c r="AQ74" i="5" a="1"/>
  <c r="AT124" i="5" a="1"/>
  <c r="AR98" i="5" a="1"/>
  <c r="AY129" i="5" a="1"/>
  <c r="AW129" i="5" a="1"/>
  <c r="AN116" i="5" a="1"/>
  <c r="AT128" i="5" a="1"/>
  <c r="AQ99" i="5" a="1"/>
  <c r="AQ124" i="5" a="1"/>
  <c r="AY126" i="5" a="1"/>
  <c r="AR96" i="5" a="1"/>
  <c r="AV127" i="5" a="1"/>
  <c r="AN129" i="5" a="1"/>
  <c r="AQ121" i="5" a="1"/>
  <c r="AV120" i="5" a="1"/>
  <c r="AQ102" i="5" a="1"/>
  <c r="AQ119" i="5" a="1"/>
  <c r="AR124" i="5" a="1"/>
  <c r="AD5" i="5" a="1"/>
  <c r="G16" i="5" a="1"/>
  <c r="J5" i="5" a="1"/>
  <c r="AD26" i="5" a="1"/>
  <c r="Q75" i="5" a="1"/>
  <c r="J7" i="5" a="1"/>
  <c r="G36" i="5" a="1"/>
  <c r="Z87" i="5" a="1"/>
  <c r="F30" i="5" a="1"/>
  <c r="U20" i="5" a="1"/>
  <c r="U15" i="5" a="1"/>
  <c r="AB80" i="5" a="1"/>
  <c r="L33" i="5" a="1"/>
  <c r="L83" i="5" a="1"/>
  <c r="J87" i="5" a="1"/>
  <c r="E82" i="5" a="1"/>
  <c r="J30" i="5" a="1"/>
  <c r="AD16" i="5" a="1"/>
  <c r="J20" i="5" a="1"/>
  <c r="L6" i="5" a="1"/>
  <c r="F24" i="5" a="1"/>
  <c r="J34" i="5" a="1"/>
  <c r="N25" i="5" a="1"/>
  <c r="U26" i="5" a="1"/>
  <c r="AG115" i="5" a="1"/>
  <c r="F22" i="5" a="1"/>
  <c r="Q63" i="5" a="1"/>
  <c r="U16" i="5" a="1"/>
  <c r="N24" i="5" a="1"/>
  <c r="L28" i="5" a="1"/>
  <c r="L29" i="5" a="1"/>
  <c r="Q20" i="5" a="1"/>
  <c r="J9" i="5" a="1"/>
  <c r="L27" i="5" a="1"/>
  <c r="G81" i="5" a="1"/>
  <c r="M78" i="5" a="1"/>
  <c r="J13" i="5" a="1"/>
  <c r="J10" i="5" a="1"/>
  <c r="G64" i="5" a="1"/>
  <c r="Q8" i="5" a="1"/>
  <c r="J19" i="5" a="1"/>
  <c r="Q12" i="5" a="1"/>
  <c r="F40" i="5" a="1"/>
  <c r="F41" i="5" a="1"/>
  <c r="L17" i="5" a="1"/>
  <c r="G5" i="5" a="1"/>
  <c r="L15" i="5" a="1"/>
  <c r="G22" i="5" a="1"/>
  <c r="Q14" i="5" a="1"/>
  <c r="AF98" i="5" a="1"/>
  <c r="AD15" i="5" a="1"/>
  <c r="J22" i="5" a="1"/>
  <c r="J18" i="5" a="1"/>
  <c r="H48" i="5" a="1"/>
  <c r="G9" i="5" a="1"/>
  <c r="J6" i="5" a="1"/>
  <c r="F54" i="5" a="1"/>
  <c r="Q9" i="5" a="1"/>
  <c r="U7" i="5" a="1"/>
  <c r="AD10" i="5" a="1"/>
  <c r="L20" i="5" a="1"/>
  <c r="G35" i="5" a="1"/>
  <c r="U17" i="5" a="1"/>
  <c r="F27" i="5" a="1"/>
  <c r="L7" i="5" a="1"/>
  <c r="AD71" i="5" a="1"/>
  <c r="AD11" i="5" a="1"/>
  <c r="G41" i="5" a="1"/>
  <c r="Q96" i="5" a="1"/>
  <c r="L10" i="5" a="1"/>
  <c r="U61" i="5" a="1"/>
  <c r="J23" i="5" a="1"/>
  <c r="M46" i="5" a="1"/>
  <c r="N28" i="5" a="1"/>
  <c r="W91" i="5" a="1"/>
  <c r="F32" i="5" a="1"/>
  <c r="AD24" i="5" a="1"/>
  <c r="N23" i="5" a="1"/>
  <c r="M42" i="5" a="1"/>
  <c r="Q15" i="5" a="1"/>
  <c r="H54" i="5" a="1"/>
  <c r="L37" i="5" a="1"/>
  <c r="L26" i="5" a="1"/>
  <c r="G21" i="5" a="1"/>
  <c r="Q6" i="5" a="1"/>
  <c r="U10" i="5" a="1"/>
  <c r="Q24" i="5" a="1"/>
  <c r="L30" i="5" a="1"/>
  <c r="Q11" i="5" a="1"/>
  <c r="Q19" i="5" a="1"/>
  <c r="Q45" i="5" a="1"/>
  <c r="L16" i="5" a="1"/>
  <c r="L5" i="5" a="1"/>
  <c r="U6" i="5" a="1"/>
  <c r="AD19" i="5" a="1"/>
  <c r="U60" i="5" a="1"/>
  <c r="U37" i="5" a="1"/>
  <c r="Y119" i="5" a="1"/>
  <c r="J28" i="5" a="1"/>
  <c r="AM112" i="5" a="1"/>
  <c r="Q10" i="5" a="1"/>
  <c r="Q7" i="5" a="1"/>
  <c r="F17" i="5" a="1"/>
  <c r="Q36" i="5" a="1"/>
  <c r="U25" i="5" a="1"/>
  <c r="G13" i="5" a="1"/>
  <c r="F34" i="5" a="1"/>
  <c r="J83" i="5" a="1"/>
  <c r="L11" i="5" a="1"/>
  <c r="F23" i="5" a="1"/>
  <c r="G12" i="5" a="1"/>
  <c r="L25" i="5" a="1"/>
  <c r="J29" i="5" a="1"/>
  <c r="U33" i="5" a="1"/>
  <c r="Q33" i="5" a="1"/>
  <c r="U27" i="5" a="1"/>
  <c r="J37" i="5" a="1"/>
  <c r="AD9" i="5" a="1"/>
  <c r="W99" i="5" a="1"/>
  <c r="AD25" i="5" a="1"/>
  <c r="Q21" i="5" a="1"/>
  <c r="U32" i="5" a="1"/>
  <c r="H43" i="5" a="1"/>
  <c r="N101" i="5" a="1"/>
  <c r="U5" i="5" a="1"/>
  <c r="G11" i="5" a="1"/>
  <c r="E100" i="5" a="1"/>
  <c r="AC127" i="5" a="1"/>
  <c r="U71" i="5" a="1"/>
  <c r="L39" i="5" a="1"/>
  <c r="AB83" i="5" a="1"/>
  <c r="N52" i="5" a="1"/>
  <c r="G26" i="5" a="1"/>
  <c r="E73" i="5" a="1"/>
  <c r="N40" i="5" a="1"/>
  <c r="AD127" i="5" a="1"/>
  <c r="G7" i="5" a="1"/>
  <c r="J58" i="5" a="1"/>
  <c r="G49" i="5" a="1"/>
  <c r="N38" i="5" a="1"/>
  <c r="Q41" i="5" a="1"/>
  <c r="J8" i="5" a="1"/>
  <c r="N18" i="5" a="1"/>
  <c r="F28" i="5" a="1"/>
  <c r="AD14" i="5" a="1"/>
  <c r="N19" i="5" a="1"/>
  <c r="L85" i="5" a="1"/>
  <c r="G40" i="5" a="1"/>
  <c r="Z92" i="5" a="1"/>
  <c r="L32" i="5" a="1"/>
  <c r="F33" i="5" a="1"/>
  <c r="G23" i="5" a="1"/>
  <c r="F47" i="5" a="1"/>
  <c r="U57" i="5" a="1"/>
  <c r="G76" i="5" a="1"/>
  <c r="G46" i="5" a="1"/>
  <c r="U29" i="5" a="1"/>
  <c r="L8" i="5" a="1"/>
  <c r="AK105" i="5" a="1"/>
  <c r="N31" i="5" a="1"/>
  <c r="G34" i="5" a="1"/>
  <c r="G10" i="5" a="1"/>
  <c r="U8" i="5" a="1"/>
  <c r="U11" i="5" a="1"/>
  <c r="G6" i="5" a="1"/>
  <c r="AD8" i="5" a="1"/>
  <c r="AI104" i="5" a="1"/>
  <c r="J27" i="5" a="1"/>
  <c r="J51" i="5" a="1"/>
  <c r="J35" i="5" a="1"/>
  <c r="AD41" i="5" a="1"/>
  <c r="Q39" i="5" a="1"/>
  <c r="AD20" i="5" a="1"/>
  <c r="H46" i="5" a="1"/>
  <c r="Q25" i="5" a="1"/>
  <c r="G17" i="5" a="1"/>
  <c r="G27" i="5" a="1"/>
  <c r="G30" i="5" a="1"/>
  <c r="L21" i="5" a="1"/>
  <c r="AD55" i="5" a="1"/>
  <c r="F18" i="5" a="1"/>
  <c r="L60" i="5" a="1"/>
  <c r="U41" i="5" a="1"/>
  <c r="AD21" i="5" a="1"/>
  <c r="N42" i="5" a="1"/>
  <c r="L47" i="5" a="1"/>
  <c r="U21" i="5" a="1"/>
  <c r="Q16" i="5" a="1"/>
  <c r="Z77" i="5" a="1"/>
  <c r="J14" i="5" a="1"/>
  <c r="AD72" i="5" a="1"/>
  <c r="Q64" i="5" a="1"/>
  <c r="N48" i="5" a="1"/>
  <c r="G18" i="5" a="1"/>
  <c r="L12" i="5" a="1"/>
  <c r="W85" i="5" a="1"/>
  <c r="L22" i="5" a="1"/>
  <c r="H98" i="5" a="1"/>
  <c r="G29" i="5" a="1"/>
  <c r="J24" i="5" a="1"/>
  <c r="G28" i="5" a="1"/>
  <c r="AD43" i="5" a="1"/>
  <c r="F19" i="5" a="1"/>
  <c r="AD38" i="5" a="1"/>
  <c r="Q26" i="5" a="1"/>
  <c r="M41" i="5" a="1"/>
  <c r="AD62" i="5" a="1"/>
  <c r="U34" i="5" a="1"/>
  <c r="G32" i="5" a="1"/>
  <c r="AD22" i="5" a="1"/>
  <c r="AD87" i="5" a="1"/>
  <c r="U12" i="5" a="1"/>
  <c r="N47" i="5" a="1"/>
  <c r="F31" i="5" a="1"/>
  <c r="J15" i="5" a="1"/>
  <c r="Q29" i="5" a="1"/>
  <c r="Q54" i="5" a="1"/>
  <c r="F44" i="5" a="1"/>
  <c r="U22" i="5" a="1"/>
  <c r="J25" i="5" a="1"/>
  <c r="G37" i="5" a="1"/>
  <c r="J43" i="5" a="1"/>
  <c r="F52" i="5" a="1"/>
  <c r="N20" i="5" a="1"/>
  <c r="Q32" i="5" a="1"/>
  <c r="AD7" i="5" a="1"/>
  <c r="Z74" i="5" a="1"/>
  <c r="N39" i="5" a="1"/>
  <c r="AD54" i="5" a="1"/>
  <c r="L13" i="5" a="1"/>
  <c r="W78" i="5" a="1"/>
  <c r="AD12" i="5" a="1"/>
  <c r="AB90" i="5" a="1"/>
  <c r="Q17" i="5" a="1"/>
  <c r="Q27" i="5" a="1"/>
  <c r="G19" i="5" a="1"/>
  <c r="Q28" i="5" a="1"/>
  <c r="U50" i="5" a="1"/>
  <c r="F50" i="5" a="1"/>
  <c r="G85" i="5" a="1"/>
  <c r="E68" i="5" a="1"/>
  <c r="AD13" i="5" a="1"/>
  <c r="N21" i="5" a="1"/>
  <c r="L23" i="5" a="1"/>
  <c r="F20" i="5" a="1"/>
  <c r="Q30" i="5" a="1"/>
  <c r="G44" i="5" a="1"/>
  <c r="Q37" i="5" a="1"/>
  <c r="AD34" i="5" a="1"/>
  <c r="AD40" i="5" a="1"/>
  <c r="G31" i="5" a="1"/>
  <c r="J26" i="5" a="1"/>
  <c r="AD67" i="5" a="1"/>
  <c r="AD35" i="5" a="1"/>
  <c r="M73" i="5" a="1"/>
  <c r="N58" i="5" a="1"/>
  <c r="N41" i="5" a="1"/>
  <c r="J16" i="5" a="1"/>
  <c r="E75" i="5" a="1"/>
  <c r="U23" i="5" a="1"/>
  <c r="U13" i="5" a="1"/>
  <c r="U35" i="5" a="1"/>
  <c r="Q66" i="5" a="1"/>
  <c r="AD48" i="5" a="1"/>
  <c r="N34" i="5" a="1"/>
  <c r="L35" i="5" a="1"/>
  <c r="Q18" i="5" a="1"/>
  <c r="G45" i="5" a="1"/>
  <c r="H51" i="5" a="1"/>
  <c r="L14" i="5" a="1"/>
  <c r="J33" i="5" a="1"/>
  <c r="U51" i="5" a="1"/>
  <c r="U14" i="5" a="1"/>
  <c r="J39" i="5" a="1"/>
  <c r="F21" i="5" a="1"/>
  <c r="G68" i="5" a="1"/>
  <c r="AJ106" i="5" a="1"/>
  <c r="F39" i="5" a="1"/>
  <c r="AD23" i="5" a="1"/>
  <c r="T94" i="5" a="1"/>
  <c r="J17" i="5" a="1"/>
  <c r="AK91" i="5" a="1"/>
  <c r="G20" i="5" a="1"/>
  <c r="G39" i="5" a="1"/>
  <c r="Q31" i="5" a="1"/>
  <c r="L24" i="5" a="1"/>
  <c r="U24" i="5" a="1"/>
  <c r="N22" i="5" a="1"/>
  <c r="AG100" i="5" a="1"/>
  <c r="Q47" i="5" a="1"/>
  <c r="N55" i="5" a="1"/>
  <c r="Q46" i="5" a="1"/>
  <c r="AD17" i="5" a="1"/>
  <c r="Z78" i="5" a="1"/>
  <c r="U67" i="5" a="1"/>
  <c r="Q59" i="5" a="1"/>
  <c r="L9" i="5" a="1"/>
  <c r="H44" i="5" a="1"/>
  <c r="AD69" i="5" a="1"/>
  <c r="G8" i="5" a="1"/>
  <c r="M57" i="5" a="1"/>
  <c r="F42" i="5" a="1"/>
  <c r="G14" i="5" a="1"/>
  <c r="AD58" i="5" a="1"/>
  <c r="N73" i="5" a="1"/>
  <c r="Q22" i="5" a="1"/>
  <c r="F75" i="5" a="1"/>
  <c r="AD30" i="5" a="1"/>
  <c r="N16" i="5" a="1"/>
  <c r="U28" i="5" a="1"/>
  <c r="J36" i="5" a="1"/>
  <c r="G24" i="5" a="1"/>
  <c r="L18" i="5" a="1"/>
  <c r="L31" i="5" a="1"/>
  <c r="Q43" i="5" a="1"/>
  <c r="F25" i="5" a="1"/>
  <c r="J61" i="5" a="1"/>
  <c r="U42" i="5" a="1"/>
  <c r="M49" i="5" a="1"/>
  <c r="N62" i="5" a="1"/>
  <c r="H41" i="5" a="1"/>
  <c r="J11" i="5" a="1"/>
  <c r="Q38" i="5" a="1"/>
  <c r="Q50" i="5" a="1"/>
  <c r="F38" i="5" a="1"/>
  <c r="Q65" i="5" a="1"/>
  <c r="Q13" i="5" a="1"/>
  <c r="AD31" i="5" a="1"/>
  <c r="AD6" i="5" a="1"/>
  <c r="AD39" i="5" a="1"/>
  <c r="Q23" i="5" a="1"/>
  <c r="L19" i="5" a="1"/>
  <c r="J21" i="5" a="1"/>
  <c r="E66" i="5" a="1"/>
  <c r="AD70" i="5" a="1"/>
  <c r="N72" i="5" a="1"/>
  <c r="U18" i="5" a="1"/>
  <c r="J53" i="5" a="1"/>
  <c r="F16" i="5" a="1"/>
  <c r="N26" i="5" a="1"/>
  <c r="L42" i="5" a="1"/>
  <c r="G15" i="5" a="1"/>
  <c r="Q5" i="5" a="1"/>
  <c r="G25" i="5" a="1"/>
  <c r="E67" i="5" a="1"/>
  <c r="J12" i="5" a="1"/>
  <c r="U9" i="5" a="1"/>
  <c r="J48" i="5" a="1"/>
  <c r="H58" i="5" a="1"/>
  <c r="F59" i="5" a="1"/>
  <c r="N67" i="5" a="1"/>
  <c r="AD18" i="5" a="1"/>
  <c r="E71" i="5" a="1"/>
  <c r="H96" i="5" a="1"/>
  <c r="U19" i="5" a="1"/>
  <c r="E88" i="5" a="1"/>
  <c r="N17" i="5" a="1"/>
  <c r="U36" i="5" a="1"/>
  <c r="J54" i="5" a="1"/>
  <c r="AG82" i="5" a="1"/>
  <c r="AD47" i="5" a="1"/>
  <c r="N27" i="5" a="1"/>
  <c r="M51" i="5" a="1"/>
  <c r="L71" i="5" a="1"/>
  <c r="U47" i="5" a="1"/>
  <c r="N30" i="5" a="1"/>
  <c r="G38" i="5" a="1"/>
  <c r="F26" i="5" a="1"/>
  <c r="Q57" i="5" a="1"/>
  <c r="N49" i="5" a="1"/>
  <c r="G55" i="5" a="1"/>
  <c r="W75" i="5" a="1"/>
  <c r="F87" i="5" a="1"/>
  <c r="L61" i="5" a="1"/>
  <c r="N86" i="5" a="1"/>
  <c r="F66" i="5" a="1"/>
  <c r="F82" i="5" a="1"/>
  <c r="L45" i="5" a="1"/>
  <c r="U103" i="5" a="1"/>
  <c r="H42" i="5" a="1"/>
  <c r="E74" i="5" a="1"/>
  <c r="U84" i="5" a="1"/>
  <c r="I98" i="5" a="1"/>
  <c r="U94" i="5" a="1"/>
  <c r="U44" i="5" a="1"/>
  <c r="J62" i="5" a="1"/>
  <c r="F65" i="5" a="1"/>
  <c r="N43" i="5" a="1"/>
  <c r="L44" i="5" a="1"/>
  <c r="J52" i="5" a="1"/>
  <c r="U45" i="5" a="1"/>
  <c r="M50" i="5" a="1"/>
  <c r="U72" i="5" a="1"/>
  <c r="AD86" i="5" a="1"/>
  <c r="G82" i="5" a="1"/>
  <c r="G63" i="5" a="1"/>
  <c r="G73" i="5" a="1"/>
  <c r="J31" i="5" a="1"/>
  <c r="AF114" i="5" a="1"/>
  <c r="L68" i="5" a="1"/>
  <c r="H64" i="5" a="1"/>
  <c r="AB93" i="5" a="1"/>
  <c r="AD27" i="5" a="1"/>
  <c r="U30" i="5" a="1"/>
  <c r="AD44" i="5" a="1"/>
  <c r="J40" i="5" a="1"/>
  <c r="AD52" i="5" a="1"/>
  <c r="L46" i="5" a="1"/>
  <c r="T104" i="5" a="1"/>
  <c r="L38" i="5" a="1"/>
  <c r="W74" i="5" a="1"/>
  <c r="J56" i="5" a="1"/>
  <c r="M47" i="5" a="1"/>
  <c r="U52" i="5" a="1"/>
  <c r="U59" i="5" a="1"/>
  <c r="AD33" i="5" a="1"/>
  <c r="G65" i="5" a="1"/>
  <c r="Q42" i="5" a="1"/>
  <c r="U38" i="5" a="1"/>
  <c r="M44" i="5" a="1"/>
  <c r="W88" i="5" a="1"/>
  <c r="N33" i="5" a="1"/>
  <c r="U46" i="5" a="1"/>
  <c r="L52" i="5" a="1"/>
  <c r="M71" i="5" a="1"/>
  <c r="U90" i="5" a="1"/>
  <c r="W79" i="5" a="1"/>
  <c r="H66" i="5" a="1"/>
  <c r="L54" i="5" a="1"/>
  <c r="M59" i="5" a="1"/>
  <c r="F43" i="5" a="1"/>
  <c r="M45" i="5" a="1"/>
  <c r="L70" i="5" a="1"/>
  <c r="W73" i="5" a="1"/>
  <c r="N54" i="5" a="1"/>
  <c r="M68" i="5" a="1"/>
  <c r="F48" i="5" a="1"/>
  <c r="F67" i="5" a="1"/>
  <c r="Q67" i="5" a="1"/>
  <c r="N71" i="5" a="1"/>
  <c r="F51" i="5" a="1"/>
  <c r="L69" i="5" a="1"/>
  <c r="M70" i="5" a="1"/>
  <c r="U39" i="5" a="1"/>
  <c r="L79" i="5" a="1"/>
  <c r="Q81" i="5" a="1"/>
  <c r="G43" i="5" a="1"/>
  <c r="Z82" i="5" a="1"/>
  <c r="N75" i="5" a="1"/>
  <c r="J42" i="5" a="1"/>
  <c r="G48" i="5" a="1"/>
  <c r="L62" i="5" a="1"/>
  <c r="R118" i="5" a="1"/>
  <c r="U55" i="5" a="1"/>
  <c r="L41" i="5" a="1"/>
  <c r="G51" i="5" a="1"/>
  <c r="F84" i="5" a="1"/>
  <c r="G84" i="5" a="1"/>
  <c r="L40" i="5" a="1"/>
  <c r="M55" i="5" a="1"/>
  <c r="AD49" i="5" a="1"/>
  <c r="H57" i="5" a="1"/>
  <c r="N44" i="5" a="1"/>
  <c r="J66" i="5" a="1"/>
  <c r="Q51" i="5" a="1"/>
  <c r="M72" i="5" a="1"/>
  <c r="N68" i="5" a="1"/>
  <c r="U49" i="5" a="1"/>
  <c r="F58" i="5" a="1"/>
  <c r="M74" i="5" a="1"/>
  <c r="AD60" i="5" a="1"/>
  <c r="L56" i="5" a="1"/>
  <c r="H53" i="5" a="1"/>
  <c r="L49" i="5" a="1"/>
  <c r="Z75" i="5" a="1"/>
  <c r="M52" i="5" a="1"/>
  <c r="G60" i="5" a="1"/>
  <c r="N79" i="5" a="1"/>
  <c r="AD42" i="5" a="1"/>
  <c r="L73" i="5" a="1"/>
  <c r="U111" i="5" a="1"/>
  <c r="J45" i="5" a="1"/>
  <c r="J50" i="5" a="1"/>
  <c r="N82" i="5" a="1"/>
  <c r="J47" i="5" a="1"/>
  <c r="L93" i="5" a="1"/>
  <c r="H67" i="5" a="1"/>
  <c r="Q55" i="5" a="1"/>
  <c r="J46" i="5" a="1"/>
  <c r="AD80" i="5" a="1"/>
  <c r="J76" i="5" a="1"/>
  <c r="AK107" i="5" a="1"/>
  <c r="AD73" i="5" a="1"/>
  <c r="L53" i="5" a="1"/>
  <c r="J38" i="5" a="1"/>
  <c r="AD29" i="5" a="1"/>
  <c r="F56" i="5" a="1"/>
  <c r="Q77" i="5" a="1"/>
  <c r="M67" i="5" a="1"/>
  <c r="W89" i="5" a="1"/>
  <c r="H59" i="5" a="1"/>
  <c r="Q40" i="5" a="1"/>
  <c r="N32" i="5" a="1"/>
  <c r="E72" i="5" a="1"/>
  <c r="AD32" i="5" a="1"/>
  <c r="N29" i="5" a="1"/>
  <c r="Q34" i="5" a="1"/>
  <c r="H81" i="5" a="1"/>
  <c r="L36" i="5" a="1"/>
  <c r="Q49" i="5" a="1"/>
  <c r="F29" i="5" a="1"/>
  <c r="U68" i="5" a="1"/>
  <c r="O123" i="5" a="1"/>
  <c r="N35" i="5" a="1"/>
  <c r="AD68" i="5" a="1"/>
  <c r="F35" i="5" a="1"/>
  <c r="H40" i="5" a="1"/>
  <c r="M60" i="5" a="1"/>
  <c r="G75" i="5" a="1"/>
  <c r="N80" i="5" a="1"/>
  <c r="Q71" i="5" a="1"/>
  <c r="U82" i="5" a="1"/>
  <c r="H52" i="5" a="1"/>
  <c r="F55" i="5" a="1"/>
  <c r="G69" i="5" a="1"/>
  <c r="Q83" i="5" a="1"/>
  <c r="M86" i="5" a="1"/>
  <c r="U70" i="5" a="1"/>
  <c r="F70" i="5" a="1"/>
  <c r="J75" i="5" a="1"/>
  <c r="M117" i="5" a="1"/>
  <c r="Z73" i="5" a="1"/>
  <c r="Q72" i="5" a="1"/>
  <c r="AB86" i="5" a="1"/>
  <c r="W76" i="5" a="1"/>
  <c r="J84" i="5" a="1"/>
  <c r="L88" i="5" a="1"/>
  <c r="AB85" i="5" a="1"/>
  <c r="Q78" i="5" a="1"/>
  <c r="G91" i="5" a="1"/>
  <c r="H71" i="5" a="1"/>
  <c r="H74" i="5" a="1"/>
  <c r="H72" i="5" a="1"/>
  <c r="F80" i="5" a="1"/>
  <c r="AB78" i="5" a="1"/>
  <c r="L90" i="5" a="1"/>
  <c r="H77" i="5" a="1"/>
  <c r="L81" i="5" a="1"/>
  <c r="AD50" i="5" a="1"/>
  <c r="E95" i="5" a="1"/>
  <c r="J55" i="5" a="1"/>
  <c r="W98" i="5" a="1"/>
  <c r="E113" i="5" a="1"/>
  <c r="K105" i="5" a="1"/>
  <c r="N50" i="5" a="1"/>
  <c r="G56" i="5" a="1"/>
  <c r="Q69" i="5" a="1"/>
  <c r="O99" i="5" a="1"/>
  <c r="AD91" i="5" a="1"/>
  <c r="G61" i="5" a="1"/>
  <c r="U63" i="5" a="1"/>
  <c r="H49" i="5" a="1"/>
  <c r="L64" i="5" a="1"/>
  <c r="L63" i="5" a="1"/>
  <c r="G70" i="5" a="1"/>
  <c r="G53" i="5" a="1"/>
  <c r="H73" i="5" a="1"/>
  <c r="M54" i="5" a="1"/>
  <c r="F62" i="5" a="1"/>
  <c r="AD57" i="5" a="1"/>
  <c r="K95" i="5" a="1"/>
  <c r="AD63" i="5" a="1"/>
  <c r="F78" i="5" a="1"/>
  <c r="Q70" i="5" a="1"/>
  <c r="H68" i="5" a="1"/>
  <c r="AD75" i="5" a="1"/>
  <c r="U54" i="5" a="1"/>
  <c r="AG83" i="5" a="1"/>
  <c r="N57" i="5" a="1"/>
  <c r="AD64" i="5" a="1"/>
  <c r="L65" i="5" a="1"/>
  <c r="H60" i="5" a="1"/>
  <c r="M63" i="5" a="1"/>
  <c r="E79" i="5" a="1"/>
  <c r="N84" i="5" a="1"/>
  <c r="J59" i="5" a="1"/>
  <c r="H69" i="5" a="1"/>
  <c r="J74" i="5" a="1"/>
  <c r="M81" i="5" a="1"/>
  <c r="M88" i="5" a="1"/>
  <c r="G86" i="5" a="1"/>
  <c r="Q61" i="5" a="1"/>
  <c r="M89" i="5" a="1"/>
  <c r="AB74" i="5" a="1"/>
  <c r="P92" i="5" a="1"/>
  <c r="H56" i="5" a="1"/>
  <c r="M90" i="5" a="1"/>
  <c r="AH124" i="5" a="1"/>
  <c r="H80" i="5" a="1"/>
  <c r="F57" i="5" a="1"/>
  <c r="U65" i="5" a="1"/>
  <c r="J67" i="5" a="1"/>
  <c r="L58" i="5" a="1"/>
  <c r="U75" i="5" a="1"/>
  <c r="L75" i="5" a="1"/>
  <c r="L66" i="5" a="1"/>
  <c r="G78" i="5" a="1"/>
  <c r="J72" i="5" a="1"/>
  <c r="H61" i="5" a="1"/>
  <c r="Z81" i="5" a="1"/>
  <c r="AD65" i="5" a="1"/>
  <c r="Q56" i="5" a="1"/>
  <c r="AI124" i="5" a="1"/>
  <c r="H70" i="5" a="1"/>
  <c r="AG113" i="5" a="1"/>
  <c r="Q82" i="5" a="1"/>
  <c r="N90" i="5" a="1"/>
  <c r="J68" i="5" a="1"/>
  <c r="N64" i="5" a="1"/>
  <c r="Q88" i="5" a="1"/>
  <c r="H86" i="5" a="1"/>
  <c r="N81" i="5" a="1"/>
  <c r="AB104" i="5" a="1"/>
  <c r="J77" i="5" a="1"/>
  <c r="N63" i="5" a="1"/>
  <c r="H62" i="5" a="1"/>
  <c r="Q53" i="5" a="1"/>
  <c r="U66" i="5" a="1"/>
  <c r="M65" i="5" a="1"/>
  <c r="H78" i="5" a="1"/>
  <c r="AK92" i="5" a="1"/>
  <c r="E76" i="5" a="1"/>
  <c r="Q91" i="5" a="1"/>
  <c r="W102" i="5" a="1"/>
  <c r="J94" i="5" a="1"/>
  <c r="P89" i="5" a="1"/>
  <c r="H79" i="5" a="1"/>
  <c r="E83" i="5" a="1"/>
  <c r="W77" i="5" a="1"/>
  <c r="L55" i="5" a="1"/>
  <c r="L48" i="5" a="1"/>
  <c r="AK103" i="5" a="1"/>
  <c r="F97" i="5" a="1"/>
  <c r="G57" i="5" a="1"/>
  <c r="J73" i="5" a="1"/>
  <c r="M66" i="5" a="1"/>
  <c r="U58" i="5" a="1"/>
  <c r="Q76" i="5" a="1"/>
  <c r="M58" i="5" a="1"/>
  <c r="H119" i="5" a="1"/>
  <c r="H50" i="5" a="1"/>
  <c r="M75" i="5" a="1"/>
  <c r="AD82" i="5" a="1"/>
  <c r="U78" i="5" a="1"/>
  <c r="G97" i="5" a="1"/>
  <c r="AD51" i="5" a="1"/>
  <c r="G83" i="5" a="1"/>
  <c r="F76" i="5" a="1"/>
  <c r="J69" i="5" a="1"/>
  <c r="U83" i="5" a="1"/>
  <c r="AD100" i="5" a="1"/>
  <c r="J60" i="5" a="1"/>
  <c r="AB84" i="5" a="1"/>
  <c r="J79" i="5" a="1"/>
  <c r="Q62" i="5" a="1"/>
  <c r="AG90" i="5" a="1"/>
  <c r="G47" i="5" a="1"/>
  <c r="Z96" i="5" a="1"/>
  <c r="G54" i="5" a="1"/>
  <c r="N51" i="5" a="1"/>
  <c r="AG85" i="5" a="1"/>
  <c r="E65" i="5" a="1"/>
  <c r="U53" i="5" a="1"/>
  <c r="AD94" i="5" a="1"/>
  <c r="F63" i="5" a="1"/>
  <c r="L74" i="5" a="1"/>
  <c r="Z76" i="5" a="1"/>
  <c r="AG88" i="5" a="1"/>
  <c r="N65" i="5" a="1"/>
  <c r="M80" i="5" a="1"/>
  <c r="F64" i="5" a="1"/>
  <c r="U87" i="5" a="1"/>
  <c r="AD56" i="5" a="1"/>
  <c r="Q58" i="5" a="1"/>
  <c r="E87" i="5" a="1"/>
  <c r="L50" i="5" a="1"/>
  <c r="J63" i="5" a="1"/>
  <c r="G59" i="5" a="1"/>
  <c r="F49" i="5" a="1"/>
  <c r="J32" i="5" a="1"/>
  <c r="G67" i="5" a="1"/>
  <c r="U31" i="5" a="1"/>
  <c r="J96" i="5" a="1"/>
  <c r="L102" i="5" a="1"/>
  <c r="M61" i="5" a="1"/>
  <c r="F72" i="5" a="1"/>
  <c r="N69" i="5" a="1"/>
  <c r="AD36" i="5" a="1"/>
  <c r="F68" i="5" a="1"/>
  <c r="J81" i="5" a="1"/>
  <c r="G88" i="5" a="1"/>
  <c r="U81" i="5" a="1"/>
  <c r="H75" i="5" a="1"/>
  <c r="L34" i="5" a="1"/>
  <c r="U43" i="5" a="1"/>
  <c r="M101" i="5" a="1"/>
  <c r="AD28" i="5" a="1"/>
  <c r="F71" i="5" a="1"/>
  <c r="M85" i="5" a="1"/>
  <c r="F73" i="5" a="1"/>
  <c r="M102" i="5" a="1"/>
  <c r="G33" i="5" a="1"/>
  <c r="P118" i="5" a="1"/>
  <c r="Q35" i="5" a="1"/>
  <c r="M43" i="5" a="1"/>
  <c r="J44" i="5" a="1"/>
  <c r="N36" i="5" a="1"/>
  <c r="F36" i="5" a="1"/>
  <c r="AD46" i="5" a="1"/>
  <c r="M53" i="5" a="1"/>
  <c r="G52" i="5" a="1"/>
  <c r="Q48" i="5" a="1"/>
  <c r="H45" i="5" a="1"/>
  <c r="N46" i="5" a="1"/>
  <c r="L57" i="5" a="1"/>
  <c r="N56" i="5" a="1"/>
  <c r="U62" i="5" a="1"/>
  <c r="F46" i="5" a="1"/>
  <c r="H83" i="5" a="1"/>
  <c r="AB77" i="5" a="1"/>
  <c r="Q74" i="5" a="1"/>
  <c r="L82" i="5" a="1"/>
  <c r="AK93" i="5" a="1"/>
  <c r="M62" i="5" a="1"/>
  <c r="E69" i="5" a="1"/>
  <c r="N60" i="5" a="1"/>
  <c r="J105" i="5" a="1"/>
  <c r="G74" i="5" a="1"/>
  <c r="T108" i="5" a="1"/>
  <c r="M76" i="5" a="1"/>
  <c r="AD85" i="5" a="1"/>
  <c r="G77" i="5" a="1"/>
  <c r="F60" i="5" a="1"/>
  <c r="AG86" i="5" a="1"/>
  <c r="N85" i="5" a="1"/>
  <c r="U104" i="5" a="1"/>
  <c r="AB81" i="5" a="1"/>
  <c r="Q89" i="5" a="1"/>
  <c r="G90" i="5" a="1"/>
  <c r="K94" i="5" a="1"/>
  <c r="Z105" i="5" a="1"/>
  <c r="O110" i="5" a="1"/>
  <c r="I91" i="5" a="1"/>
  <c r="U96" i="5" a="1"/>
  <c r="E89" i="5" a="1"/>
  <c r="J85" i="5" a="1"/>
  <c r="M93" i="5" a="1"/>
  <c r="E103" i="5" a="1"/>
  <c r="O125" i="5" a="1"/>
  <c r="T106" i="5" a="1"/>
  <c r="AJ108" i="5" a="1"/>
  <c r="Q84" i="5" a="1"/>
  <c r="K111" i="5" a="1"/>
  <c r="O100" i="5" a="1"/>
  <c r="Z80" i="5" a="1"/>
  <c r="F77" i="5" a="1"/>
  <c r="H88" i="5" a="1"/>
  <c r="L87" i="5" a="1"/>
  <c r="AK95" i="5" a="1"/>
  <c r="M82" i="5" a="1"/>
  <c r="O101" i="5" a="1"/>
  <c r="E80" i="5" a="1"/>
  <c r="O93" i="5" a="1"/>
  <c r="Z84" i="5" a="1"/>
  <c r="E98" i="5" a="1"/>
  <c r="AI114" i="5" a="1"/>
  <c r="Z95" i="5" a="1"/>
  <c r="M91" i="5" a="1"/>
  <c r="T88" i="5" a="1"/>
  <c r="I88" i="5" a="1"/>
  <c r="J95" i="5" a="1"/>
  <c r="F89" i="5" a="1"/>
  <c r="E86" i="5" a="1"/>
  <c r="H99" i="5" a="1"/>
  <c r="E102" i="5" a="1"/>
  <c r="AD93" i="5" a="1"/>
  <c r="AB94" i="5" a="1"/>
  <c r="AK108" i="5" a="1"/>
  <c r="T92" i="5" a="1"/>
  <c r="T107" i="5" a="1"/>
  <c r="AG87" i="5" a="1"/>
  <c r="AC109" i="5" a="1"/>
  <c r="H113" i="5" a="1"/>
  <c r="I95" i="5" a="1"/>
  <c r="F86" i="5" a="1"/>
  <c r="AM116" i="5" a="1"/>
  <c r="J90" i="5" a="1"/>
  <c r="Q86" i="5" a="1"/>
  <c r="M87" i="5" a="1"/>
  <c r="F98" i="5" a="1"/>
  <c r="AB91" i="5" a="1"/>
  <c r="P100" i="5" a="1"/>
  <c r="AM122" i="5" a="1"/>
  <c r="W90" i="5" a="1"/>
  <c r="AB102" i="5" a="1"/>
  <c r="E81" i="5" a="1"/>
  <c r="R108" i="5" a="1"/>
  <c r="AF100" i="5" a="1"/>
  <c r="AD81" i="5" a="1"/>
  <c r="F102" i="5" a="1"/>
  <c r="AJ103" i="5" a="1"/>
  <c r="O91" i="5" a="1"/>
  <c r="AB105" i="5" a="1"/>
  <c r="AB127" i="5" a="1"/>
  <c r="T111" i="5" a="1"/>
  <c r="G80" i="5" a="1"/>
  <c r="R112" i="5" a="1"/>
  <c r="G89" i="5" a="1"/>
  <c r="G98" i="5" a="1"/>
  <c r="W92" i="5" a="1"/>
  <c r="U88" i="5" a="1"/>
  <c r="AJ114" i="5" a="1"/>
  <c r="AG89" i="5" a="1"/>
  <c r="AK120" i="5" a="1"/>
  <c r="J86" i="5" a="1"/>
  <c r="M79" i="5" a="1"/>
  <c r="H84" i="5" a="1"/>
  <c r="E92" i="5" a="1"/>
  <c r="K102" i="5" a="1"/>
  <c r="N99" i="5" a="1"/>
  <c r="AD109" i="5" a="1"/>
  <c r="J80" i="5" a="1"/>
  <c r="T103" i="5" a="1"/>
  <c r="AD84" i="5" a="1"/>
  <c r="AB82" i="5" a="1"/>
  <c r="F79" i="5" a="1"/>
  <c r="I105" i="5" a="1"/>
  <c r="AB96" i="5" a="1"/>
  <c r="U86" i="5" a="1"/>
  <c r="P90" i="5" a="1"/>
  <c r="AB76" i="5" a="1"/>
  <c r="H82" i="5" a="1"/>
  <c r="L105" i="5" a="1"/>
  <c r="AG97" i="5" a="1"/>
  <c r="N88" i="5" a="1"/>
  <c r="AD90" i="5" a="1"/>
  <c r="AG110" i="5" a="1"/>
  <c r="G87" i="5" a="1"/>
  <c r="P97" i="5" a="1"/>
  <c r="AB75" i="5" a="1"/>
  <c r="K96" i="5" a="1"/>
  <c r="U80" i="5" a="1"/>
  <c r="T109" i="5" a="1"/>
  <c r="M83" i="5" a="1"/>
  <c r="AG98" i="5" a="1"/>
  <c r="AI115" i="5" a="1"/>
  <c r="Z119" i="5" a="1"/>
  <c r="N78" i="5" a="1"/>
  <c r="AG95" i="5" a="1"/>
  <c r="N89" i="5" a="1"/>
  <c r="M92" i="5" a="1"/>
  <c r="AD77" i="5" a="1"/>
  <c r="Z79" i="5" a="1"/>
  <c r="E85" i="5" a="1"/>
  <c r="AJ113" i="5" a="1"/>
  <c r="O88" i="5" a="1"/>
  <c r="R104" i="5" a="1"/>
  <c r="AK102" i="5" a="1"/>
  <c r="L76" i="5" a="1"/>
  <c r="AI107" i="5" a="1"/>
  <c r="E93" i="5" a="1"/>
  <c r="AK106" i="5" a="1"/>
  <c r="G79" i="5" a="1"/>
  <c r="Z83" i="5" a="1"/>
  <c r="L84" i="5" a="1"/>
  <c r="H87" i="5" a="1"/>
  <c r="AD66" i="5" a="1"/>
  <c r="AB92" i="5" a="1"/>
  <c r="F81" i="5" a="1"/>
  <c r="Q97" i="5" a="1"/>
  <c r="G62" i="5" a="1"/>
  <c r="AD101" i="5" a="1"/>
  <c r="AD59" i="5" a="1"/>
  <c r="E91" i="5" a="1"/>
  <c r="J64" i="5" a="1"/>
  <c r="U109" i="5" a="1"/>
  <c r="U76" i="5" a="1"/>
  <c r="L101" i="5" a="1"/>
  <c r="AF111" i="5" a="1"/>
  <c r="AJ115" i="5" a="1"/>
  <c r="Z107" i="5" a="1"/>
  <c r="AG124" i="5" a="1"/>
  <c r="AB73" i="5" a="1"/>
  <c r="N59" i="5" a="1"/>
  <c r="H65" i="5" a="1"/>
  <c r="L77" i="5" a="1"/>
  <c r="AK88" i="5" a="1"/>
  <c r="N66" i="5" a="1"/>
  <c r="W80" i="5" a="1"/>
  <c r="W84" i="5" a="1"/>
  <c r="N70" i="5" a="1"/>
  <c r="L86" i="5" a="1"/>
  <c r="Q79" i="5" a="1"/>
  <c r="J82" i="5" a="1"/>
  <c r="O89" i="5" a="1"/>
  <c r="E70" i="5" a="1"/>
  <c r="L80" i="5" a="1"/>
  <c r="P88" i="5" a="1"/>
  <c r="E78" i="5" a="1"/>
  <c r="AJ107" i="5" a="1"/>
  <c r="F91" i="5" a="1"/>
  <c r="F85" i="5" a="1"/>
  <c r="N92" i="5" a="1"/>
  <c r="AI110" i="5" a="1"/>
  <c r="F94" i="5" a="1"/>
  <c r="J122" i="5" a="1"/>
  <c r="K118" i="5" a="1"/>
  <c r="Q105" i="5" a="1"/>
  <c r="T95" i="5" a="1"/>
  <c r="Q123" i="5" a="1"/>
  <c r="E114" i="5" a="1"/>
  <c r="U108" i="5" a="1"/>
  <c r="Z106" i="5" a="1"/>
  <c r="L110" i="5" a="1"/>
  <c r="S118" i="5" a="1"/>
  <c r="H106" i="5" a="1"/>
  <c r="G50" i="5" a="1"/>
  <c r="I113" i="5" a="1"/>
  <c r="AB112" i="5" a="1"/>
  <c r="P125" i="5" a="1"/>
  <c r="I106" i="5" a="1"/>
  <c r="V109" i="5" a="1"/>
  <c r="R113" i="5" a="1"/>
  <c r="AD37" i="5" a="1"/>
  <c r="M40" i="5" a="1"/>
  <c r="U116" i="5" a="1"/>
  <c r="AK109" i="5" a="1"/>
  <c r="M114" i="5" a="1"/>
  <c r="H107" i="5" a="1"/>
  <c r="V111" i="5" a="1"/>
  <c r="Q44" i="5" a="1"/>
  <c r="AC112" i="5" a="1"/>
  <c r="G42" i="5" a="1"/>
  <c r="J41" i="5" a="1"/>
  <c r="J49" i="5" a="1"/>
  <c r="N117" i="5" a="1"/>
  <c r="N37" i="5" a="1"/>
  <c r="AD45" i="5" a="1"/>
  <c r="U40" i="5" a="1"/>
  <c r="F37" i="5" a="1"/>
  <c r="T118" i="5" a="1"/>
  <c r="K122" i="5" a="1"/>
  <c r="AD53" i="5" a="1"/>
  <c r="L43" i="5" a="1"/>
  <c r="F45" i="5" a="1"/>
  <c r="N45" i="5" a="1"/>
  <c r="L51" i="5" a="1"/>
  <c r="U48" i="5" a="1"/>
  <c r="H47" i="5" a="1"/>
  <c r="Q52" i="5" a="1"/>
  <c r="M48" i="5" a="1"/>
  <c r="U56" i="5" a="1"/>
  <c r="J57" i="5" a="1"/>
  <c r="M56" i="5" a="1"/>
  <c r="Q60" i="5" a="1"/>
  <c r="G58" i="5" a="1"/>
  <c r="N53" i="5" a="1"/>
  <c r="AD61" i="5" a="1"/>
  <c r="H55" i="5" a="1"/>
  <c r="AD76" i="5" a="1"/>
  <c r="F53" i="5" a="1"/>
  <c r="L59" i="5" a="1"/>
  <c r="N61" i="5" a="1"/>
  <c r="J65" i="5" a="1"/>
  <c r="G66" i="5" a="1"/>
  <c r="U64" i="5" a="1"/>
  <c r="F61" i="5" a="1"/>
  <c r="Q68" i="5" a="1"/>
  <c r="M64" i="5" a="1"/>
  <c r="E64" i="5" a="1"/>
  <c r="U73" i="5" a="1"/>
  <c r="J71" i="5" a="1"/>
  <c r="H63" i="5" a="1"/>
  <c r="L67" i="5" a="1"/>
  <c r="AD83" i="5" a="1"/>
  <c r="W87" i="5" a="1"/>
  <c r="G72" i="5" a="1"/>
  <c r="N87" i="5" a="1"/>
  <c r="AB79" i="5" a="1"/>
  <c r="N76" i="5" a="1"/>
  <c r="W86" i="5" a="1"/>
  <c r="F69" i="5" a="1"/>
  <c r="M84" i="5" a="1"/>
  <c r="F88" i="5" a="1"/>
  <c r="AD112" i="5" a="1"/>
  <c r="P99" i="5" a="1"/>
  <c r="W94" i="5" a="1"/>
  <c r="T91" i="5" a="1"/>
  <c r="K98" i="5" a="1"/>
  <c r="J91" i="5" a="1"/>
  <c r="W109" i="5" a="1"/>
  <c r="T93" i="5" a="1"/>
  <c r="AB89" i="5" a="1"/>
  <c r="U93" i="5" a="1"/>
  <c r="L95" i="5" a="1"/>
  <c r="H89" i="5" a="1"/>
  <c r="F92" i="5" a="1"/>
  <c r="U110" i="5" a="1"/>
  <c r="W100" i="5" a="1"/>
  <c r="N102" i="5" a="1"/>
  <c r="O114" i="5" a="1"/>
  <c r="I107" i="5" a="1"/>
  <c r="F100" i="5" a="1"/>
  <c r="S113" i="5" a="1"/>
  <c r="Z98" i="5" a="1"/>
  <c r="K103" i="5" a="1"/>
  <c r="L115" i="5" a="1"/>
  <c r="E112" i="5" a="1"/>
  <c r="AF128" i="5" a="1"/>
  <c r="AJ104" i="5" a="1"/>
  <c r="AB106" i="5" a="1"/>
  <c r="AF101" i="5" a="1"/>
  <c r="Z88" i="5" a="1"/>
  <c r="J106" i="5" a="1"/>
  <c r="H97" i="5" a="1"/>
  <c r="R105" i="5" a="1"/>
  <c r="AD102" i="5" a="1"/>
  <c r="Q99" i="5" a="1"/>
  <c r="AF91" i="5" a="1"/>
  <c r="P114" i="5" a="1"/>
  <c r="V116" i="5" a="1"/>
  <c r="I108" i="5" a="1"/>
  <c r="U91" i="5" a="1"/>
  <c r="J107" i="5" a="1"/>
  <c r="W97" i="5" a="1"/>
  <c r="AD92" i="5" a="1"/>
  <c r="V110" i="5" a="1"/>
  <c r="AC117" i="5" a="1"/>
  <c r="I92" i="5" a="1"/>
  <c r="H126" i="5" a="1"/>
  <c r="J89" i="5" a="1"/>
  <c r="F121" i="5" a="1"/>
  <c r="AB95" i="5" a="1"/>
  <c r="AK94" i="5" a="1"/>
  <c r="L103" i="5" a="1"/>
  <c r="J109" i="5" a="1"/>
  <c r="P95" i="5" a="1"/>
  <c r="AB103" i="5" a="1"/>
  <c r="L94" i="5" a="1"/>
  <c r="U122" i="5" a="1"/>
  <c r="G100" i="5" a="1"/>
  <c r="O90" i="5" a="1"/>
  <c r="U92" i="5" a="1"/>
  <c r="J92" i="5" a="1"/>
  <c r="V113" i="5" a="1"/>
  <c r="W110" i="5" a="1"/>
  <c r="AD89" i="5" a="1"/>
  <c r="F112" i="5" a="1"/>
  <c r="O98" i="5" a="1"/>
  <c r="S115" i="5" a="1"/>
  <c r="T89" i="5" a="1"/>
  <c r="J108" i="5" a="1"/>
  <c r="J104" i="5" a="1"/>
  <c r="T121" i="5" a="1"/>
  <c r="AJ97" i="5" a="1"/>
  <c r="Q95" i="5" a="1"/>
  <c r="L91" i="5" a="1"/>
  <c r="G112" i="5" a="1"/>
  <c r="AD78" i="5" a="1"/>
  <c r="AK104" i="5" a="1"/>
  <c r="AB107" i="5" a="1"/>
  <c r="U101" i="5" a="1"/>
  <c r="AF99" i="5" a="1"/>
  <c r="I97" i="5" a="1"/>
  <c r="AF112" i="5" a="1"/>
  <c r="AD117" i="5" a="1"/>
  <c r="AI123" i="5" a="1"/>
  <c r="U79" i="5" a="1"/>
  <c r="H111" i="5" a="1"/>
  <c r="K109" i="5" a="1"/>
  <c r="AB108" i="5" a="1"/>
  <c r="AG84" i="5" a="1"/>
  <c r="K106" i="5" a="1"/>
  <c r="P120" i="5" a="1"/>
  <c r="M94" i="5" a="1"/>
  <c r="AD79" i="5" a="1"/>
  <c r="U74" i="5" a="1"/>
  <c r="R114" i="5" a="1"/>
  <c r="L78" i="5" a="1"/>
  <c r="S126" i="5" a="1"/>
  <c r="G96" i="5" a="1"/>
  <c r="AM128" i="5" a="1"/>
  <c r="N77" i="5" a="1"/>
  <c r="N83" i="5" a="1"/>
  <c r="T105" i="5" a="1"/>
  <c r="E99" i="5" a="1"/>
  <c r="AD111" i="5" a="1"/>
  <c r="E90" i="5" a="1"/>
  <c r="M103" i="5" a="1"/>
  <c r="T102" i="5" a="1"/>
  <c r="W113" i="5" a="1"/>
  <c r="M100" i="5" a="1"/>
  <c r="P106" i="5" a="1"/>
  <c r="AB121" i="5" a="1"/>
  <c r="AG112" i="5" a="1"/>
  <c r="Q120" i="5" a="1"/>
  <c r="K107" i="5" a="1"/>
  <c r="T115" i="5" a="1"/>
  <c r="E110" i="5" a="1"/>
  <c r="Y116" i="5" a="1"/>
  <c r="J97" i="5" a="1"/>
  <c r="P98" i="5" a="1"/>
  <c r="AG99" i="5" a="1"/>
  <c r="S114" i="5" a="1"/>
  <c r="AB98" i="5" a="1"/>
  <c r="AK123" i="5" a="1"/>
  <c r="F99" i="5" a="1"/>
  <c r="AI105" i="5" a="1"/>
  <c r="K104" i="5" a="1"/>
  <c r="Q106" i="5" a="1"/>
  <c r="U102" i="5" a="1"/>
  <c r="W82" i="5" a="1"/>
  <c r="E101" i="5" a="1"/>
  <c r="I89" i="5" a="1"/>
  <c r="AC108" i="5" a="1"/>
  <c r="W81" i="5" a="1"/>
  <c r="AC107" i="5" a="1"/>
  <c r="K108" i="5" a="1"/>
  <c r="Z116" i="5" a="1"/>
  <c r="Z86" i="5" a="1"/>
  <c r="AG92" i="5" a="1"/>
  <c r="Q87" i="5" a="1"/>
  <c r="L109" i="5" a="1"/>
  <c r="Q85" i="5" a="1"/>
  <c r="I111" i="5" a="1"/>
  <c r="Z85" i="5" a="1"/>
  <c r="I112" i="5" a="1"/>
  <c r="L89" i="5" a="1"/>
  <c r="AB88" i="5" a="1"/>
  <c r="E129" i="5" a="1"/>
  <c r="H85" i="5" a="1"/>
  <c r="Q94" i="5" a="1"/>
  <c r="F90" i="5" a="1"/>
  <c r="G71" i="5" a="1"/>
  <c r="N91" i="5" a="1"/>
  <c r="L92" i="5" a="1"/>
  <c r="Q98" i="5" a="1"/>
  <c r="L97" i="5" a="1"/>
  <c r="AD108" i="5" a="1"/>
  <c r="AD103" i="5" a="1"/>
  <c r="J111" i="5" a="1"/>
  <c r="Z97" i="5" a="1"/>
  <c r="K110" i="5" a="1"/>
  <c r="AJ105" i="5" a="1"/>
  <c r="P112" i="5" a="1"/>
  <c r="N100" i="5" a="1"/>
  <c r="W101" i="5" a="1"/>
  <c r="J70" i="5" a="1"/>
  <c r="R106" i="5" a="1"/>
  <c r="AC121" i="5" a="1"/>
  <c r="G99" i="5" a="1"/>
  <c r="I96" i="5" a="1"/>
  <c r="AI106" i="5" a="1"/>
  <c r="R120" i="5" a="1"/>
  <c r="L104" i="5" a="1"/>
  <c r="F101" i="5" a="1"/>
  <c r="Q112" i="5" a="1"/>
  <c r="L127" i="5" a="1"/>
  <c r="L108" i="5" a="1"/>
  <c r="AD121" i="5" a="1"/>
  <c r="M69" i="5" a="1"/>
  <c r="M109" i="5" a="1"/>
  <c r="R107" i="5" a="1"/>
  <c r="U69" i="5" a="1"/>
  <c r="G119" i="5" a="1"/>
  <c r="AD74" i="5" a="1"/>
  <c r="Q73" i="5" a="1"/>
  <c r="AD104" i="5" a="1"/>
  <c r="L72" i="5" a="1"/>
  <c r="U77" i="5" a="1"/>
  <c r="W83" i="5" a="1"/>
  <c r="J78" i="5" a="1"/>
  <c r="AB87" i="5" a="1"/>
  <c r="AG91" i="5" a="1"/>
  <c r="N74" i="5" a="1"/>
  <c r="F74" i="5" a="1"/>
  <c r="Z89" i="5" a="1"/>
  <c r="O92" i="5" a="1"/>
  <c r="Q80" i="5" a="1"/>
  <c r="M77" i="5" a="1"/>
  <c r="E77" i="5" a="1"/>
  <c r="Q90" i="5" a="1"/>
  <c r="AF92" i="5" a="1"/>
  <c r="E84" i="5" a="1"/>
  <c r="H76" i="5" a="1"/>
  <c r="J88" i="5" a="1"/>
  <c r="P91" i="5" a="1"/>
  <c r="Z90" i="5" a="1"/>
  <c r="U85" i="5" a="1"/>
  <c r="H90" i="5" a="1"/>
  <c r="O102" i="5" a="1"/>
  <c r="F83" i="5" a="1"/>
  <c r="N93" i="5" a="1"/>
  <c r="J98" i="5" a="1"/>
  <c r="U95" i="5" a="1"/>
  <c r="AB97" i="5" a="1"/>
  <c r="P101" i="5" a="1"/>
  <c r="AC106" i="5" a="1"/>
  <c r="E109" i="5" a="1"/>
  <c r="Z99" i="5" a="1"/>
  <c r="H100" i="5" a="1"/>
  <c r="J113" i="5" a="1"/>
  <c r="J112" i="5" a="1"/>
  <c r="L107" i="5" a="1"/>
  <c r="T96" i="5" a="1"/>
  <c r="AG101" i="5" a="1"/>
  <c r="N103" i="5" a="1"/>
  <c r="V112" i="5" a="1"/>
  <c r="G101" i="5" a="1"/>
  <c r="AF102" i="5" a="1"/>
  <c r="P110" i="5" a="1"/>
  <c r="E94" i="5" a="1"/>
  <c r="L111" i="5" a="1"/>
  <c r="AG111" i="5" a="1"/>
  <c r="U105" i="5" a="1"/>
  <c r="V108" i="5" a="1"/>
  <c r="M104" i="5" a="1"/>
  <c r="AK96" i="5" a="1"/>
  <c r="AF109" i="5" a="1"/>
  <c r="F110" i="5" a="1"/>
  <c r="I99" i="5" a="1"/>
  <c r="U107" i="5" a="1"/>
  <c r="T114" i="5" a="1"/>
  <c r="V122" i="5" a="1"/>
  <c r="F114" i="5" a="1"/>
  <c r="U115" i="5" a="1"/>
  <c r="Z120" i="5" a="1"/>
  <c r="G121" i="5" a="1"/>
  <c r="I116" i="5" a="1"/>
  <c r="AK114" i="5" a="1"/>
  <c r="U129" i="5" a="1"/>
  <c r="AI119" i="5" a="1"/>
  <c r="G92" i="5" a="1"/>
  <c r="V118" i="5" a="1"/>
  <c r="Z126" i="5" a="1"/>
  <c r="W93" i="5" a="1"/>
  <c r="AK97" i="5" a="1"/>
  <c r="AJ98" i="5" a="1"/>
  <c r="I90" i="5" a="1"/>
  <c r="Q100" i="5" a="1"/>
  <c r="AF93" i="5" a="1"/>
  <c r="S123" i="5" a="1"/>
  <c r="L96" i="5" a="1"/>
  <c r="H91" i="5" a="1"/>
  <c r="AD95" i="5" a="1"/>
  <c r="F93" i="5" a="1"/>
  <c r="K97" i="5" a="1"/>
  <c r="M95" i="5" a="1"/>
  <c r="N94" i="5" a="1"/>
  <c r="AD105" i="5" a="1"/>
  <c r="T97" i="5" a="1"/>
  <c r="E104" i="5" a="1"/>
  <c r="G102" i="5" a="1"/>
  <c r="W103" i="5" a="1"/>
  <c r="O109" i="5" a="1"/>
  <c r="H101" i="5" a="1"/>
  <c r="AD107" i="5" a="1"/>
  <c r="U106" i="5" a="1"/>
  <c r="K113" i="5" a="1"/>
  <c r="M105" i="5" a="1"/>
  <c r="F103" i="5" a="1"/>
  <c r="L106" i="5" a="1"/>
  <c r="Z110" i="5" a="1"/>
  <c r="K112" i="5" a="1"/>
  <c r="J99" i="5" a="1"/>
  <c r="W112" i="5" a="1"/>
  <c r="F109" i="5" a="1"/>
  <c r="U114" i="5" a="1"/>
  <c r="AJ110" i="5" a="1"/>
  <c r="W111" i="5" a="1"/>
  <c r="Q125" i="5" a="1"/>
  <c r="M108" i="5" a="1"/>
  <c r="M111" i="5" a="1"/>
  <c r="Q101" i="5" a="1"/>
  <c r="AD106" i="5" a="1"/>
  <c r="Y113" i="5" a="1"/>
  <c r="W118" i="5" a="1"/>
  <c r="AF121" i="5" a="1"/>
  <c r="AJ119" i="5" a="1"/>
  <c r="AC116" i="5" a="1"/>
  <c r="O103" i="5" a="1"/>
  <c r="N124" i="5" a="1"/>
  <c r="AG102" i="5" a="1"/>
  <c r="H121" i="5" a="1"/>
  <c r="AI100" i="5" a="1"/>
  <c r="P102" i="5" a="1"/>
  <c r="W104" i="5" a="1"/>
  <c r="AG109" i="5" a="1"/>
  <c r="Z100" i="5" a="1"/>
  <c r="V129" i="5" a="1"/>
  <c r="I100" i="5" a="1"/>
  <c r="N104" i="5" a="1"/>
  <c r="AK110" i="5" a="1"/>
  <c r="H115" i="5" a="1"/>
  <c r="P93" i="5" a="1"/>
  <c r="V107" i="5" a="1"/>
  <c r="Z113" i="5" a="1"/>
  <c r="AM117" i="5" a="1"/>
  <c r="O94" i="5" a="1"/>
  <c r="AF103" i="5" a="1"/>
  <c r="G110" i="5" a="1"/>
  <c r="L119" i="5" a="1"/>
  <c r="W108" i="5" a="1"/>
  <c r="G114" i="5" a="1"/>
  <c r="R117" i="5" a="1"/>
  <c r="E105" i="5" a="1"/>
  <c r="J116" i="5" a="1"/>
  <c r="U123" i="5" a="1"/>
  <c r="AI111" i="5" a="1"/>
  <c r="N108" i="5" a="1"/>
  <c r="L112" i="5" a="1"/>
  <c r="V114" i="5" a="1"/>
  <c r="O121" i="5" a="1"/>
  <c r="M107" i="5" a="1"/>
  <c r="AA113" i="5" a="1"/>
  <c r="Q110" i="5" a="1"/>
  <c r="AA120" i="5" a="1"/>
  <c r="AG121" i="5" a="1"/>
  <c r="AG93" i="5" a="1"/>
  <c r="Z91" i="5" a="1"/>
  <c r="R125" i="5" a="1"/>
  <c r="G93" i="5" a="1"/>
  <c r="L128" i="5" a="1"/>
  <c r="AA126" i="5" a="1"/>
  <c r="H92" i="5" a="1"/>
  <c r="AF94" i="5" a="1"/>
  <c r="AK98" i="5" a="1"/>
  <c r="AD96" i="5" a="1"/>
  <c r="O104" i="5" a="1"/>
  <c r="M96" i="5" a="1"/>
  <c r="N95" i="5" a="1"/>
  <c r="U97" i="5" a="1"/>
  <c r="T98" i="5" a="1"/>
  <c r="I101" i="5" a="1"/>
  <c r="Z101" i="5" a="1"/>
  <c r="AF104" i="5" a="1"/>
  <c r="AG108" i="5" a="1"/>
  <c r="G103" i="5" a="1"/>
  <c r="G109" i="5" a="1"/>
  <c r="AJ99" i="5" a="1"/>
  <c r="H102" i="5" a="1"/>
  <c r="M106" i="5" a="1"/>
  <c r="R100" i="5" a="1"/>
  <c r="V106" i="5" a="1"/>
  <c r="O124" i="5" a="1"/>
  <c r="F104" i="5" a="1"/>
  <c r="N105" i="5" a="1"/>
  <c r="AI112" i="5" a="1"/>
  <c r="E108" i="5" a="1"/>
  <c r="P109" i="5" a="1"/>
  <c r="W114" i="5" a="1"/>
  <c r="AD97" i="5" a="1"/>
  <c r="H110" i="5" a="1"/>
  <c r="AK89" i="5" a="1"/>
  <c r="Y115" i="5" a="1"/>
  <c r="W95" i="5" a="1"/>
  <c r="W129" i="5" a="1"/>
  <c r="M119" i="5" a="1"/>
  <c r="P121" i="5" a="1"/>
  <c r="K116" i="5" a="1"/>
  <c r="E118" i="5" a="1"/>
  <c r="Q92" i="5" a="1"/>
  <c r="S117" i="5" a="1"/>
  <c r="M97" i="5" a="1"/>
  <c r="G94" i="5" a="1"/>
  <c r="V123" i="5" a="1"/>
  <c r="AA122" i="5" a="1"/>
  <c r="AI101" i="5" a="1"/>
  <c r="Q102" i="5" a="1"/>
  <c r="L98" i="5" a="1"/>
  <c r="AB99" i="5" a="1"/>
  <c r="G104" i="5" a="1"/>
  <c r="F95" i="5" a="1"/>
  <c r="H93" i="5" a="1"/>
  <c r="J100" i="5" a="1"/>
  <c r="AG103" i="5" a="1"/>
  <c r="E96" i="5" a="1"/>
  <c r="W105" i="5" a="1"/>
  <c r="K99" i="5" a="1"/>
  <c r="W107" i="5" a="1"/>
  <c r="P103" i="5" a="1"/>
  <c r="R101" i="5" a="1"/>
  <c r="AJ100" i="5" a="1"/>
  <c r="AD113" i="5" a="1"/>
  <c r="R110" i="5" a="1"/>
  <c r="E107" i="5" a="1"/>
  <c r="E106" i="5" a="1"/>
  <c r="N107" i="5" a="1"/>
  <c r="F105" i="5" a="1"/>
  <c r="Y112" i="5" a="1"/>
  <c r="F108" i="5" a="1"/>
  <c r="AJ112" i="5" a="1"/>
  <c r="N111" i="5" a="1"/>
  <c r="M112" i="5" a="1"/>
  <c r="Q121" i="5" a="1"/>
  <c r="O95" i="5" a="1"/>
  <c r="AB120" i="5" a="1"/>
  <c r="Z115" i="5" a="1"/>
  <c r="M113" i="5" a="1"/>
  <c r="H114" i="5" a="1"/>
  <c r="AM119" i="5" a="1"/>
  <c r="N119" i="5" a="1"/>
  <c r="I115" i="5" a="1"/>
  <c r="P94" i="5" a="1"/>
  <c r="Q93" i="5" a="1"/>
  <c r="AF95" i="5" a="1"/>
  <c r="K100" i="5" a="1"/>
  <c r="U98" i="5" a="1"/>
  <c r="M128" i="5" a="1"/>
  <c r="N96" i="5" a="1"/>
  <c r="X125" i="5" a="1"/>
  <c r="AK99" i="5" a="1"/>
  <c r="W96" i="5" a="1"/>
  <c r="AG94" i="5" a="1"/>
  <c r="T99" i="5" a="1"/>
  <c r="AB100" i="5" a="1"/>
  <c r="J101" i="5" a="1"/>
  <c r="O105" i="5" a="1"/>
  <c r="P104" i="5" a="1"/>
  <c r="Z102" i="5" a="1"/>
  <c r="H103" i="5" a="1"/>
  <c r="AG104" i="5" a="1"/>
  <c r="Z109" i="5" a="1"/>
  <c r="AF96" i="5" a="1"/>
  <c r="E97" i="5" a="1"/>
  <c r="P108" i="5" a="1"/>
  <c r="AF107" i="5" a="1"/>
  <c r="AF105" i="5" a="1"/>
  <c r="N106" i="5" a="1"/>
  <c r="Q109" i="5" a="1"/>
  <c r="W106" i="5" a="1"/>
  <c r="I102" i="5" a="1"/>
  <c r="AB110" i="5" a="1"/>
  <c r="G108" i="5" a="1"/>
  <c r="AI109" i="5" a="1"/>
  <c r="I110" i="5" a="1"/>
  <c r="AI125" i="5" a="1"/>
  <c r="H109" i="5" a="1"/>
  <c r="F118" i="5" a="1"/>
  <c r="AA115" i="5" a="1"/>
  <c r="P124" i="5" a="1"/>
  <c r="O96" i="5" a="1"/>
  <c r="I114" i="5" a="1"/>
  <c r="AK90" i="5" a="1"/>
  <c r="AD88" i="5" a="1"/>
  <c r="U119" i="5" a="1"/>
  <c r="L116" i="5" a="1"/>
  <c r="AF118" i="5" a="1"/>
  <c r="Z111" i="5" a="1"/>
  <c r="AK116" i="5" a="1"/>
  <c r="E120" i="5" a="1"/>
  <c r="U89" i="5" a="1"/>
  <c r="I127" i="5" a="1"/>
  <c r="T90" i="5" a="1"/>
  <c r="G95" i="5" a="1"/>
  <c r="X129" i="5" a="1"/>
  <c r="Z93" i="5" a="1"/>
  <c r="AD98" i="5" a="1"/>
  <c r="M98" i="5" a="1"/>
  <c r="I93" i="5" a="1"/>
  <c r="N97" i="5" a="1"/>
  <c r="AK100" i="5" a="1"/>
  <c r="R102" i="5" a="1"/>
  <c r="Q103" i="5" a="1"/>
  <c r="AJ101" i="5" a="1"/>
  <c r="H94" i="5" a="1"/>
  <c r="F96" i="5" a="1"/>
  <c r="AF106" i="5" a="1"/>
  <c r="L99" i="5" a="1"/>
  <c r="R121" i="5" a="1"/>
  <c r="T100" i="5" a="1"/>
  <c r="G105" i="5" a="1"/>
  <c r="AK112" i="5" a="1"/>
  <c r="Z112" i="5" a="1"/>
  <c r="Z103" i="5" a="1"/>
  <c r="AD120" i="5" a="1"/>
  <c r="F106" i="5" a="1"/>
  <c r="AI102" i="5" a="1"/>
  <c r="O107" i="5" a="1"/>
  <c r="AC110" i="5" a="1"/>
  <c r="H104" i="5" a="1"/>
  <c r="J115" i="5" a="1"/>
  <c r="F107" i="5" a="1"/>
  <c r="N112" i="5" a="1"/>
  <c r="AB114" i="5" a="1"/>
  <c r="P111" i="5" a="1"/>
  <c r="G118" i="5" a="1"/>
  <c r="Z117" i="5" a="1"/>
  <c r="M116" i="5" a="1"/>
  <c r="J127" i="5" a="1"/>
  <c r="AD99" i="5" a="1"/>
  <c r="V119" i="5" a="1"/>
  <c r="Q108" i="5" a="1"/>
  <c r="L120" i="5" a="1"/>
  <c r="U99" i="5" a="1"/>
  <c r="R103" i="5" a="1"/>
  <c r="Z108" i="5" a="1"/>
  <c r="L100" i="5" a="1"/>
  <c r="J102" i="5" a="1"/>
  <c r="AB101" i="5" a="1"/>
  <c r="O106" i="5" a="1"/>
  <c r="AF123" i="5" a="1"/>
  <c r="K101" i="5" a="1"/>
  <c r="Q104" i="5" a="1"/>
  <c r="J114" i="5" a="1"/>
  <c r="J110" i="5" a="1"/>
  <c r="P107" i="5" a="1"/>
  <c r="AF113" i="5" a="1"/>
  <c r="AI103" i="5" a="1"/>
  <c r="P105" i="5" a="1"/>
  <c r="AG105" i="5" a="1"/>
  <c r="R109" i="5" a="1"/>
  <c r="I103" i="5" a="1"/>
  <c r="O112" i="5" a="1"/>
  <c r="AJ109" i="5" a="1"/>
  <c r="Q111" i="5" a="1"/>
  <c r="I109" i="5" a="1"/>
  <c r="AI108" i="5" a="1"/>
  <c r="H108" i="5" a="1"/>
  <c r="O97" i="5" a="1"/>
  <c r="E111" i="5" a="1"/>
  <c r="AG118" i="5" a="1"/>
  <c r="W119" i="5" a="1"/>
  <c r="M120" i="5" a="1"/>
  <c r="J93" i="5" a="1"/>
  <c r="AA112" i="5" a="1"/>
  <c r="AC114" i="5" a="1"/>
  <c r="AA117" i="5" a="1"/>
  <c r="F122" i="5" a="1"/>
  <c r="Z94" i="5" a="1"/>
  <c r="T128" i="5" a="1"/>
  <c r="AG96" i="5" a="1"/>
  <c r="AJ122" i="5" a="1"/>
  <c r="P96" i="5" a="1"/>
  <c r="AJ125" i="5" a="1"/>
  <c r="I94" i="5" a="1"/>
  <c r="AF124" i="5" a="1"/>
  <c r="J103" i="5" a="1"/>
  <c r="AK101" i="5" a="1"/>
  <c r="AF97" i="5" a="1"/>
  <c r="H95" i="5" a="1"/>
  <c r="AJ102" i="5" a="1"/>
  <c r="T101" i="5" a="1"/>
  <c r="Z104" i="5" a="1"/>
  <c r="U100" i="5" a="1"/>
  <c r="M99" i="5" a="1"/>
  <c r="N98" i="5" a="1"/>
  <c r="Q107" i="5" a="1"/>
  <c r="N109" i="5" a="1"/>
  <c r="AD110" i="5" a="1"/>
  <c r="AG106" i="5" a="1"/>
  <c r="G106" i="5" a="1"/>
  <c r="AD114" i="5" a="1"/>
  <c r="H105" i="5" a="1"/>
  <c r="I104" i="5" a="1"/>
  <c r="O116" i="5" a="1"/>
  <c r="AB109" i="5" a="1"/>
  <c r="T110" i="5" a="1"/>
  <c r="K115" i="5" a="1"/>
  <c r="F111" i="5" a="1"/>
  <c r="AC111" i="5" a="1"/>
  <c r="R111" i="5" a="1"/>
  <c r="N120" i="5" a="1"/>
  <c r="O111" i="5" a="1"/>
  <c r="AF115" i="5" a="1"/>
  <c r="K114" i="5" a="1"/>
  <c r="AB117" i="5" a="1"/>
  <c r="O108" i="5" a="1"/>
  <c r="AG123" i="5" a="1"/>
  <c r="I118" i="5" a="1"/>
  <c r="S121" i="5" a="1"/>
  <c r="AK127" i="5" a="1"/>
  <c r="H122" i="5" a="1"/>
  <c r="AB122" i="5" a="1"/>
  <c r="AG107" i="5" a="1"/>
  <c r="G107" i="5" a="1"/>
  <c r="L122" i="5" a="1"/>
  <c r="K127" i="5" a="1"/>
  <c r="AF108" i="5" a="1"/>
  <c r="F129" i="5" a="1"/>
  <c r="U128" i="5" a="1"/>
  <c r="E123" i="5" a="1"/>
  <c r="N113" i="5" a="1"/>
  <c r="M110" i="5" a="1"/>
  <c r="AK115" i="5" a="1"/>
  <c r="S112" i="5" a="1"/>
  <c r="L114" i="5" a="1"/>
  <c r="J118" i="5" a="1"/>
  <c r="M115" i="5" a="1"/>
  <c r="Y114" i="5" a="1"/>
  <c r="N116" i="5" a="1"/>
  <c r="AI113" i="5" a="1"/>
  <c r="AE129" i="5" a="1"/>
  <c r="AF117" i="5" a="1"/>
  <c r="AB116" i="5" a="1"/>
  <c r="Y125" i="5" a="1"/>
  <c r="F120" i="5" a="1"/>
  <c r="E117" i="5" a="1"/>
  <c r="T117" i="5" a="1"/>
  <c r="O119" i="5" a="1"/>
  <c r="U124" i="5" a="1"/>
  <c r="AJ118" i="5" a="1"/>
  <c r="I126" i="5" a="1"/>
  <c r="G120" i="5" a="1"/>
  <c r="AF129" i="5" a="1"/>
  <c r="AF110" i="5" a="1"/>
  <c r="H123" i="5" a="1"/>
  <c r="L129" i="5" a="1"/>
  <c r="W123" i="5" a="1"/>
  <c r="U121" i="5" a="1"/>
  <c r="M122" i="5" a="1"/>
  <c r="P119" i="5" a="1"/>
  <c r="O113" i="5" a="1"/>
  <c r="AA119" i="5" a="1"/>
  <c r="AI121" i="5" a="1"/>
  <c r="F123" i="5" a="1"/>
  <c r="AJ111" i="5" a="1"/>
  <c r="G111" i="5" a="1"/>
  <c r="N110" i="5" a="1"/>
  <c r="R116" i="5" a="1"/>
  <c r="R127" i="5" a="1"/>
  <c r="V128" i="5" a="1"/>
  <c r="AC126" i="5" a="1"/>
  <c r="AB126" i="5" a="1"/>
  <c r="AM123" i="5" a="1"/>
  <c r="Z125" i="5" a="1"/>
  <c r="I121" i="5" a="1"/>
  <c r="S120" i="5" a="1"/>
  <c r="AC122" i="5" a="1"/>
  <c r="U117" i="5" a="1"/>
  <c r="N114" i="5" a="1"/>
  <c r="F125" i="5" a="1"/>
  <c r="G117" i="5" a="1"/>
  <c r="Z114" i="5" a="1"/>
  <c r="T112" i="5" a="1"/>
  <c r="P115" i="5" a="1"/>
  <c r="P116" i="5" a="1"/>
  <c r="L118" i="5" a="1"/>
  <c r="AG117" i="5" a="1"/>
  <c r="W121" i="5" a="1"/>
  <c r="O122" i="5" a="1"/>
  <c r="J123" i="5" a="1"/>
  <c r="J126" i="5" a="1"/>
  <c r="Q116" i="5" a="1"/>
  <c r="AD119" i="5" a="1"/>
  <c r="AC119" i="5" a="1"/>
  <c r="AJ121" i="5" a="1"/>
  <c r="S127" i="5" a="1"/>
  <c r="AG120" i="5" a="1"/>
  <c r="Q115" i="5" a="1"/>
  <c r="W124" i="5" a="1"/>
  <c r="AD116" i="5" a="1"/>
  <c r="Y121" i="5" a="1"/>
  <c r="AB115" i="5" a="1"/>
  <c r="AD122" i="5" a="1"/>
  <c r="E124" i="5" a="1"/>
  <c r="AA114" i="5" a="1"/>
  <c r="W128" i="5" a="1"/>
  <c r="Y118" i="5" a="1"/>
  <c r="G125" i="5" a="1"/>
  <c r="U120" i="5" a="1"/>
  <c r="AM115" i="5" a="1"/>
  <c r="J121" i="5" a="1"/>
  <c r="M118" i="5" a="1"/>
  <c r="Z123" i="5" a="1"/>
  <c r="AM118" i="5" a="1"/>
  <c r="H120" i="5" a="1"/>
  <c r="AM113" i="5" a="1"/>
  <c r="AA125" i="5" a="1"/>
  <c r="U112" i="5" a="1"/>
  <c r="AB111" i="5" a="1"/>
  <c r="AI126" i="5" a="1"/>
  <c r="T127" i="5" a="1"/>
  <c r="J117" i="5" a="1"/>
  <c r="AM127" i="5" a="1"/>
  <c r="AK111" i="5" a="1"/>
  <c r="V117" i="5" a="1"/>
  <c r="Q113" i="5" a="1"/>
  <c r="P113" i="5" a="1"/>
  <c r="M129" i="5" a="1"/>
  <c r="F113" i="5" a="1"/>
  <c r="AG129" i="5" a="1"/>
  <c r="AI117" i="5" a="1"/>
  <c r="E116" i="5" a="1"/>
  <c r="AM114" i="5" a="1"/>
  <c r="I120" i="5" a="1"/>
  <c r="AK121" i="5" a="1"/>
  <c r="E119" i="5" a="1"/>
  <c r="L123" i="5" a="1"/>
  <c r="V120" i="5" a="1"/>
  <c r="M123" i="5" a="1"/>
  <c r="AB123" i="5" a="1"/>
  <c r="H125" i="5" a="1"/>
  <c r="Q119" i="5" a="1"/>
  <c r="X124" i="5" a="1"/>
  <c r="F124" i="5" a="1"/>
  <c r="N129" i="5" a="1"/>
  <c r="AD123" i="5" a="1"/>
  <c r="AC128" i="5" a="1"/>
  <c r="R115" i="5" a="1"/>
  <c r="E115" i="5" a="1"/>
  <c r="Q126" i="5" a="1"/>
  <c r="U127" i="5" a="1"/>
  <c r="Q114" i="5" a="1"/>
  <c r="AJ117" i="5" a="1"/>
  <c r="K117" i="5" a="1"/>
  <c r="O118" i="5" a="1"/>
  <c r="AC115" i="5" a="1"/>
  <c r="AI120" i="5" a="1"/>
  <c r="N118" i="5" a="1"/>
  <c r="AA118" i="5" a="1"/>
  <c r="S116" i="5" a="1"/>
  <c r="F116" i="5" a="1"/>
  <c r="Z121" i="5" a="1"/>
  <c r="AF119" i="5" a="1"/>
  <c r="AG125" i="5" a="1"/>
  <c r="AJ126" i="5" a="1"/>
  <c r="AD115" i="5" a="1"/>
  <c r="S122" i="5" a="1"/>
  <c r="G113" i="5" a="1"/>
  <c r="K121" i="5" a="1"/>
  <c r="AK117" i="5" a="1"/>
  <c r="G116" i="5" a="1"/>
  <c r="J120" i="5" a="1"/>
  <c r="W117" i="5" a="1"/>
  <c r="AH129" i="5" a="1"/>
  <c r="AB118" i="5" a="1"/>
  <c r="O129" i="5" a="1"/>
  <c r="G124" i="5" a="1"/>
  <c r="L121" i="5" a="1"/>
  <c r="AD128" i="5" a="1"/>
  <c r="F119" i="5" a="1"/>
  <c r="R119" i="5" a="1"/>
  <c r="Y124" i="5" a="1"/>
  <c r="AH125" i="5" a="1"/>
  <c r="AG119" i="5" a="1"/>
  <c r="AK126" i="5" a="1"/>
  <c r="O117" i="5" a="1"/>
  <c r="Y120" i="5" a="1"/>
  <c r="Z118" i="5" a="1"/>
  <c r="T122" i="5" a="1"/>
  <c r="AA121" i="5" a="1"/>
  <c r="AJ120" i="5" a="1"/>
  <c r="N121" i="5" a="1"/>
  <c r="I125" i="5" a="1"/>
  <c r="AG116" i="5" a="1"/>
  <c r="H116" i="5" a="1"/>
  <c r="T119" i="5" a="1"/>
  <c r="K128" i="5" a="1"/>
  <c r="T116" i="5" a="1"/>
  <c r="H129" i="5" a="1"/>
  <c r="W116" i="5" a="1"/>
  <c r="L117" i="5" a="1"/>
  <c r="N123" i="5" a="1"/>
  <c r="Q118" i="5" a="1"/>
  <c r="AM121" i="5" a="1"/>
  <c r="R126" i="5" a="1"/>
  <c r="T120" i="5" a="1"/>
  <c r="AA127" i="5" a="1"/>
  <c r="AK119" i="5" a="1"/>
  <c r="AE128" i="5" a="1"/>
  <c r="AF116" i="5" a="1"/>
  <c r="F117" i="5" a="1"/>
  <c r="AI118" i="5" a="1"/>
  <c r="AB119" i="5" a="1"/>
  <c r="H118" i="5" a="1"/>
  <c r="N122" i="5" a="1"/>
  <c r="E122" i="5" a="1"/>
  <c r="Z124" i="5" a="1"/>
  <c r="K120" i="5" a="1"/>
  <c r="I119" i="5" a="1"/>
  <c r="Q124" i="5" a="1"/>
  <c r="AF122" i="5" a="1"/>
  <c r="P123" i="5" a="1"/>
  <c r="V121" i="5" a="1"/>
  <c r="W122" i="5" a="1"/>
  <c r="AC120" i="5" a="1"/>
  <c r="J125" i="5" a="1"/>
  <c r="Y123" i="5" a="1"/>
  <c r="H124" i="5" a="1"/>
  <c r="N128" i="5" a="1"/>
  <c r="S125" i="5" a="1"/>
  <c r="M127" i="5" a="1"/>
  <c r="AK125" i="5" a="1"/>
  <c r="AB125" i="5" a="1"/>
  <c r="AB113" i="5" a="1"/>
  <c r="K126" i="5" a="1"/>
  <c r="T126" i="5" a="1"/>
  <c r="AG128" i="5" a="1"/>
  <c r="AD126" i="5" a="1"/>
  <c r="AJ124" i="5" a="1"/>
  <c r="H112" i="5" a="1"/>
  <c r="AG122" i="5" a="1"/>
  <c r="E128" i="5" a="1"/>
  <c r="V115" i="5" a="1"/>
  <c r="G123" i="5" a="1"/>
  <c r="AM126" i="5" a="1"/>
  <c r="AE127" i="5" a="1"/>
  <c r="M121" i="5" a="1"/>
  <c r="AA124" i="5" a="1"/>
  <c r="P129" i="5" a="1"/>
  <c r="AK113" i="5" a="1"/>
  <c r="J119" i="5" a="1"/>
  <c r="O128" i="5" a="1"/>
  <c r="U126" i="5" a="1"/>
  <c r="P117" i="5" a="1"/>
  <c r="Y129" i="5" a="1"/>
  <c r="S119" i="5" a="1"/>
  <c r="G129" i="5" a="1"/>
  <c r="V127" i="5" a="1"/>
  <c r="Y117" i="5" a="1"/>
  <c r="AM120" i="5" a="1"/>
  <c r="AK124" i="5" a="1"/>
  <c r="T125" i="5" a="1"/>
  <c r="N127" i="5" a="1"/>
  <c r="AI129" i="5" a="1"/>
  <c r="X128" i="5" a="1"/>
  <c r="K125" i="5" a="1"/>
  <c r="I124" i="5" a="1"/>
  <c r="AC125" i="5" a="1"/>
  <c r="R124" i="5" a="1"/>
  <c r="E127" i="5" a="1"/>
  <c r="L126" i="5" a="1"/>
  <c r="AE126" i="5" a="1"/>
  <c r="W127" i="5" a="1"/>
  <c r="Q117" i="5" a="1"/>
  <c r="AK118" i="5" a="1"/>
  <c r="AF127" i="5" a="1"/>
  <c r="AH128" i="5" a="1"/>
  <c r="P128" i="5" a="1"/>
  <c r="Y128" i="5" a="1"/>
  <c r="N115" i="5" a="1"/>
  <c r="Y122" i="5" a="1"/>
  <c r="E121" i="5" a="1"/>
  <c r="L113" i="5" a="1"/>
  <c r="Q129" i="5" a="1"/>
  <c r="AC113" i="5" a="1"/>
  <c r="K119" i="5" a="1"/>
  <c r="T113" i="5" a="1"/>
  <c r="F128" i="5" a="1"/>
  <c r="W115" i="5" a="1"/>
  <c r="H117" i="5" a="1"/>
  <c r="AJ129" i="5" a="1"/>
  <c r="Z129" i="5" a="1"/>
  <c r="G122" i="5" a="1"/>
  <c r="AD125" i="5" a="1"/>
  <c r="J124" i="5" a="1"/>
  <c r="G128" i="5" a="1"/>
  <c r="M126" i="5" a="1"/>
  <c r="AB124" i="5" a="1"/>
  <c r="S124" i="5" a="1"/>
  <c r="AI122" i="5" a="1"/>
  <c r="AJ123" i="5" a="1"/>
  <c r="P122" i="5" a="1"/>
  <c r="R123" i="5" a="1"/>
  <c r="V126" i="5" a="1"/>
  <c r="U125" i="5" a="1"/>
  <c r="I123" i="5" a="1"/>
  <c r="L125" i="5" a="1"/>
  <c r="AC124" i="5" a="1"/>
  <c r="Q128" i="5" a="1"/>
  <c r="AF126" i="5" a="1"/>
  <c r="O127" i="5" a="1"/>
  <c r="AA123" i="5" a="1"/>
  <c r="F127" i="5" a="1"/>
  <c r="AC129" i="5" a="1"/>
  <c r="AI128" i="5" a="1"/>
  <c r="W126" i="5" a="1"/>
  <c r="AI116" i="5" a="1"/>
  <c r="AM125" i="5" a="1"/>
  <c r="U113" i="5" a="1"/>
  <c r="AG127" i="5" a="1"/>
  <c r="Q122" i="5" a="1"/>
  <c r="Y127" i="5" a="1"/>
  <c r="I117" i="5" a="1"/>
  <c r="O115" i="5" a="1"/>
  <c r="W120" i="5" a="1"/>
  <c r="X127" i="5" a="1"/>
  <c r="R129" i="5" a="1"/>
  <c r="Z128" i="5" a="1"/>
  <c r="Z122" i="5" a="1"/>
  <c r="F115" i="5" a="1"/>
  <c r="AK129" i="5" a="1"/>
  <c r="AF120" i="5" a="1"/>
  <c r="AA128" i="5" a="1"/>
  <c r="AD124" i="5" a="1"/>
  <c r="I129" i="5" a="1"/>
  <c r="AA129" i="5" a="1"/>
  <c r="T124" i="5" a="1"/>
  <c r="M125" i="5" a="1"/>
  <c r="AM124" i="5" a="1"/>
  <c r="AH126" i="5" a="1"/>
  <c r="Q127" i="5" a="1"/>
  <c r="AB128" i="5" a="1"/>
  <c r="E125" i="5" a="1"/>
  <c r="K129" i="5" a="1"/>
  <c r="S129" i="5" a="1"/>
  <c r="AH127" i="5" a="1"/>
  <c r="J129" i="5" a="1"/>
  <c r="AE124" i="5" a="1"/>
  <c r="M124" i="5" a="1"/>
  <c r="K124" i="5" a="1"/>
  <c r="AG126" i="5" a="1"/>
  <c r="G127" i="5" a="1"/>
  <c r="AG114" i="5" a="1"/>
  <c r="AI127" i="5" a="1"/>
  <c r="S128" i="5" a="1"/>
  <c r="V124" i="5" a="1"/>
  <c r="F126" i="5" a="1"/>
  <c r="AA116" i="5" a="1"/>
  <c r="T129" i="5" a="1"/>
  <c r="W125" i="5" a="1"/>
  <c r="N126" i="5" a="1"/>
  <c r="AB129" i="5" a="1"/>
  <c r="V125" i="5" a="1"/>
  <c r="AJ116" i="5" a="1"/>
  <c r="Y126" i="5" a="1"/>
  <c r="P126" i="5" a="1"/>
  <c r="Z127" i="5" a="1"/>
  <c r="AM129" i="5" a="1"/>
  <c r="H127" i="5" a="1"/>
  <c r="AF125" i="5" a="1"/>
  <c r="I122" i="5" a="1"/>
  <c r="L124" i="5" a="1"/>
  <c r="O126" i="5" a="1"/>
  <c r="P127" i="5" a="1"/>
  <c r="H128" i="5" a="1"/>
  <c r="I128" i="5" a="1"/>
  <c r="J128" i="5" a="1"/>
  <c r="G126" i="5" a="1"/>
  <c r="AJ127" i="5" a="1"/>
  <c r="R122" i="5" a="1"/>
  <c r="AK122" i="5" a="1"/>
  <c r="AC123" i="5" a="1"/>
  <c r="X126" i="5" a="1"/>
  <c r="E126" i="5" a="1"/>
  <c r="O120" i="5" a="1"/>
  <c r="U118" i="5" a="1"/>
  <c r="R128" i="5" a="1"/>
  <c r="T123" i="5" a="1"/>
  <c r="N125" i="5" a="1"/>
  <c r="AK128" i="5" a="1"/>
  <c r="K123" i="5" a="1"/>
  <c r="AC118" i="5" a="1"/>
  <c r="AD129" i="5" a="1"/>
  <c r="AD118" i="5" a="1"/>
  <c r="AJ128" i="5" a="1"/>
  <c r="AE125" i="5" a="1"/>
  <c r="G115" i="5" a="1"/>
  <c r="D115" i="5" a="1"/>
  <c r="D117" i="5" a="1"/>
  <c r="D120" i="5" a="1"/>
  <c r="D116" i="5" a="1"/>
  <c r="D128" i="5" a="1"/>
  <c r="D121" i="5" a="1"/>
  <c r="D122" i="5" a="1"/>
  <c r="D129" i="5" a="1"/>
  <c r="D123" i="5" a="1"/>
  <c r="D125" i="5" a="1"/>
  <c r="D119" i="5" a="1"/>
  <c r="D126" i="5" a="1"/>
  <c r="D114" i="5" a="1"/>
  <c r="D118" i="5" a="1"/>
  <c r="D113" i="5" a="1"/>
  <c r="D127" i="5" a="1"/>
  <c r="D112" i="5" a="1"/>
  <c r="D124" i="5" a="1"/>
  <c r="C5" i="5" a="1"/>
  <c r="C4" i="5"/>
  <c r="AQ90" i="5" l="1"/>
  <c r="AQ109" i="5"/>
  <c r="AR10" i="5"/>
  <c r="AR18" i="5"/>
  <c r="AR75" i="5"/>
  <c r="AQ91" i="5"/>
  <c r="AS118" i="5"/>
  <c r="AN122" i="5"/>
  <c r="AR13" i="5"/>
  <c r="AR102" i="5"/>
  <c r="AR70" i="5"/>
  <c r="AR123" i="5"/>
  <c r="AR32" i="5"/>
  <c r="AR5" i="5"/>
  <c r="AR61" i="5"/>
  <c r="AQ127" i="5"/>
  <c r="AR27" i="5"/>
  <c r="AR30" i="5"/>
  <c r="AR63" i="5"/>
  <c r="AO117" i="5"/>
  <c r="AQ86" i="5"/>
  <c r="AQ73" i="5"/>
  <c r="AN114" i="5"/>
  <c r="AR66" i="5"/>
  <c r="AR56" i="5"/>
  <c r="AR86" i="5"/>
  <c r="AR103" i="5"/>
  <c r="AQ87" i="5"/>
  <c r="AR73" i="5"/>
  <c r="AQ111" i="5"/>
  <c r="AS123" i="5"/>
  <c r="AR25" i="5"/>
  <c r="AR12" i="5"/>
  <c r="AQ104" i="5"/>
  <c r="AN106" i="5"/>
  <c r="AQ116" i="5"/>
  <c r="AR20" i="5"/>
  <c r="AR7" i="5"/>
  <c r="AQ100" i="5"/>
  <c r="AR99" i="5"/>
  <c r="AR79" i="5"/>
  <c r="AR68" i="5"/>
  <c r="AO114" i="5"/>
  <c r="AR80" i="5"/>
  <c r="AR59" i="5"/>
  <c r="AR64" i="5"/>
  <c r="AT123" i="5"/>
  <c r="AS122" i="5"/>
  <c r="AR35" i="5"/>
  <c r="AT122" i="5"/>
  <c r="AQ76" i="5"/>
  <c r="AU128" i="5"/>
  <c r="AR111" i="5"/>
  <c r="AR121" i="5"/>
  <c r="AR122" i="5"/>
  <c r="AR115" i="5"/>
  <c r="AQ82" i="5"/>
  <c r="AR9" i="5"/>
  <c r="AQ105" i="5"/>
  <c r="AR28" i="5"/>
  <c r="AR87" i="5"/>
  <c r="AQ112" i="5"/>
  <c r="AR17" i="5"/>
  <c r="AR71" i="5"/>
  <c r="AR76" i="5"/>
  <c r="AQ95" i="5"/>
  <c r="AN107" i="5"/>
  <c r="AR65" i="5"/>
  <c r="AR105" i="5"/>
  <c r="AR33" i="5"/>
  <c r="AQ88" i="5"/>
  <c r="AR62" i="5"/>
  <c r="AR26" i="5"/>
  <c r="AR15" i="5"/>
  <c r="AV128" i="5"/>
  <c r="AR82" i="5"/>
  <c r="AR14" i="5"/>
  <c r="AR6" i="5"/>
  <c r="AS121" i="5"/>
  <c r="AS120" i="5"/>
  <c r="AQ106" i="5"/>
  <c r="AV116" i="5"/>
  <c r="AW128" i="5"/>
  <c r="AR22" i="5"/>
  <c r="AR11" i="5"/>
  <c r="AT121" i="5"/>
  <c r="AR50" i="5"/>
  <c r="AR19" i="5"/>
  <c r="AR60" i="5"/>
  <c r="AQ83" i="5"/>
  <c r="AN119" i="5"/>
  <c r="AR101" i="5"/>
  <c r="AR89" i="5"/>
  <c r="AQ77" i="5"/>
  <c r="AR67" i="5"/>
  <c r="AR8" i="5"/>
  <c r="AQ75" i="5"/>
  <c r="AN109" i="5"/>
  <c r="AR92" i="5"/>
  <c r="AO119" i="5"/>
  <c r="AR83" i="5"/>
  <c r="AW126" i="5"/>
  <c r="AR97" i="5"/>
  <c r="AN123" i="5"/>
  <c r="AR16" i="5"/>
  <c r="AR107" i="5"/>
  <c r="AR29" i="5"/>
  <c r="AQ108" i="5"/>
  <c r="AT119" i="5"/>
  <c r="AV124" i="5"/>
  <c r="AO116" i="5"/>
  <c r="AQ85" i="5"/>
  <c r="AQ80" i="5"/>
  <c r="AS119" i="5"/>
  <c r="AR58" i="5"/>
  <c r="AR23" i="5"/>
  <c r="AR90" i="5"/>
  <c r="AR54" i="5"/>
  <c r="AR72" i="5"/>
  <c r="AR84" i="5"/>
  <c r="AV122" i="5"/>
  <c r="AQ93" i="5"/>
  <c r="AQ114" i="5"/>
  <c r="AQ110" i="5"/>
  <c r="AV123" i="5"/>
  <c r="AN126" i="5"/>
  <c r="AR100" i="5"/>
  <c r="AQ96" i="5"/>
  <c r="AR127" i="5"/>
  <c r="AR85" i="5"/>
  <c r="AO115" i="5"/>
  <c r="AR108" i="5"/>
  <c r="AQ94" i="5"/>
  <c r="AN110" i="5"/>
  <c r="AR78" i="5"/>
  <c r="AR88" i="5"/>
  <c r="AS127" i="5"/>
  <c r="AQ129" i="5"/>
  <c r="AW124" i="5"/>
  <c r="AS125" i="5"/>
  <c r="AN120" i="5"/>
  <c r="AQ115" i="5"/>
  <c r="AO126" i="5"/>
  <c r="AR106" i="5"/>
  <c r="AO125" i="5"/>
  <c r="AN125" i="5"/>
  <c r="AQ89" i="5"/>
  <c r="AN121" i="5"/>
  <c r="AR129" i="5"/>
  <c r="AR74" i="5"/>
  <c r="AO120" i="5"/>
  <c r="AO118" i="5"/>
  <c r="AN124" i="5"/>
  <c r="AQ84" i="5"/>
  <c r="AQ107" i="5"/>
  <c r="AR81" i="5"/>
  <c r="AR55" i="5"/>
  <c r="AQ125" i="5"/>
  <c r="AQ79" i="5"/>
  <c r="AR125" i="5"/>
  <c r="AR94" i="5"/>
  <c r="AR53" i="5"/>
  <c r="AQ92" i="5"/>
  <c r="AP120" i="5"/>
  <c r="AR117" i="5"/>
  <c r="AQ101" i="5"/>
  <c r="AV126" i="5"/>
  <c r="AO121" i="5"/>
  <c r="AN113" i="5"/>
  <c r="AO124" i="5"/>
  <c r="AR110" i="5"/>
  <c r="AR91" i="5"/>
  <c r="AP121" i="5"/>
  <c r="AN108" i="5"/>
  <c r="AN111" i="5"/>
  <c r="AR93" i="5"/>
  <c r="AR104" i="5"/>
  <c r="AR120" i="5"/>
  <c r="AP118" i="5"/>
  <c r="AO122" i="5"/>
  <c r="AN128" i="5"/>
  <c r="AQ97" i="5"/>
  <c r="AR57" i="5"/>
  <c r="AR112" i="5"/>
  <c r="AV115" i="5"/>
  <c r="AQ103" i="5"/>
  <c r="AN115" i="5"/>
  <c r="AO113" i="5"/>
  <c r="AQ98" i="5"/>
  <c r="AR116" i="5"/>
  <c r="AR114" i="5"/>
  <c r="AQ78" i="5"/>
  <c r="AR124" i="5"/>
  <c r="AQ119" i="5"/>
  <c r="AQ102" i="5"/>
  <c r="AV120" i="5"/>
  <c r="AQ121" i="5"/>
  <c r="AN129" i="5"/>
  <c r="AV127" i="5"/>
  <c r="AR96" i="5"/>
  <c r="AY126" i="5"/>
  <c r="AQ124" i="5"/>
  <c r="AQ99" i="5"/>
  <c r="AT128" i="5"/>
  <c r="AN116" i="5"/>
  <c r="AW129" i="5"/>
  <c r="AY129" i="5"/>
  <c r="AR98" i="5"/>
  <c r="AT124" i="5"/>
  <c r="AQ74" i="5"/>
  <c r="AW127" i="5"/>
  <c r="AY128" i="5"/>
  <c r="AW125" i="5"/>
  <c r="AN117" i="5"/>
  <c r="AR118" i="5"/>
  <c r="AV119" i="5"/>
  <c r="AQ128" i="5"/>
  <c r="AT129" i="5"/>
  <c r="AQ123" i="5"/>
  <c r="AS128" i="5"/>
  <c r="AT127" i="5"/>
  <c r="AP122" i="5"/>
  <c r="AV118" i="5"/>
  <c r="AO112" i="5"/>
  <c r="AY125" i="5"/>
  <c r="AQ81" i="5"/>
  <c r="AV125" i="5"/>
  <c r="AU129" i="5"/>
  <c r="AN112" i="5"/>
  <c r="AP126" i="5"/>
  <c r="AQ122" i="5"/>
  <c r="AO128" i="5"/>
  <c r="AN118" i="5"/>
  <c r="AP119" i="5"/>
  <c r="AP129" i="5"/>
  <c r="AQ117" i="5"/>
  <c r="AR119" i="5"/>
  <c r="AS124" i="5"/>
  <c r="AT118" i="5"/>
  <c r="AR128" i="5"/>
  <c r="AR113" i="5"/>
  <c r="AS129" i="5"/>
  <c r="AP124" i="5"/>
  <c r="AY124" i="5"/>
  <c r="AP125" i="5"/>
  <c r="AP127" i="5"/>
  <c r="AY127" i="5"/>
  <c r="AT126" i="5"/>
  <c r="AR69" i="5"/>
  <c r="AS126" i="5"/>
  <c r="AO123" i="5"/>
  <c r="AU127" i="5"/>
  <c r="AP128" i="5"/>
  <c r="AV117" i="5"/>
  <c r="AT125" i="5"/>
  <c r="AR109" i="5"/>
  <c r="AQ126" i="5"/>
  <c r="AP123" i="5"/>
  <c r="AV129" i="5"/>
  <c r="AT120" i="5"/>
  <c r="AR95" i="5"/>
  <c r="AY122" i="5"/>
  <c r="AO129" i="5"/>
  <c r="AY121" i="5"/>
  <c r="AO127" i="5"/>
  <c r="AR77" i="5"/>
  <c r="AN127" i="5"/>
  <c r="AR126" i="5"/>
  <c r="AY123" i="5"/>
  <c r="AQ113" i="5"/>
  <c r="AV121" i="5"/>
  <c r="AQ120" i="5"/>
  <c r="AQ118" i="5"/>
  <c r="AD5" i="5"/>
  <c r="G16" i="5"/>
  <c r="J5" i="5"/>
  <c r="J7" i="5"/>
  <c r="Q75" i="5"/>
  <c r="AD26" i="5"/>
  <c r="L83" i="5"/>
  <c r="L33" i="5"/>
  <c r="AB80" i="5"/>
  <c r="U15" i="5"/>
  <c r="U20" i="5"/>
  <c r="F30" i="5"/>
  <c r="Z87" i="5"/>
  <c r="G36" i="5"/>
  <c r="E82" i="5"/>
  <c r="J87" i="5"/>
  <c r="J34" i="5"/>
  <c r="F24" i="5"/>
  <c r="L6" i="5"/>
  <c r="J20" i="5"/>
  <c r="AD16" i="5"/>
  <c r="J30" i="5"/>
  <c r="U26" i="5"/>
  <c r="N25" i="5"/>
  <c r="U16" i="5"/>
  <c r="Q63" i="5"/>
  <c r="F22" i="5"/>
  <c r="AG115" i="5"/>
  <c r="L27" i="5"/>
  <c r="J9" i="5"/>
  <c r="Q20" i="5"/>
  <c r="L29" i="5"/>
  <c r="L28" i="5"/>
  <c r="N24" i="5"/>
  <c r="G5" i="5"/>
  <c r="L17" i="5"/>
  <c r="F41" i="5"/>
  <c r="F40" i="5"/>
  <c r="Q12" i="5"/>
  <c r="J19" i="5"/>
  <c r="Q8" i="5"/>
  <c r="G64" i="5"/>
  <c r="J10" i="5"/>
  <c r="J13" i="5"/>
  <c r="M78" i="5"/>
  <c r="G81" i="5"/>
  <c r="L15" i="5"/>
  <c r="G22" i="5"/>
  <c r="H48" i="5"/>
  <c r="J18" i="5"/>
  <c r="J22" i="5"/>
  <c r="AD15" i="5"/>
  <c r="AF98" i="5"/>
  <c r="Q14" i="5"/>
  <c r="AD10" i="5"/>
  <c r="U7" i="5"/>
  <c r="Q9" i="5"/>
  <c r="F54" i="5"/>
  <c r="J6" i="5"/>
  <c r="G9" i="5"/>
  <c r="L7" i="5"/>
  <c r="F27" i="5"/>
  <c r="U17" i="5"/>
  <c r="G35" i="5"/>
  <c r="L20" i="5"/>
  <c r="AD11" i="5"/>
  <c r="AD71" i="5"/>
  <c r="J23" i="5"/>
  <c r="U61" i="5"/>
  <c r="L10" i="5"/>
  <c r="Q96" i="5"/>
  <c r="G41" i="5"/>
  <c r="M42" i="5"/>
  <c r="N23" i="5"/>
  <c r="AD24" i="5"/>
  <c r="F32" i="5"/>
  <c r="W91" i="5"/>
  <c r="N28" i="5"/>
  <c r="M46" i="5"/>
  <c r="Q15" i="5"/>
  <c r="U10" i="5"/>
  <c r="Q6" i="5"/>
  <c r="G21" i="5"/>
  <c r="L26" i="5"/>
  <c r="L37" i="5"/>
  <c r="H54" i="5"/>
  <c r="Q19" i="5"/>
  <c r="Q11" i="5"/>
  <c r="L30" i="5"/>
  <c r="Q24" i="5"/>
  <c r="Y119" i="5"/>
  <c r="U37" i="5"/>
  <c r="U60" i="5"/>
  <c r="AD19" i="5"/>
  <c r="U6" i="5"/>
  <c r="L5" i="5"/>
  <c r="L16" i="5"/>
  <c r="Q45" i="5"/>
  <c r="F17" i="5"/>
  <c r="Q7" i="5"/>
  <c r="Q10" i="5"/>
  <c r="AM112" i="5"/>
  <c r="J28" i="5"/>
  <c r="L11" i="5"/>
  <c r="J83" i="5"/>
  <c r="F34" i="5"/>
  <c r="G13" i="5"/>
  <c r="U25" i="5"/>
  <c r="Q36" i="5"/>
  <c r="F23" i="5"/>
  <c r="J37" i="5"/>
  <c r="U27" i="5"/>
  <c r="Q33" i="5"/>
  <c r="U33" i="5"/>
  <c r="J29" i="5"/>
  <c r="L25" i="5"/>
  <c r="G12" i="5"/>
  <c r="Q21" i="5"/>
  <c r="AD25" i="5"/>
  <c r="W99" i="5"/>
  <c r="AD9" i="5"/>
  <c r="U5" i="5"/>
  <c r="N101" i="5"/>
  <c r="H43" i="5"/>
  <c r="U32" i="5"/>
  <c r="AB83" i="5"/>
  <c r="L39" i="5"/>
  <c r="U71" i="5"/>
  <c r="AC127" i="5"/>
  <c r="E100" i="5"/>
  <c r="G11" i="5"/>
  <c r="G7" i="5"/>
  <c r="AD127" i="5"/>
  <c r="N40" i="5"/>
  <c r="E73" i="5"/>
  <c r="G26" i="5"/>
  <c r="N52" i="5"/>
  <c r="N38" i="5"/>
  <c r="G49" i="5"/>
  <c r="J58" i="5"/>
  <c r="F28" i="5"/>
  <c r="N18" i="5"/>
  <c r="J8" i="5"/>
  <c r="Q41" i="5"/>
  <c r="L85" i="5"/>
  <c r="N19" i="5"/>
  <c r="AD14" i="5"/>
  <c r="G76" i="5"/>
  <c r="U57" i="5"/>
  <c r="F47" i="5"/>
  <c r="G23" i="5"/>
  <c r="F33" i="5"/>
  <c r="L32" i="5"/>
  <c r="Z92" i="5"/>
  <c r="G40" i="5"/>
  <c r="G10" i="5"/>
  <c r="G34" i="5"/>
  <c r="N31" i="5"/>
  <c r="AK105" i="5"/>
  <c r="L8" i="5"/>
  <c r="U29" i="5"/>
  <c r="G46" i="5"/>
  <c r="AI104" i="5"/>
  <c r="AD8" i="5"/>
  <c r="G6" i="5"/>
  <c r="U11" i="5"/>
  <c r="U8" i="5"/>
  <c r="J27" i="5"/>
  <c r="Q25" i="5"/>
  <c r="H46" i="5"/>
  <c r="AD20" i="5"/>
  <c r="Q39" i="5"/>
  <c r="AD41" i="5"/>
  <c r="J35" i="5"/>
  <c r="J51" i="5"/>
  <c r="G30" i="5"/>
  <c r="G27" i="5"/>
  <c r="G17" i="5"/>
  <c r="F18" i="5"/>
  <c r="AD55" i="5"/>
  <c r="L21" i="5"/>
  <c r="N42" i="5"/>
  <c r="AD21" i="5"/>
  <c r="U41" i="5"/>
  <c r="L60" i="5"/>
  <c r="G18" i="5"/>
  <c r="N48" i="5"/>
  <c r="Q64" i="5"/>
  <c r="AD72" i="5"/>
  <c r="J14" i="5"/>
  <c r="Z77" i="5"/>
  <c r="Q16" i="5"/>
  <c r="U21" i="5"/>
  <c r="L47" i="5"/>
  <c r="L22" i="5"/>
  <c r="W85" i="5"/>
  <c r="L12" i="5"/>
  <c r="G28" i="5"/>
  <c r="J24" i="5"/>
  <c r="G29" i="5"/>
  <c r="H98" i="5"/>
  <c r="Q26" i="5"/>
  <c r="AD38" i="5"/>
  <c r="F19" i="5"/>
  <c r="AD43" i="5"/>
  <c r="N47" i="5"/>
  <c r="U12" i="5"/>
  <c r="AD87" i="5"/>
  <c r="AD22" i="5"/>
  <c r="G32" i="5"/>
  <c r="U34" i="5"/>
  <c r="AD62" i="5"/>
  <c r="M41" i="5"/>
  <c r="Q54" i="5"/>
  <c r="Q29" i="5"/>
  <c r="J15" i="5"/>
  <c r="F31" i="5"/>
  <c r="J43" i="5"/>
  <c r="G37" i="5"/>
  <c r="J25" i="5"/>
  <c r="U22" i="5"/>
  <c r="F44" i="5"/>
  <c r="Q32" i="5"/>
  <c r="N20" i="5"/>
  <c r="F52" i="5"/>
  <c r="W78" i="5"/>
  <c r="L13" i="5"/>
  <c r="AD54" i="5"/>
  <c r="N39" i="5"/>
  <c r="Z74" i="5"/>
  <c r="AD7" i="5"/>
  <c r="G85" i="5"/>
  <c r="F50" i="5"/>
  <c r="U50" i="5"/>
  <c r="Q28" i="5"/>
  <c r="G19" i="5"/>
  <c r="Q27" i="5"/>
  <c r="Q17" i="5"/>
  <c r="AB90" i="5"/>
  <c r="AD12" i="5"/>
  <c r="AD13" i="5"/>
  <c r="E68" i="5"/>
  <c r="L23" i="5"/>
  <c r="N21" i="5"/>
  <c r="AD40" i="5"/>
  <c r="AD34" i="5"/>
  <c r="Q37" i="5"/>
  <c r="G44" i="5"/>
  <c r="Q30" i="5"/>
  <c r="F20" i="5"/>
  <c r="AD67" i="5"/>
  <c r="J26" i="5"/>
  <c r="G31" i="5"/>
  <c r="J16" i="5"/>
  <c r="N41" i="5"/>
  <c r="N58" i="5"/>
  <c r="M73" i="5"/>
  <c r="AD35" i="5"/>
  <c r="U23" i="5"/>
  <c r="E75" i="5"/>
  <c r="J33" i="5"/>
  <c r="L14" i="5"/>
  <c r="H51" i="5"/>
  <c r="G45" i="5"/>
  <c r="Q18" i="5"/>
  <c r="L35" i="5"/>
  <c r="N34" i="5"/>
  <c r="AD48" i="5"/>
  <c r="Q66" i="5"/>
  <c r="U35" i="5"/>
  <c r="U13" i="5"/>
  <c r="J39" i="5"/>
  <c r="U14" i="5"/>
  <c r="U51" i="5"/>
  <c r="F39" i="5"/>
  <c r="AJ106" i="5"/>
  <c r="G68" i="5"/>
  <c r="F21" i="5"/>
  <c r="G20" i="5"/>
  <c r="AK91" i="5"/>
  <c r="J17" i="5"/>
  <c r="T94" i="5"/>
  <c r="AD23" i="5"/>
  <c r="N22" i="5"/>
  <c r="U24" i="5"/>
  <c r="L24" i="5"/>
  <c r="Q31" i="5"/>
  <c r="G39" i="5"/>
  <c r="Z78" i="5"/>
  <c r="AD17" i="5"/>
  <c r="Q46" i="5"/>
  <c r="N55" i="5"/>
  <c r="Q47" i="5"/>
  <c r="AG100" i="5"/>
  <c r="F42" i="5"/>
  <c r="M57" i="5"/>
  <c r="G8" i="5"/>
  <c r="AD69" i="5"/>
  <c r="H44" i="5"/>
  <c r="L9" i="5"/>
  <c r="Q59" i="5"/>
  <c r="U67" i="5"/>
  <c r="Q22" i="5"/>
  <c r="N73" i="5"/>
  <c r="AD58" i="5"/>
  <c r="G14" i="5"/>
  <c r="U28" i="5"/>
  <c r="N16" i="5"/>
  <c r="AD30" i="5"/>
  <c r="F75" i="5"/>
  <c r="L18" i="5"/>
  <c r="G24" i="5"/>
  <c r="J36" i="5"/>
  <c r="J61" i="5"/>
  <c r="F25" i="5"/>
  <c r="Q43" i="5"/>
  <c r="L31" i="5"/>
  <c r="U42" i="5"/>
  <c r="Q65" i="5"/>
  <c r="F38" i="5"/>
  <c r="Q50" i="5"/>
  <c r="Q38" i="5"/>
  <c r="J11" i="5"/>
  <c r="H41" i="5"/>
  <c r="N62" i="5"/>
  <c r="M49" i="5"/>
  <c r="Q23" i="5"/>
  <c r="AD39" i="5"/>
  <c r="AD6" i="5"/>
  <c r="AD31" i="5"/>
  <c r="Q13" i="5"/>
  <c r="U18" i="5"/>
  <c r="N72" i="5"/>
  <c r="AD70" i="5"/>
  <c r="E66" i="5"/>
  <c r="J21" i="5"/>
  <c r="L19" i="5"/>
  <c r="G15" i="5"/>
  <c r="L42" i="5"/>
  <c r="N26" i="5"/>
  <c r="F16" i="5"/>
  <c r="J53" i="5"/>
  <c r="E67" i="5"/>
  <c r="G25" i="5"/>
  <c r="Q5" i="5"/>
  <c r="H58" i="5"/>
  <c r="J48" i="5"/>
  <c r="U9" i="5"/>
  <c r="J12" i="5"/>
  <c r="U19" i="5"/>
  <c r="H96" i="5"/>
  <c r="E71" i="5"/>
  <c r="AD18" i="5"/>
  <c r="N67" i="5"/>
  <c r="F59" i="5"/>
  <c r="U36" i="5"/>
  <c r="N17" i="5"/>
  <c r="E88" i="5"/>
  <c r="AD47" i="5"/>
  <c r="AG82" i="5"/>
  <c r="J54" i="5"/>
  <c r="Q57" i="5"/>
  <c r="F26" i="5"/>
  <c r="G38" i="5"/>
  <c r="N30" i="5"/>
  <c r="U47" i="5"/>
  <c r="L71" i="5"/>
  <c r="M51" i="5"/>
  <c r="N27" i="5"/>
  <c r="G55" i="5"/>
  <c r="N49" i="5"/>
  <c r="N86" i="5"/>
  <c r="L61" i="5"/>
  <c r="F87" i="5"/>
  <c r="W75" i="5"/>
  <c r="U45" i="5"/>
  <c r="J52" i="5"/>
  <c r="L44" i="5"/>
  <c r="N43" i="5"/>
  <c r="F65" i="5"/>
  <c r="J62" i="5"/>
  <c r="U44" i="5"/>
  <c r="U94" i="5"/>
  <c r="I98" i="5"/>
  <c r="U84" i="5"/>
  <c r="E74" i="5"/>
  <c r="H42" i="5"/>
  <c r="U103" i="5"/>
  <c r="L45" i="5"/>
  <c r="F82" i="5"/>
  <c r="F66" i="5"/>
  <c r="U72" i="5"/>
  <c r="M50" i="5"/>
  <c r="AB93" i="5"/>
  <c r="H64" i="5"/>
  <c r="L68" i="5"/>
  <c r="AF114" i="5"/>
  <c r="J31" i="5"/>
  <c r="G73" i="5"/>
  <c r="G63" i="5"/>
  <c r="G82" i="5"/>
  <c r="AD86" i="5"/>
  <c r="AD52" i="5"/>
  <c r="J40" i="5"/>
  <c r="AD44" i="5"/>
  <c r="U30" i="5"/>
  <c r="AD27" i="5"/>
  <c r="L38" i="5"/>
  <c r="T104" i="5"/>
  <c r="L46" i="5"/>
  <c r="U52" i="5"/>
  <c r="M47" i="5"/>
  <c r="J56" i="5"/>
  <c r="W74" i="5"/>
  <c r="Q42" i="5"/>
  <c r="G65" i="5"/>
  <c r="AD33" i="5"/>
  <c r="U59" i="5"/>
  <c r="W88" i="5"/>
  <c r="M44" i="5"/>
  <c r="U38" i="5"/>
  <c r="U90" i="5"/>
  <c r="M71" i="5"/>
  <c r="L52" i="5"/>
  <c r="U46" i="5"/>
  <c r="N33" i="5"/>
  <c r="M45" i="5"/>
  <c r="F43" i="5"/>
  <c r="M59" i="5"/>
  <c r="L54" i="5"/>
  <c r="H66" i="5"/>
  <c r="W79" i="5"/>
  <c r="Q67" i="5"/>
  <c r="F67" i="5"/>
  <c r="F48" i="5"/>
  <c r="M68" i="5"/>
  <c r="N54" i="5"/>
  <c r="W73" i="5"/>
  <c r="L70" i="5"/>
  <c r="F51" i="5"/>
  <c r="N71" i="5"/>
  <c r="L79" i="5"/>
  <c r="U39" i="5"/>
  <c r="M70" i="5"/>
  <c r="L69" i="5"/>
  <c r="N75" i="5"/>
  <c r="Z82" i="5"/>
  <c r="G43" i="5"/>
  <c r="Q81" i="5"/>
  <c r="G51" i="5"/>
  <c r="L41" i="5"/>
  <c r="U55" i="5"/>
  <c r="R118" i="5"/>
  <c r="L62" i="5"/>
  <c r="G48" i="5"/>
  <c r="J42" i="5"/>
  <c r="J66" i="5"/>
  <c r="N44" i="5"/>
  <c r="H57" i="5"/>
  <c r="AD49" i="5"/>
  <c r="M55" i="5"/>
  <c r="L40" i="5"/>
  <c r="G84" i="5"/>
  <c r="F84" i="5"/>
  <c r="U49" i="5"/>
  <c r="N68" i="5"/>
  <c r="M72" i="5"/>
  <c r="Q51" i="5"/>
  <c r="AD60" i="5"/>
  <c r="M74" i="5"/>
  <c r="F58" i="5"/>
  <c r="G60" i="5"/>
  <c r="M52" i="5"/>
  <c r="Z75" i="5"/>
  <c r="L49" i="5"/>
  <c r="H53" i="5"/>
  <c r="L56" i="5"/>
  <c r="AD42" i="5"/>
  <c r="N79" i="5"/>
  <c r="J47" i="5"/>
  <c r="N82" i="5"/>
  <c r="J50" i="5"/>
  <c r="J45" i="5"/>
  <c r="U111" i="5"/>
  <c r="L73" i="5"/>
  <c r="AK107" i="5"/>
  <c r="J76" i="5"/>
  <c r="AD80" i="5"/>
  <c r="J46" i="5"/>
  <c r="Q55" i="5"/>
  <c r="H67" i="5"/>
  <c r="L93" i="5"/>
  <c r="F56" i="5"/>
  <c r="AD29" i="5"/>
  <c r="J38" i="5"/>
  <c r="L53" i="5"/>
  <c r="AD73" i="5"/>
  <c r="E72" i="5"/>
  <c r="N32" i="5"/>
  <c r="Q40" i="5"/>
  <c r="H59" i="5"/>
  <c r="W89" i="5"/>
  <c r="M67" i="5"/>
  <c r="Q77" i="5"/>
  <c r="Q34" i="5"/>
  <c r="N29" i="5"/>
  <c r="AD32" i="5"/>
  <c r="L36" i="5"/>
  <c r="H81" i="5"/>
  <c r="O123" i="5"/>
  <c r="U68" i="5"/>
  <c r="F29" i="5"/>
  <c r="Q49" i="5"/>
  <c r="M60" i="5"/>
  <c r="H40" i="5"/>
  <c r="F35" i="5"/>
  <c r="AD68" i="5"/>
  <c r="N35" i="5"/>
  <c r="G69" i="5"/>
  <c r="F55" i="5"/>
  <c r="H52" i="5"/>
  <c r="U82" i="5"/>
  <c r="Q71" i="5"/>
  <c r="N80" i="5"/>
  <c r="G75" i="5"/>
  <c r="U70" i="5"/>
  <c r="M86" i="5"/>
  <c r="Q83" i="5"/>
  <c r="J84" i="5"/>
  <c r="W76" i="5"/>
  <c r="AB86" i="5"/>
  <c r="Q72" i="5"/>
  <c r="Z73" i="5"/>
  <c r="M117" i="5"/>
  <c r="J75" i="5"/>
  <c r="F70" i="5"/>
  <c r="H71" i="5"/>
  <c r="G91" i="5"/>
  <c r="Q78" i="5"/>
  <c r="AB85" i="5"/>
  <c r="L88" i="5"/>
  <c r="H77" i="5"/>
  <c r="L90" i="5"/>
  <c r="AB78" i="5"/>
  <c r="F80" i="5"/>
  <c r="H72" i="5"/>
  <c r="H74" i="5"/>
  <c r="W98" i="5"/>
  <c r="J55" i="5"/>
  <c r="E95" i="5"/>
  <c r="AD50" i="5"/>
  <c r="L81" i="5"/>
  <c r="G61" i="5"/>
  <c r="AD91" i="5"/>
  <c r="O99" i="5"/>
  <c r="Q69" i="5"/>
  <c r="G56" i="5"/>
  <c r="N50" i="5"/>
  <c r="K105" i="5"/>
  <c r="E113" i="5"/>
  <c r="L63" i="5"/>
  <c r="L64" i="5"/>
  <c r="H49" i="5"/>
  <c r="U63" i="5"/>
  <c r="AG83" i="5"/>
  <c r="U54" i="5"/>
  <c r="AD75" i="5"/>
  <c r="H68" i="5"/>
  <c r="Q70" i="5"/>
  <c r="F78" i="5"/>
  <c r="AD63" i="5"/>
  <c r="K95" i="5"/>
  <c r="AD57" i="5"/>
  <c r="F62" i="5"/>
  <c r="M54" i="5"/>
  <c r="H73" i="5"/>
  <c r="G53" i="5"/>
  <c r="G70" i="5"/>
  <c r="L65" i="5"/>
  <c r="AD64" i="5"/>
  <c r="N57" i="5"/>
  <c r="J59" i="5"/>
  <c r="N84" i="5"/>
  <c r="E79" i="5"/>
  <c r="M63" i="5"/>
  <c r="H60" i="5"/>
  <c r="M88" i="5"/>
  <c r="M81" i="5"/>
  <c r="J74" i="5"/>
  <c r="H69" i="5"/>
  <c r="L58" i="5"/>
  <c r="J67" i="5"/>
  <c r="U65" i="5"/>
  <c r="F57" i="5"/>
  <c r="H80" i="5"/>
  <c r="AH124" i="5"/>
  <c r="M90" i="5"/>
  <c r="H56" i="5"/>
  <c r="P92" i="5"/>
  <c r="AB74" i="5"/>
  <c r="M89" i="5"/>
  <c r="Q61" i="5"/>
  <c r="G86" i="5"/>
  <c r="H61" i="5"/>
  <c r="J72" i="5"/>
  <c r="G78" i="5"/>
  <c r="L66" i="5"/>
  <c r="L75" i="5"/>
  <c r="U75" i="5"/>
  <c r="Q82" i="5"/>
  <c r="AG113" i="5"/>
  <c r="H70" i="5"/>
  <c r="AI124" i="5"/>
  <c r="Q56" i="5"/>
  <c r="AD65" i="5"/>
  <c r="Z81" i="5"/>
  <c r="N90" i="5"/>
  <c r="J77" i="5"/>
  <c r="AB104" i="5"/>
  <c r="N81" i="5"/>
  <c r="H86" i="5"/>
  <c r="Q88" i="5"/>
  <c r="N64" i="5"/>
  <c r="J68" i="5"/>
  <c r="U66" i="5"/>
  <c r="Q53" i="5"/>
  <c r="H62" i="5"/>
  <c r="N63" i="5"/>
  <c r="P89" i="5"/>
  <c r="J94" i="5"/>
  <c r="W102" i="5"/>
  <c r="Q91" i="5"/>
  <c r="E76" i="5"/>
  <c r="AK92" i="5"/>
  <c r="H78" i="5"/>
  <c r="M65" i="5"/>
  <c r="E83" i="5"/>
  <c r="H79" i="5"/>
  <c r="L48" i="5"/>
  <c r="L55" i="5"/>
  <c r="W77" i="5"/>
  <c r="M58" i="5"/>
  <c r="Q76" i="5"/>
  <c r="U58" i="5"/>
  <c r="M66" i="5"/>
  <c r="J73" i="5"/>
  <c r="G57" i="5"/>
  <c r="F97" i="5"/>
  <c r="AK103" i="5"/>
  <c r="AD82" i="5"/>
  <c r="M75" i="5"/>
  <c r="H50" i="5"/>
  <c r="H119" i="5"/>
  <c r="F76" i="5"/>
  <c r="G83" i="5"/>
  <c r="AD51" i="5"/>
  <c r="G97" i="5"/>
  <c r="U78" i="5"/>
  <c r="J79" i="5"/>
  <c r="AB84" i="5"/>
  <c r="J60" i="5"/>
  <c r="AD100" i="5"/>
  <c r="U83" i="5"/>
  <c r="J69" i="5"/>
  <c r="G47" i="5"/>
  <c r="AG90" i="5"/>
  <c r="Q62" i="5"/>
  <c r="AG85" i="5"/>
  <c r="N51" i="5"/>
  <c r="G54" i="5"/>
  <c r="Z96" i="5"/>
  <c r="Z76" i="5"/>
  <c r="L74" i="5"/>
  <c r="F63" i="5"/>
  <c r="AD94" i="5"/>
  <c r="U53" i="5"/>
  <c r="E65" i="5"/>
  <c r="Q58" i="5"/>
  <c r="AD56" i="5"/>
  <c r="U87" i="5"/>
  <c r="F64" i="5"/>
  <c r="M80" i="5"/>
  <c r="N65" i="5"/>
  <c r="AG88" i="5"/>
  <c r="L50" i="5"/>
  <c r="E87" i="5"/>
  <c r="G59" i="5"/>
  <c r="J63" i="5"/>
  <c r="G67" i="5"/>
  <c r="J32" i="5"/>
  <c r="F49" i="5"/>
  <c r="G88" i="5"/>
  <c r="J81" i="5"/>
  <c r="F68" i="5"/>
  <c r="AD36" i="5"/>
  <c r="N69" i="5"/>
  <c r="F72" i="5"/>
  <c r="M61" i="5"/>
  <c r="L102" i="5"/>
  <c r="J96" i="5"/>
  <c r="U31" i="5"/>
  <c r="L34" i="5"/>
  <c r="H75" i="5"/>
  <c r="U81" i="5"/>
  <c r="F73" i="5"/>
  <c r="M85" i="5"/>
  <c r="F71" i="5"/>
  <c r="AD28" i="5"/>
  <c r="M101" i="5"/>
  <c r="U43" i="5"/>
  <c r="J44" i="5"/>
  <c r="M43" i="5"/>
  <c r="Q35" i="5"/>
  <c r="P118" i="5"/>
  <c r="G33" i="5"/>
  <c r="M102" i="5"/>
  <c r="F36" i="5"/>
  <c r="N36" i="5"/>
  <c r="Q48" i="5"/>
  <c r="G52" i="5"/>
  <c r="M53" i="5"/>
  <c r="AD46" i="5"/>
  <c r="N46" i="5"/>
  <c r="H45" i="5"/>
  <c r="F46" i="5"/>
  <c r="U62" i="5"/>
  <c r="N56" i="5"/>
  <c r="L57" i="5"/>
  <c r="Q74" i="5"/>
  <c r="AB77" i="5"/>
  <c r="H83" i="5"/>
  <c r="AG86" i="5"/>
  <c r="F60" i="5"/>
  <c r="G77" i="5"/>
  <c r="AD85" i="5"/>
  <c r="M76" i="5"/>
  <c r="T108" i="5"/>
  <c r="G74" i="5"/>
  <c r="J105" i="5"/>
  <c r="N60" i="5"/>
  <c r="E69" i="5"/>
  <c r="M62" i="5"/>
  <c r="AK93" i="5"/>
  <c r="L82" i="5"/>
  <c r="G90" i="5"/>
  <c r="Q89" i="5"/>
  <c r="AB81" i="5"/>
  <c r="U104" i="5"/>
  <c r="N85" i="5"/>
  <c r="K94" i="5"/>
  <c r="E89" i="5"/>
  <c r="U96" i="5"/>
  <c r="I91" i="5"/>
  <c r="O110" i="5"/>
  <c r="Z105" i="5"/>
  <c r="E103" i="5"/>
  <c r="M93" i="5"/>
  <c r="J85" i="5"/>
  <c r="Z80" i="5"/>
  <c r="O100" i="5"/>
  <c r="K111" i="5"/>
  <c r="Q84" i="5"/>
  <c r="AJ108" i="5"/>
  <c r="T106" i="5"/>
  <c r="O125" i="5"/>
  <c r="M82" i="5"/>
  <c r="AK95" i="5"/>
  <c r="L87" i="5"/>
  <c r="H88" i="5"/>
  <c r="F77" i="5"/>
  <c r="Z84" i="5"/>
  <c r="O93" i="5"/>
  <c r="E80" i="5"/>
  <c r="O101" i="5"/>
  <c r="M91" i="5"/>
  <c r="Z95" i="5"/>
  <c r="AI114" i="5"/>
  <c r="E98" i="5"/>
  <c r="AD93" i="5"/>
  <c r="E102" i="5"/>
  <c r="H99" i="5"/>
  <c r="E86" i="5"/>
  <c r="F89" i="5"/>
  <c r="J95" i="5"/>
  <c r="I88" i="5"/>
  <c r="T88" i="5"/>
  <c r="AG87" i="5"/>
  <c r="T107" i="5"/>
  <c r="T92" i="5"/>
  <c r="AK108" i="5"/>
  <c r="AB94" i="5"/>
  <c r="AB91" i="5"/>
  <c r="F98" i="5"/>
  <c r="M87" i="5"/>
  <c r="Q86" i="5"/>
  <c r="J90" i="5"/>
  <c r="AM116" i="5"/>
  <c r="F86" i="5"/>
  <c r="I95" i="5"/>
  <c r="H113" i="5"/>
  <c r="AC109" i="5"/>
  <c r="AM122" i="5"/>
  <c r="P100" i="5"/>
  <c r="E81" i="5"/>
  <c r="AB102" i="5"/>
  <c r="W90" i="5"/>
  <c r="AB127" i="5"/>
  <c r="AB105" i="5"/>
  <c r="O91" i="5"/>
  <c r="AJ103" i="5"/>
  <c r="F102" i="5"/>
  <c r="AD81" i="5"/>
  <c r="AF100" i="5"/>
  <c r="R108" i="5"/>
  <c r="R112" i="5"/>
  <c r="G80" i="5"/>
  <c r="T111" i="5"/>
  <c r="M79" i="5"/>
  <c r="J86" i="5"/>
  <c r="AK120" i="5"/>
  <c r="AG89" i="5"/>
  <c r="AJ114" i="5"/>
  <c r="U88" i="5"/>
  <c r="W92" i="5"/>
  <c r="G98" i="5"/>
  <c r="G89" i="5"/>
  <c r="AD109" i="5"/>
  <c r="N99" i="5"/>
  <c r="K102" i="5"/>
  <c r="E92" i="5"/>
  <c r="H84" i="5"/>
  <c r="AB82" i="5"/>
  <c r="AD84" i="5"/>
  <c r="T103" i="5"/>
  <c r="J80" i="5"/>
  <c r="U86" i="5"/>
  <c r="AB96" i="5"/>
  <c r="I105" i="5"/>
  <c r="F79" i="5"/>
  <c r="H82" i="5"/>
  <c r="AB76" i="5"/>
  <c r="P90" i="5"/>
  <c r="L105" i="5"/>
  <c r="AG98" i="5"/>
  <c r="M83" i="5"/>
  <c r="T109" i="5"/>
  <c r="U80" i="5"/>
  <c r="K96" i="5"/>
  <c r="AB75" i="5"/>
  <c r="P97" i="5"/>
  <c r="G87" i="5"/>
  <c r="AG110" i="5"/>
  <c r="AD90" i="5"/>
  <c r="N88" i="5"/>
  <c r="AG97" i="5"/>
  <c r="N78" i="5"/>
  <c r="Z119" i="5"/>
  <c r="AI115" i="5"/>
  <c r="M92" i="5"/>
  <c r="N89" i="5"/>
  <c r="AG95" i="5"/>
  <c r="O88" i="5"/>
  <c r="AJ113" i="5"/>
  <c r="E85" i="5"/>
  <c r="Z79" i="5"/>
  <c r="AD77" i="5"/>
  <c r="G79" i="5"/>
  <c r="AK106" i="5"/>
  <c r="E93" i="5"/>
  <c r="AI107" i="5"/>
  <c r="L76" i="5"/>
  <c r="AK102" i="5"/>
  <c r="R104" i="5"/>
  <c r="H87" i="5"/>
  <c r="L84" i="5"/>
  <c r="Z83" i="5"/>
  <c r="AD101" i="5"/>
  <c r="G62" i="5"/>
  <c r="Q97" i="5"/>
  <c r="F81" i="5"/>
  <c r="AB92" i="5"/>
  <c r="AD66" i="5"/>
  <c r="U76" i="5"/>
  <c r="U109" i="5"/>
  <c r="J64" i="5"/>
  <c r="E91" i="5"/>
  <c r="AD59" i="5"/>
  <c r="N59" i="5"/>
  <c r="AB73" i="5"/>
  <c r="AG124" i="5"/>
  <c r="Z107" i="5"/>
  <c r="AJ115" i="5"/>
  <c r="AF111" i="5"/>
  <c r="L101" i="5"/>
  <c r="H65" i="5"/>
  <c r="J82" i="5"/>
  <c r="Q79" i="5"/>
  <c r="L86" i="5"/>
  <c r="N70" i="5"/>
  <c r="W84" i="5"/>
  <c r="W80" i="5"/>
  <c r="N66" i="5"/>
  <c r="AK88" i="5"/>
  <c r="L77" i="5"/>
  <c r="P88" i="5"/>
  <c r="L80" i="5"/>
  <c r="E70" i="5"/>
  <c r="O89" i="5"/>
  <c r="F91" i="5"/>
  <c r="AJ107" i="5"/>
  <c r="E78" i="5"/>
  <c r="N92" i="5"/>
  <c r="F85" i="5"/>
  <c r="U108" i="5"/>
  <c r="E114" i="5"/>
  <c r="Q123" i="5"/>
  <c r="T95" i="5"/>
  <c r="Q105" i="5"/>
  <c r="K118" i="5"/>
  <c r="J122" i="5"/>
  <c r="F94" i="5"/>
  <c r="AI110" i="5"/>
  <c r="S118" i="5"/>
  <c r="L110" i="5"/>
  <c r="Z106" i="5"/>
  <c r="P125" i="5"/>
  <c r="AB112" i="5"/>
  <c r="I113" i="5"/>
  <c r="G50" i="5"/>
  <c r="H106" i="5"/>
  <c r="R113" i="5"/>
  <c r="V109" i="5"/>
  <c r="I106" i="5"/>
  <c r="AC112" i="5"/>
  <c r="Q44" i="5"/>
  <c r="V111" i="5"/>
  <c r="H107" i="5"/>
  <c r="M114" i="5"/>
  <c r="AK109" i="5"/>
  <c r="U116" i="5"/>
  <c r="M40" i="5"/>
  <c r="AD37" i="5"/>
  <c r="U40" i="5"/>
  <c r="AD45" i="5"/>
  <c r="N37" i="5"/>
  <c r="N117" i="5"/>
  <c r="J49" i="5"/>
  <c r="J41" i="5"/>
  <c r="G42" i="5"/>
  <c r="K122" i="5"/>
  <c r="T118" i="5"/>
  <c r="F37" i="5"/>
  <c r="F45" i="5"/>
  <c r="L43" i="5"/>
  <c r="AD53" i="5"/>
  <c r="M48" i="5"/>
  <c r="Q52" i="5"/>
  <c r="H47" i="5"/>
  <c r="U48" i="5"/>
  <c r="L51" i="5"/>
  <c r="N45" i="5"/>
  <c r="H55" i="5"/>
  <c r="AD61" i="5"/>
  <c r="N53" i="5"/>
  <c r="G58" i="5"/>
  <c r="Q60" i="5"/>
  <c r="M56" i="5"/>
  <c r="J57" i="5"/>
  <c r="U56" i="5"/>
  <c r="J65" i="5"/>
  <c r="N61" i="5"/>
  <c r="L59" i="5"/>
  <c r="F53" i="5"/>
  <c r="AD76" i="5"/>
  <c r="Q68" i="5"/>
  <c r="F61" i="5"/>
  <c r="U64" i="5"/>
  <c r="G66" i="5"/>
  <c r="H63" i="5"/>
  <c r="J71" i="5"/>
  <c r="U73" i="5"/>
  <c r="E64" i="5"/>
  <c r="M64" i="5"/>
  <c r="G72" i="5"/>
  <c r="W87" i="5"/>
  <c r="AD83" i="5"/>
  <c r="L67" i="5"/>
  <c r="AD112" i="5"/>
  <c r="F88" i="5"/>
  <c r="M84" i="5"/>
  <c r="F69" i="5"/>
  <c r="W86" i="5"/>
  <c r="N76" i="5"/>
  <c r="AB79" i="5"/>
  <c r="N87" i="5"/>
  <c r="W94" i="5"/>
  <c r="P99" i="5"/>
  <c r="L95" i="5"/>
  <c r="U93" i="5"/>
  <c r="AB89" i="5"/>
  <c r="T93" i="5"/>
  <c r="W109" i="5"/>
  <c r="J91" i="5"/>
  <c r="K98" i="5"/>
  <c r="T91" i="5"/>
  <c r="W100" i="5"/>
  <c r="U110" i="5"/>
  <c r="F92" i="5"/>
  <c r="H89" i="5"/>
  <c r="F100" i="5"/>
  <c r="I107" i="5"/>
  <c r="O114" i="5"/>
  <c r="N102" i="5"/>
  <c r="K103" i="5"/>
  <c r="Z98" i="5"/>
  <c r="S113" i="5"/>
  <c r="J106" i="5"/>
  <c r="Z88" i="5"/>
  <c r="AF101" i="5"/>
  <c r="AB106" i="5"/>
  <c r="AJ104" i="5"/>
  <c r="AF128" i="5"/>
  <c r="E112" i="5"/>
  <c r="L115" i="5"/>
  <c r="R105" i="5"/>
  <c r="H97" i="5"/>
  <c r="AF91" i="5"/>
  <c r="Q99" i="5"/>
  <c r="AD102" i="5"/>
  <c r="AC117" i="5"/>
  <c r="V110" i="5"/>
  <c r="AD92" i="5"/>
  <c r="W97" i="5"/>
  <c r="J107" i="5"/>
  <c r="U91" i="5"/>
  <c r="I108" i="5"/>
  <c r="V116" i="5"/>
  <c r="P114" i="5"/>
  <c r="F121" i="5"/>
  <c r="J89" i="5"/>
  <c r="H126" i="5"/>
  <c r="I92" i="5"/>
  <c r="AB95" i="5"/>
  <c r="O90" i="5"/>
  <c r="G100" i="5"/>
  <c r="U122" i="5"/>
  <c r="L94" i="5"/>
  <c r="AB103" i="5"/>
  <c r="P95" i="5"/>
  <c r="J109" i="5"/>
  <c r="L103" i="5"/>
  <c r="AK94" i="5"/>
  <c r="AD89" i="5"/>
  <c r="W110" i="5"/>
  <c r="V113" i="5"/>
  <c r="J92" i="5"/>
  <c r="U92" i="5"/>
  <c r="T89" i="5"/>
  <c r="S115" i="5"/>
  <c r="O98" i="5"/>
  <c r="F112" i="5"/>
  <c r="T121" i="5"/>
  <c r="J104" i="5"/>
  <c r="J108" i="5"/>
  <c r="AK104" i="5"/>
  <c r="AD78" i="5"/>
  <c r="G112" i="5"/>
  <c r="L91" i="5"/>
  <c r="Q95" i="5"/>
  <c r="AJ97" i="5"/>
  <c r="I97" i="5"/>
  <c r="AF99" i="5"/>
  <c r="U101" i="5"/>
  <c r="AB107" i="5"/>
  <c r="H111" i="5"/>
  <c r="U79" i="5"/>
  <c r="AI123" i="5"/>
  <c r="AD117" i="5"/>
  <c r="AF112" i="5"/>
  <c r="P120" i="5"/>
  <c r="K106" i="5"/>
  <c r="AG84" i="5"/>
  <c r="AB108" i="5"/>
  <c r="K109" i="5"/>
  <c r="L78" i="5"/>
  <c r="R114" i="5"/>
  <c r="U74" i="5"/>
  <c r="AD79" i="5"/>
  <c r="M94" i="5"/>
  <c r="N77" i="5"/>
  <c r="AM128" i="5"/>
  <c r="G96" i="5"/>
  <c r="S126" i="5"/>
  <c r="E99" i="5"/>
  <c r="T105" i="5"/>
  <c r="N83" i="5"/>
  <c r="M100" i="5"/>
  <c r="W113" i="5"/>
  <c r="T102" i="5"/>
  <c r="M103" i="5"/>
  <c r="E90" i="5"/>
  <c r="AD111" i="5"/>
  <c r="J97" i="5"/>
  <c r="Y116" i="5"/>
  <c r="E110" i="5"/>
  <c r="T115" i="5"/>
  <c r="K107" i="5"/>
  <c r="Q120" i="5"/>
  <c r="AG112" i="5"/>
  <c r="AB121" i="5"/>
  <c r="P106" i="5"/>
  <c r="S114" i="5"/>
  <c r="AG99" i="5"/>
  <c r="P98" i="5"/>
  <c r="AI105" i="5"/>
  <c r="F99" i="5"/>
  <c r="AK123" i="5"/>
  <c r="AB98" i="5"/>
  <c r="W81" i="5"/>
  <c r="AC108" i="5"/>
  <c r="I89" i="5"/>
  <c r="E101" i="5"/>
  <c r="W82" i="5"/>
  <c r="U102" i="5"/>
  <c r="Q106" i="5"/>
  <c r="K104" i="5"/>
  <c r="Q85" i="5"/>
  <c r="L109" i="5"/>
  <c r="Q87" i="5"/>
  <c r="AG92" i="5"/>
  <c r="Z86" i="5"/>
  <c r="Z116" i="5"/>
  <c r="K108" i="5"/>
  <c r="AC107" i="5"/>
  <c r="E129" i="5"/>
  <c r="AB88" i="5"/>
  <c r="L89" i="5"/>
  <c r="I112" i="5"/>
  <c r="Z85" i="5"/>
  <c r="I111" i="5"/>
  <c r="L92" i="5"/>
  <c r="N91" i="5"/>
  <c r="G71" i="5"/>
  <c r="F90" i="5"/>
  <c r="Q94" i="5"/>
  <c r="H85" i="5"/>
  <c r="J111" i="5"/>
  <c r="AD103" i="5"/>
  <c r="AD108" i="5"/>
  <c r="L97" i="5"/>
  <c r="Q98" i="5"/>
  <c r="Z97" i="5"/>
  <c r="N100" i="5"/>
  <c r="P112" i="5"/>
  <c r="AJ105" i="5"/>
  <c r="K110" i="5"/>
  <c r="I96" i="5"/>
  <c r="G99" i="5"/>
  <c r="AC121" i="5"/>
  <c r="R106" i="5"/>
  <c r="J70" i="5"/>
  <c r="W101" i="5"/>
  <c r="L127" i="5"/>
  <c r="Q112" i="5"/>
  <c r="F101" i="5"/>
  <c r="L104" i="5"/>
  <c r="R120" i="5"/>
  <c r="AI106" i="5"/>
  <c r="U69" i="5"/>
  <c r="R107" i="5"/>
  <c r="M109" i="5"/>
  <c r="M69" i="5"/>
  <c r="AD121" i="5"/>
  <c r="L108" i="5"/>
  <c r="G119" i="5"/>
  <c r="L72" i="5"/>
  <c r="AD104" i="5"/>
  <c r="Q73" i="5"/>
  <c r="AD74" i="5"/>
  <c r="J78" i="5"/>
  <c r="W83" i="5"/>
  <c r="U77" i="5"/>
  <c r="Q80" i="5"/>
  <c r="O92" i="5"/>
  <c r="Z89" i="5"/>
  <c r="F74" i="5"/>
  <c r="N74" i="5"/>
  <c r="AG91" i="5"/>
  <c r="AB87" i="5"/>
  <c r="J88" i="5"/>
  <c r="H76" i="5"/>
  <c r="E84" i="5"/>
  <c r="AF92" i="5"/>
  <c r="Q90" i="5"/>
  <c r="E77" i="5"/>
  <c r="M77" i="5"/>
  <c r="U95" i="5"/>
  <c r="J98" i="5"/>
  <c r="N93" i="5"/>
  <c r="F83" i="5"/>
  <c r="O102" i="5"/>
  <c r="H90" i="5"/>
  <c r="U85" i="5"/>
  <c r="Z90" i="5"/>
  <c r="P91" i="5"/>
  <c r="U107" i="5"/>
  <c r="I99" i="5"/>
  <c r="F110" i="5"/>
  <c r="AF109" i="5"/>
  <c r="AK96" i="5"/>
  <c r="M104" i="5"/>
  <c r="V108" i="5"/>
  <c r="U105" i="5"/>
  <c r="AG111" i="5"/>
  <c r="L111" i="5"/>
  <c r="E94" i="5"/>
  <c r="P110" i="5"/>
  <c r="AF102" i="5"/>
  <c r="G101" i="5"/>
  <c r="V112" i="5"/>
  <c r="N103" i="5"/>
  <c r="AG101" i="5"/>
  <c r="T96" i="5"/>
  <c r="L107" i="5"/>
  <c r="J112" i="5"/>
  <c r="J113" i="5"/>
  <c r="H100" i="5"/>
  <c r="Z99" i="5"/>
  <c r="E109" i="5"/>
  <c r="AC106" i="5"/>
  <c r="P101" i="5"/>
  <c r="AB97" i="5"/>
  <c r="AK114" i="5"/>
  <c r="I116" i="5"/>
  <c r="G121" i="5"/>
  <c r="Z120" i="5"/>
  <c r="U115" i="5"/>
  <c r="F114" i="5"/>
  <c r="V122" i="5"/>
  <c r="T114" i="5"/>
  <c r="V118" i="5"/>
  <c r="G92" i="5"/>
  <c r="AI119" i="5"/>
  <c r="U129" i="5"/>
  <c r="H91" i="5"/>
  <c r="L96" i="5"/>
  <c r="S123" i="5"/>
  <c r="AF93" i="5"/>
  <c r="Q100" i="5"/>
  <c r="I90" i="5"/>
  <c r="AJ98" i="5"/>
  <c r="AK97" i="5"/>
  <c r="W93" i="5"/>
  <c r="Z126" i="5"/>
  <c r="M95" i="5"/>
  <c r="K97" i="5"/>
  <c r="F93" i="5"/>
  <c r="AD95" i="5"/>
  <c r="T97" i="5"/>
  <c r="AD105" i="5"/>
  <c r="N94" i="5"/>
  <c r="W103" i="5"/>
  <c r="G102" i="5"/>
  <c r="E104" i="5"/>
  <c r="F103" i="5"/>
  <c r="M105" i="5"/>
  <c r="K113" i="5"/>
  <c r="U106" i="5"/>
  <c r="AD107" i="5"/>
  <c r="H101" i="5"/>
  <c r="O109" i="5"/>
  <c r="J99" i="5"/>
  <c r="K112" i="5"/>
  <c r="Z110" i="5"/>
  <c r="L106" i="5"/>
  <c r="M108" i="5"/>
  <c r="Q125" i="5"/>
  <c r="W111" i="5"/>
  <c r="AJ110" i="5"/>
  <c r="U114" i="5"/>
  <c r="F109" i="5"/>
  <c r="W112" i="5"/>
  <c r="M111" i="5"/>
  <c r="AC116" i="5"/>
  <c r="AJ119" i="5"/>
  <c r="AF121" i="5"/>
  <c r="W118" i="5"/>
  <c r="Y113" i="5"/>
  <c r="AD106" i="5"/>
  <c r="Q101" i="5"/>
  <c r="O103" i="5"/>
  <c r="W104" i="5"/>
  <c r="P102" i="5"/>
  <c r="AI100" i="5"/>
  <c r="H121" i="5"/>
  <c r="AG102" i="5"/>
  <c r="N124" i="5"/>
  <c r="I100" i="5"/>
  <c r="V129" i="5"/>
  <c r="Z100" i="5"/>
  <c r="AG109" i="5"/>
  <c r="Q110" i="5"/>
  <c r="AA113" i="5"/>
  <c r="M107" i="5"/>
  <c r="O121" i="5"/>
  <c r="V114" i="5"/>
  <c r="L112" i="5"/>
  <c r="N108" i="5"/>
  <c r="AI111" i="5"/>
  <c r="U123" i="5"/>
  <c r="J116" i="5"/>
  <c r="E105" i="5"/>
  <c r="R117" i="5"/>
  <c r="G114" i="5"/>
  <c r="W108" i="5"/>
  <c r="L119" i="5"/>
  <c r="G110" i="5"/>
  <c r="AF103" i="5"/>
  <c r="O94" i="5"/>
  <c r="AM117" i="5"/>
  <c r="Z113" i="5"/>
  <c r="V107" i="5"/>
  <c r="P93" i="5"/>
  <c r="H115" i="5"/>
  <c r="AK110" i="5"/>
  <c r="N104" i="5"/>
  <c r="R125" i="5"/>
  <c r="Z91" i="5"/>
  <c r="AG93" i="5"/>
  <c r="AG121" i="5"/>
  <c r="AA120" i="5"/>
  <c r="AK98" i="5"/>
  <c r="AF94" i="5"/>
  <c r="H92" i="5"/>
  <c r="AA126" i="5"/>
  <c r="L128" i="5"/>
  <c r="G93" i="5"/>
  <c r="AD96" i="5"/>
  <c r="I101" i="5"/>
  <c r="T98" i="5"/>
  <c r="U97" i="5"/>
  <c r="N95" i="5"/>
  <c r="M96" i="5"/>
  <c r="O104" i="5"/>
  <c r="M106" i="5"/>
  <c r="H102" i="5"/>
  <c r="AJ99" i="5"/>
  <c r="G109" i="5"/>
  <c r="G103" i="5"/>
  <c r="AG108" i="5"/>
  <c r="AF104" i="5"/>
  <c r="Z101" i="5"/>
  <c r="N105" i="5"/>
  <c r="F104" i="5"/>
  <c r="O124" i="5"/>
  <c r="V106" i="5"/>
  <c r="R100" i="5"/>
  <c r="AI112" i="5"/>
  <c r="AK89" i="5"/>
  <c r="H110" i="5"/>
  <c r="AD97" i="5"/>
  <c r="W114" i="5"/>
  <c r="P109" i="5"/>
  <c r="E108" i="5"/>
  <c r="Y115" i="5"/>
  <c r="E118" i="5"/>
  <c r="K116" i="5"/>
  <c r="P121" i="5"/>
  <c r="M119" i="5"/>
  <c r="W129" i="5"/>
  <c r="W95" i="5"/>
  <c r="V123" i="5"/>
  <c r="G94" i="5"/>
  <c r="M97" i="5"/>
  <c r="S117" i="5"/>
  <c r="Q92" i="5"/>
  <c r="H93" i="5"/>
  <c r="F95" i="5"/>
  <c r="G104" i="5"/>
  <c r="AB99" i="5"/>
  <c r="L98" i="5"/>
  <c r="Q102" i="5"/>
  <c r="AI101" i="5"/>
  <c r="AA122" i="5"/>
  <c r="K99" i="5"/>
  <c r="W105" i="5"/>
  <c r="E96" i="5"/>
  <c r="AG103" i="5"/>
  <c r="J100" i="5"/>
  <c r="AJ100" i="5"/>
  <c r="R101" i="5"/>
  <c r="P103" i="5"/>
  <c r="W107" i="5"/>
  <c r="R110" i="5"/>
  <c r="AD113" i="5"/>
  <c r="F108" i="5"/>
  <c r="Y112" i="5"/>
  <c r="F105" i="5"/>
  <c r="N107" i="5"/>
  <c r="E106" i="5"/>
  <c r="E107" i="5"/>
  <c r="M112" i="5"/>
  <c r="N111" i="5"/>
  <c r="AJ112" i="5"/>
  <c r="I115" i="5"/>
  <c r="N119" i="5"/>
  <c r="AM119" i="5"/>
  <c r="H114" i="5"/>
  <c r="M113" i="5"/>
  <c r="Z115" i="5"/>
  <c r="AB120" i="5"/>
  <c r="O95" i="5"/>
  <c r="Q121" i="5"/>
  <c r="AF95" i="5"/>
  <c r="Q93" i="5"/>
  <c r="P94" i="5"/>
  <c r="AG94" i="5"/>
  <c r="W96" i="5"/>
  <c r="AK99" i="5"/>
  <c r="X125" i="5"/>
  <c r="N96" i="5"/>
  <c r="M128" i="5"/>
  <c r="U98" i="5"/>
  <c r="K100" i="5"/>
  <c r="P104" i="5"/>
  <c r="O105" i="5"/>
  <c r="J101" i="5"/>
  <c r="AB100" i="5"/>
  <c r="T99" i="5"/>
  <c r="AB110" i="5"/>
  <c r="I102" i="5"/>
  <c r="W106" i="5"/>
  <c r="Q109" i="5"/>
  <c r="N106" i="5"/>
  <c r="AF105" i="5"/>
  <c r="AF107" i="5"/>
  <c r="P108" i="5"/>
  <c r="E97" i="5"/>
  <c r="AF96" i="5"/>
  <c r="Z109" i="5"/>
  <c r="AG104" i="5"/>
  <c r="H103" i="5"/>
  <c r="Z102" i="5"/>
  <c r="AI109" i="5"/>
  <c r="G108" i="5"/>
  <c r="H109" i="5"/>
  <c r="AI125" i="5"/>
  <c r="I110" i="5"/>
  <c r="U119" i="5"/>
  <c r="AD88" i="5"/>
  <c r="AK90" i="5"/>
  <c r="I114" i="5"/>
  <c r="O96" i="5"/>
  <c r="P124" i="5"/>
  <c r="AA115" i="5"/>
  <c r="F118" i="5"/>
  <c r="E120" i="5"/>
  <c r="AK116" i="5"/>
  <c r="Z111" i="5"/>
  <c r="AF118" i="5"/>
  <c r="L116" i="5"/>
  <c r="I127" i="5"/>
  <c r="U89" i="5"/>
  <c r="AD98" i="5"/>
  <c r="Z93" i="5"/>
  <c r="X129" i="5"/>
  <c r="G95" i="5"/>
  <c r="T90" i="5"/>
  <c r="AK100" i="5"/>
  <c r="N97" i="5"/>
  <c r="I93" i="5"/>
  <c r="M98" i="5"/>
  <c r="AF106" i="5"/>
  <c r="F96" i="5"/>
  <c r="H94" i="5"/>
  <c r="AJ101" i="5"/>
  <c r="Q103" i="5"/>
  <c r="R102" i="5"/>
  <c r="AK112" i="5"/>
  <c r="G105" i="5"/>
  <c r="T100" i="5"/>
  <c r="R121" i="5"/>
  <c r="L99" i="5"/>
  <c r="O107" i="5"/>
  <c r="AI102" i="5"/>
  <c r="F106" i="5"/>
  <c r="AD120" i="5"/>
  <c r="Z103" i="5"/>
  <c r="Z112" i="5"/>
  <c r="H104" i="5"/>
  <c r="AC110" i="5"/>
  <c r="G118" i="5"/>
  <c r="P111" i="5"/>
  <c r="AB114" i="5"/>
  <c r="N112" i="5"/>
  <c r="F107" i="5"/>
  <c r="J115" i="5"/>
  <c r="J127" i="5"/>
  <c r="M116" i="5"/>
  <c r="Z117" i="5"/>
  <c r="Q108" i="5"/>
  <c r="V119" i="5"/>
  <c r="AD99" i="5"/>
  <c r="Z108" i="5"/>
  <c r="R103" i="5"/>
  <c r="U99" i="5"/>
  <c r="L120" i="5"/>
  <c r="K101" i="5"/>
  <c r="AF123" i="5"/>
  <c r="O106" i="5"/>
  <c r="AB101" i="5"/>
  <c r="J102" i="5"/>
  <c r="L100" i="5"/>
  <c r="AF113" i="5"/>
  <c r="P107" i="5"/>
  <c r="J110" i="5"/>
  <c r="J114" i="5"/>
  <c r="Q104" i="5"/>
  <c r="O112" i="5"/>
  <c r="I103" i="5"/>
  <c r="R109" i="5"/>
  <c r="AG105" i="5"/>
  <c r="P105" i="5"/>
  <c r="AI103" i="5"/>
  <c r="I109" i="5"/>
  <c r="Q111" i="5"/>
  <c r="AJ109" i="5"/>
  <c r="E111" i="5"/>
  <c r="O97" i="5"/>
  <c r="H108" i="5"/>
  <c r="AI108" i="5"/>
  <c r="AA112" i="5"/>
  <c r="J93" i="5"/>
  <c r="M120" i="5"/>
  <c r="W119" i="5"/>
  <c r="AG118" i="5"/>
  <c r="F122" i="5"/>
  <c r="AA117" i="5"/>
  <c r="AC114" i="5"/>
  <c r="P96" i="5"/>
  <c r="AJ122" i="5"/>
  <c r="AG96" i="5"/>
  <c r="T128" i="5"/>
  <c r="Z94" i="5"/>
  <c r="Z104" i="5"/>
  <c r="T101" i="5"/>
  <c r="AJ102" i="5"/>
  <c r="H95" i="5"/>
  <c r="AF97" i="5"/>
  <c r="AK101" i="5"/>
  <c r="J103" i="5"/>
  <c r="AF124" i="5"/>
  <c r="I94" i="5"/>
  <c r="AJ125" i="5"/>
  <c r="M99" i="5"/>
  <c r="U100" i="5"/>
  <c r="AD114" i="5"/>
  <c r="G106" i="5"/>
  <c r="AG106" i="5"/>
  <c r="AD110" i="5"/>
  <c r="N109" i="5"/>
  <c r="Q107" i="5"/>
  <c r="N98" i="5"/>
  <c r="AB109" i="5"/>
  <c r="O116" i="5"/>
  <c r="I104" i="5"/>
  <c r="H105" i="5"/>
  <c r="F111" i="5"/>
  <c r="K115" i="5"/>
  <c r="T110" i="5"/>
  <c r="AC111" i="5"/>
  <c r="AG123" i="5"/>
  <c r="O108" i="5"/>
  <c r="AB117" i="5"/>
  <c r="K114" i="5"/>
  <c r="AF115" i="5"/>
  <c r="O111" i="5"/>
  <c r="N120" i="5"/>
  <c r="R111" i="5"/>
  <c r="H122" i="5"/>
  <c r="AK127" i="5"/>
  <c r="S121" i="5"/>
  <c r="I118" i="5"/>
  <c r="U128" i="5"/>
  <c r="F129" i="5"/>
  <c r="AF108" i="5"/>
  <c r="K127" i="5"/>
  <c r="L122" i="5"/>
  <c r="G107" i="5"/>
  <c r="AG107" i="5"/>
  <c r="AB122" i="5"/>
  <c r="N113" i="5"/>
  <c r="E123" i="5"/>
  <c r="Y114" i="5"/>
  <c r="M115" i="5"/>
  <c r="J118" i="5"/>
  <c r="L114" i="5"/>
  <c r="S112" i="5"/>
  <c r="AK115" i="5"/>
  <c r="M110" i="5"/>
  <c r="AF117" i="5"/>
  <c r="AE129" i="5"/>
  <c r="AI113" i="5"/>
  <c r="N116" i="5"/>
  <c r="AJ118" i="5"/>
  <c r="U124" i="5"/>
  <c r="O119" i="5"/>
  <c r="T117" i="5"/>
  <c r="E117" i="5"/>
  <c r="F120" i="5"/>
  <c r="Y125" i="5"/>
  <c r="AB116" i="5"/>
  <c r="F125" i="5"/>
  <c r="N114" i="5"/>
  <c r="U117" i="5"/>
  <c r="AC122" i="5"/>
  <c r="S120" i="5"/>
  <c r="I121" i="5"/>
  <c r="Z125" i="5"/>
  <c r="AM123" i="5"/>
  <c r="AB126" i="5"/>
  <c r="AC126" i="5"/>
  <c r="V128" i="5"/>
  <c r="R127" i="5"/>
  <c r="R116" i="5"/>
  <c r="N110" i="5"/>
  <c r="G111" i="5"/>
  <c r="AJ111" i="5"/>
  <c r="F123" i="5"/>
  <c r="AI121" i="5"/>
  <c r="AA119" i="5"/>
  <c r="O113" i="5"/>
  <c r="P119" i="5"/>
  <c r="M122" i="5"/>
  <c r="U121" i="5"/>
  <c r="W123" i="5"/>
  <c r="L129" i="5"/>
  <c r="H123" i="5"/>
  <c r="AF110" i="5"/>
  <c r="AF129" i="5"/>
  <c r="G120" i="5"/>
  <c r="I126" i="5"/>
  <c r="L118" i="5"/>
  <c r="P116" i="5"/>
  <c r="P115" i="5"/>
  <c r="T112" i="5"/>
  <c r="Z114" i="5"/>
  <c r="G117" i="5"/>
  <c r="J126" i="5"/>
  <c r="J123" i="5"/>
  <c r="O122" i="5"/>
  <c r="W121" i="5"/>
  <c r="AG117" i="5"/>
  <c r="AD116" i="5"/>
  <c r="W124" i="5"/>
  <c r="Q115" i="5"/>
  <c r="AG120" i="5"/>
  <c r="S127" i="5"/>
  <c r="AJ121" i="5"/>
  <c r="AC119" i="5"/>
  <c r="AD119" i="5"/>
  <c r="Q116" i="5"/>
  <c r="AD122" i="5"/>
  <c r="AB115" i="5"/>
  <c r="Y121" i="5"/>
  <c r="J121" i="5"/>
  <c r="AM115" i="5"/>
  <c r="U120" i="5"/>
  <c r="G125" i="5"/>
  <c r="Y118" i="5"/>
  <c r="W128" i="5"/>
  <c r="AA114" i="5"/>
  <c r="E124" i="5"/>
  <c r="H120" i="5"/>
  <c r="AM118" i="5"/>
  <c r="Z123" i="5"/>
  <c r="M118" i="5"/>
  <c r="U112" i="5"/>
  <c r="AA125" i="5"/>
  <c r="AM113" i="5"/>
  <c r="T127" i="5"/>
  <c r="AI126" i="5"/>
  <c r="AB111" i="5"/>
  <c r="AI117" i="5"/>
  <c r="AG129" i="5"/>
  <c r="F113" i="5"/>
  <c r="M129" i="5"/>
  <c r="P113" i="5"/>
  <c r="Q113" i="5"/>
  <c r="V117" i="5"/>
  <c r="AK111" i="5"/>
  <c r="AM127" i="5"/>
  <c r="J117" i="5"/>
  <c r="I120" i="5"/>
  <c r="AM114" i="5"/>
  <c r="E116" i="5"/>
  <c r="AB123" i="5"/>
  <c r="M123" i="5"/>
  <c r="V120" i="5"/>
  <c r="L123" i="5"/>
  <c r="E119" i="5"/>
  <c r="AK121" i="5"/>
  <c r="F124" i="5"/>
  <c r="X124" i="5"/>
  <c r="Q119" i="5"/>
  <c r="H125" i="5"/>
  <c r="AD123" i="5"/>
  <c r="N129" i="5"/>
  <c r="AJ117" i="5"/>
  <c r="Q114" i="5"/>
  <c r="U127" i="5"/>
  <c r="Q126" i="5"/>
  <c r="E115" i="5"/>
  <c r="R115" i="5"/>
  <c r="AC128" i="5"/>
  <c r="Z121" i="5"/>
  <c r="F116" i="5"/>
  <c r="S116" i="5"/>
  <c r="AA118" i="5"/>
  <c r="N118" i="5"/>
  <c r="AI120" i="5"/>
  <c r="AC115" i="5"/>
  <c r="O118" i="5"/>
  <c r="K117" i="5"/>
  <c r="AD115" i="5"/>
  <c r="AJ126" i="5"/>
  <c r="AG125" i="5"/>
  <c r="AF119" i="5"/>
  <c r="AK117" i="5"/>
  <c r="K121" i="5"/>
  <c r="G113" i="5"/>
  <c r="S122" i="5"/>
  <c r="AH129" i="5"/>
  <c r="W117" i="5"/>
  <c r="J120" i="5"/>
  <c r="G116" i="5"/>
  <c r="G124" i="5"/>
  <c r="O129" i="5"/>
  <c r="AB118" i="5"/>
  <c r="AD128" i="5"/>
  <c r="L121" i="5"/>
  <c r="AK126" i="5"/>
  <c r="AG119" i="5"/>
  <c r="AH125" i="5"/>
  <c r="Y124" i="5"/>
  <c r="R119" i="5"/>
  <c r="F119" i="5"/>
  <c r="N123" i="5"/>
  <c r="L117" i="5"/>
  <c r="W116" i="5"/>
  <c r="H129" i="5"/>
  <c r="T116" i="5"/>
  <c r="K128" i="5"/>
  <c r="T119" i="5"/>
  <c r="H116" i="5"/>
  <c r="AG116" i="5"/>
  <c r="I125" i="5"/>
  <c r="N121" i="5"/>
  <c r="AJ120" i="5"/>
  <c r="AA121" i="5"/>
  <c r="T122" i="5"/>
  <c r="Z118" i="5"/>
  <c r="Y120" i="5"/>
  <c r="O117" i="5"/>
  <c r="AE128" i="5"/>
  <c r="AK119" i="5"/>
  <c r="AA127" i="5"/>
  <c r="T120" i="5"/>
  <c r="R126" i="5"/>
  <c r="AM121" i="5"/>
  <c r="Q118" i="5"/>
  <c r="H118" i="5"/>
  <c r="AB119" i="5"/>
  <c r="AI118" i="5"/>
  <c r="F117" i="5"/>
  <c r="AF116" i="5"/>
  <c r="Y123" i="5"/>
  <c r="J125" i="5"/>
  <c r="AC120" i="5"/>
  <c r="W122" i="5"/>
  <c r="V121" i="5"/>
  <c r="P123" i="5"/>
  <c r="AF122" i="5"/>
  <c r="Q124" i="5"/>
  <c r="I119" i="5"/>
  <c r="K120" i="5"/>
  <c r="Z124" i="5"/>
  <c r="E122" i="5"/>
  <c r="N122" i="5"/>
  <c r="AB113" i="5"/>
  <c r="AB125" i="5"/>
  <c r="AK125" i="5"/>
  <c r="M127" i="5"/>
  <c r="S125" i="5"/>
  <c r="N128" i="5"/>
  <c r="H124" i="5"/>
  <c r="T126" i="5"/>
  <c r="K126" i="5"/>
  <c r="Y117" i="5"/>
  <c r="V127" i="5"/>
  <c r="G129" i="5"/>
  <c r="S119" i="5"/>
  <c r="Y129" i="5"/>
  <c r="P117" i="5"/>
  <c r="U126" i="5"/>
  <c r="O128" i="5"/>
  <c r="J119" i="5"/>
  <c r="AK113" i="5"/>
  <c r="P129" i="5"/>
  <c r="AA124" i="5"/>
  <c r="M121" i="5"/>
  <c r="AE127" i="5"/>
  <c r="AM126" i="5"/>
  <c r="G123" i="5"/>
  <c r="V115" i="5"/>
  <c r="E128" i="5"/>
  <c r="AG122" i="5"/>
  <c r="H112" i="5"/>
  <c r="AJ124" i="5"/>
  <c r="AD126" i="5"/>
  <c r="AG128" i="5"/>
  <c r="AK124" i="5"/>
  <c r="AM120" i="5"/>
  <c r="K125" i="5"/>
  <c r="X128" i="5"/>
  <c r="AI129" i="5"/>
  <c r="N127" i="5"/>
  <c r="T125" i="5"/>
  <c r="AE126" i="5"/>
  <c r="L126" i="5"/>
  <c r="E127" i="5"/>
  <c r="R124" i="5"/>
  <c r="AC125" i="5"/>
  <c r="I124" i="5"/>
  <c r="AD125" i="5"/>
  <c r="G122" i="5"/>
  <c r="Z129" i="5"/>
  <c r="AJ129" i="5"/>
  <c r="H117" i="5"/>
  <c r="W115" i="5"/>
  <c r="F128" i="5"/>
  <c r="T113" i="5"/>
  <c r="K119" i="5"/>
  <c r="AC113" i="5"/>
  <c r="Q129" i="5"/>
  <c r="L113" i="5"/>
  <c r="E121" i="5"/>
  <c r="Y122" i="5"/>
  <c r="N115" i="5"/>
  <c r="Y128" i="5"/>
  <c r="P128" i="5"/>
  <c r="AH128" i="5"/>
  <c r="AF127" i="5"/>
  <c r="AK118" i="5"/>
  <c r="Q117" i="5"/>
  <c r="W127" i="5"/>
  <c r="AI122" i="5"/>
  <c r="S124" i="5"/>
  <c r="AB124" i="5"/>
  <c r="M126" i="5"/>
  <c r="G128" i="5"/>
  <c r="J124" i="5"/>
  <c r="U125" i="5"/>
  <c r="V126" i="5"/>
  <c r="R123" i="5"/>
  <c r="P122" i="5"/>
  <c r="AJ123" i="5"/>
  <c r="O127" i="5"/>
  <c r="AF126" i="5"/>
  <c r="Q128" i="5"/>
  <c r="AC124" i="5"/>
  <c r="L125" i="5"/>
  <c r="I123" i="5"/>
  <c r="R129" i="5"/>
  <c r="X127" i="5"/>
  <c r="W120" i="5"/>
  <c r="O115" i="5"/>
  <c r="I117" i="5"/>
  <c r="Y127" i="5"/>
  <c r="Q122" i="5"/>
  <c r="AG127" i="5"/>
  <c r="U113" i="5"/>
  <c r="AM125" i="5"/>
  <c r="AI116" i="5"/>
  <c r="W126" i="5"/>
  <c r="AI128" i="5"/>
  <c r="AC129" i="5"/>
  <c r="F127" i="5"/>
  <c r="AA123" i="5"/>
  <c r="AA129" i="5"/>
  <c r="I129" i="5"/>
  <c r="AD124" i="5"/>
  <c r="AA128" i="5"/>
  <c r="AF120" i="5"/>
  <c r="AK129" i="5"/>
  <c r="F115" i="5"/>
  <c r="Z122" i="5"/>
  <c r="Z128" i="5"/>
  <c r="G115" i="5"/>
  <c r="AE125" i="5"/>
  <c r="AJ128" i="5"/>
  <c r="AD118" i="5"/>
  <c r="AD129" i="5"/>
  <c r="AC118" i="5"/>
  <c r="K123" i="5"/>
  <c r="AK128" i="5"/>
  <c r="N125" i="5"/>
  <c r="T123" i="5"/>
  <c r="R128" i="5"/>
  <c r="U118" i="5"/>
  <c r="O120" i="5"/>
  <c r="E126" i="5"/>
  <c r="X126" i="5"/>
  <c r="AC123" i="5"/>
  <c r="AK122" i="5"/>
  <c r="R122" i="5"/>
  <c r="AJ127" i="5"/>
  <c r="G126" i="5"/>
  <c r="J128" i="5"/>
  <c r="I128" i="5"/>
  <c r="H128" i="5"/>
  <c r="P127" i="5"/>
  <c r="O126" i="5"/>
  <c r="L124" i="5"/>
  <c r="I122" i="5"/>
  <c r="AF125" i="5"/>
  <c r="H127" i="5"/>
  <c r="AM129" i="5"/>
  <c r="Z127" i="5"/>
  <c r="P126" i="5"/>
  <c r="Y126" i="5"/>
  <c r="AJ116" i="5"/>
  <c r="V125" i="5"/>
  <c r="AB129" i="5"/>
  <c r="N126" i="5"/>
  <c r="W125" i="5"/>
  <c r="T129" i="5"/>
  <c r="AA116" i="5"/>
  <c r="F126" i="5"/>
  <c r="V124" i="5"/>
  <c r="S128" i="5"/>
  <c r="AI127" i="5"/>
  <c r="AG114" i="5"/>
  <c r="G127" i="5"/>
  <c r="AG126" i="5"/>
  <c r="K124" i="5"/>
  <c r="M124" i="5"/>
  <c r="AE124" i="5"/>
  <c r="J129" i="5"/>
  <c r="AH127" i="5"/>
  <c r="S129" i="5"/>
  <c r="K129" i="5"/>
  <c r="E125" i="5"/>
  <c r="AB128" i="5"/>
  <c r="Q127" i="5"/>
  <c r="AH126" i="5"/>
  <c r="AM124" i="5"/>
  <c r="M125" i="5"/>
  <c r="T124" i="5"/>
  <c r="D124" i="5"/>
  <c r="D112" i="5"/>
  <c r="D127" i="5"/>
  <c r="D113" i="5"/>
  <c r="D118" i="5"/>
  <c r="D114" i="5"/>
  <c r="D126" i="5"/>
  <c r="D119" i="5"/>
  <c r="D125" i="5"/>
  <c r="D123" i="5"/>
  <c r="D129" i="5"/>
  <c r="D122" i="5"/>
  <c r="D121" i="5"/>
  <c r="D128" i="5"/>
  <c r="D116" i="5"/>
  <c r="D120" i="5"/>
  <c r="D117" i="5"/>
  <c r="D115" i="5"/>
  <c r="C5" i="5"/>
  <c r="E5" i="1" l="1" a="1"/>
  <c r="J5" i="1" a="1"/>
  <c r="Y5" i="1" a="1"/>
  <c r="S5" i="1" a="1"/>
  <c r="AU5" i="1" a="1"/>
  <c r="AP5" i="1" a="1"/>
  <c r="AL5" i="1" a="1"/>
  <c r="AH5" i="1" a="1"/>
  <c r="AM5" i="1" a="1"/>
  <c r="F5" i="1" a="1"/>
  <c r="W5" i="1" a="1"/>
  <c r="L5" i="1" a="1"/>
  <c r="AY5" i="1" a="1"/>
  <c r="P5" i="1" a="1"/>
  <c r="X5" i="1" a="1"/>
  <c r="AD5" i="1" a="1"/>
  <c r="AK5" i="1" a="1"/>
  <c r="Q5" i="1" a="1"/>
  <c r="N5" i="1" a="1"/>
  <c r="AB5" i="1" a="1"/>
  <c r="V5" i="1" a="1"/>
  <c r="AN5" i="1" a="1"/>
  <c r="AS5" i="1" a="1"/>
  <c r="AE5" i="1" a="1"/>
  <c r="AJ5" i="1" a="1"/>
  <c r="AQ5" i="1" a="1"/>
  <c r="H5" i="1" a="1"/>
  <c r="I5" i="1" a="1"/>
  <c r="R5" i="1" a="1"/>
  <c r="T5" i="1" a="1"/>
  <c r="U5" i="1" a="1"/>
  <c r="K5" i="1" a="1"/>
  <c r="G5" i="1" a="1"/>
  <c r="O5" i="1" a="1"/>
  <c r="AI5" i="1" a="1"/>
  <c r="AV5" i="1" a="1"/>
  <c r="AG5" i="1" a="1"/>
  <c r="AZ5" i="1" a="1"/>
  <c r="AX5" i="1" a="1"/>
  <c r="AC5" i="1" a="1"/>
  <c r="AR5" i="1" a="1"/>
  <c r="AA5" i="1" a="1"/>
  <c r="AO5" i="1" a="1"/>
  <c r="M5" i="1" a="1"/>
  <c r="AW5" i="1" a="1"/>
  <c r="AT5" i="1" a="1"/>
  <c r="AF5" i="1" a="1"/>
  <c r="Z5" i="1" a="1"/>
  <c r="C5" i="1" a="1"/>
  <c r="C4" i="1"/>
  <c r="E5" i="1" l="1"/>
  <c r="AM5" i="1"/>
  <c r="AH5" i="1"/>
  <c r="AL5" i="1"/>
  <c r="AP5" i="1"/>
  <c r="AU5" i="1"/>
  <c r="S5" i="1"/>
  <c r="Y5" i="1"/>
  <c r="J5" i="1"/>
  <c r="AD5" i="1"/>
  <c r="X5" i="1"/>
  <c r="P5" i="1"/>
  <c r="AY5" i="1"/>
  <c r="L5" i="1"/>
  <c r="W5" i="1"/>
  <c r="F5" i="1"/>
  <c r="AE5" i="1"/>
  <c r="AS5" i="1"/>
  <c r="AN5" i="1"/>
  <c r="V5" i="1"/>
  <c r="AB5" i="1"/>
  <c r="N5" i="1"/>
  <c r="Q5" i="1"/>
  <c r="AK5" i="1"/>
  <c r="K5" i="1"/>
  <c r="U5" i="1"/>
  <c r="T5" i="1"/>
  <c r="R5" i="1"/>
  <c r="I5" i="1"/>
  <c r="H5" i="1"/>
  <c r="AQ5" i="1"/>
  <c r="AJ5" i="1"/>
  <c r="AC5" i="1"/>
  <c r="AX5" i="1"/>
  <c r="AZ5" i="1"/>
  <c r="AG5" i="1"/>
  <c r="AV5" i="1"/>
  <c r="AI5" i="1"/>
  <c r="O5" i="1"/>
  <c r="G5" i="1"/>
  <c r="Z5" i="1"/>
  <c r="AF5" i="1"/>
  <c r="AT5" i="1"/>
  <c r="AW5" i="1"/>
  <c r="M5" i="1"/>
  <c r="AO5" i="1"/>
  <c r="AA5" i="1"/>
  <c r="AR5" i="1"/>
  <c r="C5" i="1"/>
  <c r="B2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<sst xmlns="http://schemas.openxmlformats.org/spreadsheetml/2006/main" count="202" uniqueCount="52">
  <si>
    <t>Start date</t>
  </si>
  <si>
    <t>End date</t>
  </si>
  <si>
    <t>id</t>
  </si>
  <si>
    <t>ZF160325 Corp</t>
  </si>
  <si>
    <t>ZP208480 Corp</t>
  </si>
  <si>
    <t>JV534152 Corp</t>
  </si>
  <si>
    <t>EF323775 Corp</t>
  </si>
  <si>
    <t>AQ608474 Corp</t>
  </si>
  <si>
    <t>BT274981 Corp</t>
  </si>
  <si>
    <t>EI143600 Corp</t>
  </si>
  <si>
    <t>BX504643 Corp</t>
  </si>
  <si>
    <t>EI143592 Corp</t>
  </si>
  <si>
    <t>AQ692952 Corp</t>
  </si>
  <si>
    <t>JV523082 Corp</t>
  </si>
  <si>
    <t>BT275588 Corp</t>
  </si>
  <si>
    <t>BT275281 Corp</t>
  </si>
  <si>
    <t>ED575776 Corp</t>
  </si>
  <si>
    <t>ZM025339 Corp</t>
  </si>
  <si>
    <t>ZF159630 Corp</t>
  </si>
  <si>
    <t>BT275444 Corp</t>
  </si>
  <si>
    <t>EI143596 Corp</t>
  </si>
  <si>
    <t>ZJ042848 Corp</t>
  </si>
  <si>
    <t>AW700943 Corp</t>
  </si>
  <si>
    <t>YS313564 Corp</t>
  </si>
  <si>
    <t>ZF160502 Corp</t>
  </si>
  <si>
    <t>AW701271 Corp</t>
  </si>
  <si>
    <t>ZF159828 Corp</t>
  </si>
  <si>
    <t>ZO783890 Corp</t>
  </si>
  <si>
    <t>ZJ042888 Corp</t>
  </si>
  <si>
    <t>EK697111 Corp</t>
  </si>
  <si>
    <t>YS313117 Corp</t>
  </si>
  <si>
    <t>BV758571 Corp</t>
  </si>
  <si>
    <t>BQ140961 Corp</t>
  </si>
  <si>
    <t>YS311871 Corp</t>
  </si>
  <si>
    <t>ZM026356 Corp</t>
  </si>
  <si>
    <t>BZ160604 Corp</t>
  </si>
  <si>
    <t>BT274758 Corp</t>
  </si>
  <si>
    <t>YN482014 Corp</t>
  </si>
  <si>
    <t>ZF159734 Corp</t>
  </si>
  <si>
    <t>ZJ042916 Corp</t>
  </si>
  <si>
    <t>ZF160659 Corp</t>
  </si>
  <si>
    <t>YW120790 Corp</t>
  </si>
  <si>
    <t>ZP208481 Corp</t>
  </si>
  <si>
    <t>EC326731 Corp</t>
  </si>
  <si>
    <t>YW120566 Corp</t>
  </si>
  <si>
    <t>ZF161125 Corp</t>
  </si>
  <si>
    <t>YQ902435 Corp</t>
  </si>
  <si>
    <t>ZF160883 Corp</t>
  </si>
  <si>
    <t>YS314018 Corp</t>
  </si>
  <si>
    <t>YN481867 Corp</t>
  </si>
  <si>
    <t>ZF161289 Corp</t>
  </si>
  <si>
    <t>YN482390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</si>
</sst>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43" fontId="0" fillId="0" borderId="0" xfId="1" applyFont="1"/>
    <xf numFmtId="0" fontId="0" fillId="2" borderId="0" xfId="0" applyFill="1"/>
    <xf numFmtId="14" fontId="0" fillId="2" borderId="0" xfId="0" applyNumberFormat="1" applyFill="1"/>
    <xf numFmtId="43" fontId="0" fillId="2" borderId="0" xfId="1" applyFont="1" applyFill="1"/>
    <xf numFmtId="14" fontId="0" fillId="3" borderId="0" xfId="0" applyNumberForma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BDP|10621138148787531815</stp>
        <tr r="AR6" s="5"/>
      </tp>
      <tp t="s">
        <v>#N/A N/A</v>
        <stp/>
        <stp>BDP|16145753205662181993</stp>
        <tr r="L124" s="5"/>
      </tp>
      <tp t="s">
        <v>#N/A N/A</v>
        <stp/>
        <stp>BDP|14859931717836636030</stp>
        <tr r="D128" s="5"/>
      </tp>
      <tp t="s">
        <v>#N/A N/A</v>
        <stp/>
        <stp>BDP|15676475409123742860</stp>
        <tr r="G129" s="5"/>
      </tp>
      <tp t="s">
        <v>#N/A N/A</v>
        <stp/>
        <stp>BDP|15238110557252529986</stp>
        <tr r="J103" s="5"/>
      </tp>
      <tp t="s">
        <v>#N/A N/A</v>
        <stp/>
        <stp>BDP|18224259133286450598</stp>
        <tr r="M46" s="5"/>
      </tp>
      <tp t="s">
        <v>#N/A N/A</v>
        <stp/>
        <stp>BDP|14998287324798869656</stp>
        <tr r="H121" s="5"/>
      </tp>
      <tp t="s">
        <v>#N/A N/A</v>
        <stp/>
        <stp>BDP|11487854555121708781</stp>
        <tr r="K109" s="5"/>
      </tp>
      <tp t="s">
        <v>#N/A N/A</v>
        <stp/>
        <stp>BDP|15923594987696521490</stp>
        <tr r="F27" s="5"/>
      </tp>
      <tp t="s">
        <v>#N/A N/A</v>
        <stp/>
        <stp>BDP|14269908167960787198</stp>
        <tr r="AB91" s="5"/>
      </tp>
      <tp t="s">
        <v>#N/A N/A</v>
        <stp/>
        <stp>BDP|17185885530701271708</stp>
        <tr r="AD35" s="5"/>
      </tp>
      <tp t="s">
        <v>#N/A N/A</v>
        <stp/>
        <stp>BDP|10599956867695441092</stp>
        <tr r="Z81" s="5"/>
      </tp>
      <tp t="s">
        <v>#N/A N/A</v>
        <stp/>
        <stp>BDP|17256146488431434505</stp>
        <tr r="AD76" s="5"/>
      </tp>
      <tp t="s">
        <v>#N/A N/A</v>
        <stp/>
        <stp>BDP|11856976935034716572</stp>
        <tr r="AR56" s="5"/>
      </tp>
      <tp t="s">
        <v>#N/A N/A</v>
        <stp/>
        <stp>BDP|10143899428854823423</stp>
        <tr r="AF121" s="5"/>
      </tp>
      <tp t="s">
        <v>#N/A N/A</v>
        <stp/>
        <stp>BDP|17437254686136961144</stp>
        <tr r="H81" s="5"/>
      </tp>
      <tp t="s">
        <v>#N/A N/A</v>
        <stp/>
        <stp>BDP|10831215046649170538</stp>
        <tr r="AD117" s="5"/>
      </tp>
      <tp t="s">
        <v>#N/A N/A</v>
        <stp/>
        <stp>BDP|14450851598986678924</stp>
        <tr r="U108" s="5"/>
      </tp>
      <tp t="s">
        <v>#N/A N/A</v>
        <stp/>
        <stp>BDP|16024879102614171099</stp>
        <tr r="AT128" s="5"/>
      </tp>
      <tp t="s">
        <v>#N/A N/A</v>
        <stp/>
        <stp>BDP|17858681211933585988</stp>
        <tr r="D125" s="5"/>
      </tp>
      <tp t="s">
        <v>#N/A N/A</v>
        <stp/>
        <stp>BDP|14652598700982896984</stp>
        <tr r="G28" s="5"/>
      </tp>
      <tp t="s">
        <v>#N/A N/A</v>
        <stp/>
        <stp>BDP|11676272951779771586</stp>
        <tr r="U82" s="5"/>
      </tp>
      <tp t="s">
        <v>#N/A N/A</v>
        <stp/>
        <stp>BDP|16073867519744337137</stp>
        <tr r="AJ107" s="5"/>
      </tp>
      <tp t="s">
        <v>#N/A N/A</v>
        <stp/>
        <stp>BDP|17446245990891856779</stp>
        <tr r="H107" s="5"/>
      </tp>
      <tp t="s">
        <v>#N/A N/A</v>
        <stp/>
        <stp>BDP|13297303286795361797</stp>
        <tr r="F77" s="5"/>
      </tp>
      <tp t="s">
        <v>#N/A N/A</v>
        <stp/>
        <stp>BDP|11248499498374414293</stp>
        <tr r="AQ107" s="5"/>
      </tp>
      <tp t="s">
        <v>#N/A N/A</v>
        <stp/>
        <stp>BDP|15122618162548016731</stp>
        <tr r="I105" s="5"/>
      </tp>
      <tp t="s">
        <v>#N/A N/A</v>
        <stp/>
        <stp>BDP|10037554317847089933</stp>
        <tr r="AA126" s="5"/>
      </tp>
      <tp t="s">
        <v>#N/A N/A</v>
        <stp/>
        <stp>BDP|11640598885715383398</stp>
        <tr r="U25" s="5"/>
      </tp>
      <tp t="s">
        <v>#N/A N/A</v>
        <stp/>
        <stp>BDP|18431492936415940022</stp>
        <tr r="J123" s="5"/>
      </tp>
      <tp t="s">
        <v>#N/A N/A</v>
        <stp/>
        <stp>BDP|14592909480486047950</stp>
        <tr r="F43" s="5"/>
      </tp>
      <tp t="s">
        <v>#N/A N/A</v>
        <stp/>
        <stp>BDP|12741424309568451487</stp>
        <tr r="T106" s="5"/>
      </tp>
      <tp t="s">
        <v>#N/A N/A</v>
        <stp/>
        <stp>BDP|17268496383113933217</stp>
        <tr r="L53" s="5"/>
      </tp>
      <tp t="s">
        <v>#N/A N/A</v>
        <stp/>
        <stp>BDP|15409306226137874992</stp>
        <tr r="AD125" s="5"/>
      </tp>
      <tp t="s">
        <v>#N/A N/A</v>
        <stp/>
        <stp>BDP|17296469805450557975</stp>
        <tr r="V119" s="5"/>
      </tp>
      <tp t="s">
        <v>#N/A N/A</v>
        <stp/>
        <stp>BDP|11607301047665098935</stp>
        <tr r="V111" s="5"/>
      </tp>
      <tp t="s">
        <v>#N/A N/A</v>
        <stp/>
        <stp>BDP|12170756454323061922</stp>
        <tr r="U17" s="5"/>
      </tp>
      <tp t="s">
        <v>#N/A N/A</v>
        <stp/>
        <stp>BDP|17859523248258396438</stp>
        <tr r="Z126" s="5"/>
      </tp>
      <tp t="s">
        <v>#N/A N/A</v>
        <stp/>
        <stp>BDP|15916355084850849452</stp>
        <tr r="E111" s="5"/>
      </tp>
      <tp t="s">
        <v>#N/A N/A</v>
        <stp/>
        <stp>BDP|11416388180029197989</stp>
        <tr r="AD122" s="5"/>
      </tp>
      <tp t="s">
        <v>#N/A N/A</v>
        <stp/>
        <stp>BDP|16871812554481100099</stp>
        <tr r="AQ85" s="5"/>
      </tp>
      <tp t="s">
        <v>#N/A N/A</v>
        <stp/>
        <stp>BDP|12164678796324301362</stp>
        <tr r="L12" s="5"/>
      </tp>
      <tp t="s">
        <v>#N/A N/A</v>
        <stp/>
        <stp>BDP|11891772360339988333</stp>
        <tr r="L33" s="5"/>
      </tp>
      <tp t="s">
        <v>#N/A N/A</v>
        <stp/>
        <stp>BDP|12602372066804389916</stp>
        <tr r="P106" s="5"/>
      </tp>
      <tp t="s">
        <v>#N/A N/A</v>
        <stp/>
        <stp>BDP|15889790631052408902</stp>
        <tr r="E128" s="5"/>
      </tp>
      <tp t="s">
        <v>#N/A N/A</v>
        <stp/>
        <stp>BDP|14390882839395003060</stp>
        <tr r="AD22" s="5"/>
      </tp>
      <tp t="s">
        <v>#N/A N/A</v>
        <stp/>
        <stp>BDP|10599239684052299245</stp>
        <tr r="AN119" s="5"/>
      </tp>
      <tp t="s">
        <v>#N/A N/A</v>
        <stp/>
        <stp>BDP|16757251086944861287</stp>
        <tr r="Q59" s="5"/>
      </tp>
      <tp t="s">
        <v>#N/A N/A</v>
        <stp/>
        <stp>BDP|14054257191942407749</stp>
        <tr r="AK103" s="5"/>
      </tp>
      <tp t="s">
        <v>#N/A N/A</v>
        <stp/>
        <stp>BDP|15828611639819179360</stp>
        <tr r="N72" s="5"/>
      </tp>
      <tp t="s">
        <v>#N/A N/A</v>
        <stp/>
        <stp>BDP|12166426981626042253</stp>
        <tr r="U35" s="5"/>
      </tp>
      <tp t="s">
        <v>#N/A N/A</v>
        <stp/>
        <stp>BDP|18440774790895090946</stp>
        <tr r="M109" s="5"/>
      </tp>
      <tp t="s">
        <v>#N/A N/A</v>
        <stp/>
        <stp>BDP|11645970671466450330</stp>
        <tr r="Z102" s="5"/>
      </tp>
      <tp t="s">
        <v>#N/A N/A</v>
        <stp/>
        <stp>BDP|17955669593487958532</stp>
        <tr r="N107" s="5"/>
      </tp>
      <tp t="s">
        <v>#N/A N/A</v>
        <stp/>
        <stp>BDP|15738958452756438523</stp>
        <tr r="AN118" s="5"/>
      </tp>
      <tp t="s">
        <v>#N/A N/A</v>
        <stp/>
        <stp>BDP|12034054670187369807</stp>
        <tr r="K122" s="5"/>
      </tp>
      <tp t="s">
        <v>#N/A N/A</v>
        <stp/>
        <stp>BDP|14004949464430580130</stp>
        <tr r="M44" s="5"/>
      </tp>
      <tp t="e">
        <v>#N/A</v>
        <stp/>
        <stp>BDH|11915310556965718843</stp>
        <tr r="E5" s="1"/>
      </tp>
      <tp t="s">
        <v>#N/A N/A</v>
        <stp/>
        <stp>BDP|12987904413262515361</stp>
        <tr r="AQ80" s="5"/>
      </tp>
      <tp t="s">
        <v>#N/A N/A</v>
        <stp/>
        <stp>BDP|15391498491774509775</stp>
        <tr r="Q47" s="5"/>
      </tp>
      <tp t="s">
        <v>#N/A N/A</v>
        <stp/>
        <stp>BDP|12255262048789186649</stp>
        <tr r="AQ73" s="5"/>
      </tp>
      <tp t="s">
        <v>#N/A N/A</v>
        <stp/>
        <stp>BDP|16729701879308346541</stp>
        <tr r="F48" s="5"/>
      </tp>
      <tp t="s">
        <v>#N/A N/A</v>
        <stp/>
        <stp>BDP|16976979831943413422</stp>
        <tr r="K125" s="5"/>
      </tp>
      <tp t="s">
        <v>#N/A N/A</v>
        <stp/>
        <stp>BDP|16209003450710246894</stp>
        <tr r="K99" s="5"/>
      </tp>
      <tp t="s">
        <v>#N/A N/A</v>
        <stp/>
        <stp>BDP|16865643684952750174</stp>
        <tr r="M80" s="5"/>
      </tp>
      <tp t="s">
        <v>#N/A N/A</v>
        <stp/>
        <stp>BDP|16595858330197038186</stp>
        <tr r="F98" s="5"/>
      </tp>
      <tp t="s">
        <v>#N/A N/A</v>
        <stp/>
        <stp>BDP|11763904019673088157</stp>
        <tr r="AQ90" s="5"/>
      </tp>
      <tp t="s">
        <v>#N/A N/A</v>
        <stp/>
        <stp>BDP|17267284431859137410</stp>
        <tr r="O108" s="5"/>
      </tp>
      <tp t="s">
        <v>#N/A N/A</v>
        <stp/>
        <stp>BDP|15016176480432988554</stp>
        <tr r="I107" s="5"/>
      </tp>
      <tp t="s">
        <v>#N/A N/A</v>
        <stp/>
        <stp>BDP|10277222305361621884</stp>
        <tr r="V121" s="5"/>
      </tp>
      <tp t="s">
        <v>#N/A N/A</v>
        <stp/>
        <stp>BDP|18259769549421432134</stp>
        <tr r="I126" s="5"/>
      </tp>
      <tp t="s">
        <v>#N/A N/A</v>
        <stp/>
        <stp>BDP|16260719129719778170</stp>
        <tr r="O112" s="5"/>
      </tp>
      <tp t="s">
        <v>#N/A N/A</v>
        <stp/>
        <stp>BDP|16544133581242867650</stp>
        <tr r="J9" s="5"/>
      </tp>
      <tp t="s">
        <v>#N/A N/A</v>
        <stp/>
        <stp>BDP|13127946124037356485</stp>
        <tr r="J97" s="5"/>
      </tp>
      <tp t="s">
        <v>#N/A N/A</v>
        <stp/>
        <stp>BDP|15309670380051026199</stp>
        <tr r="AR20" s="5"/>
      </tp>
      <tp t="s">
        <v>#N/A N/A</v>
        <stp/>
        <stp>BDP|15083523580293760081</stp>
        <tr r="I109" s="5"/>
      </tp>
      <tp t="s">
        <v>#N/A N/A</v>
        <stp/>
        <stp>BDP|14590835338131315500</stp>
        <tr r="N22" s="5"/>
      </tp>
      <tp t="s">
        <v>#N/A N/A</v>
        <stp/>
        <stp>BDP|12891886778940721626</stp>
        <tr r="J61" s="5"/>
      </tp>
      <tp t="s">
        <v>#N/A N/A</v>
        <stp/>
        <stp>BDP|13416375398584738601</stp>
        <tr r="I111" s="5"/>
      </tp>
      <tp t="s">
        <v>#N/A N/A</v>
        <stp/>
        <stp>BDP|17419871188638057475</stp>
        <tr r="W94" s="5"/>
      </tp>
      <tp t="s">
        <v>#N/A N/A</v>
        <stp/>
        <stp>BDP|14665154592892666587</stp>
        <tr r="I124" s="5"/>
      </tp>
      <tp t="s">
        <v>#N/A N/A</v>
        <stp/>
        <stp>BDP|14104805798649398750</stp>
        <tr r="U32" s="5"/>
      </tp>
      <tp t="s">
        <v>#N/A N/A</v>
        <stp/>
        <stp>BDP|13254160921273913839</stp>
        <tr r="AJ114" s="5"/>
      </tp>
      <tp t="s">
        <v>#N/A N/A</v>
        <stp/>
        <stp>BDP|17352049735446850953</stp>
        <tr r="AR117" s="5"/>
      </tp>
      <tp t="s">
        <v>#N/A N/A</v>
        <stp/>
        <stp>BDP|10196886656753035515</stp>
        <tr r="U37" s="5"/>
      </tp>
      <tp t="s">
        <v>#N/A N/A</v>
        <stp/>
        <stp>BDP|17619882958935077480</stp>
        <tr r="AD70" s="5"/>
      </tp>
      <tp t="s">
        <v>#N/A N/A</v>
        <stp/>
        <stp>BDP|11773578099710062673</stp>
        <tr r="N94" s="5"/>
      </tp>
      <tp t="s">
        <v>#N/A N/A</v>
        <stp/>
        <stp>BDP|12482000126683694859</stp>
        <tr r="G93" s="5"/>
      </tp>
      <tp t="s">
        <v>#N/A N/A</v>
        <stp/>
        <stp>BDP|14116665889901969069</stp>
        <tr r="M116" s="5"/>
      </tp>
      <tp t="s">
        <v>#N/A N/A</v>
        <stp/>
        <stp>BDP|15767528154459051710</stp>
        <tr r="Q115" s="5"/>
      </tp>
      <tp t="s">
        <v>#N/A N/A</v>
        <stp/>
        <stp>BDP|12490775702689572772</stp>
        <tr r="AD56" s="5"/>
      </tp>
      <tp t="s">
        <v>#N/A N/A</v>
        <stp/>
        <stp>BDP|10955646838649249740</stp>
        <tr r="AN114" s="5"/>
      </tp>
      <tp t="s">
        <v>#N/A N/A</v>
        <stp/>
        <stp>BDP|18278459729574491194</stp>
        <tr r="Q100" s="5"/>
      </tp>
      <tp t="s">
        <v>#N/A N/A</v>
        <stp/>
        <stp>BDP|17143485728548067227</stp>
        <tr r="N27" s="5"/>
      </tp>
      <tp t="s">
        <v>#N/A N/A</v>
        <stp/>
        <stp>BDP|14192826072288561861</stp>
        <tr r="AT126" s="5"/>
      </tp>
      <tp t="s">
        <v>#N/A N/A</v>
        <stp/>
        <stp>BDP|11021229183952168224</stp>
        <tr r="H59" s="5"/>
      </tp>
      <tp t="s">
        <v>#N/A N/A</v>
        <stp/>
        <stp>BDP|17814508238079598376</stp>
        <tr r="AK104" s="5"/>
      </tp>
      <tp t="s">
        <v>#N/A N/A</v>
        <stp/>
        <stp>BDP|17058752693823521161</stp>
        <tr r="I106" s="5"/>
      </tp>
      <tp t="s">
        <v>#N/A N/A</v>
        <stp/>
        <stp>BDP|14053011799142928447</stp>
        <tr r="AQ76" s="5"/>
      </tp>
      <tp t="s">
        <v>#N/A N/A</v>
        <stp/>
        <stp>BDP|11451843326145320518</stp>
        <tr r="AQ129" s="5"/>
      </tp>
      <tp t="s">
        <v>#N/A N/A</v>
        <stp/>
        <stp>BDP|10864622899526471234</stp>
        <tr r="W96" s="5"/>
      </tp>
      <tp t="s">
        <v>#N/A N/A</v>
        <stp/>
        <stp>BDP|17080537939719527381</stp>
        <tr r="AB81" s="5"/>
      </tp>
      <tp t="s">
        <v>#N/A N/A</v>
        <stp/>
        <stp>BDP|18131545551615398600</stp>
        <tr r="Z85" s="5"/>
      </tp>
      <tp t="s">
        <v>#N/A N/A</v>
        <stp/>
        <stp>BDP|15250827775733449266</stp>
        <tr r="T105" s="5"/>
      </tp>
      <tp t="s">
        <v>#N/A N/A</v>
        <stp/>
        <stp>BDP|15608232702338825487</stp>
        <tr r="M89" s="5"/>
      </tp>
      <tp t="s">
        <v>#N/A N/A</v>
        <stp/>
        <stp>BDP|17830229888131390779</stp>
        <tr r="AD50" s="5"/>
      </tp>
      <tp t="s">
        <v>#N/A N/A</v>
        <stp/>
        <stp>BDP|13385882944787035394</stp>
        <tr r="E67" s="5"/>
      </tp>
      <tp t="s">
        <v>#N/A N/A</v>
        <stp/>
        <stp>BDP|13912300779865195978</stp>
        <tr r="H58" s="5"/>
      </tp>
      <tp t="s">
        <v>#N/A N/A</v>
        <stp/>
        <stp>BDP|11064289083780403097</stp>
        <tr r="G15" s="5"/>
      </tp>
      <tp t="s">
        <v>#N/A N/A</v>
        <stp/>
        <stp>BDP|11217932406796835598</stp>
        <tr r="F17" s="5"/>
      </tp>
      <tp t="s">
        <v>#N/A N/A</v>
        <stp/>
        <stp>BDP|13436398570215362982</stp>
        <tr r="T110" s="5"/>
      </tp>
      <tp t="s">
        <v>#N/A N/A</v>
        <stp/>
        <stp>BDP|18001987285954393685</stp>
        <tr r="G13" s="5"/>
      </tp>
      <tp t="s">
        <v>#N/A N/A</v>
        <stp/>
        <stp>BDP|17189742331959504172</stp>
        <tr r="P125" s="5"/>
      </tp>
      <tp t="s">
        <v>#N/A N/A</v>
        <stp/>
        <stp>BDP|10414503105719305745</stp>
        <tr r="Z78" s="5"/>
      </tp>
      <tp t="s">
        <v>#N/A N/A</v>
        <stp/>
        <stp>BDP|17941565318839747168</stp>
        <tr r="Y128" s="5"/>
      </tp>
      <tp t="e">
        <v>#N/A</v>
        <stp/>
        <stp>BDH|13603163069209036686</stp>
        <tr r="W5" s="1"/>
      </tp>
      <tp t="e">
        <v>#N/A</v>
        <stp/>
        <stp>BDH|13235089599330488134</stp>
        <tr r="C5" s="1"/>
      </tp>
      <tp t="s">
        <v>#N/A N/A</v>
        <stp/>
        <stp>BDP|13119644674193926915</stp>
        <tr r="I123" s="5"/>
      </tp>
      <tp t="s">
        <v>#N/A N/A</v>
        <stp/>
        <stp>BDP|11278150273997867858</stp>
        <tr r="O121" s="5"/>
      </tp>
      <tp t="s">
        <v>#N/A N/A</v>
        <stp/>
        <stp>BDP|12997848921476647621</stp>
        <tr r="U20" s="5"/>
      </tp>
      <tp t="s">
        <v>#N/A N/A</v>
        <stp/>
        <stp>BDP|15762941252092007391</stp>
        <tr r="AB123" s="5"/>
      </tp>
      <tp t="s">
        <v>#N/A N/A</v>
        <stp/>
        <stp>BDP|17981820260043908291</stp>
        <tr r="L100" s="5"/>
      </tp>
      <tp t="s">
        <v>#N/A N/A</v>
        <stp/>
        <stp>BDP|13348561984454306298</stp>
        <tr r="G87" s="5"/>
      </tp>
      <tp t="s">
        <v>#N/A N/A</v>
        <stp/>
        <stp>BDP|13290528082606144087</stp>
        <tr r="AD20" s="5"/>
      </tp>
      <tp t="s">
        <v>#N/A N/A</v>
        <stp/>
        <stp>BDP|12358481028298126490</stp>
        <tr r="AF116" s="5"/>
      </tp>
      <tp t="s">
        <v>#N/A N/A</v>
        <stp/>
        <stp>BDP|13731432656029993316</stp>
        <tr r="AF112" s="5"/>
      </tp>
      <tp t="s">
        <v>#N/A N/A</v>
        <stp/>
        <stp>BDP|18356737831824257092</stp>
        <tr r="N63" s="5"/>
      </tp>
      <tp t="s">
        <v>#N/A N/A</v>
        <stp/>
        <stp>BDP|17620253381794121195</stp>
        <tr r="U113" s="5"/>
      </tp>
      <tp t="s">
        <v>#N/A N/A</v>
        <stp/>
        <stp>BDP|16214122699907496107</stp>
        <tr r="AR55" s="5"/>
      </tp>
      <tp t="s">
        <v>#N/A N/A</v>
        <stp/>
        <stp>BDP|17782856451524908666</stp>
        <tr r="U30" s="5"/>
      </tp>
      <tp t="s">
        <v>#N/A N/A</v>
        <stp/>
        <stp>BDP|15176197185035788169</stp>
        <tr r="G23" s="5"/>
      </tp>
      <tp t="s">
        <v>#N/A N/A</v>
        <stp/>
        <stp>BDP|16515363166303050895</stp>
        <tr r="AC117" s="5"/>
      </tp>
      <tp t="s">
        <v>#N/A N/A</v>
        <stp/>
        <stp>BDP|14647691143747274920</stp>
        <tr r="T120" s="5"/>
      </tp>
      <tp t="s">
        <v>#N/A N/A</v>
        <stp/>
        <stp>BDP|10815862391270061932</stp>
        <tr r="J95" s="5"/>
      </tp>
      <tp t="s">
        <v>#N/A N/A</v>
        <stp/>
        <stp>BDP|17861542486935673736</stp>
        <tr r="AQ120" s="5"/>
      </tp>
      <tp t="s">
        <v>#N/A N/A</v>
        <stp/>
        <stp>BDP|10735435148591255915</stp>
        <tr r="D123" s="5"/>
      </tp>
      <tp t="s">
        <v>#N/A N/A</v>
        <stp/>
        <stp>BDP|17578264562148934373</stp>
        <tr r="J55" s="5"/>
      </tp>
      <tp t="s">
        <v>#N/A N/A</v>
        <stp/>
        <stp>BDP|11231984726212353002</stp>
        <tr r="J92" s="5"/>
      </tp>
      <tp t="s">
        <v>#N/A N/A</v>
        <stp/>
        <stp>BDP|14334608398197625431</stp>
        <tr r="F129" s="5"/>
      </tp>
      <tp t="s">
        <v>#N/A N/A</v>
        <stp/>
        <stp>BDP|11036346862854613811</stp>
        <tr r="U69" s="5"/>
      </tp>
      <tp t="s">
        <v>#N/A N/A</v>
        <stp/>
        <stp>BDP|10004618744432232869</stp>
        <tr r="AA116" s="5"/>
      </tp>
      <tp t="s">
        <v>#N/A N/A</v>
        <stp/>
        <stp>BDP|13129112895392544108</stp>
        <tr r="Q92" s="5"/>
      </tp>
      <tp t="s">
        <v>#N/A N/A</v>
        <stp/>
        <stp>BDP|10021405884990644425</stp>
        <tr r="J82" s="5"/>
      </tp>
      <tp t="s">
        <v>#N/A N/A</v>
        <stp/>
        <stp>BDP|15529659804249413232</stp>
        <tr r="D113" s="5"/>
      </tp>
      <tp t="s">
        <v>#N/A N/A</v>
        <stp/>
        <stp>BDP|11799741871210045911</stp>
        <tr r="K124" s="5"/>
      </tp>
      <tp t="s">
        <v>#N/A N/A</v>
        <stp/>
        <stp>BDP|17362306770608059307</stp>
        <tr r="AA121" s="5"/>
      </tp>
      <tp t="s">
        <v>#N/A N/A</v>
        <stp/>
        <stp>BDP|14517389304346337983</stp>
        <tr r="F121" s="5"/>
      </tp>
      <tp t="s">
        <v>#N/A N/A</v>
        <stp/>
        <stp>BDP|12502530116306100839</stp>
        <tr r="M121" s="5"/>
      </tp>
      <tp t="s">
        <v>#N/A N/A</v>
        <stp/>
        <stp>BDP|13503859773370126400</stp>
        <tr r="Z93" s="5"/>
      </tp>
      <tp t="s">
        <v>#N/A N/A</v>
        <stp/>
        <stp>BDP|14288888517584752182</stp>
        <tr r="R109" s="5"/>
      </tp>
      <tp t="s">
        <v>#N/A N/A</v>
        <stp/>
        <stp>BDP|16476448630061169842</stp>
        <tr r="AD27" s="5"/>
      </tp>
      <tp t="s">
        <v>#N/A N/A</v>
        <stp/>
        <stp>BDP|11491126892177130603</stp>
        <tr r="AD107" s="5"/>
      </tp>
      <tp t="s">
        <v>#N/A N/A</v>
        <stp/>
        <stp>BDP|15480825283109201422</stp>
        <tr r="W90" s="5"/>
      </tp>
      <tp t="s">
        <v>#N/A N/A</v>
        <stp/>
        <stp>BDP|16269210029328927660</stp>
        <tr r="F88" s="5"/>
      </tp>
      <tp t="s">
        <v>#N/A N/A</v>
        <stp/>
        <stp>BDP|16010957568292812300</stp>
        <tr r="AD65" s="5"/>
      </tp>
      <tp t="s">
        <v>#N/A N/A</v>
        <stp/>
        <stp>BDP|14044815023510299647</stp>
        <tr r="AI106" s="5"/>
      </tp>
      <tp t="s">
        <v>#N/A N/A</v>
        <stp/>
        <stp>BDP|17502635713548599043</stp>
        <tr r="AB126" s="5"/>
      </tp>
      <tp t="s">
        <v>#N/A N/A</v>
        <stp/>
        <stp>BDP|17449500587966486437</stp>
        <tr r="Z117" s="5"/>
      </tp>
      <tp t="s">
        <v>#N/A N/A</v>
        <stp/>
        <stp>BDP|15698909030456434166</stp>
        <tr r="AQ116" s="5"/>
      </tp>
      <tp t="s">
        <v>#N/A N/A</v>
        <stp/>
        <stp>BDP|10010074715509001051</stp>
        <tr r="O110" s="5"/>
      </tp>
      <tp t="s">
        <v>#N/A N/A</v>
        <stp/>
        <stp>BDP|13489100920701319909</stp>
        <tr r="P103" s="5"/>
      </tp>
      <tp t="s">
        <v>#N/A N/A</v>
        <stp/>
        <stp>BDP|15524477408958583180</stp>
        <tr r="AK93" s="5"/>
      </tp>
      <tp t="s">
        <v>#N/A N/A</v>
        <stp/>
        <stp>BDP|17759217087530594525</stp>
        <tr r="AQ122" s="5"/>
      </tp>
      <tp t="s">
        <v>#N/A N/A</v>
        <stp/>
        <stp>BDP|17064490279325687900</stp>
        <tr r="N35" s="5"/>
      </tp>
      <tp t="s">
        <v>#N/A N/A</v>
        <stp/>
        <stp>BDP|12950580091333077561</stp>
        <tr r="AT122" s="5"/>
      </tp>
      <tp t="e">
        <v>#N/A</v>
        <stp/>
        <stp>BDH|13502525288674494257</stp>
        <tr r="P5" s="1"/>
      </tp>
      <tp t="s">
        <v>#N/A N/A</v>
        <stp/>
        <stp>BDP|11924909584458161152</stp>
        <tr r="AS127" s="5"/>
      </tp>
      <tp t="s">
        <v>#N/A N/A</v>
        <stp/>
        <stp>BDP|11149693635605188853</stp>
        <tr r="K114" s="5"/>
      </tp>
      <tp t="s">
        <v>#N/A N/A</v>
        <stp/>
        <stp>BDP|13385632951340862903</stp>
        <tr r="Y112" s="5"/>
      </tp>
      <tp t="s">
        <v>#N/A N/A</v>
        <stp/>
        <stp>BDP|13204451863441913946</stp>
        <tr r="AI129" s="5"/>
      </tp>
      <tp t="s">
        <v>#N/A N/A</v>
        <stp/>
        <stp>BDP|17290814993646894915</stp>
        <tr r="N57" s="5"/>
      </tp>
      <tp t="s">
        <v>#N/A N/A</v>
        <stp/>
        <stp>BDP|16668821356663822135</stp>
        <tr r="AD5" s="5"/>
      </tp>
      <tp t="s">
        <v>#N/A N/A</v>
        <stp/>
        <stp>BDP|15917352863589520031</stp>
        <tr r="W128" s="5"/>
      </tp>
      <tp t="s">
        <v>#N/A N/A</v>
        <stp/>
        <stp>BDP|17259354393092850650</stp>
        <tr r="O106" s="5"/>
      </tp>
      <tp t="s">
        <v>#N/A N/A</v>
        <stp/>
        <stp>BDP|16224157357123309886</stp>
        <tr r="AR79" s="5"/>
      </tp>
      <tp t="s">
        <v>#N/A N/A</v>
        <stp/>
        <stp>BDP|12518750088001062535</stp>
        <tr r="S113" s="5"/>
      </tp>
      <tp t="s">
        <v>#N/A N/A</v>
        <stp/>
        <stp>BDP|10487005963889464683</stp>
        <tr r="AQ96" s="5"/>
      </tp>
      <tp t="s">
        <v>#N/A N/A</v>
        <stp/>
        <stp>BDP|11415004902799493181</stp>
        <tr r="F95" s="5"/>
      </tp>
      <tp t="s">
        <v>#N/A N/A</v>
        <stp/>
        <stp>BDP|16724077573931111985</stp>
        <tr r="I90" s="5"/>
      </tp>
      <tp t="s">
        <v>#N/A N/A</v>
        <stp/>
        <stp>BDP|18172078871785857359</stp>
        <tr r="Q21" s="5"/>
      </tp>
      <tp t="s">
        <v>#N/A N/A</v>
        <stp/>
        <stp>BDP|18132581426115188335</stp>
        <tr r="AC127" s="5"/>
      </tp>
      <tp t="s">
        <v>#N/A N/A</v>
        <stp/>
        <stp>BDP|10511878005702384396</stp>
        <tr r="J76" s="5"/>
      </tp>
      <tp t="s">
        <v>#N/A N/A</v>
        <stp/>
        <stp>BDP|12758710934406678990</stp>
        <tr r="U91" s="5"/>
      </tp>
      <tp t="s">
        <v>#N/A N/A</v>
        <stp/>
        <stp>BDP|14831345696657426037</stp>
        <tr r="K98" s="5"/>
      </tp>
      <tp t="s">
        <v>#N/A N/A</v>
        <stp/>
        <stp>BDP|12861678990805399108</stp>
        <tr r="J100" s="5"/>
      </tp>
      <tp t="s">
        <v>#N/A N/A</v>
        <stp/>
        <stp>BDP|16401757946665990917</stp>
        <tr r="AQ79" s="5"/>
      </tp>
      <tp t="s">
        <v>#N/A N/A</v>
        <stp/>
        <stp>BDP|15206873155062656399</stp>
        <tr r="AK129" s="5"/>
      </tp>
      <tp t="s">
        <v>#N/A N/A</v>
        <stp/>
        <stp>BDP|16730508738308819196</stp>
        <tr r="P90" s="5"/>
      </tp>
      <tp t="s">
        <v>#N/A N/A</v>
        <stp/>
        <stp>BDP|14033567258054804989</stp>
        <tr r="Z122" s="5"/>
      </tp>
      <tp t="s">
        <v>#N/A N/A</v>
        <stp/>
        <stp>BDP|12456860375841955509</stp>
        <tr r="S118" s="5"/>
      </tp>
      <tp t="s">
        <v>#N/A N/A</v>
        <stp/>
        <stp>BDP|13657776984625382073</stp>
        <tr r="G70" s="5"/>
      </tp>
      <tp t="s">
        <v>#N/A N/A</v>
        <stp/>
        <stp>BDP|13001224575758188779</stp>
        <tr r="J30" s="5"/>
      </tp>
      <tp t="s">
        <v>#N/A N/A</v>
        <stp/>
        <stp>BDP|18001513885664613832</stp>
        <tr r="AG82" s="5"/>
      </tp>
      <tp t="s">
        <v>#N/A N/A</v>
        <stp/>
        <stp>BDP|18250041252115133140</stp>
        <tr r="D115" s="5"/>
      </tp>
      <tp t="s">
        <v>#N/A N/A</v>
        <stp/>
        <stp>BDP|15451156936479052767</stp>
        <tr r="O102" s="5"/>
      </tp>
      <tp t="s">
        <v>#N/A N/A</v>
        <stp/>
        <stp>BDP|11293956924071134227</stp>
        <tr r="G46" s="5"/>
      </tp>
      <tp t="s">
        <v>#N/A N/A</v>
        <stp/>
        <stp>BDP|16833897414662383461</stp>
        <tr r="H49" s="5"/>
      </tp>
      <tp t="s">
        <v>#N/A N/A</v>
        <stp/>
        <stp>BDP|15148756451626537808</stp>
        <tr r="E98" s="5"/>
      </tp>
      <tp t="s">
        <v>#N/A N/A</v>
        <stp/>
        <stp>BDP|13617911421810072162</stp>
        <tr r="K123" s="5"/>
      </tp>
      <tp t="s">
        <v>#N/A N/A</v>
        <stp/>
        <stp>BDP|14953844171896557490</stp>
        <tr r="AG127" s="5"/>
      </tp>
      <tp t="s">
        <v>#N/A N/A</v>
        <stp/>
        <stp>BDP|13098681686687984374</stp>
        <tr r="J75" s="5"/>
      </tp>
      <tp t="s">
        <v>#N/A N/A</v>
        <stp/>
        <stp>BDP|15854583551128616476</stp>
        <tr r="AR19" s="5"/>
      </tp>
      <tp t="s">
        <v>#N/A N/A</v>
        <stp/>
        <stp>BDP|17611991873707578796</stp>
        <tr r="N28" s="5"/>
      </tp>
      <tp t="s">
        <v>#N/A N/A</v>
        <stp/>
        <stp>BDP|12750447944449474200</stp>
        <tr r="P95" s="5"/>
      </tp>
      <tp t="s">
        <v>#N/A N/A</v>
        <stp/>
        <stp>BDP|13146401489014951220</stp>
        <tr r="H75" s="5"/>
      </tp>
      <tp t="s">
        <v>#N/A N/A</v>
        <stp/>
        <stp>BDP|10237125059179890436</stp>
        <tr r="AC115" s="5"/>
      </tp>
      <tp t="s">
        <v>#N/A N/A</v>
        <stp/>
        <stp>BDP|10083935374975552201</stp>
        <tr r="M107" s="5"/>
      </tp>
      <tp t="s">
        <v>#N/A N/A</v>
        <stp/>
        <stp>BDP|16838789727693608947</stp>
        <tr r="Q121" s="5"/>
      </tp>
      <tp t="s">
        <v>#N/A N/A</v>
        <stp/>
        <stp>BDP|17815471681857294594</stp>
        <tr r="H46" s="5"/>
      </tp>
      <tp t="s">
        <v>#N/A N/A</v>
        <stp/>
        <stp>BDP|13564726389772222791</stp>
        <tr r="AM112" s="5"/>
      </tp>
      <tp t="s">
        <v>#N/A N/A</v>
        <stp/>
        <stp>BDP|12674329368058859601</stp>
        <tr r="J35" s="5"/>
      </tp>
      <tp t="s">
        <v>#N/A N/A</v>
        <stp/>
        <stp>BDP|10939702419706539918</stp>
        <tr r="Z98" s="5"/>
      </tp>
      <tp t="s">
        <v>#N/A N/A</v>
        <stp/>
        <stp>BDP|13025498744148041293</stp>
        <tr r="Y117" s="5"/>
      </tp>
      <tp t="s">
        <v>#N/A N/A</v>
        <stp/>
        <stp>BDP|17067364485275593028</stp>
        <tr r="AF128" s="5"/>
      </tp>
      <tp t="s">
        <v>#N/A N/A</v>
        <stp/>
        <stp>BDP|13972095915969504270</stp>
        <tr r="P116" s="5"/>
      </tp>
      <tp t="s">
        <v>#N/A N/A</v>
        <stp/>
        <stp>BDP|14612567789324953479</stp>
        <tr r="E81" s="5"/>
      </tp>
      <tp t="e">
        <v>#N/A</v>
        <stp/>
        <stp>BDH|17633960442132066163</stp>
        <tr r="AK5" s="1"/>
      </tp>
      <tp t="s">
        <v>#N/A N/A</v>
        <stp/>
        <stp>BDP|14884926512770956288</stp>
        <tr r="F103" s="5"/>
      </tp>
      <tp t="s">
        <v>#N/A N/A</v>
        <stp/>
        <stp>BDP|18228740155656219299</stp>
        <tr r="Q84" s="5"/>
      </tp>
      <tp t="s">
        <v>#N/A N/A</v>
        <stp/>
        <stp>BDP|10533286451761118853</stp>
        <tr r="AB94" s="5"/>
      </tp>
      <tp t="s">
        <v>#N/A N/A</v>
        <stp/>
        <stp>BDP|11733421422439851073</stp>
        <tr r="AD7" s="5"/>
      </tp>
      <tp t="s">
        <v>#N/A N/A</v>
        <stp/>
        <stp>BDP|15770929646685068387</stp>
        <tr r="Z112" s="5"/>
      </tp>
      <tp t="s">
        <v>#N/A N/A</v>
        <stp/>
        <stp>BDP|17048530105909499598</stp>
        <tr r="E121" s="5"/>
      </tp>
      <tp t="s">
        <v>#N/A N/A</v>
        <stp/>
        <stp>BDP|10021710135309658397</stp>
        <tr r="J126" s="5"/>
      </tp>
      <tp t="s">
        <v>#N/A N/A</v>
        <stp/>
        <stp>BDP|12754143324916581993</stp>
        <tr r="P121" s="5"/>
      </tp>
      <tp t="s">
        <v>#N/A N/A</v>
        <stp/>
        <stp>BDP|16991924108774070593</stp>
        <tr r="G79" s="5"/>
      </tp>
      <tp t="s">
        <v>#N/A N/A</v>
        <stp/>
        <stp>BDP|17209618877280905878</stp>
        <tr r="AO128" s="5"/>
      </tp>
      <tp t="s">
        <v>#N/A N/A</v>
        <stp/>
        <stp>BDP|15203532746422564882</stp>
        <tr r="AD112" s="5"/>
      </tp>
      <tp t="s">
        <v>#N/A N/A</v>
        <stp/>
        <stp>BDP|15647634606254022991</stp>
        <tr r="AG114" s="5"/>
      </tp>
      <tp t="s">
        <v>#N/A N/A</v>
        <stp/>
        <stp>BDP|16315824149660112432</stp>
        <tr r="AR7" s="5"/>
      </tp>
      <tp t="s">
        <v>#N/A N/A</v>
        <stp/>
        <stp>BDP|13824832379826678493</stp>
        <tr r="U75" s="5"/>
      </tp>
      <tp t="s">
        <v>#N/A N/A</v>
        <stp/>
        <stp>BDP|14843250892427504672</stp>
        <tr r="AI108" s="5"/>
      </tp>
      <tp t="s">
        <v>#N/A N/A</v>
        <stp/>
        <stp>BDP|11664002321078970537</stp>
        <tr r="AG84" s="5"/>
      </tp>
      <tp t="s">
        <v>#N/A N/A</v>
        <stp/>
        <stp>BDP|13961819033512427431</stp>
        <tr r="H114" s="5"/>
      </tp>
      <tp t="s">
        <v>#N/A N/A</v>
        <stp/>
        <stp>BDP|12973256440623116919</stp>
        <tr r="J49" s="5"/>
      </tp>
      <tp t="s">
        <v>#N/A N/A</v>
        <stp/>
        <stp>BDP|18155497543132733407</stp>
        <tr r="L58" s="5"/>
      </tp>
      <tp t="s">
        <v>#N/A N/A</v>
        <stp/>
        <stp>BDP|14488876850221998660</stp>
        <tr r="AD78" s="5"/>
      </tp>
      <tp t="s">
        <v>#N/A N/A</v>
        <stp/>
        <stp>BDP|10916661722273255932</stp>
        <tr r="O129" s="5"/>
      </tp>
      <tp t="s">
        <v>#N/A N/A</v>
        <stp/>
        <stp>BDP|16371609536559324491</stp>
        <tr r="AD24" s="5"/>
      </tp>
      <tp t="s">
        <v>#N/A N/A</v>
        <stp/>
        <stp>BDP|11032797448984860868</stp>
        <tr r="AD29" s="5"/>
      </tp>
      <tp t="s">
        <v>#N/A N/A</v>
        <stp/>
        <stp>BDP|13642081383153302613</stp>
        <tr r="AD57" s="5"/>
      </tp>
      <tp t="s">
        <v>#N/A N/A</v>
        <stp/>
        <stp>BDP|16827940737441198346</stp>
        <tr r="G62" s="5"/>
      </tp>
      <tp t="s">
        <v>#N/A N/A</v>
        <stp/>
        <stp>BDP|15995889158896161061</stp>
        <tr r="E99" s="5"/>
      </tp>
      <tp t="s">
        <v>#N/A N/A</v>
        <stp/>
        <stp>BDP|11546799823713501945</stp>
        <tr r="O93" s="5"/>
      </tp>
      <tp t="s">
        <v>#N/A N/A</v>
        <stp/>
        <stp>BDP|14436856240994792284</stp>
        <tr r="M112" s="5"/>
      </tp>
      <tp t="s">
        <v>#N/A N/A</v>
        <stp/>
        <stp>BDP|17790574994523982630</stp>
        <tr r="M71" s="5"/>
      </tp>
      <tp t="s">
        <v>#N/A N/A</v>
        <stp/>
        <stp>BDP|12938128288542060727</stp>
        <tr r="K111" s="5"/>
      </tp>
      <tp t="s">
        <v>#N/A N/A</v>
        <stp/>
        <stp>BDP|12754065704189270569</stp>
        <tr r="M64" s="5"/>
      </tp>
      <tp t="s">
        <v>#N/A N/A</v>
        <stp/>
        <stp>BDP|16087888779640913798</stp>
        <tr r="O97" s="5"/>
      </tp>
      <tp t="s">
        <v>#N/A N/A</v>
        <stp/>
        <stp>BDP|13155631295400132273</stp>
        <tr r="R128" s="5"/>
      </tp>
      <tp t="s">
        <v>#N/A N/A</v>
        <stp/>
        <stp>BDP|18276863074020027916</stp>
        <tr r="G59" s="5"/>
      </tp>
      <tp t="s">
        <v>#N/A N/A</v>
        <stp/>
        <stp>BDP|11396511938638971130</stp>
        <tr r="AK125" s="5"/>
      </tp>
      <tp t="s">
        <v>#N/A N/A</v>
        <stp/>
        <stp>BDP|16565189068107043854</stp>
        <tr r="S115" s="5"/>
      </tp>
      <tp t="s">
        <v>#N/A N/A</v>
        <stp/>
        <stp>BDP|12826796222178476176</stp>
        <tr r="AR60" s="5"/>
      </tp>
      <tp t="s">
        <v>#N/A N/A</v>
        <stp/>
        <stp>BDP|13912253570829804173</stp>
        <tr r="R122" s="5"/>
      </tp>
      <tp t="s">
        <v>#N/A N/A</v>
        <stp/>
        <stp>BDP|11467111645563483972</stp>
        <tr r="AC111" s="5"/>
      </tp>
      <tp t="s">
        <v>#N/A N/A</v>
        <stp/>
        <stp>BDP|14249574223018275578</stp>
        <tr r="N109" s="5"/>
      </tp>
      <tp t="s">
        <v>#N/A N/A</v>
        <stp/>
        <stp>BDP|14597479192042424571</stp>
        <tr r="L81" s="5"/>
      </tp>
      <tp t="s">
        <v>#N/A N/A</v>
        <stp/>
        <stp>BDP|11525772462669696745</stp>
        <tr r="N101" s="5"/>
      </tp>
      <tp t="s">
        <v>#N/A N/A</v>
        <stp/>
        <stp>BDP|15089600092335636165</stp>
        <tr r="AJ111" s="5"/>
      </tp>
      <tp t="s">
        <v>#N/A N/A</v>
        <stp/>
        <stp>BDP|16600347241307116809</stp>
        <tr r="AD106" s="5"/>
      </tp>
      <tp t="s">
        <v>#N/A N/A</v>
        <stp/>
        <stp>BDP|10602622147588944482</stp>
        <tr r="J77" s="5"/>
      </tp>
      <tp t="s">
        <v>#N/A N/A</v>
        <stp/>
        <stp>BDP|14467945131167309702</stp>
        <tr r="Y115" s="5"/>
      </tp>
      <tp t="s">
        <v>#N/A N/A</v>
        <stp/>
        <stp>BDP|17004664735139650570</stp>
        <tr r="S121" s="5"/>
      </tp>
      <tp t="s">
        <v>#N/A N/A</v>
        <stp/>
        <stp>BDP|14127943917582179016</stp>
        <tr r="F120" s="5"/>
      </tp>
      <tp t="s">
        <v>#N/A N/A</v>
        <stp/>
        <stp>BDP|13413973742966617621</stp>
        <tr r="AG92" s="5"/>
      </tp>
      <tp t="s">
        <v>#N/A N/A</v>
        <stp/>
        <stp>BDP|13175464901108645157</stp>
        <tr r="H92" s="5"/>
      </tp>
      <tp t="s">
        <v>#N/A N/A</v>
        <stp/>
        <stp>BDP|14510339232862272836</stp>
        <tr r="AR69" s="5"/>
      </tp>
      <tp t="s">
        <v>#N/A N/A</v>
        <stp/>
        <stp>BDP|17558119261948737670</stp>
        <tr r="AS128" s="5"/>
      </tp>
      <tp t="s">
        <v>#N/A N/A</v>
        <stp/>
        <stp>BDP|11649642681363332252</stp>
        <tr r="M125" s="5"/>
      </tp>
      <tp t="s">
        <v>#N/A N/A</v>
        <stp/>
        <stp>BDP|11280997228567688318</stp>
        <tr r="L95" s="5"/>
      </tp>
      <tp t="s">
        <v>#N/A N/A</v>
        <stp/>
        <stp>BDP|15091938418573784086</stp>
        <tr r="AD116" s="5"/>
      </tp>
      <tp t="s">
        <v>#N/A N/A</v>
        <stp/>
        <stp>BDP|14562109283306411560</stp>
        <tr r="AN109" s="5"/>
      </tp>
      <tp t="s">
        <v>#N/A N/A</v>
        <stp/>
        <stp>BDP|11623435081932977195</stp>
        <tr r="F92" s="5"/>
      </tp>
      <tp t="s">
        <v>#N/A N/A</v>
        <stp/>
        <stp>BDP|14597777523649753614</stp>
        <tr r="Q34" s="5"/>
      </tp>
      <tp t="s">
        <v>#N/A N/A</v>
        <stp/>
        <stp>BDP|15807226289776096740</stp>
        <tr r="Q111" s="5"/>
      </tp>
      <tp t="s">
        <v>#N/A N/A</v>
        <stp/>
        <stp>BDP|16590616996964314364</stp>
        <tr r="J66" s="5"/>
      </tp>
      <tp t="s">
        <v>#N/A N/A</v>
        <stp/>
        <stp>BDP|18227775607474678524</stp>
        <tr r="N96" s="5"/>
      </tp>
      <tp t="s">
        <v>#N/A N/A</v>
        <stp/>
        <stp>BDP|10368088217916220985</stp>
        <tr r="T102" s="5"/>
      </tp>
      <tp t="s">
        <v>#N/A N/A</v>
        <stp/>
        <stp>BDP|15743360090029108863</stp>
        <tr r="Q101" s="5"/>
      </tp>
      <tp t="s">
        <v>#N/A N/A</v>
        <stp/>
        <stp>BDP|15567811801644105724</stp>
        <tr r="J69" s="5"/>
      </tp>
      <tp t="s">
        <v>#N/A N/A</v>
        <stp/>
        <stp>BDP|12996795325600521899</stp>
        <tr r="AF129" s="5"/>
      </tp>
      <tp t="s">
        <v>#N/A N/A</v>
        <stp/>
        <stp>BDP|15922928740254259308</stp>
        <tr r="AC110" s="5"/>
      </tp>
      <tp t="s">
        <v>#N/A N/A</v>
        <stp/>
        <stp>BDP|10649344502958929410</stp>
        <tr r="AK112" s="5"/>
      </tp>
      <tp t="s">
        <v>#N/A N/A</v>
        <stp/>
        <stp>BDP|17864736546932021953</stp>
        <tr r="G40" s="5"/>
      </tp>
      <tp t="s">
        <v>#N/A N/A</v>
        <stp/>
        <stp>BDP|17465350689544192717</stp>
        <tr r="AD44" s="5"/>
      </tp>
      <tp t="s">
        <v>#N/A N/A</v>
        <stp/>
        <stp>BDP|17373679008327409909</stp>
        <tr r="F50" s="5"/>
      </tp>
      <tp t="s">
        <v>#N/A N/A</v>
        <stp/>
        <stp>BDP|11264843118276416122</stp>
        <tr r="AQ93" s="5"/>
      </tp>
      <tp t="s">
        <v>#N/A N/A</v>
        <stp/>
        <stp>BDP|14553570388366102008</stp>
        <tr r="K102" s="5"/>
      </tp>
      <tp t="s">
        <v>#N/A N/A</v>
        <stp/>
        <stp>BDP|15798189225378000111</stp>
        <tr r="H67" s="5"/>
      </tp>
      <tp t="s">
        <v>#N/A N/A</v>
        <stp/>
        <stp>BDP|11851344634658128639</stp>
        <tr r="G65" s="5"/>
      </tp>
      <tp t="s">
        <v>#N/A N/A</v>
        <stp/>
        <stp>BDP|16247895169192810578</stp>
        <tr r="N31" s="5"/>
      </tp>
      <tp t="s">
        <v>#N/A N/A</v>
        <stp/>
        <stp>BDP|16880352294175211664</stp>
        <tr r="AF126" s="5"/>
      </tp>
      <tp t="s">
        <v>#N/A N/A</v>
        <stp/>
        <stp>BDP|12520322704016877861</stp>
        <tr r="J85" s="5"/>
      </tp>
      <tp t="s">
        <v>#N/A N/A</v>
        <stp/>
        <stp>BDP|14587781114038055548</stp>
        <tr r="J13" s="5"/>
      </tp>
      <tp t="s">
        <v>#N/A N/A</v>
        <stp/>
        <stp>BDP|11041567039768179020</stp>
        <tr r="H41" s="5"/>
      </tp>
      <tp t="s">
        <v>#N/A N/A</v>
        <stp/>
        <stp>BDP|13798027636496877943</stp>
        <tr r="AA112" s="5"/>
      </tp>
      <tp t="s">
        <v>#N/A N/A</v>
        <stp/>
        <stp>BDP|15994040343936398829</stp>
        <tr r="T125" s="5"/>
      </tp>
      <tp t="s">
        <v>#N/A N/A</v>
        <stp/>
        <stp>BDP|10240603246099982428</stp>
        <tr r="N81" s="5"/>
      </tp>
      <tp t="s">
        <v>#N/A N/A</v>
        <stp/>
        <stp>BDP|16837267010308749266</stp>
        <tr r="G16" s="5"/>
      </tp>
      <tp t="s">
        <v>#N/A N/A</v>
        <stp/>
        <stp>BDP|17496502295935798180</stp>
        <tr r="AN108" s="5"/>
      </tp>
      <tp t="s">
        <v>#N/A N/A</v>
        <stp/>
        <stp>BDP|11216441889415020719</stp>
        <tr r="N91" s="5"/>
      </tp>
      <tp t="s">
        <v>#N/A N/A</v>
        <stp/>
        <stp>BDP|10868643700190097922</stp>
        <tr r="AB113" s="5"/>
      </tp>
      <tp t="s">
        <v>#N/A N/A</v>
        <stp/>
        <stp>BDP|16775980345661118553</stp>
        <tr r="N100" s="5"/>
      </tp>
      <tp t="s">
        <v>#N/A N/A</v>
        <stp/>
        <stp>BDP|10397787295754807571</stp>
        <tr r="N113" s="5"/>
      </tp>
      <tp t="s">
        <v>#N/A N/A</v>
        <stp/>
        <stp>BDP|14943450844709152281</stp>
        <tr r="AN127" s="5"/>
      </tp>
      <tp t="s">
        <v>#N/A N/A</v>
        <stp/>
        <stp>BDP|17405948831802270021</stp>
        <tr r="AM125" s="5"/>
      </tp>
      <tp t="s">
        <v>#N/A N/A</v>
        <stp/>
        <stp>BDP|13526506803280258955</stp>
        <tr r="J104" s="5"/>
      </tp>
      <tp t="s">
        <v>#N/A N/A</v>
        <stp/>
        <stp>BDP|11293532921671426844</stp>
        <tr r="Q81" s="5"/>
      </tp>
      <tp t="s">
        <v>#N/A N/A</v>
        <stp/>
        <stp>BDP|18389044442797719426</stp>
        <tr r="W115" s="5"/>
      </tp>
      <tp t="s">
        <v>#N/A N/A</v>
        <stp/>
        <stp>BDP|12403960237711212674</stp>
        <tr r="E72" s="5"/>
      </tp>
      <tp t="s">
        <v>#N/A N/A</v>
        <stp/>
        <stp>BDP|12281088754858912079</stp>
        <tr r="Z84" s="5"/>
      </tp>
      <tp t="s">
        <v>#N/A N/A</v>
        <stp/>
        <stp>BDP|13073048963622189865</stp>
        <tr r="AR101" s="5"/>
      </tp>
      <tp t="s">
        <v>#N/A N/A</v>
        <stp/>
        <stp>BDP|11543678058734017992</stp>
        <tr r="N71" s="5"/>
      </tp>
      <tp t="s">
        <v>#N/A N/A</v>
        <stp/>
        <stp>BDP|17382607261729504146</stp>
        <tr r="AK114" s="5"/>
      </tp>
      <tp t="s">
        <v>#N/A N/A</v>
        <stp/>
        <stp>BDP|14406099626228811106</stp>
        <tr r="AR116" s="5"/>
      </tp>
      <tp t="s">
        <v>#N/A N/A</v>
        <stp/>
        <stp>BDP|11670917107722538565</stp>
        <tr r="U71" s="5"/>
      </tp>
      <tp t="s">
        <v>#N/A N/A</v>
        <stp/>
        <stp>BDP|15737273981637656750</stp>
        <tr r="AY127" s="5"/>
      </tp>
      <tp t="s">
        <v>#N/A N/A</v>
        <stp/>
        <stp>BDP|16368657787487277015</stp>
        <tr r="AR59" s="5"/>
      </tp>
      <tp t="s">
        <v>#N/A N/A</v>
        <stp/>
        <stp>BDP|12136430829228841313</stp>
        <tr r="J120" s="5"/>
      </tp>
      <tp t="s">
        <v>#N/A N/A</v>
        <stp/>
        <stp>BDP|15343345627653607843</stp>
        <tr r="L55" s="5"/>
      </tp>
      <tp t="s">
        <v>#N/A N/A</v>
        <stp/>
        <stp>BDP|11205264560709484340</stp>
        <tr r="J26" s="5"/>
      </tp>
      <tp t="s">
        <v>#N/A N/A</v>
        <stp/>
        <stp>BDP|13498060618525753893</stp>
        <tr r="H70" s="5"/>
      </tp>
      <tp t="s">
        <v>#N/A N/A</v>
        <stp/>
        <stp>BDP|16446184579948510742</stp>
        <tr r="AD53" s="5"/>
      </tp>
      <tp t="s">
        <v>#N/A N/A</v>
        <stp/>
        <stp>BDP|13263978021141475641</stp>
        <tr r="K112" s="5"/>
      </tp>
      <tp t="s">
        <v>#N/A N/A</v>
        <stp/>
        <stp>BDP|13874739418378177264</stp>
        <tr r="Q77" s="5"/>
      </tp>
      <tp t="s">
        <v>#N/A N/A</v>
        <stp/>
        <stp>BDP|17644339705829154252</stp>
        <tr r="R104" s="5"/>
      </tp>
      <tp t="s">
        <v>#N/A N/A</v>
        <stp/>
        <stp>BDP|14665195510479810236</stp>
        <tr r="AJ119" s="5"/>
      </tp>
      <tp t="s">
        <v>#N/A N/A</v>
        <stp/>
        <stp>BDP|15216360599519207988</stp>
        <tr r="P122" s="5"/>
      </tp>
      <tp t="s">
        <v>#N/A N/A</v>
        <stp/>
        <stp>BDP|17070420288044803057</stp>
        <tr r="N37" s="5"/>
      </tp>
      <tp t="s">
        <v>#N/A N/A</v>
        <stp/>
        <stp>BDP|18407739634417479410</stp>
        <tr r="J98" s="5"/>
      </tp>
      <tp t="s">
        <v>#N/A N/A</v>
        <stp/>
        <stp>BDP|14271047426201389853</stp>
        <tr r="H112" s="5"/>
      </tp>
      <tp t="s">
        <v>#N/A N/A</v>
        <stp/>
        <stp>BDP|16464860000090278169</stp>
        <tr r="Z79" s="5"/>
      </tp>
      <tp t="s">
        <v>#N/A N/A</v>
        <stp/>
        <stp>BDP|15790611776279161274</stp>
        <tr r="U46" s="5"/>
      </tp>
      <tp t="s">
        <v>#N/A N/A</v>
        <stp/>
        <stp>BDP|17386879314167050666</stp>
        <tr r="AD87" s="5"/>
      </tp>
      <tp t="s">
        <v>#N/A N/A</v>
        <stp/>
        <stp>BDP|11510946273176113655</stp>
        <tr r="AG104" s="5"/>
      </tp>
      <tp t="s">
        <v>#N/A N/A</v>
        <stp/>
        <stp>BDP|13757105050311837991</stp>
        <tr r="AB118" s="5"/>
      </tp>
      <tp t="e">
        <v>#N/A</v>
        <stp/>
        <stp>BDH|11684677983934021470</stp>
        <tr r="AJ5" s="1"/>
      </tp>
      <tp t="e">
        <v>#N/A</v>
        <stp/>
        <stp>BDH|16833774535875192878</stp>
        <tr r="Q5" s="1"/>
      </tp>
      <tp t="s">
        <v>#N/A N/A</v>
        <stp/>
        <stp>BDP|16594568221039977427</stp>
        <tr r="I113" s="5"/>
      </tp>
      <tp t="s">
        <v>#N/A N/A</v>
        <stp/>
        <stp>BDP|13300557585356871439</stp>
        <tr r="N119" s="5"/>
      </tp>
      <tp t="s">
        <v>#N/A N/A</v>
        <stp/>
        <stp>BDP|13943528722588402057</stp>
        <tr r="E129" s="5"/>
      </tp>
      <tp t="s">
        <v>#N/A N/A</v>
        <stp/>
        <stp>BDP|12066392285991683426</stp>
        <tr r="U43" s="5"/>
      </tp>
      <tp t="s">
        <v>#N/A N/A</v>
        <stp/>
        <stp>BDP|13784065154468482292</stp>
        <tr r="N76" s="5"/>
      </tp>
      <tp t="s">
        <v>#N/A N/A</v>
        <stp/>
        <stp>BDP|18152128132882051497</stp>
        <tr r="AE124" s="5"/>
      </tp>
      <tp t="s">
        <v>#N/A N/A</v>
        <stp/>
        <stp>BDP|17687131808489102348</stp>
        <tr r="I108" s="5"/>
      </tp>
      <tp t="s">
        <v>#N/A N/A</v>
        <stp/>
        <stp>BDP|18131795775687674306</stp>
        <tr r="I119" s="5"/>
      </tp>
      <tp t="s">
        <v>#N/A N/A</v>
        <stp/>
        <stp>BDP|17323516143058812224</stp>
        <tr r="D119" s="5"/>
      </tp>
      <tp t="s">
        <v>#N/A N/A</v>
        <stp/>
        <stp>BDP|12976439886923200151</stp>
        <tr r="Q72" s="5"/>
      </tp>
      <tp t="s">
        <v>#N/A N/A</v>
        <stp/>
        <stp>BDP|12890090008236017833</stp>
        <tr r="W81" s="5"/>
      </tp>
      <tp t="s">
        <v>#N/A N/A</v>
        <stp/>
        <stp>BDP|10808209887804395264</stp>
        <tr r="I110" s="5"/>
      </tp>
      <tp t="s">
        <v>#N/A N/A</v>
        <stp/>
        <stp>BDP|14639444748129013103</stp>
        <tr r="Y121" s="5"/>
      </tp>
      <tp t="s">
        <v>#N/A N/A</v>
        <stp/>
        <stp>BDP|18200460438985428644</stp>
        <tr r="AR27" s="5"/>
      </tp>
      <tp t="s">
        <v>#N/A N/A</v>
        <stp/>
        <stp>BDP|14245291147088876683</stp>
        <tr r="AD51" s="5"/>
      </tp>
      <tp t="s">
        <v>#N/A N/A</v>
        <stp/>
        <stp>BDP|12081291185647228329</stp>
        <tr r="F38" s="5"/>
      </tp>
      <tp t="s">
        <v>#N/A N/A</v>
        <stp/>
        <stp>BDP|10288287739015530897</stp>
        <tr r="AD92" s="5"/>
      </tp>
      <tp t="s">
        <v>#N/A N/A</v>
        <stp/>
        <stp>BDP|16111641503394885810</stp>
        <tr r="U65" s="5"/>
      </tp>
      <tp t="s">
        <v>#N/A N/A</v>
        <stp/>
        <stp>BDP|15231224207023893804</stp>
        <tr r="AD126" s="5"/>
      </tp>
      <tp t="s">
        <v>#N/A N/A</v>
        <stp/>
        <stp>BDP|17687552491990498795</stp>
        <tr r="G125" s="5"/>
      </tp>
      <tp t="s">
        <v>#N/A N/A</v>
        <stp/>
        <stp>BDP|15041827342946649392</stp>
        <tr r="Q109" s="5"/>
      </tp>
      <tp t="s">
        <v>#N/A N/A</v>
        <stp/>
        <stp>BDP|12255696782960307059</stp>
        <tr r="Q41" s="5"/>
      </tp>
      <tp t="s">
        <v>#N/A N/A</v>
        <stp/>
        <stp>BDP|14195973955215908159</stp>
        <tr r="G24" s="5"/>
      </tp>
      <tp t="s">
        <v>#N/A N/A</v>
        <stp/>
        <stp>BDP|12603099488831024799</stp>
        <tr r="AF91" s="5"/>
      </tp>
      <tp t="s">
        <v>#N/A N/A</v>
        <stp/>
        <stp>BDP|10517548369828739710</stp>
        <tr r="AD64" s="5"/>
      </tp>
      <tp t="s">
        <v>#N/A N/A</v>
        <stp/>
        <stp>BDP|10853934844856597740</stp>
        <tr r="M110" s="5"/>
      </tp>
      <tp t="s">
        <v>#N/A N/A</v>
        <stp/>
        <stp>BDP|17341991538237810642</stp>
        <tr r="Q35" s="5"/>
      </tp>
      <tp t="s">
        <v>#N/A N/A</v>
        <stp/>
        <stp>BDP|13667076894704789235</stp>
        <tr r="L45" s="5"/>
      </tp>
      <tp t="s">
        <v>#N/A N/A</v>
        <stp/>
        <stp>BDP|12223702393871871187</stp>
        <tr r="G110" s="5"/>
      </tp>
      <tp t="s">
        <v>#N/A N/A</v>
        <stp/>
        <stp>BDP|16377432191930439741</stp>
        <tr r="R124" s="5"/>
      </tp>
      <tp t="s">
        <v>#N/A N/A</v>
        <stp/>
        <stp>BDP|13354593537208854141</stp>
        <tr r="W108" s="5"/>
      </tp>
      <tp t="s">
        <v>#N/A N/A</v>
        <stp/>
        <stp>BDP|11549807611825039147</stp>
        <tr r="AI100" s="5"/>
      </tp>
      <tp t="s">
        <v>#N/A N/A</v>
        <stp/>
        <stp>BDP|13373411491806741446</stp>
        <tr r="E69" s="5"/>
      </tp>
      <tp t="s">
        <v>#N/A N/A</v>
        <stp/>
        <stp>BDP|11992580992934681559</stp>
        <tr r="Q87" s="5"/>
      </tp>
      <tp t="s">
        <v>#N/A N/A</v>
        <stp/>
        <stp>BDP|17461236114888312009</stp>
        <tr r="AI121" s="5"/>
      </tp>
      <tp t="s">
        <v>#N/A N/A</v>
        <stp/>
        <stp>BDP|14626933660871629602</stp>
        <tr r="Q15" s="5"/>
      </tp>
      <tp t="s">
        <v>#N/A N/A</v>
        <stp/>
        <stp>BDP|10652251230978892585</stp>
        <tr r="J50" s="5"/>
      </tp>
      <tp t="s">
        <v>#N/A N/A</v>
        <stp/>
        <stp>BDP|15087340100193027962</stp>
        <tr r="F128" s="5"/>
      </tp>
      <tp t="s">
        <v>#N/A N/A</v>
        <stp/>
        <stp>BDP|17604711014754723966</stp>
        <tr r="Q10" s="5"/>
      </tp>
      <tp t="s">
        <v>#N/A N/A</v>
        <stp/>
        <stp>BDP|12743904624354939186</stp>
        <tr r="Y119" s="5"/>
      </tp>
      <tp t="s">
        <v>#N/A N/A</v>
        <stp/>
        <stp>BDP|12723739457124180807</stp>
        <tr r="AK100" s="5"/>
      </tp>
      <tp t="s">
        <v>#N/A N/A</v>
        <stp/>
        <stp>BDP|18162143893765611959</stp>
        <tr r="AG115" s="5"/>
      </tp>
      <tp t="s">
        <v>#N/A N/A</v>
        <stp/>
        <stp>BDP|18157292241680460281</stp>
        <tr r="W104" s="5"/>
      </tp>
      <tp t="s">
        <v>#N/A N/A</v>
        <stp/>
        <stp>BDP|17885400166920840933</stp>
        <tr r="AD47" s="5"/>
      </tp>
      <tp t="s">
        <v>#N/A N/A</v>
        <stp/>
        <stp>BDP|13497178742292428807</stp>
        <tr r="AK101" s="5"/>
      </tp>
      <tp t="s">
        <v>#N/A N/A</v>
        <stp/>
        <stp>BDP|13984912040044992646</stp>
        <tr r="H72" s="5"/>
      </tp>
      <tp t="s">
        <v>#N/A N/A</v>
        <stp/>
        <stp>BDP|15178852877562595427</stp>
        <tr r="AB97" s="5"/>
      </tp>
      <tp t="s">
        <v>#N/A N/A</v>
        <stp/>
        <stp>BDP|12086105754642577852</stp>
        <tr r="Z109" s="5"/>
      </tp>
      <tp t="s">
        <v>#N/A N/A</v>
        <stp/>
        <stp>BDP|13393924922596497236</stp>
        <tr r="AV121" s="5"/>
      </tp>
      <tp t="s">
        <v>#N/A N/A</v>
        <stp/>
        <stp>BDP|14476250121519456100</stp>
        <tr r="AC126" s="5"/>
      </tp>
      <tp t="s">
        <v>#N/A N/A</v>
        <stp/>
        <stp>BDP|17658836957585458326</stp>
        <tr r="AV128" s="5"/>
      </tp>
      <tp t="s">
        <v>#N/A N/A</v>
        <stp/>
        <stp>BDP|12887372242599829025</stp>
        <tr r="F41" s="5"/>
      </tp>
      <tp t="s">
        <v>#N/A N/A</v>
        <stp/>
        <stp>BDP|18217906845661636861</stp>
        <tr r="J33" s="5"/>
      </tp>
      <tp t="s">
        <v>#N/A N/A</v>
        <stp/>
        <stp>BDP|13539003741503005836</stp>
        <tr r="E84" s="5"/>
      </tp>
      <tp t="s">
        <v>#N/A N/A</v>
        <stp/>
        <stp>BDP|12577103237388350460</stp>
        <tr r="J57" s="5"/>
      </tp>
      <tp t="s">
        <v>#N/A N/A</v>
        <stp/>
        <stp>BDP|14791077769107910967</stp>
        <tr r="AQ88" s="5"/>
      </tp>
      <tp t="s">
        <v>#N/A N/A</v>
        <stp/>
        <stp>BDP|17332723477409951292</stp>
        <tr r="AD86" s="5"/>
      </tp>
      <tp t="s">
        <v>#N/A N/A</v>
        <stp/>
        <stp>BDP|12461460045119403753</stp>
        <tr r="AM119" s="5"/>
      </tp>
      <tp t="e">
        <v>#N/A</v>
        <stp/>
        <stp>BDH|11825795176984845925</stp>
        <tr r="X5" s="1"/>
      </tp>
      <tp t="s">
        <v>#N/A N/A</v>
        <stp/>
        <stp>BDP|14526827419350298053</stp>
        <tr r="Y126" s="5"/>
      </tp>
      <tp t="s">
        <v>#N/A N/A</v>
        <stp/>
        <stp>BDP|14375992410785285418</stp>
        <tr r="H123" s="5"/>
      </tp>
      <tp t="s">
        <v>#N/A N/A</v>
        <stp/>
        <stp>BDP|17266604899364291109</stp>
        <tr r="V112" s="5"/>
      </tp>
      <tp t="s">
        <v>#N/A N/A</v>
        <stp/>
        <stp>BDP|12750486586401161210</stp>
        <tr r="W82" s="5"/>
      </tp>
      <tp t="s">
        <v>#N/A N/A</v>
        <stp/>
        <stp>BDP|12801708107881775909</stp>
        <tr r="F44" s="5"/>
      </tp>
      <tp t="s">
        <v>#N/A N/A</v>
        <stp/>
        <stp>BDP|17224695785611464529</stp>
        <tr r="Q86" s="5"/>
      </tp>
      <tp t="s">
        <v>#N/A N/A</v>
        <stp/>
        <stp>BDP|13915882447612845053</stp>
        <tr r="G126" s="5"/>
      </tp>
      <tp t="s">
        <v>#N/A N/A</v>
        <stp/>
        <stp>BDP|15279397187733651014</stp>
        <tr r="R115" s="5"/>
      </tp>
      <tp t="s">
        <v>#N/A N/A</v>
        <stp/>
        <stp>BDP|13012591994221648303</stp>
        <tr r="AD120" s="5"/>
      </tp>
      <tp t="s">
        <v>#N/A N/A</v>
        <stp/>
        <stp>BDP|17789999745876449157</stp>
        <tr r="R111" s="5"/>
      </tp>
      <tp t="s">
        <v>#N/A N/A</v>
        <stp/>
        <stp>BDP|17457255106329923142</stp>
        <tr r="AR105" s="5"/>
      </tp>
      <tp t="s">
        <v>#N/A N/A</v>
        <stp/>
        <stp>BDP|13496997754422623059</stp>
        <tr r="J63" s="5"/>
      </tp>
      <tp t="s">
        <v>#N/A N/A</v>
        <stp/>
        <stp>BDP|16155566043598765296</stp>
        <tr r="L88" s="5"/>
      </tp>
      <tp t="s">
        <v>#N/A N/A</v>
        <stp/>
        <stp>BDP|11915433538658078386</stp>
        <tr r="U8" s="5"/>
      </tp>
      <tp t="s">
        <v>#N/A N/A</v>
        <stp/>
        <stp>BDP|17974536112978042628</stp>
        <tr r="N74" s="5"/>
      </tp>
      <tp t="s">
        <v>#N/A N/A</v>
        <stp/>
        <stp>BDP|15930303863775296843</stp>
        <tr r="AO120" s="5"/>
      </tp>
      <tp t="s">
        <v>#N/A N/A</v>
        <stp/>
        <stp>BDP|14636076507660266981</stp>
        <tr r="L48" s="5"/>
      </tp>
      <tp t="s">
        <v>#N/A N/A</v>
        <stp/>
        <stp>BDP|14887703422595119940</stp>
        <tr r="F31" s="5"/>
      </tp>
      <tp t="s">
        <v>#N/A N/A</v>
        <stp/>
        <stp>BDP|15201999738253433185</stp>
        <tr r="H96" s="5"/>
      </tp>
      <tp t="s">
        <v>#N/A N/A</v>
        <stp/>
        <stp>BDP|11223871230980830728</stp>
        <tr r="AQ101" s="5"/>
      </tp>
      <tp t="s">
        <v>#N/A N/A</v>
        <stp/>
        <stp>BDP|13753775269266077960</stp>
        <tr r="G53" s="5"/>
      </tp>
      <tp t="s">
        <v>#N/A N/A</v>
        <stp/>
        <stp>BDP|16382833442681487686</stp>
        <tr r="AQ74" s="5"/>
      </tp>
      <tp t="s">
        <v>#N/A N/A</v>
        <stp/>
        <stp>BDP|16213740296981594448</stp>
        <tr r="AM118" s="5"/>
      </tp>
      <tp t="s">
        <v>#N/A N/A</v>
        <stp/>
        <stp>BDP|18007078873504453611</stp>
        <tr r="AB128" s="5"/>
      </tp>
      <tp t="s">
        <v>#N/A N/A</v>
        <stp/>
        <stp>BDP|14787934203404288448</stp>
        <tr r="AQ95" s="5"/>
      </tp>
      <tp t="s">
        <v>#N/A N/A</v>
        <stp/>
        <stp>BDP|15071754050328615221</stp>
        <tr r="F86" s="5"/>
      </tp>
      <tp t="s">
        <v>#N/A N/A</v>
        <stp/>
        <stp>BDP|16534837799099874365</stp>
        <tr r="K117" s="5"/>
      </tp>
      <tp t="s">
        <v>#N/A N/A</v>
        <stp/>
        <stp>BDP|12735031580891063659</stp>
        <tr r="Q99" s="5"/>
      </tp>
      <tp t="s">
        <v>#N/A N/A</v>
        <stp/>
        <stp>BDP|12053711196910207148</stp>
        <tr r="O99" s="5"/>
      </tp>
      <tp t="s">
        <v>#N/A N/A</v>
        <stp/>
        <stp>BDP|15321314776129768539</stp>
        <tr r="J6" s="5"/>
      </tp>
      <tp t="s">
        <v>#N/A N/A</v>
        <stp/>
        <stp>BDP|10053125517344736928</stp>
        <tr r="AR120" s="5"/>
      </tp>
      <tp t="s">
        <v>#N/A N/A</v>
        <stp/>
        <stp>BDP|12543230289294870140</stp>
        <tr r="AM120" s="5"/>
      </tp>
      <tp t="s">
        <v>#N/A N/A</v>
        <stp/>
        <stp>BDP|16059525027554560829</stp>
        <tr r="AD108" s="5"/>
      </tp>
      <tp t="s">
        <v>#N/A N/A</v>
        <stp/>
        <stp>BDP|13931089405749749717</stp>
        <tr r="M48" s="5"/>
      </tp>
      <tp t="s">
        <v>#N/A N/A</v>
        <stp/>
        <stp>BDP|18058948419074697993</stp>
        <tr r="W100" s="5"/>
      </tp>
      <tp t="s">
        <v>#N/A N/A</v>
        <stp/>
        <stp>BDP|14046967394119230058</stp>
        <tr r="AN107" s="5"/>
      </tp>
      <tp t="s">
        <v>#N/A N/A</v>
        <stp/>
        <stp>BDP|16167444631105429953</stp>
        <tr r="AJ117" s="5"/>
      </tp>
      <tp t="s">
        <v>#N/A N/A</v>
        <stp/>
        <stp>BDP|14714047044389011424</stp>
        <tr r="AD17" s="5"/>
      </tp>
      <tp t="s">
        <v>#N/A N/A</v>
        <stp/>
        <stp>BDP|15663838417350494134</stp>
        <tr r="J78" s="5"/>
      </tp>
      <tp t="s">
        <v>#N/A N/A</v>
        <stp/>
        <stp>BDP|16618650814649355512</stp>
        <tr r="AI123" s="5"/>
      </tp>
      <tp t="s">
        <v>#N/A N/A</v>
        <stp/>
        <stp>BDP|11511539988492931329</stp>
        <tr r="H116" s="5"/>
      </tp>
      <tp t="s">
        <v>#N/A N/A</v>
        <stp/>
        <stp>BDP|10224739375345199817</stp>
        <tr r="AD94" s="5"/>
      </tp>
      <tp t="s">
        <v>#N/A N/A</v>
        <stp/>
        <stp>BDP|15270951044566606316</stp>
        <tr r="AA128" s="5"/>
      </tp>
      <tp t="s">
        <v>#N/A N/A</v>
        <stp/>
        <stp>BDP|15552122591845479553</stp>
        <tr r="J107" s="5"/>
      </tp>
      <tp t="s">
        <v>#N/A N/A</v>
        <stp/>
        <stp>BDP|14490797090123848426</stp>
        <tr r="K120" s="5"/>
      </tp>
      <tp t="s">
        <v>#N/A N/A</v>
        <stp/>
        <stp>BDP|12114842624861006468</stp>
        <tr r="AE127" s="5"/>
      </tp>
      <tp t="s">
        <v>#N/A N/A</v>
        <stp/>
        <stp>BDP|11498234696515686205</stp>
        <tr r="U39" s="5"/>
      </tp>
      <tp t="s">
        <v>#N/A N/A</v>
        <stp/>
        <stp>BDP|10960162799163184609</stp>
        <tr r="R121" s="5"/>
      </tp>
      <tp t="s">
        <v>#N/A N/A</v>
        <stp/>
        <stp>BDP|14178233886302183135</stp>
        <tr r="D114" s="5"/>
      </tp>
      <tp t="s">
        <v>#N/A N/A</v>
        <stp/>
        <stp>BDP|18350748020078817892</stp>
        <tr r="U110" s="5"/>
      </tp>
      <tp t="e">
        <v>#N/A</v>
        <stp/>
        <stp>BDH|10790364382854141201</stp>
        <tr r="I5" s="1"/>
      </tp>
      <tp t="s">
        <v>#N/A N/A</v>
        <stp/>
        <stp>BDP|12450110380678984153</stp>
        <tr r="Q110" s="5"/>
      </tp>
      <tp t="s">
        <v>#N/A N/A</v>
        <stp/>
        <stp>BDP|10890666109861909578</stp>
        <tr r="Q30" s="5"/>
      </tp>
      <tp t="s">
        <v>#N/A N/A</v>
        <stp/>
        <stp>BDP|11811567852180505305</stp>
        <tr r="U129" s="5"/>
      </tp>
      <tp t="s">
        <v>#N/A N/A</v>
        <stp/>
        <stp>BDP|14855570833783337363</stp>
        <tr r="N92" s="5"/>
      </tp>
      <tp t="s">
        <v>#N/A N/A</v>
        <stp/>
        <stp>BDP|15539076389378462761</stp>
        <tr r="T113" s="5"/>
      </tp>
      <tp t="s">
        <v>#N/A N/A</v>
        <stp/>
        <stp>BDP|12964853966299150723</stp>
        <tr r="E119" s="5"/>
      </tp>
      <tp t="s">
        <v>#N/A N/A</v>
        <stp/>
        <stp>BDP|12295997886888093954</stp>
        <tr r="AR13" s="5"/>
      </tp>
      <tp t="s">
        <v>#N/A N/A</v>
        <stp/>
        <stp>BDP|13542002926452812132</stp>
        <tr r="AQ91" s="5"/>
      </tp>
      <tp t="s">
        <v>#N/A N/A</v>
        <stp/>
        <stp>BDP|17383199834034055360</stp>
        <tr r="L67" s="5"/>
      </tp>
      <tp t="s">
        <v>#N/A N/A</v>
        <stp/>
        <stp>BDP|12896805552194703966</stp>
        <tr r="L22" s="5"/>
      </tp>
      <tp t="s">
        <v>#N/A N/A</v>
        <stp/>
        <stp>BDP|14259460855294225388</stp>
        <tr r="F68" s="5"/>
      </tp>
      <tp t="s">
        <v>#N/A N/A</v>
        <stp/>
        <stp>BDP|14729213519434123157</stp>
        <tr r="AD26" s="5"/>
      </tp>
      <tp t="s">
        <v>#N/A N/A</v>
        <stp/>
        <stp>BDP|17049180580924174832</stp>
        <tr r="M60" s="5"/>
      </tp>
      <tp t="s">
        <v>#N/A N/A</v>
        <stp/>
        <stp>BDP|14157153119321083770</stp>
        <tr r="L35" s="5"/>
      </tp>
      <tp t="s">
        <v>#N/A N/A</v>
        <stp/>
        <stp>BDP|13441801359468684415</stp>
        <tr r="N39" s="5"/>
      </tp>
      <tp t="s">
        <v>#N/A N/A</v>
        <stp/>
        <stp>BDP|10741442579267325635</stp>
        <tr r="AS129" s="5"/>
      </tp>
      <tp t="s">
        <v>#N/A N/A</v>
        <stp/>
        <stp>BDP|10166206908574213415</stp>
        <tr r="F101" s="5"/>
      </tp>
      <tp t="s">
        <v>#N/A N/A</v>
        <stp/>
        <stp>BDP|14768485957100762754</stp>
        <tr r="AB104" s="5"/>
      </tp>
      <tp t="s">
        <v>#N/A N/A</v>
        <stp/>
        <stp>BDP|10560656902351161591</stp>
        <tr r="AR58" s="5"/>
      </tp>
      <tp t="s">
        <v>#N/A N/A</v>
        <stp/>
        <stp>BDP|15934526957934367326</stp>
        <tr r="I91" s="5"/>
      </tp>
      <tp t="s">
        <v>#N/A N/A</v>
        <stp/>
        <stp>BDP|15908414824590348127</stp>
        <tr r="AD46" s="5"/>
      </tp>
      <tp t="s">
        <v>#N/A N/A</v>
        <stp/>
        <stp>BDP|13677252258451002778</stp>
        <tr r="J34" s="5"/>
      </tp>
      <tp t="s">
        <v>#N/A N/A</v>
        <stp/>
        <stp>BDP|13334296269113788680</stp>
        <tr r="O123" s="5"/>
      </tp>
      <tp t="s">
        <v>#N/A N/A</v>
        <stp/>
        <stp>BDP|10877102210561127350</stp>
        <tr r="S116" s="5"/>
      </tp>
      <tp t="s">
        <v>#N/A N/A</v>
        <stp/>
        <stp>BDP|14854893565969887106</stp>
        <tr r="P91" s="5"/>
      </tp>
      <tp t="s">
        <v>#N/A N/A</v>
        <stp/>
        <stp>BDP|14473271329302578436</stp>
        <tr r="F56" s="5"/>
      </tp>
      <tp t="s">
        <v>#N/A N/A</v>
        <stp/>
        <stp>BDP|11888562195346774936</stp>
        <tr r="E65" s="5"/>
      </tp>
      <tp t="s">
        <v>#N/A N/A</v>
        <stp/>
        <stp>BDP|16208572198299530177</stp>
        <tr r="Q83" s="5"/>
      </tp>
      <tp t="s">
        <v>#N/A N/A</v>
        <stp/>
        <stp>BDP|13429646903822444595</stp>
        <tr r="H128" s="5"/>
      </tp>
      <tp t="s">
        <v>#N/A N/A</v>
        <stp/>
        <stp>BDP|14147444718244425773</stp>
        <tr r="U76" s="5"/>
      </tp>
      <tp t="s">
        <v>#N/A N/A</v>
        <stp/>
        <stp>BDP|16405431607865619589</stp>
        <tr r="L93" s="5"/>
      </tp>
      <tp t="s">
        <v>#N/A N/A</v>
        <stp/>
        <stp>BDP|11272453807980348722</stp>
        <tr r="H48" s="5"/>
      </tp>
      <tp t="s">
        <v>#N/A N/A</v>
        <stp/>
        <stp>BDP|10957929605078714384</stp>
        <tr r="G51" s="5"/>
      </tp>
      <tp t="s">
        <v>#N/A N/A</v>
        <stp/>
        <stp>BDP|13555546520447186117</stp>
        <tr r="AR127" s="5"/>
      </tp>
      <tp t="s">
        <v>#N/A N/A</v>
        <stp/>
        <stp>BDP|17395636330861839198</stp>
        <tr r="AQ75" s="5"/>
      </tp>
      <tp t="s">
        <v>#N/A N/A</v>
        <stp/>
        <stp>BDP|11801612188258782563</stp>
        <tr r="AC129" s="5"/>
      </tp>
      <tp t="s">
        <v>#N/A N/A</v>
        <stp/>
        <stp>BDP|13280522836615352257</stp>
        <tr r="L47" s="5"/>
      </tp>
      <tp t="s">
        <v>#N/A N/A</v>
        <stp/>
        <stp>BDP|11697322243774506021</stp>
        <tr r="Q49" s="5"/>
      </tp>
      <tp t="s">
        <v>#N/A N/A</v>
        <stp/>
        <stp>BDP|12270148792640330877</stp>
        <tr r="AR103" s="5"/>
      </tp>
      <tp t="s">
        <v>#N/A N/A</v>
        <stp/>
        <stp>BDP|15007772572617634035</stp>
        <tr r="AC120" s="5"/>
      </tp>
      <tp t="s">
        <v>#N/A N/A</v>
        <stp/>
        <stp>BDP|17660215032567035357</stp>
        <tr r="V116" s="5"/>
      </tp>
      <tp t="s">
        <v>#N/A N/A</v>
        <stp/>
        <stp>BDP|17322660361536514316</stp>
        <tr r="P117" s="5"/>
      </tp>
      <tp t="s">
        <v>#N/A N/A</v>
        <stp/>
        <stp>BDP|11033962784194045623</stp>
        <tr r="M81" s="5"/>
      </tp>
      <tp t="s">
        <v>#N/A N/A</v>
        <stp/>
        <stp>BDP|14320259069210744288</stp>
        <tr r="AD54" s="5"/>
      </tp>
      <tp t="s">
        <v>#N/A N/A</v>
        <stp/>
        <stp>BDP|10769419567753656346</stp>
        <tr r="F57" s="5"/>
      </tp>
      <tp t="s">
        <v>#N/A N/A</v>
        <stp/>
        <stp>BDP|13690458891749893594</stp>
        <tr r="Y114" s="5"/>
      </tp>
      <tp t="s">
        <v>#N/A N/A</v>
        <stp/>
        <stp>BDP|17288450784768851181</stp>
        <tr r="Z116" s="5"/>
      </tp>
      <tp t="s">
        <v>#N/A N/A</v>
        <stp/>
        <stp>BDP|11212688660992021191</stp>
        <tr r="AP129" s="5"/>
      </tp>
      <tp t="s">
        <v>#N/A N/A</v>
        <stp/>
        <stp>BDP|17762290448510104341</stp>
        <tr r="J122" s="5"/>
      </tp>
      <tp t="s">
        <v>#N/A N/A</v>
        <stp/>
        <stp>BDP|16807106782494869915</stp>
        <tr r="AD113" s="5"/>
      </tp>
      <tp t="s">
        <v>#N/A N/A</v>
        <stp/>
        <stp>BDP|11442428971069339961</stp>
        <tr r="L17" s="5"/>
      </tp>
      <tp t="s">
        <v>#N/A N/A</v>
        <stp/>
        <stp>BDP|13623637526882834793</stp>
        <tr r="AU127" s="5"/>
      </tp>
      <tp t="s">
        <v>#N/A N/A</v>
        <stp/>
        <stp>BDP|11268786878437414448</stp>
        <tr r="AQ82" s="5"/>
      </tp>
      <tp t="s">
        <v>#N/A N/A</v>
        <stp/>
        <stp>BDP|17459083908284442125</stp>
        <tr r="Z74" s="5"/>
      </tp>
      <tp t="s">
        <v>#N/A N/A</v>
        <stp/>
        <stp>BDP|12781012007750437009</stp>
        <tr r="AK126" s="5"/>
      </tp>
      <tp t="s">
        <v>#N/A N/A</v>
        <stp/>
        <stp>BDP|16718707839297965727</stp>
        <tr r="M72" s="5"/>
      </tp>
      <tp t="s">
        <v>#N/A N/A</v>
        <stp/>
        <stp>BDP|16900019311870596582</stp>
        <tr r="F118" s="5"/>
      </tp>
      <tp t="s">
        <v>#N/A N/A</v>
        <stp/>
        <stp>BDP|12761607218631872639</stp>
        <tr r="AD23" s="5"/>
      </tp>
      <tp t="s">
        <v>#N/A N/A</v>
        <stp/>
        <stp>BDP|14387781808030122167</stp>
        <tr r="AC106" s="5"/>
      </tp>
      <tp t="s">
        <v>#N/A N/A</v>
        <stp/>
        <stp>BDP|18076081202942915872</stp>
        <tr r="U99" s="5"/>
      </tp>
      <tp t="s">
        <v>#N/A N/A</v>
        <stp/>
        <stp>BDP|15730478400812717134</stp>
        <tr r="AR32" s="5"/>
      </tp>
      <tp t="s">
        <v>#N/A N/A</v>
        <stp/>
        <stp>BDP|14134553623914083534</stp>
        <tr r="H97" s="5"/>
      </tp>
      <tp t="s">
        <v>#N/A N/A</v>
        <stp/>
        <stp>BDP|10405147659973618581</stp>
        <tr r="AG120" s="5"/>
      </tp>
      <tp t="s">
        <v>#N/A N/A</v>
        <stp/>
        <stp>BDP|11330233082939418003</stp>
        <tr r="L44" s="5"/>
      </tp>
      <tp t="s">
        <v>#N/A N/A</v>
        <stp/>
        <stp>BDP|13181415609296750380</stp>
        <tr r="AF92" s="5"/>
      </tp>
      <tp t="s">
        <v>#N/A N/A</v>
        <stp/>
        <stp>BDP|16545459117001176009</stp>
        <tr r="N104" s="5"/>
      </tp>
      <tp t="s">
        <v>#N/A N/A</v>
        <stp/>
        <stp>BDP|17448696302616912504</stp>
        <tr r="V115" s="5"/>
      </tp>
      <tp t="s">
        <v>#N/A N/A</v>
        <stp/>
        <stp>BDP|17515912162232526852</stp>
        <tr r="Q37" s="5"/>
      </tp>
      <tp t="e">
        <v>#N/A</v>
        <stp/>
        <stp>BDH|11807591107444228270</stp>
        <tr r="AY5" s="1"/>
      </tp>
      <tp t="e">
        <v>#N/A</v>
        <stp/>
        <stp>BDH|10689023639674573556</stp>
        <tr r="T5" s="1"/>
      </tp>
      <tp t="e">
        <v>#N/A</v>
        <stp/>
        <stp>BDH|14157446868332659663</stp>
        <tr r="V5" s="1"/>
      </tp>
      <tp t="s">
        <v>#N/A N/A</v>
        <stp/>
        <stp>BDP|10582191663105377157</stp>
        <tr r="AD103" s="5"/>
      </tp>
      <tp t="s">
        <v>#N/A N/A</v>
        <stp/>
        <stp>BDP|12876216307297444438</stp>
        <tr r="N116" s="5"/>
      </tp>
      <tp t="s">
        <v>#N/A N/A</v>
        <stp/>
        <stp>BDP|14427181179249819840</stp>
        <tr r="P98" s="5"/>
      </tp>
      <tp t="s">
        <v>#N/A N/A</v>
        <stp/>
        <stp>BDP|13429510121372438595</stp>
        <tr r="AD89" s="5"/>
      </tp>
      <tp t="s">
        <v>#N/A N/A</v>
        <stp/>
        <stp>BDP|12362497061420571375</stp>
        <tr r="AG122" s="5"/>
      </tp>
      <tp t="s">
        <v>#N/A N/A</v>
        <stp/>
        <stp>BDP|12564068719312783240</stp>
        <tr r="AF113" s="5"/>
      </tp>
      <tp t="s">
        <v>#N/A N/A</v>
        <stp/>
        <stp>BDP|18349023238391261926</stp>
        <tr r="W97" s="5"/>
      </tp>
      <tp t="s">
        <v>#N/A N/A</v>
        <stp/>
        <stp>BDP|12844537824777230153</stp>
        <tr r="Q122" s="5"/>
      </tp>
      <tp t="s">
        <v>#N/A N/A</v>
        <stp/>
        <stp>BDP|13179748960990832151</stp>
        <tr r="AR65" s="5"/>
      </tp>
      <tp t="s">
        <v>#N/A N/A</v>
        <stp/>
        <stp>BDP|15944869592065364254</stp>
        <tr r="U126" s="5"/>
      </tp>
      <tp t="s">
        <v>#N/A N/A</v>
        <stp/>
        <stp>BDP|10455596965745374504</stp>
        <tr r="AI109" s="5"/>
      </tp>
      <tp t="s">
        <v>#N/A N/A</v>
        <stp/>
        <stp>BDP|12368370513772564190</stp>
        <tr r="J70" s="5"/>
      </tp>
      <tp t="s">
        <v>#N/A N/A</v>
        <stp/>
        <stp>BDP|17698385271770705025</stp>
        <tr r="T91" s="5"/>
      </tp>
      <tp t="s">
        <v>#N/A N/A</v>
        <stp/>
        <stp>BDP|12170013656301902556</stp>
        <tr r="L86" s="5"/>
      </tp>
      <tp t="s">
        <v>#N/A N/A</v>
        <stp/>
        <stp>BDP|15076375809353367671</stp>
        <tr r="L85" s="5"/>
      </tp>
      <tp t="s">
        <v>#N/A N/A</v>
        <stp/>
        <stp>BDP|12651361448961700723</stp>
        <tr r="F35" s="5"/>
      </tp>
      <tp t="s">
        <v>#N/A N/A</v>
        <stp/>
        <stp>BDP|17695847608269537522</stp>
        <tr r="J20" s="5"/>
      </tp>
      <tp t="s">
        <v>#N/A N/A</v>
        <stp/>
        <stp>BDP|15970002847012555062</stp>
        <tr r="AK119" s="5"/>
      </tp>
      <tp t="s">
        <v>#N/A N/A</v>
        <stp/>
        <stp>BDP|13132138158443294753</stp>
        <tr r="J127" s="5"/>
      </tp>
      <tp t="s">
        <v>#N/A N/A</v>
        <stp/>
        <stp>BDP|17280163865507937441</stp>
        <tr r="V110" s="5"/>
      </tp>
      <tp t="s">
        <v>#N/A N/A</v>
        <stp/>
        <stp>BDP|16076100776917968434</stp>
        <tr r="J25" s="5"/>
      </tp>
      <tp t="s">
        <v>#N/A N/A</v>
        <stp/>
        <stp>BDP|10828118752462557529</stp>
        <tr r="P94" s="5"/>
      </tp>
      <tp t="s">
        <v>#N/A N/A</v>
        <stp/>
        <stp>BDP|16690687817825593708</stp>
        <tr r="AH126" s="5"/>
      </tp>
      <tp t="s">
        <v>#N/A N/A</v>
        <stp/>
        <stp>BDP|16985349400261723766</stp>
        <tr r="L69" s="5"/>
      </tp>
      <tp t="s">
        <v>#N/A N/A</v>
        <stp/>
        <stp>BDP|13549394310487124511</stp>
        <tr r="M91" s="5"/>
      </tp>
      <tp t="s">
        <v>#N/A N/A</v>
        <stp/>
        <stp>BDP|12672499347651658016</stp>
        <tr r="AG118" s="5"/>
      </tp>
      <tp t="s">
        <v>#N/A N/A</v>
        <stp/>
        <stp>BDP|14090582231949686800</stp>
        <tr r="U52" s="5"/>
      </tp>
      <tp t="s">
        <v>#N/A N/A</v>
        <stp/>
        <stp>BDP|10995456106454712322</stp>
        <tr r="J53" s="5"/>
      </tp>
      <tp t="s">
        <v>#N/A N/A</v>
        <stp/>
        <stp>BDP|15797010448534570647</stp>
        <tr r="Q42" s="5"/>
      </tp>
      <tp t="s">
        <v>#N/A N/A</v>
        <stp/>
        <stp>BDP|16333657841993098484</stp>
        <tr r="AD34" s="5"/>
      </tp>
      <tp t="s">
        <v>#N/A N/A</v>
        <stp/>
        <stp>BDP|12930028365612672561</stp>
        <tr r="H110" s="5"/>
      </tp>
      <tp t="s">
        <v>#N/A N/A</v>
        <stp/>
        <stp>BDP|14535955108807162976</stp>
        <tr r="U94" s="5"/>
      </tp>
      <tp t="s">
        <v>#N/A N/A</v>
        <stp/>
        <stp>BDP|15063898399711893663</stp>
        <tr r="G85" s="5"/>
      </tp>
      <tp t="s">
        <v>#N/A N/A</v>
        <stp/>
        <stp>BDP|12178507615144841125</stp>
        <tr r="L59" s="5"/>
      </tp>
      <tp t="s">
        <v>#N/A N/A</v>
        <stp/>
        <stp>BDP|14625791983479342115</stp>
        <tr r="AR81" s="5"/>
      </tp>
      <tp t="s">
        <v>#N/A N/A</v>
        <stp/>
        <stp>BDP|16197240735793541742</stp>
        <tr r="K100" s="5"/>
      </tp>
      <tp t="s">
        <v>#N/A N/A</v>
        <stp/>
        <stp>BDP|11896383615589459908</stp>
        <tr r="L65" s="5"/>
      </tp>
      <tp t="s">
        <v>#N/A N/A</v>
        <stp/>
        <stp>BDP|16173465777252684466</stp>
        <tr r="AQ117" s="5"/>
      </tp>
      <tp t="s">
        <v>#N/A N/A</v>
        <stp/>
        <stp>BDP|15460267771794544760</stp>
        <tr r="Q68" s="5"/>
      </tp>
      <tp t="s">
        <v>#N/A N/A</v>
        <stp/>
        <stp>BDP|13455431172343029053</stp>
        <tr r="AD90" s="5"/>
      </tp>
      <tp t="s">
        <v>#N/A N/A</v>
        <stp/>
        <stp>BDP|11822045460475472181</stp>
        <tr r="F21" s="5"/>
      </tp>
      <tp t="s">
        <v>#N/A N/A</v>
        <stp/>
        <stp>BDP|18416542201807624942</stp>
        <tr r="E95" s="5"/>
      </tp>
      <tp t="s">
        <v>#N/A N/A</v>
        <stp/>
        <stp>BDP|12315779771522323350</stp>
        <tr r="G80" s="5"/>
      </tp>
      <tp t="s">
        <v>#N/A N/A</v>
        <stp/>
        <stp>BDP|14026514379705397084</stp>
        <tr r="Z108" s="5"/>
      </tp>
      <tp t="s">
        <v>#N/A N/A</v>
        <stp/>
        <stp>BDP|14159732899371105896</stp>
        <tr r="N89" s="5"/>
      </tp>
      <tp t="s">
        <v>#N/A N/A</v>
        <stp/>
        <stp>BDP|11809828889045685761</stp>
        <tr r="AN106" s="5"/>
      </tp>
      <tp t="s">
        <v>#N/A N/A</v>
        <stp/>
        <stp>BDP|15857772158017451304</stp>
        <tr r="AF109" s="5"/>
      </tp>
      <tp t="s">
        <v>#N/A N/A</v>
        <stp/>
        <stp>BDP|11354277880431317942</stp>
        <tr r="U97" s="5"/>
      </tp>
      <tp t="s">
        <v>#N/A N/A</v>
        <stp/>
        <stp>BDP|11202690902735253186</stp>
        <tr r="AI125" s="5"/>
      </tp>
      <tp t="s">
        <v>#N/A N/A</v>
        <stp/>
        <stp>BDP|15895093537661179450</stp>
        <tr r="I95" s="5"/>
      </tp>
      <tp t="s">
        <v>#N/A N/A</v>
        <stp/>
        <stp>BDP|16711377383848227637</stp>
        <tr r="N38" s="5"/>
      </tp>
      <tp t="s">
        <v>#N/A N/A</v>
        <stp/>
        <stp>BDP|18075362694908430947</stp>
        <tr r="AK99" s="5"/>
      </tp>
      <tp t="s">
        <v>#N/A N/A</v>
        <stp/>
        <stp>BDP|15049959941593657875</stp>
        <tr r="L36" s="5"/>
      </tp>
      <tp t="s">
        <v>#N/A N/A</v>
        <stp/>
        <stp>BDP|10272130793032136968</stp>
        <tr r="AK122" s="5"/>
      </tp>
      <tp t="s">
        <v>#N/A N/A</v>
        <stp/>
        <stp>BDP|17417371233901529508</stp>
        <tr r="M95" s="5"/>
      </tp>
      <tp t="s">
        <v>#N/A N/A</v>
        <stp/>
        <stp>BDP|10890137320728690886</stp>
        <tr r="V129" s="5"/>
      </tp>
      <tp t="s">
        <v>#N/A N/A</v>
        <stp/>
        <stp>BDP|14349419316660562256</stp>
        <tr r="U78" s="5"/>
      </tp>
      <tp t="s">
        <v>#N/A N/A</v>
        <stp/>
        <stp>BDP|17792605349657900131</stp>
        <tr r="U109" s="5"/>
      </tp>
      <tp t="s">
        <v>#N/A N/A</v>
        <stp/>
        <stp>BDP|14499523710524643741</stp>
        <tr r="AB88" s="5"/>
      </tp>
      <tp t="s">
        <v>#N/A N/A</v>
        <stp/>
        <stp>BDP|16782948376909792269</stp>
        <tr r="H79" s="5"/>
      </tp>
      <tp t="s">
        <v>#N/A N/A</v>
        <stp/>
        <stp>BDP|12191973698654073590</stp>
        <tr r="M79" s="5"/>
      </tp>
      <tp t="s">
        <v>#N/A N/A</v>
        <stp/>
        <stp>BDP|17915083336893280428</stp>
        <tr r="F66" s="5"/>
      </tp>
      <tp t="s">
        <v>#N/A N/A</v>
        <stp/>
        <stp>BDP|17508268440770546215</stp>
        <tr r="H126" s="5"/>
      </tp>
      <tp t="s">
        <v>#N/A N/A</v>
        <stp/>
        <stp>BDP|13293919448828818544</stp>
        <tr r="I92" s="5"/>
      </tp>
      <tp t="s">
        <v>#N/A N/A</v>
        <stp/>
        <stp>BDP|18044930412577117473</stp>
        <tr r="J31" s="5"/>
      </tp>
      <tp t="s">
        <v>#N/A N/A</v>
        <stp/>
        <stp>BDP|14219261320945083230</stp>
        <tr r="L113" s="5"/>
      </tp>
      <tp t="s">
        <v>#N/A N/A</v>
        <stp/>
        <stp>BDP|17983916205139944420</stp>
        <tr r="AK98" s="5"/>
      </tp>
      <tp t="s">
        <v>#N/A N/A</v>
        <stp/>
        <stp>BDP|13402953951258406428</stp>
        <tr r="AI114" s="5"/>
      </tp>
      <tp t="s">
        <v>#N/A N/A</v>
        <stp/>
        <stp>BDP|10721293623726329588</stp>
        <tr r="AB85" s="5"/>
      </tp>
      <tp t="s">
        <v>#N/A N/A</v>
        <stp/>
        <stp>BDP|14077541423382055213</stp>
        <tr r="AR8" s="5"/>
      </tp>
      <tp t="s">
        <v>#N/A N/A</v>
        <stp/>
        <stp>BDP|14066266522950427769</stp>
        <tr r="E125" s="5"/>
      </tp>
      <tp t="s">
        <v>#N/A N/A</v>
        <stp/>
        <stp>BDP|13947265778561063412</stp>
        <tr r="M90" s="5"/>
      </tp>
      <tp t="e">
        <v>#N/A</v>
        <stp/>
        <stp>BDH|13659743736480043464</stp>
        <tr r="F5" s="1"/>
      </tp>
      <tp t="e">
        <v>#N/A</v>
        <stp/>
        <stp>BDH|13810735909353796495</stp>
        <tr r="N5" s="1"/>
      </tp>
      <tp t="s">
        <v>#N/A N/A</v>
        <stp/>
        <stp>BDP|12692387734176608455</stp>
        <tr r="AT118" s="5"/>
      </tp>
      <tp t="s">
        <v>#N/A N/A</v>
        <stp/>
        <stp>BDP|16354681904563755315</stp>
        <tr r="H100" s="5"/>
      </tp>
      <tp t="s">
        <v>#N/A N/A</v>
        <stp/>
        <stp>BDP|17772773973395348293</stp>
        <tr r="D120" s="5"/>
      </tp>
      <tp t="s">
        <v>#N/A N/A</v>
        <stp/>
        <stp>BDP|12631991966458627562</stp>
        <tr r="O113" s="5"/>
      </tp>
      <tp t="s">
        <v>#N/A N/A</v>
        <stp/>
        <stp>BDP|11549529239983215451</stp>
        <tr r="Q38" s="5"/>
      </tp>
      <tp t="s">
        <v>#N/A N/A</v>
        <stp/>
        <stp>BDP|11380323059780361735</stp>
        <tr r="Q43" s="5"/>
      </tp>
      <tp t="s">
        <v>#N/A N/A</v>
        <stp/>
        <stp>BDP|14854916957131512931</stp>
        <tr r="G67" s="5"/>
      </tp>
      <tp t="s">
        <v>#N/A N/A</v>
        <stp/>
        <stp>BDP|10238016051847992236</stp>
        <tr r="F109" s="5"/>
      </tp>
      <tp t="s">
        <v>#N/A N/A</v>
        <stp/>
        <stp>BDP|12935613515222111744</stp>
        <tr r="AJ108" s="5"/>
      </tp>
      <tp t="s">
        <v>#N/A N/A</v>
        <stp/>
        <stp>BDP|14926036847082523202</stp>
        <tr r="J60" s="5"/>
      </tp>
      <tp t="s">
        <v>#N/A N/A</v>
        <stp/>
        <stp>BDP|12487429557766246588</stp>
        <tr r="U87" s="5"/>
      </tp>
      <tp t="s">
        <v>#N/A N/A</v>
        <stp/>
        <stp>BDP|16096071467188357884</stp>
        <tr r="N98" s="5"/>
      </tp>
      <tp t="s">
        <v>#N/A N/A</v>
        <stp/>
        <stp>BDP|11575574518303412659</stp>
        <tr r="U10" s="5"/>
      </tp>
      <tp t="s">
        <v>#N/A N/A</v>
        <stp/>
        <stp>BDP|13757470068230270112</stp>
        <tr r="J89" s="5"/>
      </tp>
      <tp t="s">
        <v>#N/A N/A</v>
        <stp/>
        <stp>BDP|12158951889415554631</stp>
        <tr r="J11" s="5"/>
      </tp>
      <tp t="s">
        <v>#N/A N/A</v>
        <stp/>
        <stp>BDP|15239224346975437682</stp>
        <tr r="AG95" s="5"/>
      </tp>
      <tp t="s">
        <v>#N/A N/A</v>
        <stp/>
        <stp>BDP|14834454961622936489</stp>
        <tr r="G76" s="5"/>
      </tp>
      <tp t="s">
        <v>#N/A N/A</v>
        <stp/>
        <stp>BDP|10230736469285488416</stp>
        <tr r="U29" s="5"/>
      </tp>
      <tp t="s">
        <v>#N/A N/A</v>
        <stp/>
        <stp>BDP|17580655678744411212</stp>
        <tr r="Q79" s="5"/>
      </tp>
      <tp t="s">
        <v>#N/A N/A</v>
        <stp/>
        <stp>BDP|18134294961189091549</stp>
        <tr r="W125" s="5"/>
      </tp>
      <tp t="s">
        <v>#N/A N/A</v>
        <stp/>
        <stp>BDP|17828965563718392023</stp>
        <tr r="M73" s="5"/>
      </tp>
      <tp t="s">
        <v>#N/A N/A</v>
        <stp/>
        <stp>BDP|16107958922018836529</stp>
        <tr r="N54" s="5"/>
      </tp>
      <tp t="s">
        <v>#N/A N/A</v>
        <stp/>
        <stp>BDP|14028522938344655604</stp>
        <tr r="X128" s="5"/>
      </tp>
      <tp t="s">
        <v>#N/A N/A</v>
        <stp/>
        <stp>BDP|14542622502401961305</stp>
        <tr r="AD102" s="5"/>
      </tp>
      <tp t="s">
        <v>#N/A N/A</v>
        <stp/>
        <stp>BDP|17849757296481128865</stp>
        <tr r="AR57" s="5"/>
      </tp>
      <tp t="s">
        <v>#N/A N/A</v>
        <stp/>
        <stp>BDP|12487397578505828318</stp>
        <tr r="AG109" s="5"/>
      </tp>
      <tp t="s">
        <v>#N/A N/A</v>
        <stp/>
        <stp>BDP|12470780932005009323</stp>
        <tr r="L50" s="5"/>
      </tp>
      <tp t="s">
        <v>#N/A N/A</v>
        <stp/>
        <stp>BDP|14523429063360368683</stp>
        <tr r="F87" s="5"/>
      </tp>
      <tp t="s">
        <v>#N/A N/A</v>
        <stp/>
        <stp>BDP|16847778340613329635</stp>
        <tr r="Q29" s="5"/>
      </tp>
      <tp t="s">
        <v>#N/A N/A</v>
        <stp/>
        <stp>BDP|15837637603556216551</stp>
        <tr r="AD11" s="5"/>
      </tp>
      <tp t="s">
        <v>#N/A N/A</v>
        <stp/>
        <stp>BDP|15300922158301692813</stp>
        <tr r="U40" s="5"/>
      </tp>
      <tp t="s">
        <v>#N/A N/A</v>
        <stp/>
        <stp>BDP|15151338948021452307</stp>
        <tr r="AO115" s="5"/>
      </tp>
      <tp t="s">
        <v>#N/A N/A</v>
        <stp/>
        <stp>BDP|11652887898569037989</stp>
        <tr r="F65" s="5"/>
      </tp>
      <tp t="s">
        <v>#N/A N/A</v>
        <stp/>
        <stp>BDP|10701006468142825494</stp>
        <tr r="G20" s="5"/>
      </tp>
      <tp t="s">
        <v>#N/A N/A</v>
        <stp/>
        <stp>BDP|18361487692843899609</stp>
        <tr r="Z104" s="5"/>
      </tp>
      <tp t="s">
        <v>#N/A N/A</v>
        <stp/>
        <stp>BDP|17427667837265514717</stp>
        <tr r="AG106" s="5"/>
      </tp>
      <tp t="s">
        <v>#N/A N/A</v>
        <stp/>
        <stp>BDP|15107730432287976681</stp>
        <tr r="H77" s="5"/>
      </tp>
      <tp t="s">
        <v>#N/A N/A</v>
        <stp/>
        <stp>BDP|15998555979503779423</stp>
        <tr r="U111" s="5"/>
      </tp>
      <tp t="s">
        <v>#N/A N/A</v>
        <stp/>
        <stp>BDP|11575478215881349542</stp>
        <tr r="AF117" s="5"/>
      </tp>
      <tp t="s">
        <v>#N/A N/A</v>
        <stp/>
        <stp>BDP|11223460824451948697</stp>
        <tr r="H87" s="5"/>
      </tp>
      <tp t="s">
        <v>#N/A N/A</v>
        <stp/>
        <stp>BDP|12020933710268381230</stp>
        <tr r="W121" s="5"/>
      </tp>
      <tp t="s">
        <v>#N/A N/A</v>
        <stp/>
        <stp>BDP|12987167908805208663</stp>
        <tr r="AK102" s="5"/>
      </tp>
      <tp t="s">
        <v>#N/A N/A</v>
        <stp/>
        <stp>BDP|16607613090379626039</stp>
        <tr r="O100" s="5"/>
      </tp>
      <tp t="s">
        <v>#N/A N/A</v>
        <stp/>
        <stp>BDP|13844417692118819619</stp>
        <tr r="AV118" s="5"/>
      </tp>
      <tp t="s">
        <v>#N/A N/A</v>
        <stp/>
        <stp>BDP|10993178343186666397</stp>
        <tr r="M49" s="5"/>
      </tp>
      <tp t="s">
        <v>#N/A N/A</v>
        <stp/>
        <stp>BDP|17075704126711366376</stp>
        <tr r="L40" s="5"/>
      </tp>
      <tp t="s">
        <v>#N/A N/A</v>
        <stp/>
        <stp>BDP|15146706301380212272</stp>
        <tr r="U59" s="5"/>
      </tp>
      <tp t="s">
        <v>#N/A N/A</v>
        <stp/>
        <stp>BDP|18027614891117557005</stp>
        <tr r="L91" s="5"/>
      </tp>
      <tp t="s">
        <v>#N/A N/A</v>
        <stp/>
        <stp>BDP|14417233102663931590</stp>
        <tr r="L96" s="5"/>
      </tp>
      <tp t="s">
        <v>#N/A N/A</v>
        <stp/>
        <stp>BDP|15370410613806459610</stp>
        <tr r="Q33" s="5"/>
      </tp>
      <tp t="s">
        <v>#N/A N/A</v>
        <stp/>
        <stp>BDP|11421811092310659057</stp>
        <tr r="L27" s="5"/>
      </tp>
      <tp t="s">
        <v>#N/A N/A</v>
        <stp/>
        <stp>BDP|17553402233422679244</stp>
        <tr r="U19" s="5"/>
      </tp>
      <tp t="s">
        <v>#N/A N/A</v>
        <stp/>
        <stp>BDP|16042687293710853976</stp>
        <tr r="J39" s="5"/>
      </tp>
      <tp t="s">
        <v>#N/A N/A</v>
        <stp/>
        <stp>BDP|18253039385213211329</stp>
        <tr r="U55" s="5"/>
      </tp>
      <tp t="s">
        <v>#N/A N/A</v>
        <stp/>
        <stp>BDP|10350340112852130036</stp>
        <tr r="J48" s="5"/>
      </tp>
      <tp t="s">
        <v>#N/A N/A</v>
        <stp/>
        <stp>BDP|14343051853044338518</stp>
        <tr r="T119" s="5"/>
      </tp>
      <tp t="s">
        <v>#N/A N/A</v>
        <stp/>
        <stp>BDP|15480973396945168036</stp>
        <tr r="M123" s="5"/>
      </tp>
      <tp t="s">
        <v>#N/A N/A</v>
        <stp/>
        <stp>BDP|11340016103107666607</stp>
        <tr r="AA122" s="5"/>
      </tp>
      <tp t="s">
        <v>#N/A N/A</v>
        <stp/>
        <stp>BDP|17244454625653610235</stp>
        <tr r="O124" s="5"/>
      </tp>
      <tp t="s">
        <v>#N/A N/A</v>
        <stp/>
        <stp>BDP|12505424440766628461</stp>
        <tr r="AO126" s="5"/>
      </tp>
      <tp t="s">
        <v>#N/A N/A</v>
        <stp/>
        <stp>BDP|16072858091543133429</stp>
        <tr r="W107" s="5"/>
      </tp>
      <tp t="s">
        <v>#N/A N/A</v>
        <stp/>
        <stp>BDP|10971153287901587892</stp>
        <tr r="J36" s="5"/>
      </tp>
      <tp t="s">
        <v>#N/A N/A</v>
        <stp/>
        <stp>BDP|13190522226027386315</stp>
        <tr r="G47" s="5"/>
      </tp>
      <tp t="s">
        <v>#N/A N/A</v>
        <stp/>
        <stp>BDP|12408965810319643334</stp>
        <tr r="G58" s="5"/>
      </tp>
      <tp t="s">
        <v>#N/A N/A</v>
        <stp/>
        <stp>BDP|13880939465818088495</stp>
        <tr r="Z95" s="5"/>
      </tp>
      <tp t="s">
        <v>#N/A N/A</v>
        <stp/>
        <stp>BDP|17781111840254215623</stp>
        <tr r="U60" s="5"/>
      </tp>
      <tp t="s">
        <v>#N/A N/A</v>
        <stp/>
        <stp>BDP|12693626843760076016</stp>
        <tr r="AD123" s="5"/>
      </tp>
      <tp t="s">
        <v>#N/A N/A</v>
        <stp/>
        <stp>BDP|13303935289761642399</stp>
        <tr r="W101" s="5"/>
      </tp>
      <tp t="s">
        <v>#N/A N/A</v>
        <stp/>
        <stp>BDP|11881100107824075491</stp>
        <tr r="F34" s="5"/>
      </tp>
      <tp t="s">
        <v>#N/A N/A</v>
        <stp/>
        <stp>BDP|14377304465442987399</stp>
        <tr r="AC116" s="5"/>
      </tp>
      <tp t="e">
        <v>#N/A</v>
        <stp/>
        <stp>BDH|15213223324115902088</stp>
        <tr r="AE5" s="1"/>
      </tp>
      <tp t="s">
        <v>#N/A N/A</v>
        <stp/>
        <stp>BDP|13043599334793578714</stp>
        <tr r="N51" s="5"/>
      </tp>
      <tp t="s">
        <v>#N/A N/A</v>
        <stp/>
        <stp>BDP|14489045810136904200</stp>
        <tr r="G92" s="5"/>
      </tp>
      <tp t="s">
        <v>#N/A N/A</v>
        <stp/>
        <stp>BDP|10051693766370705116</stp>
        <tr r="F105" s="5"/>
      </tp>
      <tp t="s">
        <v>#N/A N/A</v>
        <stp/>
        <stp>BDP|14925573984838338008</stp>
        <tr r="N126" s="5"/>
      </tp>
      <tp t="s">
        <v>#N/A N/A</v>
        <stp/>
        <stp>BDP|16289999522165054905</stp>
        <tr r="L63" s="5"/>
      </tp>
      <tp t="s">
        <v>#N/A N/A</v>
        <stp/>
        <stp>BDP|15849438506118733838</stp>
        <tr r="L114" s="5"/>
      </tp>
      <tp t="s">
        <v>#N/A N/A</v>
        <stp/>
        <stp>BDP|10688929998640611130</stp>
        <tr r="J27" s="5"/>
      </tp>
      <tp t="s">
        <v>#N/A N/A</v>
        <stp/>
        <stp>BDP|11946742701037060055</stp>
        <tr r="Z115" s="5"/>
      </tp>
      <tp t="s">
        <v>#N/A N/A</v>
        <stp/>
        <stp>BDP|13101920481893351089</stp>
        <tr r="U58" s="5"/>
      </tp>
      <tp t="s">
        <v>#N/A N/A</v>
        <stp/>
        <stp>BDP|12910683069392288122</stp>
        <tr r="L68" s="5"/>
      </tp>
      <tp t="s">
        <v>#N/A N/A</v>
        <stp/>
        <stp>BDP|14749999143350734821</stp>
        <tr r="Z111" s="5"/>
      </tp>
      <tp t="s">
        <v>#N/A N/A</v>
        <stp/>
        <stp>BDP|13886171132049188943</stp>
        <tr r="AR89" s="5"/>
      </tp>
      <tp t="s">
        <v>#N/A N/A</v>
        <stp/>
        <stp>BDP|15802779494763138929</stp>
        <tr r="K106" s="5"/>
      </tp>
      <tp t="s">
        <v>#N/A N/A</v>
        <stp/>
        <stp>BDP|14265538838033013036</stp>
        <tr r="Q120" s="5"/>
      </tp>
      <tp t="s">
        <v>#N/A N/A</v>
        <stp/>
        <stp>BDP|11248309078167325332</stp>
        <tr r="Q44" s="5"/>
      </tp>
      <tp t="s">
        <v>#N/A N/A</v>
        <stp/>
        <stp>BDP|12034539810416982107</stp>
        <tr r="K119" s="5"/>
      </tp>
      <tp t="s">
        <v>#N/A N/A</v>
        <stp/>
        <stp>BDP|15857691897648473382</stp>
        <tr r="AG83" s="5"/>
      </tp>
      <tp t="s">
        <v>#N/A N/A</v>
        <stp/>
        <stp>BDP|15495716734072512284</stp>
        <tr r="AR82" s="5"/>
      </tp>
      <tp t="s">
        <v>#N/A N/A</v>
        <stp/>
        <stp>BDP|16222688054262752652</stp>
        <tr r="F61" s="5"/>
      </tp>
      <tp t="s">
        <v>#N/A N/A</v>
        <stp/>
        <stp>BDP|12031085941662539500</stp>
        <tr r="AB117" s="5"/>
      </tp>
      <tp t="s">
        <v>#N/A N/A</v>
        <stp/>
        <stp>BDP|13030127429577709604</stp>
        <tr r="L126" s="5"/>
      </tp>
      <tp t="s">
        <v>#N/A N/A</v>
        <stp/>
        <stp>BDP|18053302433511599890</stp>
        <tr r="U51" s="5"/>
      </tp>
      <tp t="s">
        <v>#N/A N/A</v>
        <stp/>
        <stp>BDP|10886120011716361773</stp>
        <tr r="E106" s="5"/>
      </tp>
      <tp t="s">
        <v>#N/A N/A</v>
        <stp/>
        <stp>BDP|16842171078222067381</stp>
        <tr r="M69" s="5"/>
      </tp>
      <tp t="s">
        <v>#N/A N/A</v>
        <stp/>
        <stp>BDP|14022202490959751789</stp>
        <tr r="U121" s="5"/>
      </tp>
      <tp t="s">
        <v>#N/A N/A</v>
        <stp/>
        <stp>BDP|12751589174644073549</stp>
        <tr r="E109" s="5"/>
      </tp>
      <tp t="s">
        <v>#N/A N/A</v>
        <stp/>
        <stp>BDP|10637025540846840320</stp>
        <tr r="I101" s="5"/>
      </tp>
      <tp t="s">
        <v>#N/A N/A</v>
        <stp/>
        <stp>BDP|15868382249654386746</stp>
        <tr r="N19" s="5"/>
      </tp>
      <tp t="s">
        <v>#N/A N/A</v>
        <stp/>
        <stp>BDP|11966228325345915590</stp>
        <tr r="G52" s="5"/>
      </tp>
      <tp t="s">
        <v>#N/A N/A</v>
        <stp/>
        <stp>BDP|14454415768676564160</stp>
        <tr r="AJ100" s="5"/>
      </tp>
      <tp t="s">
        <v>#N/A N/A</v>
        <stp/>
        <stp>BDP|12386968182716807410</stp>
        <tr r="G108" s="5"/>
      </tp>
      <tp t="s">
        <v>#N/A N/A</v>
        <stp/>
        <stp>BDP|17806920856482330812</stp>
        <tr r="Y122" s="5"/>
      </tp>
      <tp t="s">
        <v>#N/A N/A</v>
        <stp/>
        <stp>BDP|17277656621166943410</stp>
        <tr r="L75" s="5"/>
      </tp>
      <tp t="s">
        <v>#N/A N/A</v>
        <stp/>
        <stp>BDP|15040002749324714400</stp>
        <tr r="V120" s="5"/>
      </tp>
      <tp t="s">
        <v>#N/A N/A</v>
        <stp/>
        <stp>BDP|10110743210312386570</stp>
        <tr r="H93" s="5"/>
      </tp>
      <tp t="s">
        <v>#N/A N/A</v>
        <stp/>
        <stp>BDP|18240520334817122847</stp>
        <tr r="L112" s="5"/>
      </tp>
      <tp t="s">
        <v>#N/A N/A</v>
        <stp/>
        <stp>BDP|17269149449216906572</stp>
        <tr r="AM129" s="5"/>
      </tp>
      <tp t="s">
        <v>#N/A N/A</v>
        <stp/>
        <stp>BDP|13268601019492296788</stp>
        <tr r="E93" s="5"/>
      </tp>
      <tp t="s">
        <v>#N/A N/A</v>
        <stp/>
        <stp>BDP|10658808473946167853</stp>
        <tr r="F116" s="5"/>
      </tp>
      <tp t="s">
        <v>#N/A N/A</v>
        <stp/>
        <stp>BDP|10074781750780926318</stp>
        <tr r="N29" s="5"/>
      </tp>
      <tp t="s">
        <v>#N/A N/A</v>
        <stp/>
        <stp>BDP|12325250036510071201</stp>
        <tr r="L24" s="5"/>
      </tp>
      <tp t="s">
        <v>#N/A N/A</v>
        <stp/>
        <stp>BDP|13004718933314512247</stp>
        <tr r="F18" s="5"/>
      </tp>
      <tp t="s">
        <v>#N/A N/A</v>
        <stp/>
        <stp>BDP|11715909047838452579</stp>
        <tr r="L107" s="5"/>
      </tp>
      <tp t="s">
        <v>#N/A N/A</v>
        <stp/>
        <stp>BDP|13217027626697527700</stp>
        <tr r="X129" s="5"/>
      </tp>
      <tp t="s">
        <v>#N/A N/A</v>
        <stp/>
        <stp>BDP|16652632807867085610</stp>
        <tr r="AR64" s="5"/>
      </tp>
      <tp t="s">
        <v>#N/A N/A</v>
        <stp/>
        <stp>BDP|16298307026817064175</stp>
        <tr r="AY123" s="5"/>
      </tp>
      <tp t="s">
        <v>#N/A N/A</v>
        <stp/>
        <stp>BDP|17751396409831002456</stp>
        <tr r="AN113" s="5"/>
      </tp>
      <tp t="s">
        <v>#N/A N/A</v>
        <stp/>
        <stp>BDP|14060692769960364519</stp>
        <tr r="AD104" s="5"/>
      </tp>
      <tp t="s">
        <v>#N/A N/A</v>
        <stp/>
        <stp>BDP|13106678401694209079</stp>
        <tr r="AB102" s="5"/>
      </tp>
      <tp t="s">
        <v>#N/A N/A</v>
        <stp/>
        <stp>BDP|15527011167582854095</stp>
        <tr r="L129" s="5"/>
      </tp>
      <tp t="s">
        <v>#N/A N/A</v>
        <stp/>
        <stp>BDP|14801374749521119355</stp>
        <tr r="AB103" s="5"/>
      </tp>
      <tp t="s">
        <v>#N/A N/A</v>
        <stp/>
        <stp>BDP|15022742916983552127</stp>
        <tr r="AF115" s="5"/>
      </tp>
      <tp t="s">
        <v>#N/A N/A</v>
        <stp/>
        <stp>BDP|13629550436984667066</stp>
        <tr r="AQ104" s="5"/>
      </tp>
      <tp t="s">
        <v>#N/A N/A</v>
        <stp/>
        <stp>BDP|13375156759960839621</stp>
        <tr r="W126" s="5"/>
      </tp>
      <tp t="s">
        <v>#N/A N/A</v>
        <stp/>
        <stp>BDP|12564086442710919735</stp>
        <tr r="AY122" s="5"/>
      </tp>
      <tp t="s">
        <v>#N/A N/A</v>
        <stp/>
        <stp>BDP|14898545669086332038</stp>
        <tr r="R118" s="5"/>
      </tp>
      <tp t="s">
        <v>#N/A N/A</v>
        <stp/>
        <stp>BDP|10178753232212384716</stp>
        <tr r="N120" s="5"/>
      </tp>
      <tp t="s">
        <v>#N/A N/A</v>
        <stp/>
        <stp>BDP|18292258426291599808</stp>
        <tr r="L41" s="5"/>
      </tp>
      <tp t="s">
        <v>#N/A N/A</v>
        <stp/>
        <stp>BDP|11625465203955383144</stp>
        <tr r="O114" s="5"/>
      </tp>
      <tp t="s">
        <v>#N/A N/A</v>
        <stp/>
        <stp>BDP|16701657363814487329</stp>
        <tr r="J108" s="5"/>
      </tp>
      <tp t="s">
        <v>#N/A N/A</v>
        <stp/>
        <stp>BDP|12033528254822259131</stp>
        <tr r="AR113" s="5"/>
      </tp>
      <tp t="s">
        <v>#N/A N/A</v>
        <stp/>
        <stp>BDP|12427755385299647556</stp>
        <tr r="W105" s="5"/>
      </tp>
      <tp t="s">
        <v>#N/A N/A</v>
        <stp/>
        <stp>BDP|15576724277844751011</stp>
        <tr r="H42" s="5"/>
      </tp>
      <tp t="s">
        <v>#N/A N/A</v>
        <stp/>
        <stp>BDP|18182276000228424340</stp>
        <tr r="M50" s="5"/>
      </tp>
      <tp t="s">
        <v>#N/A N/A</v>
        <stp/>
        <stp>BDP|17511071835903320626</stp>
        <tr r="M96" s="5"/>
      </tp>
      <tp t="s">
        <v>#N/A N/A</v>
        <stp/>
        <stp>BDP|14590405156107157345</stp>
        <tr r="AF110" s="5"/>
      </tp>
      <tp t="s">
        <v>#N/A N/A</v>
        <stp/>
        <stp>BDP|16636194915714453389</stp>
        <tr r="L57" s="5"/>
      </tp>
      <tp t="s">
        <v>#N/A N/A</v>
        <stp/>
        <stp>BDP|10408245581658189368</stp>
        <tr r="E68" s="5"/>
      </tp>
      <tp t="s">
        <v>#N/A N/A</v>
        <stp/>
        <stp>BDP|10153679851061463358</stp>
        <tr r="U107" s="5"/>
      </tp>
      <tp t="s">
        <v>#N/A N/A</v>
        <stp/>
        <stp>BDP|14294201840044095746</stp>
        <tr r="F16" s="5"/>
      </tp>
      <tp t="e">
        <v>#N/A</v>
        <stp/>
        <stp>BDH|14155735849830419659</stp>
        <tr r="AN5" s="1"/>
      </tp>
      <tp t="s">
        <v>#N/A N/A</v>
        <stp/>
        <stp>BDP|14765291911528381951</stp>
        <tr r="L6" s="5"/>
      </tp>
      <tp t="s">
        <v>#N/A N/A</v>
        <stp/>
        <stp>BDP|10177225290815342896</stp>
        <tr r="AN116" s="5"/>
      </tp>
      <tp t="s">
        <v>#N/A N/A</v>
        <stp/>
        <stp>BDP|13888426614604713404</stp>
        <tr r="E110" s="5"/>
      </tp>
      <tp t="s">
        <v>#N/A N/A</v>
        <stp/>
        <stp>BDP|11870916071310294938</stp>
        <tr r="K116" s="5"/>
      </tp>
      <tp t="s">
        <v>#N/A N/A</v>
        <stp/>
        <stp>BDP|13035811356158684097</stp>
        <tr r="H108" s="5"/>
      </tp>
      <tp t="s">
        <v>#N/A N/A</v>
        <stp/>
        <stp>BDP|13120170645193955320</stp>
        <tr r="H40" s="5"/>
      </tp>
      <tp t="s">
        <v>#N/A N/A</v>
        <stp/>
        <stp>BDP|10891200792269276409</stp>
        <tr r="M43" s="5"/>
      </tp>
      <tp t="s">
        <v>#N/A N/A</v>
        <stp/>
        <stp>BDP|16939046264851030723</stp>
        <tr r="AD61" s="5"/>
      </tp>
      <tp t="s">
        <v>#N/A N/A</v>
        <stp/>
        <stp>BDP|12732047940998012881</stp>
        <tr r="R101" s="5"/>
      </tp>
      <tp t="s">
        <v>#N/A N/A</v>
        <stp/>
        <stp>BDP|15223277329985256655</stp>
        <tr r="O105" s="5"/>
      </tp>
      <tp t="s">
        <v>#N/A N/A</v>
        <stp/>
        <stp>BDP|11165442875152214697</stp>
        <tr r="Y123" s="5"/>
      </tp>
      <tp t="s">
        <v>#N/A N/A</v>
        <stp/>
        <stp>BDP|14967301216528419803</stp>
        <tr r="W114" s="5"/>
      </tp>
      <tp t="s">
        <v>#N/A N/A</v>
        <stp/>
        <stp>BDP|16068203451476391198</stp>
        <tr r="M85" s="5"/>
      </tp>
      <tp t="s">
        <v>#N/A N/A</v>
        <stp/>
        <stp>BDP|17371908694236457794</stp>
        <tr r="V122" s="5"/>
      </tp>
      <tp t="s">
        <v>#N/A N/A</v>
        <stp/>
        <stp>BDP|12023738767170902579</stp>
        <tr r="AB86" s="5"/>
      </tp>
      <tp t="s">
        <v>#N/A N/A</v>
        <stp/>
        <stp>BDP|12828387022750821506</stp>
        <tr r="F93" s="5"/>
      </tp>
      <tp t="s">
        <v>#N/A N/A</v>
        <stp/>
        <stp>BDP|12992072042014716465</stp>
        <tr r="AY126" s="5"/>
      </tp>
      <tp t="s">
        <v>#N/A N/A</v>
        <stp/>
        <stp>BDP|11697262759219609924</stp>
        <tr r="F83" s="5"/>
      </tp>
      <tp t="s">
        <v>#N/A N/A</v>
        <stp/>
        <stp>BDP|13120190457163072224</stp>
        <tr r="AR87" s="5"/>
      </tp>
      <tp t="s">
        <v>#N/A N/A</v>
        <stp/>
        <stp>BDP|14441973201382927961</stp>
        <tr r="AT123" s="5"/>
      </tp>
      <tp t="s">
        <v>#N/A N/A</v>
        <stp/>
        <stp>BDP|17592046224927084495</stp>
        <tr r="AJ118" s="5"/>
      </tp>
      <tp t="s">
        <v>#N/A N/A</v>
        <stp/>
        <stp>BDP|14823520852711267362</stp>
        <tr r="AO118" s="5"/>
      </tp>
      <tp t="s">
        <v>#N/A N/A</v>
        <stp/>
        <stp>BDP|10943455029133095399</stp>
        <tr r="AV129" s="5"/>
      </tp>
      <tp t="s">
        <v>#N/A N/A</v>
        <stp/>
        <stp>BDP|14687781961154543768</stp>
        <tr r="AJ102" s="5"/>
      </tp>
      <tp t="s">
        <v>#N/A N/A</v>
        <stp/>
        <stp>BDP|16590964296770935032</stp>
        <tr r="Y118" s="5"/>
      </tp>
      <tp t="s">
        <v>#N/A N/A</v>
        <stp/>
        <stp>BDP|10168118752587585589</stp>
        <tr r="U89" s="5"/>
      </tp>
      <tp t="s">
        <v>#N/A N/A</v>
        <stp/>
        <stp>BDP|11095995562011612925</stp>
        <tr r="L51" s="5"/>
      </tp>
      <tp t="s">
        <v>#N/A N/A</v>
        <stp/>
        <stp>BDP|17441956699433017272</stp>
        <tr r="AD33" s="5"/>
      </tp>
      <tp t="s">
        <v>#N/A N/A</v>
        <stp/>
        <stp>BDP|16916789154755973727</stp>
        <tr r="U28" s="5"/>
      </tp>
      <tp t="s">
        <v>#N/A N/A</v>
        <stp/>
        <stp>BDP|17015518670807926460</stp>
        <tr r="I118" s="5"/>
      </tp>
      <tp t="s">
        <v>#N/A N/A</v>
        <stp/>
        <stp>BDP|16055844669116104821</stp>
        <tr r="F22" s="5"/>
      </tp>
      <tp t="s">
        <v>#N/A N/A</v>
        <stp/>
        <stp>BDP|18339322035099826723</stp>
        <tr r="G72" s="5"/>
      </tp>
      <tp t="s">
        <v>#N/A N/A</v>
        <stp/>
        <stp>BDP|16535702484767668894</stp>
        <tr r="AD119" s="5"/>
      </tp>
      <tp t="s">
        <v>#N/A N/A</v>
        <stp/>
        <stp>BDP|17343637299497006988</stp>
        <tr r="P105" s="5"/>
      </tp>
      <tp t="s">
        <v>#N/A N/A</v>
        <stp/>
        <stp>BDP|12483069902994675072</stp>
        <tr r="J101" s="5"/>
      </tp>
      <tp t="s">
        <v>#N/A N/A</v>
        <stp/>
        <stp>BDP|10843512548064993392</stp>
        <tr r="Q56" s="5"/>
      </tp>
      <tp t="s">
        <v>#N/A N/A</v>
        <stp/>
        <stp>BDP|11635744971412343515</stp>
        <tr r="G68" s="5"/>
      </tp>
      <tp t="s">
        <v>#N/A N/A</v>
        <stp/>
        <stp>BDP|17185454165095821694</stp>
        <tr r="H94" s="5"/>
      </tp>
      <tp t="s">
        <v>#N/A N/A</v>
        <stp/>
        <stp>BDP|15733540775426628709</stp>
        <tr r="U9" s="5"/>
      </tp>
      <tp t="s">
        <v>#N/A N/A</v>
        <stp/>
        <stp>BDP|16205912484605105468</stp>
        <tr r="S114" s="5"/>
      </tp>
      <tp t="s">
        <v>#N/A N/A</v>
        <stp/>
        <stp>BDP|11249578210917171442</stp>
        <tr r="W87" s="5"/>
      </tp>
      <tp t="s">
        <v>#N/A N/A</v>
        <stp/>
        <stp>BDP|11034115024342432611</stp>
        <tr r="AR68" s="5"/>
      </tp>
      <tp t="s">
        <v>#N/A N/A</v>
        <stp/>
        <stp>BDP|18112347887162016722</stp>
        <tr r="O117" s="5"/>
      </tp>
      <tp t="s">
        <v>#N/A N/A</v>
        <stp/>
        <stp>BDP|16731604261200290048</stp>
        <tr r="U127" s="5"/>
      </tp>
      <tp t="s">
        <v>#N/A N/A</v>
        <stp/>
        <stp>BDP|16417748048570923327</stp>
        <tr r="G120" s="5"/>
      </tp>
      <tp t="s">
        <v>#N/A N/A</v>
        <stp/>
        <stp>BDP|16383171359144744094</stp>
        <tr r="U124" s="5"/>
      </tp>
      <tp t="s">
        <v>#N/A N/A</v>
        <stp/>
        <stp>BDP|17910428749466242731</stp>
        <tr r="AQ103" s="5"/>
      </tp>
      <tp t="s">
        <v>#N/A N/A</v>
        <stp/>
        <stp>BDP|14960950157348858600</stp>
        <tr r="AS123" s="5"/>
      </tp>
      <tp t="s">
        <v>#N/A N/A</v>
        <stp/>
        <stp>BDP|12773323914370736654</stp>
        <tr r="N118" s="5"/>
      </tp>
      <tp t="s">
        <v>#N/A N/A</v>
        <stp/>
        <stp>BDP|12983092645218290846</stp>
        <tr r="AN120" s="5"/>
      </tp>
      <tp t="s">
        <v>#N/A N/A</v>
        <stp/>
        <stp>BDP|14245237127147111558</stp>
        <tr r="F24" s="5"/>
      </tp>
      <tp t="s">
        <v>#N/A N/A</v>
        <stp/>
        <stp>BDP|13844183136817795038</stp>
        <tr r="Z99" s="5"/>
      </tp>
      <tp t="s">
        <v>#N/A N/A</v>
        <stp/>
        <stp>BDP|16735633796498676760</stp>
        <tr r="Z92" s="5"/>
      </tp>
      <tp t="s">
        <v>#N/A N/A</v>
        <stp/>
        <stp>BDP|17006404747044101546</stp>
        <tr r="P108" s="5"/>
      </tp>
      <tp t="s">
        <v>#N/A N/A</v>
        <stp/>
        <stp>BDP|11173769417437420668</stp>
        <tr r="H95" s="5"/>
      </tp>
      <tp t="s">
        <v>#N/A N/A</v>
        <stp/>
        <stp>BDP|11313502825647330770</stp>
        <tr r="Z82" s="5"/>
      </tp>
      <tp t="s">
        <v>#N/A N/A</v>
        <stp/>
        <stp>BDP|17891561439035579276</stp>
        <tr r="H61" s="5"/>
      </tp>
      <tp t="s">
        <v>#N/A N/A</v>
        <stp/>
        <stp>BDP|17529825154835191978</stp>
        <tr r="L120" s="5"/>
      </tp>
      <tp t="s">
        <v>#N/A N/A</v>
        <stp/>
        <stp>BDP|13386311140137010565</stp>
        <tr r="U96" s="5"/>
      </tp>
      <tp t="s">
        <v>#N/A N/A</v>
        <stp/>
        <stp>BDP|11449488044386566195</stp>
        <tr r="AD28" s="5"/>
      </tp>
      <tp t="s">
        <v>#N/A N/A</v>
        <stp/>
        <stp>BDP|10212670724160625237</stp>
        <tr r="J112" s="5"/>
      </tp>
      <tp t="s">
        <v>#N/A N/A</v>
        <stp/>
        <stp>BDP|15329296538513302169</stp>
        <tr r="N20" s="5"/>
      </tp>
      <tp t="s">
        <v>#N/A N/A</v>
        <stp/>
        <stp>BDP|11405417977210034457</stp>
        <tr r="AW128" s="5"/>
      </tp>
      <tp t="s">
        <v>#N/A N/A</v>
        <stp/>
        <stp>BDP|14393002021920140041</stp>
        <tr r="AP118" s="5"/>
      </tp>
      <tp t="s">
        <v>#N/A N/A</v>
        <stp/>
        <stp>BDP|10869041496057822850</stp>
        <tr r="AK118" s="5"/>
      </tp>
      <tp t="s">
        <v>#N/A N/A</v>
        <stp/>
        <stp>BDP|17737952696664105522</stp>
        <tr r="T100" s="5"/>
      </tp>
      <tp t="s">
        <v>#N/A N/A</v>
        <stp/>
        <stp>BDP|13598778864566819291</stp>
        <tr r="Q27" s="5"/>
      </tp>
      <tp t="s">
        <v>#N/A N/A</v>
        <stp/>
        <stp>BDP|14391043887673206947</stp>
        <tr r="E96" s="5"/>
      </tp>
      <tp t="s">
        <v>#N/A N/A</v>
        <stp/>
        <stp>BDP|16053233323440699006</stp>
        <tr r="N17" s="5"/>
      </tp>
      <tp t="s">
        <v>#N/A N/A</v>
        <stp/>
        <stp>BDP|13673268951340356244</stp>
        <tr r="AB77" s="5"/>
      </tp>
      <tp t="s">
        <v>#N/A N/A</v>
        <stp/>
        <stp>BDP|13745342580186376866</stp>
        <tr r="F113" s="5"/>
      </tp>
      <tp t="s">
        <v>#N/A N/A</v>
        <stp/>
        <stp>BDP|10221302522693610402</stp>
        <tr r="S125" s="5"/>
      </tp>
      <tp t="s">
        <v>#N/A N/A</v>
        <stp/>
        <stp>BDP|13260618496559289316</stp>
        <tr r="H66" s="5"/>
      </tp>
      <tp t="s">
        <v>#N/A N/A</v>
        <stp/>
        <stp>BDP|16984965972676398978</stp>
        <tr r="U62" s="5"/>
      </tp>
      <tp t="s">
        <v>#N/A N/A</v>
        <stp/>
        <stp>BDP|17533016839951518212</stp>
        <tr r="Q32" s="5"/>
      </tp>
      <tp t="s">
        <v>#N/A N/A</v>
        <stp/>
        <stp>BDP|13288019046486552691</stp>
        <tr r="AA117" s="5"/>
      </tp>
      <tp t="s">
        <v>#N/A N/A</v>
        <stp/>
        <stp>BDP|16756626629656056342</stp>
        <tr r="AJ116" s="5"/>
      </tp>
      <tp t="s">
        <v>#N/A N/A</v>
        <stp/>
        <stp>BDP|17823858805698861088</stp>
        <tr r="H83" s="5"/>
      </tp>
      <tp t="s">
        <v>#N/A N/A</v>
        <stp/>
        <stp>BDP|14036080723147107620</stp>
        <tr r="J125" s="5"/>
      </tp>
      <tp t="s">
        <v>#N/A N/A</v>
        <stp/>
        <stp>BDP|10803489025018992946</stp>
        <tr r="L20" s="5"/>
      </tp>
      <tp t="s">
        <v>#N/A N/A</v>
        <stp/>
        <stp>BDP|17934842571796688914</stp>
        <tr r="AJ125" s="5"/>
      </tp>
      <tp t="s">
        <v>#N/A N/A</v>
        <stp/>
        <stp>BDP|10792624142323514696</stp>
        <tr r="O115" s="5"/>
      </tp>
      <tp t="s">
        <v>#N/A N/A</v>
        <stp/>
        <stp>BDP|12424431782968819163</stp>
        <tr r="AF119" s="5"/>
      </tp>
      <tp t="s">
        <v>#N/A N/A</v>
        <stp/>
        <stp>BDP|12965257661459218849</stp>
        <tr r="G60" s="5"/>
      </tp>
      <tp t="s">
        <v>#N/A N/A</v>
        <stp/>
        <stp>BDP|10486163968675473557</stp>
        <tr r="AR28" s="5"/>
      </tp>
      <tp t="s">
        <v>#N/A N/A</v>
        <stp/>
        <stp>BDP|16527692252726730429</stp>
        <tr r="N117" s="5"/>
      </tp>
      <tp t="s">
        <v>#N/A N/A</v>
        <stp/>
        <stp>BDP|17783810648189208575</stp>
        <tr r="AB84" s="5"/>
      </tp>
      <tp t="s">
        <v>#N/A N/A</v>
        <stp/>
        <stp>BDP|17083845824859954338</stp>
        <tr r="M98" s="5"/>
      </tp>
      <tp t="s">
        <v>#N/A N/A</v>
        <stp/>
        <stp>BDP|18023891562088751968</stp>
        <tr r="Q112" s="5"/>
      </tp>
      <tp t="s">
        <v>#N/A N/A</v>
        <stp/>
        <stp>BDP|17780900241374266997</stp>
        <tr r="AI107" s="5"/>
      </tp>
      <tp t="s">
        <v>#N/A N/A</v>
        <stp/>
        <stp>BDP|10705697197399032149</stp>
        <tr r="Z73" s="5"/>
      </tp>
      <tp t="s">
        <v>#N/A N/A</v>
        <stp/>
        <stp>BDP|11795387545242601310</stp>
        <tr r="F19" s="5"/>
      </tp>
      <tp t="s">
        <v>#N/A N/A</v>
        <stp/>
        <stp>BDP|10498536106856425487</stp>
        <tr r="AR118" s="5"/>
      </tp>
      <tp t="s">
        <v>#N/A N/A</v>
        <stp/>
        <stp>BDP|14802436824356648340</stp>
        <tr r="V123" s="5"/>
      </tp>
      <tp t="s">
        <v>#N/A N/A</v>
        <stp/>
        <stp>BDP|17284381358945954377</stp>
        <tr r="K101" s="5"/>
      </tp>
      <tp t="s">
        <v>#N/A N/A</v>
        <stp/>
        <stp>BDP|13263125513703819774</stp>
        <tr r="N47" s="5"/>
      </tp>
      <tp t="s">
        <v>#N/A N/A</v>
        <stp/>
        <stp>BDP|13050297474445351424</stp>
        <tr r="H50" s="5"/>
      </tp>
      <tp t="s">
        <v>#N/A N/A</v>
        <stp/>
        <stp>BDP|10732220808982470767</stp>
        <tr r="E124" s="5"/>
      </tp>
      <tp t="s">
        <v>#N/A N/A</v>
        <stp/>
        <stp>BDP|10372073579023710359</stp>
        <tr r="M78" s="5"/>
      </tp>
      <tp t="s">
        <v>#N/A N/A</v>
        <stp/>
        <stp>BDP|14130611602016823355</stp>
        <tr r="L10" s="5"/>
      </tp>
      <tp t="s">
        <v>#N/A N/A</v>
        <stp/>
        <stp>BDP|13641799760831180401</stp>
        <tr r="H89" s="5"/>
      </tp>
      <tp t="s">
        <v>#N/A N/A</v>
        <stp/>
        <stp>BDP|14569368334692196183</stp>
        <tr r="AB78" s="5"/>
      </tp>
      <tp t="s">
        <v>#N/A N/A</v>
        <stp/>
        <stp>BDP|13989679891258168304</stp>
        <tr r="L19" s="5"/>
      </tp>
      <tp t="s">
        <v>#N/A N/A</v>
        <stp/>
        <stp>BDP|15607286070020318730</stp>
        <tr r="W122" s="5"/>
      </tp>
      <tp t="s">
        <v>#N/A N/A</v>
        <stp/>
        <stp>BDP|15157794482295473801</stp>
        <tr r="AD105" s="5"/>
      </tp>
      <tp t="s">
        <v>#N/A N/A</v>
        <stp/>
        <stp>BDP|15986411117771798699</stp>
        <tr r="AN112" s="5"/>
      </tp>
      <tp t="s">
        <v>#N/A N/A</v>
        <stp/>
        <stp>BDP|11166110401790582754</stp>
        <tr r="T99" s="5"/>
      </tp>
      <tp t="s">
        <v>#N/A N/A</v>
        <stp/>
        <stp>BDP|10482878630158611442</stp>
        <tr r="AD48" s="5"/>
      </tp>
      <tp t="s">
        <v>#N/A N/A</v>
        <stp/>
        <stp>BDP|13565573411614001423</stp>
        <tr r="R126" s="5"/>
      </tp>
      <tp t="s">
        <v>#N/A N/A</v>
        <stp/>
        <stp>BDP|13378237102512545478</stp>
        <tr r="I98" s="5"/>
      </tp>
      <tp t="s">
        <v>#N/A N/A</v>
        <stp/>
        <stp>BDP|13700719646505804285</stp>
        <tr r="AM121" s="5"/>
      </tp>
      <tp t="s">
        <v>#N/A N/A</v>
        <stp/>
        <stp>BDP|14248729581688830490</stp>
        <tr r="F71" s="5"/>
      </tp>
      <tp t="s">
        <v>#N/A N/A</v>
        <stp/>
        <stp>BDP|14814478539510775416</stp>
        <tr r="AR128" s="5"/>
      </tp>
      <tp t="s">
        <v>#N/A N/A</v>
        <stp/>
        <stp>BDP|17462856803528356013</stp>
        <tr r="AB89" s="5"/>
      </tp>
      <tp t="s">
        <v>#N/A N/A</v>
        <stp/>
        <stp>BDP|16928703665043448384</stp>
        <tr r="AO122" s="5"/>
      </tp>
      <tp t="s">
        <v>#N/A N/A</v>
        <stp/>
        <stp>BDP|13989498747664017073</stp>
        <tr r="M51" s="5"/>
      </tp>
      <tp t="s">
        <v>#N/A N/A</v>
        <stp/>
        <stp>BDP|16702795186767217998</stp>
        <tr r="J12" s="5"/>
      </tp>
      <tp t="s">
        <v>#N/A N/A</v>
        <stp/>
        <stp>BDP|18345934159944860726</stp>
        <tr r="Z87" s="5"/>
      </tp>
      <tp t="s">
        <v>#N/A N/A</v>
        <stp/>
        <stp>BDP|11428963475268158058</stp>
        <tr r="O101" s="5"/>
      </tp>
      <tp t="s">
        <v>#N/A N/A</v>
        <stp/>
        <stp>BDP|12269347511470754733</stp>
        <tr r="F26" s="5"/>
      </tp>
      <tp t="s">
        <v>#N/A N/A</v>
        <stp/>
        <stp>BDP|14579364115724402516</stp>
        <tr r="U81" s="5"/>
      </tp>
      <tp t="s">
        <v>#N/A N/A</v>
        <stp/>
        <stp>BDP|13954992187356041342</stp>
        <tr r="Q45" s="5"/>
      </tp>
      <tp t="s">
        <v>#N/A N/A</v>
        <stp/>
        <stp>BDP|15646108372072762608</stp>
        <tr r="O116" s="5"/>
      </tp>
      <tp t="s">
        <v>#N/A N/A</v>
        <stp/>
        <stp>BDP|10046046416973829599</stp>
        <tr r="I129" s="5"/>
      </tp>
      <tp t="s">
        <v>#N/A N/A</v>
        <stp/>
        <stp>BDP|10117412306577353464</stp>
        <tr r="L122" s="5"/>
      </tp>
      <tp t="s">
        <v>#N/A N/A</v>
        <stp/>
        <stp>BDP|10485189268437575738</stp>
        <tr r="AR94" s="5"/>
      </tp>
      <tp t="s">
        <v>#N/A N/A</v>
        <stp/>
        <stp>BDP|15590573863549222811</stp>
        <tr r="AF97" s="5"/>
      </tp>
      <tp t="s">
        <v>#N/A N/A</v>
        <stp/>
        <stp>BDP|12461954310059071436</stp>
        <tr r="I103" s="5"/>
      </tp>
      <tp t="s">
        <v>#N/A N/A</v>
        <stp/>
        <stp>BDP|14197753017925932082</stp>
        <tr r="AB108" s="5"/>
      </tp>
      <tp t="s">
        <v>#N/A N/A</v>
        <stp/>
        <stp>BDP|18044576454756514946</stp>
        <tr r="T127" s="5"/>
      </tp>
      <tp t="s">
        <v>#N/A N/A</v>
        <stp/>
        <stp>BDP|14797870780990228302</stp>
        <tr r="L92" s="5"/>
      </tp>
      <tp t="s">
        <v>#N/A N/A</v>
        <stp/>
        <stp>BDP|17429010372242421568</stp>
        <tr r="AB101" s="5"/>
      </tp>
      <tp t="s">
        <v>#N/A N/A</v>
        <stp/>
        <stp>BDP|11496115750494055603</stp>
        <tr r="AD19" s="5"/>
      </tp>
      <tp t="s">
        <v>#N/A N/A</v>
        <stp/>
        <stp>BDP|13757416032082457155</stp>
        <tr r="R116" s="5"/>
      </tp>
      <tp t="s">
        <v>#N/A N/A</v>
        <stp/>
        <stp>BDP|12826300250653860051</stp>
        <tr r="Q23" s="5"/>
      </tp>
      <tp t="s">
        <v>#N/A N/A</v>
        <stp/>
        <stp>BDP|11834193644420120315</stp>
        <tr r="AN117" s="5"/>
      </tp>
      <tp t="s">
        <v>#N/A N/A</v>
        <stp/>
        <stp>BDP|11333477669003810707</stp>
        <tr r="AD79" s="5"/>
      </tp>
      <tp t="s">
        <v>#N/A N/A</v>
        <stp/>
        <stp>BDP|14152101556507436060</stp>
        <tr r="J114" s="5"/>
      </tp>
      <tp t="s">
        <v>#N/A N/A</v>
        <stp/>
        <stp>BDP|17239223636448604955</stp>
        <tr r="AR62" s="5"/>
      </tp>
      <tp t="s">
        <v>#N/A N/A</v>
        <stp/>
        <stp>BDP|17831036529406592436</stp>
        <tr r="H68" s="5"/>
      </tp>
      <tp t="s">
        <v>#N/A N/A</v>
        <stp/>
        <stp>BDP|13208729935433148304</stp>
        <tr r="W79" s="5"/>
      </tp>
      <tp t="s">
        <v>#N/A N/A</v>
        <stp/>
        <stp>BDP|18430950434671278435</stp>
        <tr r="Q39" s="5"/>
      </tp>
      <tp t="s">
        <v>#N/A N/A</v>
        <stp/>
        <stp>BDP|13348013336474737376</stp>
        <tr r="H64" s="5"/>
      </tp>
      <tp t="s">
        <v>#N/A N/A</v>
        <stp/>
        <stp>BDP|13412243553476042576</stp>
        <tr r="J121" s="5"/>
      </tp>
      <tp t="s">
        <v>#N/A N/A</v>
        <stp/>
        <stp>BDP|17191737190047099958</stp>
        <tr r="Q60" s="5"/>
      </tp>
      <tp t="s">
        <v>#N/A N/A</v>
        <stp/>
        <stp>BDP|10293361029474966239</stp>
        <tr r="AJ115" s="5"/>
      </tp>
      <tp t="s">
        <v>#N/A N/A</v>
        <stp/>
        <stp>BDP|11117845336564641924</stp>
        <tr r="N90" s="5"/>
      </tp>
      <tp t="s">
        <v>#N/A N/A</v>
        <stp/>
        <stp>BDP|17563469273162297157</stp>
        <tr r="Q114" s="5"/>
      </tp>
      <tp t="s">
        <v>#N/A N/A</v>
        <stp/>
        <stp>BDP|15394328918310808064</stp>
        <tr r="E75" s="5"/>
      </tp>
      <tp t="s">
        <v>#N/A N/A</v>
        <stp/>
        <stp>BDP|16399493705535196092</stp>
        <tr r="AS121" s="5"/>
      </tp>
      <tp t="s">
        <v>#N/A N/A</v>
        <stp/>
        <stp>BDP|12295158970195322623</stp>
        <tr r="AB80" s="5"/>
      </tp>
      <tp t="e">
        <v>#N/A</v>
        <stp/>
        <stp>BDH|12367160107946509242</stp>
        <tr r="AD5" s="1"/>
      </tp>
      <tp t="e">
        <v>#N/A</v>
        <stp/>
        <stp>BDH|12071251541041278214</stp>
        <tr r="L5" s="1"/>
      </tp>
      <tp t="s">
        <v>#N/A N/A</v>
        <stp/>
        <stp>BDP|13487003035193975712</stp>
        <tr r="AV123" s="5"/>
      </tp>
      <tp t="s">
        <v>#N/A N/A</v>
        <stp/>
        <stp>BDP|16458541830295090191</stp>
        <tr r="AS124" s="5"/>
      </tp>
      <tp t="s">
        <v>#N/A N/A</v>
        <stp/>
        <stp>BDP|17215218052164157093</stp>
        <tr r="G122" s="5"/>
      </tp>
      <tp t="s">
        <v>#N/A N/A</v>
        <stp/>
        <stp>BDP|14950274144745694351</stp>
        <tr r="AJ105" s="5"/>
      </tp>
      <tp t="s">
        <v>#N/A N/A</v>
        <stp/>
        <stp>BDP|13883451673737511322</stp>
        <tr r="Q105" s="5"/>
      </tp>
      <tp t="s">
        <v>#N/A N/A</v>
        <stp/>
        <stp>BDP|16462207215722825308</stp>
        <tr r="M76" s="5"/>
      </tp>
      <tp t="s">
        <v>#N/A N/A</v>
        <stp/>
        <stp>BDP|17663654277022985055</stp>
        <tr r="AQ121" s="5"/>
      </tp>
      <tp t="s">
        <v>#N/A N/A</v>
        <stp/>
        <stp>BDP|14529599014991571551</stp>
        <tr r="H118" s="5"/>
      </tp>
      <tp t="s">
        <v>#N/A N/A</v>
        <stp/>
        <stp>BDP|11321298176432279253</stp>
        <tr r="W112" s="5"/>
      </tp>
      <tp t="s">
        <v>#N/A N/A</v>
        <stp/>
        <stp>BDP|12090846106776891811</stp>
        <tr r="AB109" s="5"/>
      </tp>
      <tp t="s">
        <v>#N/A N/A</v>
        <stp/>
        <stp>BDP|11624747949840323624</stp>
        <tr r="Q95" s="5"/>
      </tp>
      <tp t="s">
        <v>#N/A N/A</v>
        <stp/>
        <stp>BDP|16846959209109879268</stp>
        <tr r="AT119" s="5"/>
      </tp>
      <tp t="s">
        <v>#N/A N/A</v>
        <stp/>
        <stp>BDP|13445325083295871974</stp>
        <tr r="Q82" s="5"/>
      </tp>
      <tp t="s">
        <v>#N/A N/A</v>
        <stp/>
        <stp>BDP|14222698786699808783</stp>
        <tr r="G98" s="5"/>
      </tp>
      <tp t="s">
        <v>#N/A N/A</v>
        <stp/>
        <stp>BDP|14677719278553520374</stp>
        <tr r="AR17" s="5"/>
      </tp>
      <tp t="s">
        <v>#N/A N/A</v>
        <stp/>
        <stp>BDP|11803227572130127049</stp>
        <tr r="AR35" s="5"/>
      </tp>
      <tp t="s">
        <v>#N/A N/A</v>
        <stp/>
        <stp>BDP|14316619809142015469</stp>
        <tr r="P124" s="5"/>
      </tp>
      <tp t="s">
        <v>#N/A N/A</v>
        <stp/>
        <stp>BDP|11417283874737612734</stp>
        <tr r="M47" s="5"/>
      </tp>
      <tp t="s">
        <v>#N/A N/A</v>
        <stp/>
        <stp>BDP|16679765068025590611</stp>
        <tr r="X125" s="5"/>
      </tp>
      <tp t="s">
        <v>#N/A N/A</v>
        <stp/>
        <stp>BDP|15973023438161899373</stp>
        <tr r="AB127" s="5"/>
      </tp>
      <tp t="s">
        <v>#N/A N/A</v>
        <stp/>
        <stp>BDP|14240741362969009880</stp>
        <tr r="AK96" s="5"/>
      </tp>
      <tp t="s">
        <v>#N/A N/A</v>
        <stp/>
        <stp>BDP|13350742019418225904</stp>
        <tr r="P104" s="5"/>
      </tp>
      <tp t="s">
        <v>#N/A N/A</v>
        <stp/>
        <stp>BDP|16193227531340715399</stp>
        <tr r="AR26" s="5"/>
      </tp>
      <tp t="s">
        <v>#N/A N/A</v>
        <stp/>
        <stp>BDP|16812421175278219917</stp>
        <tr r="O89" s="5"/>
      </tp>
      <tp t="s">
        <v>#N/A N/A</v>
        <stp/>
        <stp>BDP|10817402038762899149</stp>
        <tr r="AR90" s="5"/>
      </tp>
      <tp t="s">
        <v>#N/A N/A</v>
        <stp/>
        <stp>BDP|15121931229903778933</stp>
        <tr r="AG101" s="5"/>
      </tp>
      <tp t="s">
        <v>#N/A N/A</v>
        <stp/>
        <stp>BDP|12601708650525088197</stp>
        <tr r="O103" s="5"/>
      </tp>
      <tp t="s">
        <v>#N/A N/A</v>
        <stp/>
        <stp>BDP|14704142162471972676</stp>
        <tr r="G78" s="5"/>
      </tp>
      <tp t="s">
        <v>#N/A N/A</v>
        <stp/>
        <stp>BDP|17809747387665496915</stp>
        <tr r="J105" s="5"/>
      </tp>
      <tp t="s">
        <v>#N/A N/A</v>
        <stp/>
        <stp>BDP|11840036446495659450</stp>
        <tr r="AK115" s="5"/>
      </tp>
      <tp t="s">
        <v>#N/A N/A</v>
        <stp/>
        <stp>BDP|14861662252316362511</stp>
        <tr r="AJ110" s="5"/>
      </tp>
      <tp t="s">
        <v>#N/A N/A</v>
        <stp/>
        <stp>BDP|11572046197865107999</stp>
        <tr r="AC113" s="5"/>
      </tp>
      <tp t="s">
        <v>#N/A N/A</v>
        <stp/>
        <stp>BDP|10547776308085164652</stp>
        <tr r="U77" s="5"/>
      </tp>
      <tp t="s">
        <v>#N/A N/A</v>
        <stp/>
        <stp>BDP|16024835589692281091</stp>
        <tr r="K103" s="5"/>
      </tp>
      <tp t="s">
        <v>#N/A N/A</v>
        <stp/>
        <stp>BDP|16140578142611610237</stp>
        <tr r="U16" s="5"/>
      </tp>
      <tp t="s">
        <v>#N/A N/A</v>
        <stp/>
        <stp>BDP|14643732316534328212</stp>
        <tr r="L39" s="5"/>
      </tp>
      <tp t="s">
        <v>#N/A N/A</v>
        <stp/>
        <stp>BDP|11237263854317476556</stp>
        <tr r="AB90" s="5"/>
      </tp>
      <tp t="s">
        <v>#N/A N/A</v>
        <stp/>
        <stp>BDP|16020903305732001958</stp>
        <tr r="U63" s="5"/>
      </tp>
      <tp t="s">
        <v>#N/A N/A</v>
        <stp/>
        <stp>BDP|13191383149407246726</stp>
        <tr r="H98" s="5"/>
      </tp>
      <tp t="s">
        <v>#N/A N/A</v>
        <stp/>
        <stp>BDP|10374449658063948653</stp>
        <tr r="R125" s="5"/>
      </tp>
      <tp t="s">
        <v>#N/A N/A</v>
        <stp/>
        <stp>BDP|16484426904331402753</stp>
        <tr r="G107" s="5"/>
      </tp>
      <tp t="s">
        <v>#N/A N/A</v>
        <stp/>
        <stp>BDP|17823648039602667407</stp>
        <tr r="AF95" s="5"/>
      </tp>
      <tp t="s">
        <v>#N/A N/A</v>
        <stp/>
        <stp>BDP|14741273616270466313</stp>
        <tr r="Q40" s="5"/>
      </tp>
      <tp t="s">
        <v>#N/A N/A</v>
        <stp/>
        <stp>BDP|11746544972895446275</stp>
        <tr r="N50" s="5"/>
      </tp>
      <tp t="s">
        <v>#N/A N/A</v>
        <stp/>
        <stp>BDP|12261724764211575638</stp>
        <tr r="AD91" s="5"/>
      </tp>
      <tp t="s">
        <v>#N/A N/A</v>
        <stp/>
        <stp>BDP|10259696262766993223</stp>
        <tr r="V128" s="5"/>
      </tp>
      <tp t="s">
        <v>#N/A N/A</v>
        <stp/>
        <stp>BDP|13583785238940743300</stp>
        <tr r="K94" s="5"/>
      </tp>
      <tp t="s">
        <v>#N/A N/A</v>
        <stp/>
        <stp>BDP|14925827916710143998</stp>
        <tr r="F32" s="5"/>
      </tp>
      <tp t="s">
        <v>#N/A N/A</v>
        <stp/>
        <stp>BDP|11909519465601149797</stp>
        <tr r="G88" s="5"/>
      </tp>
      <tp t="s">
        <v>#N/A N/A</v>
        <stp/>
        <stp>BDP|16581934795241597332</stp>
        <tr r="J5" s="5"/>
      </tp>
      <tp t="s">
        <v>#N/A N/A</v>
        <stp/>
        <stp>BDP|12014059664005143546</stp>
        <tr r="Q22" s="5"/>
      </tp>
      <tp t="s">
        <v>#N/A N/A</v>
        <stp/>
        <stp>BDP|12668450493453673828</stp>
        <tr r="U84" s="5"/>
      </tp>
      <tp t="s">
        <v>#N/A N/A</v>
        <stp/>
        <stp>BDP|17649004015910659211</stp>
        <tr r="J116" s="5"/>
      </tp>
      <tp t="s">
        <v>#N/A N/A</v>
        <stp/>
        <stp>BDP|14975212286838236283</stp>
        <tr r="E114" s="5"/>
      </tp>
      <tp t="s">
        <v>#N/A N/A</v>
        <stp/>
        <stp>BDP|15183283749062325575</stp>
        <tr r="G77" s="5"/>
      </tp>
      <tp t="s">
        <v>#N/A N/A</v>
        <stp/>
        <stp>BDP|11846649569397200206</stp>
        <tr r="J99" s="5"/>
      </tp>
      <tp t="s">
        <v>#N/A N/A</v>
        <stp/>
        <stp>BDP|14624133404588130960</stp>
        <tr r="N87" s="5"/>
      </tp>
      <tp t="e">
        <v>#N/A</v>
        <stp/>
        <stp>BDH|15385588504376983274</stp>
        <tr r="AS5" s="1"/>
      </tp>
      <tp t="s">
        <v>#N/A N/A</v>
        <stp/>
        <stp>BDP|15381481513696958388</stp>
        <tr r="H86" s="5"/>
      </tp>
      <tp t="s">
        <v>#N/A N/A</v>
        <stp/>
        <stp>BDP|11824487246622960667</stp>
        <tr r="Q127" s="5"/>
      </tp>
      <tp t="s">
        <v>#N/A N/A</v>
        <stp/>
        <stp>BDP|17761584826790806585</stp>
        <tr r="U14" s="5"/>
      </tp>
      <tp t="s">
        <v>#N/A N/A</v>
        <stp/>
        <stp>BDP|16619240801684369597</stp>
        <tr r="I100" s="5"/>
      </tp>
      <tp t="s">
        <v>#N/A N/A</v>
        <stp/>
        <stp>BDP|16741309364972984427</stp>
        <tr r="S119" s="5"/>
      </tp>
      <tp t="s">
        <v>#N/A N/A</v>
        <stp/>
        <stp>BDP|16451162124848675882</stp>
        <tr r="J56" s="5"/>
      </tp>
      <tp t="s">
        <v>#N/A N/A</v>
        <stp/>
        <stp>BDP|10780718434536852725</stp>
        <tr r="F82" s="5"/>
      </tp>
      <tp t="s">
        <v>#N/A N/A</v>
        <stp/>
        <stp>BDP|15922498179472699173</stp>
        <tr r="G18" s="5"/>
      </tp>
      <tp t="s">
        <v>#N/A N/A</v>
        <stp/>
        <stp>BDP|16140608809650021533</stp>
        <tr r="L66" s="5"/>
      </tp>
      <tp t="s">
        <v>#N/A N/A</v>
        <stp/>
        <stp>BDP|16907773955133905299</stp>
        <tr r="N121" s="5"/>
      </tp>
      <tp t="s">
        <v>#N/A N/A</v>
        <stp/>
        <stp>BDP|17074575141380563388</stp>
        <tr r="AD68" s="5"/>
      </tp>
      <tp t="s">
        <v>#N/A N/A</v>
        <stp/>
        <stp>BDP|14456774469906026615</stp>
        <tr r="G105" s="5"/>
      </tp>
      <tp t="s">
        <v>#N/A N/A</v>
        <stp/>
        <stp>BDP|17138662150026919753</stp>
        <tr r="W109" s="5"/>
      </tp>
      <tp t="s">
        <v>#N/A N/A</v>
        <stp/>
        <stp>BDP|13509767943857345289</stp>
        <tr r="AR10" s="5"/>
      </tp>
      <tp t="s">
        <v>#N/A N/A</v>
        <stp/>
        <stp>BDP|14877778975214532548</stp>
        <tr r="G54" s="5"/>
      </tp>
      <tp t="s">
        <v>#N/A N/A</v>
        <stp/>
        <stp>BDP|12908478170606313272</stp>
        <tr r="F104" s="5"/>
      </tp>
      <tp t="s">
        <v>#N/A N/A</v>
        <stp/>
        <stp>BDP|13841563681838053356</stp>
        <tr r="Z110" s="5"/>
      </tp>
      <tp t="s">
        <v>#N/A N/A</v>
        <stp/>
        <stp>BDP|10923565572205024277</stp>
        <tr r="AA124" s="5"/>
      </tp>
      <tp t="s">
        <v>#N/A N/A</v>
        <stp/>
        <stp>BDP|13932248144921649151</stp>
        <tr r="AR121" s="5"/>
      </tp>
      <tp t="s">
        <v>#N/A N/A</v>
        <stp/>
        <stp>BDP|15318898483951700139</stp>
        <tr r="R129" s="5"/>
      </tp>
      <tp t="s">
        <v>#N/A N/A</v>
        <stp/>
        <stp>BDP|17082061433356800702</stp>
        <tr r="AF118" s="5"/>
      </tp>
      <tp t="s">
        <v>#N/A N/A</v>
        <stp/>
        <stp>BDP|11358586461947061079</stp>
        <tr r="Q96" s="5"/>
      </tp>
      <tp t="s">
        <v>#N/A N/A</v>
        <stp/>
        <stp>BDP|13160468228360359000</stp>
        <tr r="AF102" s="5"/>
      </tp>
      <tp t="s">
        <v>#N/A N/A</v>
        <stp/>
        <stp>BDP|14584653529393177647</stp>
        <tr r="J71" s="5"/>
      </tp>
      <tp t="s">
        <v>#N/A N/A</v>
        <stp/>
        <stp>BDP|15003305802030979372</stp>
        <tr r="F75" s="5"/>
      </tp>
      <tp t="s">
        <v>#N/A N/A</v>
        <stp/>
        <stp>BDP|10840383563665849572</stp>
        <tr r="J128" s="5"/>
      </tp>
      <tp t="s">
        <v>#N/A N/A</v>
        <stp/>
        <stp>BDP|16640566667260356083</stp>
        <tr r="AD6" s="5"/>
      </tp>
      <tp t="s">
        <v>#N/A N/A</v>
        <stp/>
        <stp>BDP|12112421873792951654</stp>
        <tr r="E94" s="5"/>
      </tp>
      <tp t="s">
        <v>#N/A N/A</v>
        <stp/>
        <stp>BDP|11687053541532514291</stp>
        <tr r="J10" s="5"/>
      </tp>
      <tp t="s">
        <v>#N/A N/A</v>
        <stp/>
        <stp>BDP|10536237456470624285</stp>
        <tr r="AQ94" s="5"/>
      </tp>
      <tp t="s">
        <v>#N/A N/A</v>
        <stp/>
        <stp>BDP|12714541835946644717</stp>
        <tr r="AK124" s="5"/>
      </tp>
      <tp t="s">
        <v>#N/A N/A</v>
        <stp/>
        <stp>BDP|13844549953392726490</stp>
        <tr r="Z105" s="5"/>
      </tp>
      <tp t="s">
        <v>#N/A N/A</v>
        <stp/>
        <stp>BDP|16531834255457120932</stp>
        <tr r="U105" s="5"/>
      </tp>
      <tp t="s">
        <v>#N/A N/A</v>
        <stp/>
        <stp>BDP|14781453945387431628</stp>
        <tr r="G96" s="5"/>
      </tp>
      <tp t="s">
        <v>#N/A N/A</v>
        <stp/>
        <stp>BDP|18024467835662640847</stp>
        <tr r="H53" s="5"/>
      </tp>
      <tp t="s">
        <v>#N/A N/A</v>
        <stp/>
        <stp>BDP|12846382340948203824</stp>
        <tr r="L11" s="5"/>
      </tp>
      <tp t="s">
        <v>#N/A N/A</v>
        <stp/>
        <stp>BDP|10998176538645762215</stp>
        <tr r="AR83" s="5"/>
      </tp>
      <tp t="s">
        <v>#N/A N/A</v>
        <stp/>
        <stp>BDP|17977291269037199182</stp>
        <tr r="AR106" s="5"/>
      </tp>
      <tp t="s">
        <v>#N/A N/A</v>
        <stp/>
        <stp>BDP|13011889599544041314</stp>
        <tr r="J8" s="5"/>
      </tp>
      <tp t="s">
        <v>#N/A N/A</v>
        <stp/>
        <stp>BDP|13875349583414910966</stp>
        <tr r="AR97" s="5"/>
      </tp>
      <tp t="s">
        <v>#N/A N/A</v>
        <stp/>
        <stp>BDP|15676863193596509760</stp>
        <tr r="T96" s="5"/>
      </tp>
      <tp t="s">
        <v>#N/A N/A</v>
        <stp/>
        <stp>BDP|13643358746415712414</stp>
        <tr r="H103" s="5"/>
      </tp>
      <tp t="s">
        <v>#N/A N/A</v>
        <stp/>
        <stp>BDP|15714432870703550020</stp>
        <tr r="U103" s="5"/>
      </tp>
      <tp t="s">
        <v>#N/A N/A</v>
        <stp/>
        <stp>BDP|13693017045330644279</stp>
        <tr r="S122" s="5"/>
      </tp>
      <tp t="s">
        <v>#N/A N/A</v>
        <stp/>
        <stp>BDP|16897706089518192433</stp>
        <tr r="F107" s="5"/>
      </tp>
      <tp t="s">
        <v>#N/A N/A</v>
        <stp/>
        <stp>BDP|10562726677085427075</stp>
        <tr r="U68" s="5"/>
      </tp>
      <tp t="s">
        <v>#N/A N/A</v>
        <stp/>
        <stp>BDP|18165165611495365864</stp>
        <tr r="W124" s="5"/>
      </tp>
      <tp t="s">
        <v>#N/A N/A</v>
        <stp/>
        <stp>BDP|15191626327933096764</stp>
        <tr r="AG125" s="5"/>
      </tp>
      <tp t="s">
        <v>#N/A N/A</v>
        <stp/>
        <stp>BDP|15757177385569345042</stp>
        <tr r="J52" s="5"/>
      </tp>
      <tp t="s">
        <v>#N/A N/A</v>
        <stp/>
        <stp>BDP|13057508785983698818</stp>
        <tr r="AB79" s="5"/>
      </tp>
      <tp t="s">
        <v>#N/A N/A</v>
        <stp/>
        <stp>BDP|17128443513276413106</stp>
        <tr r="AG126" s="5"/>
      </tp>
      <tp t="s">
        <v>#N/A N/A</v>
        <stp/>
        <stp>BDP|17813171424563795293</stp>
        <tr r="AK97" s="5"/>
      </tp>
      <tp t="s">
        <v>#N/A N/A</v>
        <stp/>
        <stp>BDP|17784511977724355478</stp>
        <tr r="AR76" s="5"/>
      </tp>
      <tp t="s">
        <v>#N/A N/A</v>
        <stp/>
        <stp>BDP|10097575424824213645</stp>
        <tr r="AV122" s="5"/>
      </tp>
      <tp t="s">
        <v>#N/A N/A</v>
        <stp/>
        <stp>BDP|15446530750527159731</stp>
        <tr r="AO113" s="5"/>
      </tp>
      <tp t="s">
        <v>#N/A N/A</v>
        <stp/>
        <stp>BDP|14231744351170248306</stp>
        <tr r="AQ102" s="5"/>
      </tp>
      <tp t="s">
        <v>#N/A N/A</v>
        <stp/>
        <stp>BDP|16219645225417200044</stp>
        <tr r="AD21" s="5"/>
      </tp>
      <tp t="s">
        <v>#N/A N/A</v>
        <stp/>
        <stp>BDP|10940823311498996470</stp>
        <tr r="AR74" s="5"/>
      </tp>
      <tp t="s">
        <v>#N/A N/A</v>
        <stp/>
        <stp>BDP|16377302156210575549</stp>
        <tr r="F36" s="5"/>
      </tp>
      <tp t="s">
        <v>#N/A N/A</v>
        <stp/>
        <stp>BDP|12481144675359674875</stp>
        <tr r="AF101" s="5"/>
      </tp>
      <tp t="s">
        <v>#N/A N/A</v>
        <stp/>
        <stp>BDP|10099202362868368954</stp>
        <tr r="AB95" s="5"/>
      </tp>
      <tp t="s">
        <v>#N/A N/A</v>
        <stp/>
        <stp>BDP|17920358129273157008</stp>
        <tr r="N108" s="5"/>
      </tp>
      <tp t="s">
        <v>#N/A N/A</v>
        <stp/>
        <stp>BDP|18352368944668790219</stp>
        <tr r="M82" s="5"/>
      </tp>
      <tp t="s">
        <v>#N/A N/A</v>
        <stp/>
        <stp>BDP|14523013693211691965</stp>
        <tr r="F111" s="5"/>
      </tp>
      <tp t="s">
        <v>#N/A N/A</v>
        <stp/>
        <stp>BDP|13881045052090013391</stp>
        <tr r="AD16" s="5"/>
      </tp>
      <tp t="s">
        <v>#N/A N/A</v>
        <stp/>
        <stp>BDP|16272362112986806790</stp>
        <tr r="AV115" s="5"/>
      </tp>
      <tp t="s">
        <v>#N/A N/A</v>
        <stp/>
        <stp>BDP|12705376152175606434</stp>
        <tr r="AR110" s="5"/>
      </tp>
      <tp t="s">
        <v>#N/A N/A</v>
        <stp/>
        <stp>BDP|10627586489771960988</stp>
        <tr r="AB125" s="5"/>
      </tp>
      <tp t="s">
        <v>#N/A N/A</v>
        <stp/>
        <stp>BDP|11645229132924965196</stp>
        <tr r="M53" s="5"/>
      </tp>
      <tp t="e">
        <v>#N/A</v>
        <stp/>
        <stp>BDH|16388749879344777728</stp>
        <tr r="AB5" s="1"/>
      </tp>
      <tp t="e">
        <v>#N/A</v>
        <stp/>
        <stp>BDH|10999280612134821215</stp>
        <tr r="R5" s="1"/>
      </tp>
      <tp t="s">
        <v>#N/A N/A</v>
        <stp/>
        <stp>BDH|11641671969711463535</stp>
        <tr r="C5" s="5"/>
      </tp>
    </main>
    <main first="bofaddin.rtdserver">
      <tp t="s">
        <v>#N/A N/A</v>
        <stp/>
        <stp>BDP|3268227311005302</stp>
        <tr r="O90" s="5"/>
      </tp>
      <tp t="s">
        <v>#N/A N/A</v>
        <stp/>
        <stp>BDP|7163971195233062892</stp>
        <tr r="AS125" s="5"/>
      </tp>
      <tp t="s">
        <v>#N/A N/A</v>
        <stp/>
        <stp>BDP|6493345548398294507</stp>
        <tr r="H73" s="5"/>
      </tp>
      <tp t="s">
        <v>#N/A N/A</v>
        <stp/>
        <stp>BDP|3889666395348499857</stp>
        <tr r="P113" s="5"/>
      </tp>
      <tp t="s">
        <v>#N/A N/A</v>
        <stp/>
        <stp>BDP|8214142308465256061</stp>
        <tr r="U92" s="5"/>
      </tp>
      <tp t="s">
        <v>#N/A N/A</v>
        <stp/>
        <stp>BDP|9085395553854635765</stp>
        <tr r="AI124" s="5"/>
      </tp>
      <tp t="s">
        <v>#N/A N/A</v>
        <stp/>
        <stp>BDP|9171080816546121243</stp>
        <tr r="N56" s="5"/>
      </tp>
      <tp t="s">
        <v>#N/A N/A</v>
        <stp/>
        <stp>BDP|1044263413619770784</stp>
        <tr r="AF98" s="5"/>
      </tp>
      <tp t="e">
        <v>#N/A</v>
        <stp/>
        <stp>BDH|5851829642381582477</stp>
        <tr r="AI5" s="1"/>
      </tp>
      <tp t="s">
        <v>#N/A N/A</v>
        <stp/>
        <stp>BDP|9949226444764365778</stp>
        <tr r="AC124" s="5"/>
      </tp>
      <tp t="s">
        <v>#N/A N/A</v>
        <stp/>
        <stp>BDP|5547999256501239434</stp>
        <tr r="AM123" s="5"/>
      </tp>
      <tp t="s">
        <v>#N/A N/A</v>
        <stp/>
        <stp>BDP|4171526951129868118</stp>
        <tr r="AD60" s="5"/>
      </tp>
      <tp t="s">
        <v>#N/A N/A</v>
        <stp/>
        <stp>BDP|8602720145086358196</stp>
        <tr r="AB98" s="5"/>
      </tp>
      <tp t="s">
        <v>#N/A N/A</v>
        <stp/>
        <stp>BDP|8871337681567217831</stp>
        <tr r="N61" s="5"/>
      </tp>
      <tp t="s">
        <v>#N/A N/A</v>
        <stp/>
        <stp>BDP|5015746098911287653</stp>
        <tr r="G36" s="5"/>
      </tp>
      <tp t="s">
        <v>#N/A N/A</v>
        <stp/>
        <stp>BDP|6337576343592803944</stp>
        <tr r="AH127" s="5"/>
      </tp>
      <tp t="s">
        <v>#N/A N/A</v>
        <stp/>
        <stp>BDP|3036697526268766336</stp>
        <tr r="U61" s="5"/>
      </tp>
      <tp t="s">
        <v>#N/A N/A</v>
        <stp/>
        <stp>BDP|4384998057436086257</stp>
        <tr r="E92" s="5"/>
      </tp>
      <tp t="s">
        <v>#N/A N/A</v>
        <stp/>
        <stp>BDP|3602011743073981855</stp>
        <tr r="F54" s="5"/>
      </tp>
      <tp t="s">
        <v>#N/A N/A</v>
        <stp/>
        <stp>BDP|5777898334051506371</stp>
        <tr r="AQ125" s="5"/>
      </tp>
      <tp t="s">
        <v>#N/A N/A</v>
        <stp/>
        <stp>BDP|2509484704522712864</stp>
        <tr r="AS126" s="5"/>
      </tp>
      <tp t="s">
        <v>#N/A N/A</v>
        <stp/>
        <stp>BDP|1949011725559640633</stp>
        <tr r="H115" s="5"/>
      </tp>
      <tp t="s">
        <v>#N/A N/A</v>
        <stp/>
        <stp>BDP|9680392294349358615</stp>
        <tr r="AD32" s="5"/>
      </tp>
      <tp t="s">
        <v>#N/A N/A</v>
        <stp/>
        <stp>BDP|6773877751734023380</stp>
        <tr r="U41" s="5"/>
      </tp>
      <tp t="s">
        <v>#N/A N/A</v>
        <stp/>
        <stp>BDP|9294380679908924937</stp>
        <tr r="AY124" s="5"/>
      </tp>
      <tp t="s">
        <v>#N/A N/A</v>
        <stp/>
        <stp>BDP|9293661978051095555</stp>
        <tr r="E101" s="5"/>
      </tp>
      <tp t="s">
        <v>#N/A N/A</v>
        <stp/>
        <stp>BDP|8490287926827146353</stp>
        <tr r="AO123" s="5"/>
      </tp>
      <tp t="s">
        <v>#N/A N/A</v>
        <stp/>
        <stp>BDP|3724926972009944807</stp>
        <tr r="AB92" s="5"/>
      </tp>
      <tp t="s">
        <v>#N/A N/A</v>
        <stp/>
        <stp>BDP|3622411129850442949</stp>
        <tr r="N32" s="5"/>
      </tp>
      <tp t="s">
        <v>#N/A N/A</v>
        <stp/>
        <stp>BDP|3219756289651908189</stp>
        <tr r="O127" s="5"/>
      </tp>
      <tp t="s">
        <v>#N/A N/A</v>
        <stp/>
        <stp>BDP|8659409435423454087</stp>
        <tr r="G43" s="5"/>
      </tp>
      <tp t="s">
        <v>#N/A N/A</v>
        <stp/>
        <stp>BDP|6092423388382238477</stp>
        <tr r="Z106" s="5"/>
      </tp>
      <tp t="s">
        <v>#N/A N/A</v>
        <stp/>
        <stp>BDP|2781238689173584776</stp>
        <tr r="AQ123" s="5"/>
      </tp>
      <tp t="s">
        <v>#N/A N/A</v>
        <stp/>
        <stp>BDP|4309177996654954445</stp>
        <tr r="Q70" s="5"/>
      </tp>
      <tp t="s">
        <v>#N/A N/A</v>
        <stp/>
        <stp>BDP|5944296928180477935</stp>
        <tr r="S123" s="5"/>
      </tp>
      <tp t="s">
        <v>#N/A N/A</v>
        <stp/>
        <stp>BDP|7904218282397599604</stp>
        <tr r="J17" s="5"/>
      </tp>
      <tp t="e">
        <v>#N/A</v>
        <stp/>
        <stp>BDH|3534320184644572099</stp>
        <tr r="AA5" s="1"/>
      </tp>
      <tp t="s">
        <v>#N/A N/A</v>
        <stp/>
        <stp>BDP|4567735789435031239</stp>
        <tr r="N21" s="5"/>
      </tp>
      <tp t="s">
        <v>#N/A N/A</v>
        <stp/>
        <stp>BDP|9720808889511053428</stp>
        <tr r="AF96" s="5"/>
      </tp>
      <tp t="s">
        <v>#N/A N/A</v>
        <stp/>
        <stp>BDP|3812019596901523766</stp>
        <tr r="F78" s="5"/>
      </tp>
      <tp t="s">
        <v>#N/A N/A</v>
        <stp/>
        <stp>BDP|4445593736787522926</stp>
        <tr r="N48" s="5"/>
      </tp>
      <tp t="s">
        <v>#N/A N/A</v>
        <stp/>
        <stp>BDP|3973717498697440685</stp>
        <tr r="W85" s="5"/>
      </tp>
      <tp t="s">
        <v>#N/A N/A</v>
        <stp/>
        <stp>BDP|2609693392772572359</stp>
        <tr r="U49" s="5"/>
      </tp>
      <tp t="s">
        <v>#N/A N/A</v>
        <stp/>
        <stp>BDP|8318895727487893988</stp>
        <tr r="Z118" s="5"/>
      </tp>
      <tp t="s">
        <v>#N/A N/A</v>
        <stp/>
        <stp>BDP|5892970413968619971</stp>
        <tr r="H52" s="5"/>
      </tp>
      <tp t="s">
        <v>#N/A N/A</v>
        <stp/>
        <stp>BDP|2751855791946797992</stp>
        <tr r="H113" s="5"/>
      </tp>
      <tp t="s">
        <v>#N/A N/A</v>
        <stp/>
        <stp>BDP|3674444079188529436</stp>
        <tr r="O119" s="5"/>
      </tp>
      <tp t="s">
        <v>#N/A N/A</v>
        <stp/>
        <stp>BDP|4206118693750056023</stp>
        <tr r="U12" s="5"/>
      </tp>
      <tp t="s">
        <v>#N/A N/A</v>
        <stp/>
        <stp>BDP|7927392385503700309</stp>
        <tr r="L102" s="5"/>
      </tp>
      <tp t="s">
        <v>#N/A N/A</v>
        <stp/>
        <stp>BDP|8385666136924442553</stp>
        <tr r="I115" s="5"/>
      </tp>
      <tp t="s">
        <v>#N/A N/A</v>
        <stp/>
        <stp>BDP|8282808643780042830</stp>
        <tr r="L119" s="5"/>
      </tp>
      <tp t="s">
        <v>#N/A N/A</v>
        <stp/>
        <stp>BDP|7052825157514461235</stp>
        <tr r="Z119" s="5"/>
      </tp>
      <tp t="s">
        <v>#N/A N/A</v>
        <stp/>
        <stp>BDP|3361800793668349601</stp>
        <tr r="H71" s="5"/>
      </tp>
      <tp t="s">
        <v>#N/A N/A</v>
        <stp/>
        <stp>BDP|8207284118797030028</stp>
        <tr r="U128" s="5"/>
      </tp>
      <tp t="s">
        <v>#N/A N/A</v>
        <stp/>
        <stp>BDP|1140730712029664268</stp>
        <tr r="W83" s="5"/>
      </tp>
      <tp t="s">
        <v>#N/A N/A</v>
        <stp/>
        <stp>BDP|8374068933374307350</stp>
        <tr r="L30" s="5"/>
      </tp>
      <tp t="s">
        <v>#N/A N/A</v>
        <stp/>
        <stp>BDP|5253380788422203001</stp>
        <tr r="AF104" s="5"/>
      </tp>
      <tp t="s">
        <v>#N/A N/A</v>
        <stp/>
        <stp>BDP|3192269787090801586</stp>
        <tr r="N25" s="5"/>
      </tp>
      <tp t="s">
        <v>#N/A N/A</v>
        <stp/>
        <stp>BDP|8350439367664339252</stp>
        <tr r="Q55" s="5"/>
      </tp>
      <tp t="s">
        <v>#N/A N/A</v>
        <stp/>
        <stp>BDP|9689139557875524467</stp>
        <tr r="AD88" s="5"/>
      </tp>
      <tp t="s">
        <v>#N/A N/A</v>
        <stp/>
        <stp>BDP|1761193485527350397</stp>
        <tr r="AD100" s="5"/>
      </tp>
      <tp t="s">
        <v>#N/A N/A</v>
        <stp/>
        <stp>BDP|1068662652628198631</stp>
        <tr r="AN125" s="5"/>
      </tp>
      <tp t="s">
        <v>#N/A N/A</v>
        <stp/>
        <stp>BDP|4901190952809245563</stp>
        <tr r="P88" s="5"/>
      </tp>
      <tp t="s">
        <v>#N/A N/A</v>
        <stp/>
        <stp>BDP|8380514613279792909</stp>
        <tr r="I116" s="5"/>
      </tp>
      <tp t="s">
        <v>#N/A N/A</v>
        <stp/>
        <stp>BDP|3944576709023521941</stp>
        <tr r="AF111" s="5"/>
      </tp>
      <tp t="s">
        <v>#N/A N/A</v>
        <stp/>
        <stp>BDP|7768303790098909984</stp>
        <tr r="AY125" s="5"/>
      </tp>
      <tp t="s">
        <v>#N/A N/A</v>
        <stp/>
        <stp>BDP|2258922538666652285</stp>
        <tr r="U64" s="5"/>
      </tp>
      <tp t="s">
        <v>#N/A N/A</v>
        <stp/>
        <stp>BDP|6397777186854711137</stp>
        <tr r="E115" s="5"/>
      </tp>
      <tp t="s">
        <v>#N/A N/A</v>
        <stp/>
        <stp>BDP|4527981023370819303</stp>
        <tr r="AH125" s="5"/>
      </tp>
      <tp t="s">
        <v>#N/A N/A</v>
        <stp/>
        <stp>BDP|2346815332147509228</stp>
        <tr r="Z86" s="5"/>
      </tp>
      <tp t="s">
        <v>#N/A N/A</v>
        <stp/>
        <stp>BDP|6587817637384760530</stp>
        <tr r="AF127" s="5"/>
      </tp>
      <tp t="s">
        <v>#N/A N/A</v>
        <stp/>
        <stp>BDP|7725468267288906184</stp>
        <tr r="U83" s="5"/>
      </tp>
      <tp t="s">
        <v>#N/A N/A</v>
        <stp/>
        <stp>BDP|8016066994198197541</stp>
        <tr r="N78" s="5"/>
      </tp>
      <tp t="s">
        <v>#N/A N/A</v>
        <stp/>
        <stp>BDP|9125232133062103674</stp>
        <tr r="G127" s="5"/>
      </tp>
      <tp t="s">
        <v>#N/A N/A</v>
        <stp/>
        <stp>BDP|2415675920523550913</stp>
        <tr r="N111" s="5"/>
      </tp>
      <tp t="s">
        <v>#N/A N/A</v>
        <stp/>
        <stp>BDP|4322771674500204850</stp>
        <tr r="Q8" s="5"/>
      </tp>
      <tp t="s">
        <v>#N/A N/A</v>
        <stp/>
        <stp>BDP|5947995934824356734</stp>
        <tr r="AR114" s="5"/>
      </tp>
      <tp t="s">
        <v>#N/A N/A</v>
        <stp/>
        <stp>BDP|7511819710110559257</stp>
        <tr r="D118" s="5"/>
      </tp>
      <tp t="s">
        <v>#N/A N/A</v>
        <stp/>
        <stp>BDP|3121519297855602659</stp>
        <tr r="E113" s="5"/>
      </tp>
      <tp t="s">
        <v>#N/A N/A</v>
        <stp/>
        <stp>BDP|9814738771312645784</stp>
        <tr r="Q31" s="5"/>
      </tp>
      <tp t="s">
        <v>#N/A N/A</v>
        <stp/>
        <stp>BDP|8781650517103226039</stp>
        <tr r="M128" s="5"/>
      </tp>
      <tp t="s">
        <v>#N/A N/A</v>
        <stp/>
        <stp>BDP|2437937132955589140</stp>
        <tr r="Z80" s="5"/>
      </tp>
      <tp t="s">
        <v>#N/A N/A</v>
        <stp/>
        <stp>BDP|7916849927911895071</stp>
        <tr r="E103" s="5"/>
      </tp>
      <tp t="s">
        <v>#N/A N/A</v>
        <stp/>
        <stp>BDP|3105461545596187960</stp>
        <tr r="M52" s="5"/>
      </tp>
      <tp t="s">
        <v>#N/A N/A</v>
        <stp/>
        <stp>BDP|6768820661794712062</stp>
        <tr r="G64" s="5"/>
      </tp>
      <tp t="s">
        <v>#N/A N/A</v>
        <stp/>
        <stp>BDP|3670095656523907950</stp>
        <tr r="J29" s="5"/>
      </tp>
      <tp t="s">
        <v>#N/A N/A</v>
        <stp/>
        <stp>BDP|4813553517105324839</stp>
        <tr r="AO114" s="5"/>
      </tp>
      <tp t="s">
        <v>#N/A N/A</v>
        <stp/>
        <stp>BDP|7948001117688788331</stp>
        <tr r="AR22" s="5"/>
      </tp>
      <tp t="s">
        <v>#N/A N/A</v>
        <stp/>
        <stp>BDP|8206812381576091381</stp>
        <tr r="E112" s="5"/>
      </tp>
      <tp t="s">
        <v>#N/A N/A</v>
        <stp/>
        <stp>BDP|1545795351159325741</stp>
        <tr r="W127" s="5"/>
      </tp>
      <tp t="s">
        <v>#N/A N/A</v>
        <stp/>
        <stp>BDP|6602898087152660950</stp>
        <tr r="P118" s="5"/>
      </tp>
      <tp t="s">
        <v>#N/A N/A</v>
        <stp/>
        <stp>BDP|7936253580608608827</stp>
        <tr r="AD63" s="5"/>
      </tp>
      <tp t="s">
        <v>#N/A N/A</v>
        <stp/>
        <stp>BDP|6155577370519810063</stp>
        <tr r="G50" s="5"/>
      </tp>
      <tp t="s">
        <v>#N/A N/A</v>
        <stp/>
        <stp>BDP|3586870115362763588</stp>
        <tr r="AD82" s="5"/>
      </tp>
      <tp t="s">
        <v>#N/A N/A</v>
        <stp/>
        <stp>BDP|1503726458407332945</stp>
        <tr r="L21" s="5"/>
      </tp>
      <tp t="s">
        <v>#N/A N/A</v>
        <stp/>
        <stp>BDP|9037742703075733692</stp>
        <tr r="AF100" s="5"/>
      </tp>
      <tp t="s">
        <v>#N/A N/A</v>
        <stp/>
        <stp>BDP|5204945723035577696</stp>
        <tr r="N68" s="5"/>
      </tp>
      <tp t="s">
        <v>#N/A N/A</v>
        <stp/>
        <stp>BDP|3888630585297254725</stp>
        <tr r="I96" s="5"/>
      </tp>
      <tp t="s">
        <v>#N/A N/A</v>
        <stp/>
        <stp>BDP|2205543680063917118</stp>
        <tr r="U116" s="5"/>
      </tp>
      <tp t="s">
        <v>#N/A N/A</v>
        <stp/>
        <stp>BDP|4998927376315713246</stp>
        <tr r="AR9" s="5"/>
      </tp>
      <tp t="s">
        <v>#N/A N/A</v>
        <stp/>
        <stp>BDP|1759929925596845161</stp>
        <tr r="Q28" s="5"/>
      </tp>
      <tp t="s">
        <v>#N/A N/A</v>
        <stp/>
        <stp>BDP|4745281483964499761</stp>
        <tr r="Z90" s="5"/>
      </tp>
      <tp t="s">
        <v>#N/A N/A</v>
        <stp/>
        <stp>BDP|4969170113049397008</stp>
        <tr r="AI103" s="5"/>
      </tp>
      <tp t="s">
        <v>#N/A N/A</v>
        <stp/>
        <stp>BDP|8354039282615949846</stp>
        <tr r="K115" s="5"/>
      </tp>
      <tp t="s">
        <v>#N/A N/A</v>
        <stp/>
        <stp>BDP|9609629229359322912</stp>
        <tr r="F100" s="5"/>
      </tp>
      <tp t="s">
        <v>#N/A N/A</v>
        <stp/>
        <stp>BDP|7590945504026944535</stp>
        <tr r="M63" s="5"/>
      </tp>
      <tp t="s">
        <v>#N/A N/A</v>
        <stp/>
        <stp>BDP|6489901258910085739</stp>
        <tr r="AK127" s="5"/>
      </tp>
      <tp t="s">
        <v>#N/A N/A</v>
        <stp/>
        <stp>BDP|1269824969652725015</stp>
        <tr r="J24" s="5"/>
      </tp>
      <tp t="s">
        <v>#N/A N/A</v>
        <stp/>
        <stp>BDP|3967450992747415456</stp>
        <tr r="M105" s="5"/>
      </tp>
      <tp t="s">
        <v>#N/A N/A</v>
        <stp/>
        <stp>BDP|4302631475849863117</stp>
        <tr r="M103" s="5"/>
      </tp>
      <tp t="s">
        <v>#N/A N/A</v>
        <stp/>
        <stp>BDP|7852208082316052660</stp>
        <tr r="D122" s="5"/>
      </tp>
      <tp t="s">
        <v>#N/A N/A</v>
        <stp/>
        <stp>BDP|1973161680433561665</stp>
        <tr r="R108" s="5"/>
      </tp>
      <tp t="s">
        <v>#N/A N/A</v>
        <stp/>
        <stp>BDP|1226620849489751725</stp>
        <tr r="G32" s="5"/>
      </tp>
      <tp t="s">
        <v>#N/A N/A</v>
        <stp/>
        <stp>BDP|6970382180501885142</stp>
        <tr r="AP123" s="5"/>
      </tp>
      <tp t="s">
        <v>#N/A N/A</v>
        <stp/>
        <stp>BDP|1337300199263057578</stp>
        <tr r="I99" s="5"/>
      </tp>
      <tp t="s">
        <v>#N/A N/A</v>
        <stp/>
        <stp>BDP|9011020649959038964</stp>
        <tr r="G27" s="5"/>
      </tp>
      <tp t="s">
        <v>#N/A N/A</v>
        <stp/>
        <stp>BDP|1840168880847307205</stp>
        <tr r="AC122" s="5"/>
      </tp>
      <tp t="s">
        <v>#N/A N/A</v>
        <stp/>
        <stp>BDP|3122683222188067266</stp>
        <tr r="AI118" s="5"/>
      </tp>
      <tp t="s">
        <v>#N/A N/A</v>
        <stp/>
        <stp>BDP|3466647626432834831</stp>
        <tr r="U48" s="5"/>
      </tp>
      <tp t="e">
        <v>#N/A</v>
        <stp/>
        <stp>BDH|4915889440456895349</stp>
        <tr r="AC5" s="1"/>
      </tp>
      <tp t="s">
        <v>#N/A N/A</v>
        <stp/>
        <stp>BDP|9857374578511741121</stp>
        <tr r="U122" s="5"/>
      </tp>
      <tp t="s">
        <v>#N/A N/A</v>
        <stp/>
        <stp>BDP|2813425151576979803</stp>
        <tr r="J129" s="5"/>
      </tp>
      <tp t="s">
        <v>#N/A N/A</v>
        <stp/>
        <stp>BDP|2534557747268080659</stp>
        <tr r="F23" s="5"/>
      </tp>
      <tp t="s">
        <v>#N/A N/A</v>
        <stp/>
        <stp>BDP|5329418611608102512</stp>
        <tr r="G115" s="5"/>
      </tp>
      <tp t="s">
        <v>#N/A N/A</v>
        <stp/>
        <stp>BDP|3489444286231486317</stp>
        <tr r="N59" s="5"/>
      </tp>
      <tp t="s">
        <v>#N/A N/A</v>
        <stp/>
        <stp>BDP|4105870377086888090</stp>
        <tr r="AB116" s="5"/>
      </tp>
      <tp t="s">
        <v>#N/A N/A</v>
        <stp/>
        <stp>BDP|4242779171050366971</stp>
        <tr r="Q25" s="5"/>
      </tp>
      <tp t="s">
        <v>#N/A N/A</v>
        <stp/>
        <stp>BDP|8688928406655036929</stp>
        <tr r="M114" s="5"/>
      </tp>
      <tp t="s">
        <v>#N/A N/A</v>
        <stp/>
        <stp>BDP|2632025109799961649</stp>
        <tr r="E85" s="5"/>
      </tp>
      <tp t="s">
        <v>#N/A N/A</v>
        <stp/>
        <stp>BDP|1848641985351974300</stp>
        <tr r="H82" s="5"/>
      </tp>
      <tp t="s">
        <v>#N/A N/A</v>
        <stp/>
        <stp>BDP|6498399527812348899</stp>
        <tr r="AR70" s="5"/>
      </tp>
      <tp t="s">
        <v>#N/A N/A</v>
        <stp/>
        <stp>BDP|6556897860191451483</stp>
        <tr r="Z75" s="5"/>
      </tp>
      <tp t="s">
        <v>#N/A N/A</v>
        <stp/>
        <stp>BDP|6611239195946731674</stp>
        <tr r="AA114" s="5"/>
      </tp>
      <tp t="s">
        <v>#N/A N/A</v>
        <stp/>
        <stp>BDP|7144890441787084182</stp>
        <tr r="AB76" s="5"/>
      </tp>
      <tp t="s">
        <v>#N/A N/A</v>
        <stp/>
        <stp>BDP|7115920871644091031</stp>
        <tr r="J14" s="5"/>
      </tp>
      <tp t="s">
        <v>#N/A N/A</v>
        <stp/>
        <stp>BDP|2956373210995604898</stp>
        <tr r="R107" s="5"/>
      </tp>
      <tp t="s">
        <v>#N/A N/A</v>
        <stp/>
        <stp>BDP|2952008298072738406</stp>
        <tr r="Q63" s="5"/>
      </tp>
      <tp t="s">
        <v>#N/A N/A</v>
        <stp/>
        <stp>BDP|9480752644536055131</stp>
        <tr r="F90" s="5"/>
      </tp>
      <tp t="s">
        <v>#N/A N/A</v>
        <stp/>
        <stp>BDP|9600189359704521447</stp>
        <tr r="U18" s="5"/>
      </tp>
      <tp t="s">
        <v>#N/A N/A</v>
        <stp/>
        <stp>BDP|2000359048470325882</stp>
        <tr r="L76" s="5"/>
      </tp>
      <tp t="s">
        <v>#N/A N/A</v>
        <stp/>
        <stp>BDP|3798594117632916866</stp>
        <tr r="L116" s="5"/>
      </tp>
      <tp t="s">
        <v>#N/A N/A</v>
        <stp/>
        <stp>BDP|3684304783176248319</stp>
        <tr r="G75" s="5"/>
      </tp>
      <tp t="s">
        <v>#N/A N/A</v>
        <stp/>
        <stp>BDP|5020021783183311340</stp>
        <tr r="AF93" s="5"/>
      </tp>
      <tp t="s">
        <v>#N/A N/A</v>
        <stp/>
        <stp>BDP|8837495730403573120</stp>
        <tr r="J64" s="5"/>
      </tp>
      <tp t="s">
        <v>#N/A N/A</v>
        <stp/>
        <stp>BDP|1036618007698799272</stp>
        <tr r="J74" s="5"/>
      </tp>
      <tp t="e">
        <v>#N/A</v>
        <stp/>
        <stp>BDH|2968963850922099193</stp>
        <tr r="M5" s="1"/>
      </tp>
      <tp t="s">
        <v>#N/A N/A</v>
        <stp/>
        <stp>BDP|6452559840048245245</stp>
        <tr r="Q88" s="5"/>
      </tp>
      <tp t="s">
        <v>#N/A N/A</v>
        <stp/>
        <stp>BDP|5289111424868910392</stp>
        <tr r="G49" s="5"/>
      </tp>
      <tp t="s">
        <v>#N/A N/A</v>
        <stp/>
        <stp>BDP|1332964401413423674</stp>
        <tr r="L127" s="5"/>
      </tp>
      <tp t="s">
        <v>#N/A N/A</v>
        <stp/>
        <stp>BDP|3168067595185338267</stp>
        <tr r="K107" s="5"/>
      </tp>
      <tp t="s">
        <v>#N/A N/A</v>
        <stp/>
        <stp>BDP|5367410811639485431</stp>
        <tr r="F63" s="5"/>
      </tp>
      <tp t="s">
        <v>#N/A N/A</v>
        <stp/>
        <stp>BDP|4304887435587289587</stp>
        <tr r="F123" s="5"/>
      </tp>
      <tp t="s">
        <v>#N/A N/A</v>
        <stp/>
        <stp>BDP|1204840531760473774</stp>
        <tr r="AR122" s="5"/>
      </tp>
      <tp t="s">
        <v>#N/A N/A</v>
        <stp/>
        <stp>BDP|9986196238897869147</stp>
        <tr r="F45" s="5"/>
      </tp>
      <tp t="s">
        <v>#N/A N/A</v>
        <stp/>
        <stp>BDP|9567033632052501552</stp>
        <tr r="AS120" s="5"/>
      </tp>
      <tp t="s">
        <v>#N/A N/A</v>
        <stp/>
        <stp>BDP|2395119115749430673</stp>
        <tr r="F79" s="5"/>
      </tp>
      <tp t="s">
        <v>#N/A N/A</v>
        <stp/>
        <stp>BDP|2951149597235686281</stp>
        <tr r="AG119" s="5"/>
      </tp>
      <tp t="s">
        <v>#N/A N/A</v>
        <stp/>
        <stp>BDP|4749066494766164618</stp>
        <tr r="AM122" s="5"/>
      </tp>
      <tp t="s">
        <v>#N/A N/A</v>
        <stp/>
        <stp>BDP|3513731994810076071</stp>
        <tr r="AF123" s="5"/>
      </tp>
      <tp t="s">
        <v>#N/A N/A</v>
        <stp/>
        <stp>BDP|9800784755253111515</stp>
        <tr r="AB114" s="5"/>
      </tp>
      <tp t="s">
        <v>#N/A N/A</v>
        <stp/>
        <stp>BDP|1679705887747160455</stp>
        <tr r="M86" s="5"/>
      </tp>
      <tp t="s">
        <v>#N/A N/A</v>
        <stp/>
        <stp>BDP|9223141261134462762</stp>
        <tr r="Q102" s="5"/>
      </tp>
      <tp t="s">
        <v>#N/A N/A</v>
        <stp/>
        <stp>BDP|9087919597527557098</stp>
        <tr r="T124" s="5"/>
      </tp>
      <tp t="s">
        <v>#N/A N/A</v>
        <stp/>
        <stp>BDP|2783939265940912321</stp>
        <tr r="N106" s="5"/>
      </tp>
      <tp t="s">
        <v>#N/A N/A</v>
        <stp/>
        <stp>BDP|6548443514125892872</stp>
        <tr r="U115" s="5"/>
      </tp>
      <tp t="s">
        <v>#N/A N/A</v>
        <stp/>
        <stp>BDP|6884822691350106905</stp>
        <tr r="G56" s="5"/>
      </tp>
      <tp t="s">
        <v>#N/A N/A</v>
        <stp/>
        <stp>BDP|8215030208906336007</stp>
        <tr r="F80" s="5"/>
      </tp>
      <tp t="s">
        <v>#N/A N/A</v>
        <stp/>
        <stp>BDP|3902749065145096938</stp>
        <tr r="AN126" s="5"/>
      </tp>
      <tp t="s">
        <v>#N/A N/A</v>
        <stp/>
        <stp>BDP|4612099678419872440</stp>
        <tr r="Z100" s="5"/>
      </tp>
      <tp t="s">
        <v>#N/A N/A</v>
        <stp/>
        <stp>BDP|6238587171422620869</stp>
        <tr r="AG105" s="5"/>
      </tp>
      <tp t="s">
        <v>#N/A N/A</v>
        <stp/>
        <stp>BDP|3609886961366098541</stp>
        <tr r="N42" s="5"/>
      </tp>
      <tp t="s">
        <v>#N/A N/A</v>
        <stp/>
        <stp>BDP|8061452466974819001</stp>
        <tr r="J79" s="5"/>
      </tp>
      <tp t="s">
        <v>#N/A N/A</v>
        <stp/>
        <stp>BDP|3278627862135818811</stp>
        <tr r="L62" s="5"/>
      </tp>
      <tp t="s">
        <v>#N/A N/A</v>
        <stp/>
        <stp>BDP|7787069501451265893</stp>
        <tr r="AJ109" s="5"/>
      </tp>
      <tp t="s">
        <v>#N/A N/A</v>
        <stp/>
        <stp>BDP|2074294828869983508</stp>
        <tr r="AJ101" s="5"/>
      </tp>
      <tp t="s">
        <v>#N/A N/A</v>
        <stp/>
        <stp>BDP|9855043620093000649</stp>
        <tr r="E116" s="5"/>
      </tp>
      <tp t="s">
        <v>#N/A N/A</v>
        <stp/>
        <stp>BDP|1875780400370939801</stp>
        <tr r="AT125" s="5"/>
      </tp>
      <tp t="s">
        <v>#N/A N/A</v>
        <stp/>
        <stp>BDP|5936150885466494436</stp>
        <tr r="J102" s="5"/>
      </tp>
      <tp t="s">
        <v>#N/A N/A</v>
        <stp/>
        <stp>BDP|5576217090477816728</stp>
        <tr r="G9" s="5"/>
      </tp>
      <tp t="s">
        <v>#N/A N/A</v>
        <stp/>
        <stp>BDP|8061967871280109880</stp>
        <tr r="L28" s="5"/>
      </tp>
      <tp t="s">
        <v>#N/A N/A</v>
        <stp/>
        <stp>BDP|8807393739601677719</stp>
        <tr r="Q66" s="5"/>
      </tp>
      <tp t="s">
        <v>#N/A N/A</v>
        <stp/>
        <stp>BDP|2031095195514310108</stp>
        <tr r="AR108" s="5"/>
      </tp>
      <tp t="s">
        <v>#N/A N/A</v>
        <stp/>
        <stp>BDP|3977788383630422296</stp>
        <tr r="N36" s="5"/>
      </tp>
      <tp t="s">
        <v>#N/A N/A</v>
        <stp/>
        <stp>BDP|4887340534712364844</stp>
        <tr r="M41" s="5"/>
      </tp>
      <tp t="s">
        <v>#N/A N/A</v>
        <stp/>
        <stp>BDP|7874787078251676810</stp>
        <tr r="W91" s="5"/>
      </tp>
      <tp t="s">
        <v>#N/A N/A</v>
        <stp/>
        <stp>BDP|5568208781926816733</stp>
        <tr r="P99" s="5"/>
      </tp>
      <tp t="s">
        <v>#N/A N/A</v>
        <stp/>
        <stp>BDP|8852417417906128530</stp>
        <tr r="M115" s="5"/>
      </tp>
      <tp t="s">
        <v>#N/A N/A</v>
        <stp/>
        <stp>BDP|2531479522922913858</stp>
        <tr r="E83" s="5"/>
      </tp>
      <tp t="s">
        <v>#N/A N/A</v>
        <stp/>
        <stp>BDP|9498737969062696442</stp>
        <tr r="AA125" s="5"/>
      </tp>
      <tp t="s">
        <v>#N/A N/A</v>
        <stp/>
        <stp>BDP|5828121733168662132</stp>
        <tr r="J72" s="5"/>
      </tp>
      <tp t="s">
        <v>#N/A N/A</v>
        <stp/>
        <stp>BDP|5483996957477649010</stp>
        <tr r="N112" s="5"/>
      </tp>
      <tp t="s">
        <v>#N/A N/A</v>
        <stp/>
        <stp>BDP|3664786512042095917</stp>
        <tr r="U6" s="5"/>
      </tp>
      <tp t="s">
        <v>#N/A N/A</v>
        <stp/>
        <stp>BDP|1817030897504267237</stp>
        <tr r="G74" s="5"/>
      </tp>
      <tp t="s">
        <v>#N/A N/A</v>
        <stp/>
        <stp>BDP|1423414535841378914</stp>
        <tr r="AI104" s="5"/>
      </tp>
      <tp t="s">
        <v>#N/A N/A</v>
        <stp/>
        <stp>BDP|5227655604625978888</stp>
        <tr r="AN123" s="5"/>
      </tp>
      <tp t="s">
        <v>#N/A N/A</v>
        <stp/>
        <stp>BDP|9877213076835408798</stp>
        <tr r="J28" s="5"/>
      </tp>
      <tp t="s">
        <v>#N/A N/A</v>
        <stp/>
        <stp>BDP|8264758364583173411</stp>
        <tr r="AG107" s="5"/>
      </tp>
      <tp t="s">
        <v>#N/A N/A</v>
        <stp/>
        <stp>BDP|5820882330904337405</stp>
        <tr r="W129" s="5"/>
      </tp>
      <tp t="s">
        <v>#N/A N/A</v>
        <stp/>
        <stp>BDP|4893590687255012258</stp>
        <tr r="F33" s="5"/>
      </tp>
      <tp t="s">
        <v>#N/A N/A</v>
        <stp/>
        <stp>BDP|4313129937868103045</stp>
        <tr r="AD66" s="5"/>
      </tp>
      <tp t="e">
        <v>#N/A</v>
        <stp/>
        <stp>BDH|6310770556943359920</stp>
        <tr r="AM5" s="1"/>
      </tp>
      <tp t="s">
        <v>#N/A N/A</v>
        <stp/>
        <stp>BDP|8016651670982313561</stp>
        <tr r="H45" s="5"/>
      </tp>
      <tp t="s">
        <v>#N/A N/A</v>
        <stp/>
        <stp>BDP|6624825815496556743</stp>
        <tr r="E105" s="5"/>
      </tp>
      <tp t="s">
        <v>#N/A N/A</v>
        <stp/>
        <stp>BDP|2889096207418692407</stp>
        <tr r="F42" s="5"/>
      </tp>
      <tp t="s">
        <v>#N/A N/A</v>
        <stp/>
        <stp>BDP|4392076283983799110</stp>
        <tr r="AC114" s="5"/>
      </tp>
      <tp t="s">
        <v>#N/A N/A</v>
        <stp/>
        <stp>BDP|1372126844579465303</stp>
        <tr r="W73" s="5"/>
      </tp>
      <tp t="s">
        <v>#N/A N/A</v>
        <stp/>
        <stp>BDP|5192061410098398252</stp>
        <tr r="J22" s="5"/>
      </tp>
      <tp t="s">
        <v>#N/A N/A</v>
        <stp/>
        <stp>BDP|7313901355662431731</stp>
        <tr r="U36" s="5"/>
      </tp>
      <tp t="s">
        <v>#N/A N/A</v>
        <stp/>
        <stp>BDP|8373358587085789873</stp>
        <tr r="AF120" s="5"/>
      </tp>
      <tp t="s">
        <v>#N/A N/A</v>
        <stp/>
        <stp>BDP|6461606990243077452</stp>
        <tr r="N80" s="5"/>
      </tp>
      <tp t="s">
        <v>#N/A N/A</v>
        <stp/>
        <stp>BDP|6489623310797729875</stp>
        <tr r="L111" s="5"/>
      </tp>
      <tp t="s">
        <v>#N/A N/A</v>
        <stp/>
        <stp>BDP|2048696198057295454</stp>
        <tr r="U98" s="5"/>
      </tp>
      <tp t="e">
        <v>#N/A</v>
        <stp/>
        <stp>BDH|6030802657004520147</stp>
        <tr r="Y5" s="1"/>
      </tp>
      <tp t="s">
        <v>#N/A N/A</v>
        <stp/>
        <stp>BDP|1475826953092707059</stp>
        <tr r="AO112" s="5"/>
      </tp>
      <tp t="s">
        <v>#N/A N/A</v>
        <stp/>
        <stp>BDP|6885223589644647624</stp>
        <tr r="U7" s="5"/>
      </tp>
      <tp t="s">
        <v>#N/A N/A</v>
        <stp/>
        <stp>BDP|2432363205239732671</stp>
        <tr r="W98" s="5"/>
      </tp>
      <tp t="s">
        <v>#N/A N/A</v>
        <stp/>
        <stp>BDP|8451308340212240319</stp>
        <tr r="F119" s="5"/>
      </tp>
      <tp t="s">
        <v>#N/A N/A</v>
        <stp/>
        <stp>BDP|3785876573896400404</stp>
        <tr r="G124" s="5"/>
      </tp>
      <tp t="s">
        <v>#N/A N/A</v>
        <stp/>
        <stp>BDP|6186518680677048277</stp>
        <tr r="AJ123" s="5"/>
      </tp>
      <tp t="s">
        <v>#N/A N/A</v>
        <stp/>
        <stp>BDP|5357943210062600160</stp>
        <tr r="P107" s="5"/>
      </tp>
      <tp t="s">
        <v>#N/A N/A</v>
        <stp/>
        <stp>BDP|8790751090178354055</stp>
        <tr r="N33" s="5"/>
      </tp>
      <tp t="s">
        <v>#N/A N/A</v>
        <stp/>
        <stp>BDP|8640604121047789549</stp>
        <tr r="M106" s="5"/>
      </tp>
      <tp t="s">
        <v>#N/A N/A</v>
        <stp/>
        <stp>BDP|1436800551422123006</stp>
        <tr r="Q98" s="5"/>
      </tp>
      <tp t="s">
        <v>#N/A N/A</v>
        <stp/>
        <stp>BDP|2118925232496184050</stp>
        <tr r="AD96" s="5"/>
      </tp>
      <tp t="s">
        <v>#N/A N/A</v>
        <stp/>
        <stp>BDP|3815904072092993160</stp>
        <tr r="K97" s="5"/>
      </tp>
      <tp t="s">
        <v>#N/A N/A</v>
        <stp/>
        <stp>BDP|6697907114957529729</stp>
        <tr r="G113" s="5"/>
      </tp>
      <tp t="s">
        <v>#N/A N/A</v>
        <stp/>
        <stp>BDP|4913985416215079720</stp>
        <tr r="T122" s="5"/>
      </tp>
      <tp t="s">
        <v>#N/A N/A</v>
        <stp/>
        <stp>BDP|6859075284171198000</stp>
        <tr r="F46" s="5"/>
      </tp>
      <tp t="s">
        <v>#N/A N/A</v>
        <stp/>
        <stp>BDP|3969384954843834974</stp>
        <tr r="AD36" s="5"/>
      </tp>
      <tp t="s">
        <v>#N/A N/A</v>
        <stp/>
        <stp>BDP|3688683717118752342</stp>
        <tr r="Q48" s="5"/>
      </tp>
      <tp t="s">
        <v>#N/A N/A</v>
        <stp/>
        <stp>BDP|9891938162001108824</stp>
        <tr r="AB111" s="5"/>
      </tp>
      <tp t="s">
        <v>#N/A N/A</v>
        <stp/>
        <stp>BDP|9012811006996890849</stp>
        <tr r="L13" s="5"/>
      </tp>
      <tp t="s">
        <v>#N/A N/A</v>
        <stp/>
        <stp>BDP|8028719507546570685</stp>
        <tr r="U54" s="5"/>
      </tp>
      <tp t="s">
        <v>#N/A N/A</v>
        <stp/>
        <stp>BDP|4827444984006766140</stp>
        <tr r="J7" s="5"/>
      </tp>
      <tp t="s">
        <v>#N/A N/A</v>
        <stp/>
        <stp>BDP|2949871007676445364</stp>
        <tr r="M62" s="5"/>
      </tp>
      <tp t="s">
        <v>#N/A N/A</v>
        <stp/>
        <stp>BDP|5351169099423465104</stp>
        <tr r="AV127" s="5"/>
      </tp>
      <tp t="s">
        <v>#N/A N/A</v>
        <stp/>
        <stp>BDP|2950613663755679859</stp>
        <tr r="J113" s="5"/>
      </tp>
      <tp t="s">
        <v>#N/A N/A</v>
        <stp/>
        <stp>BDP|4041173523148947056</stp>
        <tr r="O94" s="5"/>
      </tp>
      <tp t="s">
        <v>#N/A N/A</v>
        <stp/>
        <stp>BDP|5069083855759024657</stp>
        <tr r="AD37" s="5"/>
      </tp>
      <tp t="s">
        <v>#N/A N/A</v>
        <stp/>
        <stp>BDP|9013227183785802909</stp>
        <tr r="Z129" s="5"/>
      </tp>
      <tp t="s">
        <v>#N/A N/A</v>
        <stp/>
        <stp>BDP|4868059997353585168</stp>
        <tr r="H91" s="5"/>
      </tp>
      <tp t="s">
        <v>#N/A N/A</v>
        <stp/>
        <stp>BDP|3508898063613839196</stp>
        <tr r="W86" s="5"/>
      </tp>
      <tp t="s">
        <v>#N/A N/A</v>
        <stp/>
        <stp>BDP|5150850850231297685</stp>
        <tr r="F39" s="5"/>
      </tp>
      <tp t="s">
        <v>#N/A N/A</v>
        <stp/>
        <stp>BDP|5105558790377849123</stp>
        <tr r="T112" s="5"/>
      </tp>
      <tp t="s">
        <v>#N/A N/A</v>
        <stp/>
        <stp>BDP|1158128158933773921</stp>
        <tr r="G61" s="5"/>
      </tp>
      <tp t="s">
        <v>#N/A N/A</v>
        <stp/>
        <stp>BDP|4674156759468488709</stp>
        <tr r="O96" s="5"/>
      </tp>
      <tp t="s">
        <v>#N/A N/A</v>
        <stp/>
        <stp>BDP|6304900425257909515</stp>
        <tr r="R102" s="5"/>
      </tp>
      <tp t="s">
        <v>#N/A N/A</v>
        <stp/>
        <stp>BDP|9015380059186809669</stp>
        <tr r="U95" s="5"/>
      </tp>
      <tp t="s">
        <v>#N/A N/A</v>
        <stp/>
        <stp>BDP|1574198291362375411</stp>
        <tr r="AQ118" s="5"/>
      </tp>
      <tp t="s">
        <v>#N/A N/A</v>
        <stp/>
        <stp>BDP|9611193737157465337</stp>
        <tr r="R103" s="5"/>
      </tp>
      <tp t="s">
        <v>#N/A N/A</v>
        <stp/>
        <stp>BDP|4945623545560970983</stp>
        <tr r="M94" s="5"/>
      </tp>
      <tp t="s">
        <v>#N/A N/A</v>
        <stp/>
        <stp>BDP|7319133441858477596</stp>
        <tr r="AJ127" s="5"/>
      </tp>
      <tp t="s">
        <v>#N/A N/A</v>
        <stp/>
        <stp>BDP|5981354087219189863</stp>
        <tr r="AW129" s="5"/>
      </tp>
      <tp t="s">
        <v>#N/A N/A</v>
        <stp/>
        <stp>BDP|2514971131043988473</stp>
        <tr r="AP119" s="5"/>
      </tp>
      <tp t="s">
        <v>#N/A N/A</v>
        <stp/>
        <stp>BDP|9398000070065654486</stp>
        <tr r="J62" s="5"/>
      </tp>
      <tp t="e">
        <v>#N/A</v>
        <stp/>
        <stp>BDH|3474913093419955529</stp>
        <tr r="AR5" s="1"/>
      </tp>
      <tp t="s">
        <v>#N/A N/A</v>
        <stp/>
        <stp>BDP|9269315718275877111</stp>
        <tr r="O92" s="5"/>
      </tp>
      <tp t="s">
        <v>#N/A N/A</v>
        <stp/>
        <stp>BDP|5463727343189364053</stp>
        <tr r="AV120" s="5"/>
      </tp>
      <tp t="s">
        <v>#N/A N/A</v>
        <stp/>
        <stp>BDP|4618436852872324847</stp>
        <tr r="M99" s="5"/>
      </tp>
      <tp t="s">
        <v>#N/A N/A</v>
        <stp/>
        <stp>BDP|8361215524816096162</stp>
        <tr r="H43" s="5"/>
      </tp>
      <tp t="s">
        <v>#N/A N/A</v>
        <stp/>
        <stp>BDP|9789257037920072751</stp>
        <tr r="AJ112" s="5"/>
      </tp>
      <tp t="s">
        <v>#N/A N/A</v>
        <stp/>
        <stp>BDP|6754111076566348931</stp>
        <tr r="R106" s="5"/>
      </tp>
      <tp t="s">
        <v>#N/A N/A</v>
        <stp/>
        <stp>BDP|8462979180913336512</stp>
        <tr r="AK106" s="5"/>
      </tp>
      <tp t="s">
        <v>#N/A N/A</v>
        <stp/>
        <stp>BDP|3359544057954733812</stp>
        <tr r="H76" s="5"/>
      </tp>
      <tp t="s">
        <v>#N/A N/A</v>
        <stp/>
        <stp>BDP|9908072075554587584</stp>
        <tr r="Q18" s="5"/>
      </tp>
      <tp t="s">
        <v>#N/A N/A</v>
        <stp/>
        <stp>BDP|8461362062314187675</stp>
        <tr r="I88" s="5"/>
      </tp>
      <tp t="s">
        <v>#N/A N/A</v>
        <stp/>
        <stp>BDP|4135371045318087459</stp>
        <tr r="F81" s="5"/>
      </tp>
      <tp t="s">
        <v>#N/A N/A</v>
        <stp/>
        <stp>BDP|2888651338679369112</stp>
        <tr r="AK95" s="5"/>
      </tp>
      <tp t="s">
        <v>#N/A N/A</v>
        <stp/>
        <stp>BDP|6847765589183904592</stp>
        <tr r="AR125" s="5"/>
      </tp>
      <tp t="s">
        <v>#N/A N/A</v>
        <stp/>
        <stp>BDP|5914797817294863886</stp>
        <tr r="Q19" s="5"/>
      </tp>
      <tp t="s">
        <v>#N/A N/A</v>
        <stp/>
        <stp>BDP|7951219546997807912</stp>
        <tr r="G37" s="5"/>
      </tp>
      <tp t="s">
        <v>#N/A N/A</v>
        <stp/>
        <stp>BDP|5641843280722587831</stp>
        <tr r="AG110" s="5"/>
      </tp>
      <tp t="s">
        <v>#N/A N/A</v>
        <stp/>
        <stp>BDP|1439340896907241305</stp>
        <tr r="J21" s="5"/>
      </tp>
      <tp t="s">
        <v>#N/A N/A</v>
        <stp/>
        <stp>BDP|3021931316892727662</stp>
        <tr r="AR23" s="5"/>
      </tp>
      <tp t="s">
        <v>#N/A N/A</v>
        <stp/>
        <stp>BDP|3850998653634588432</stp>
        <tr r="S117" s="5"/>
      </tp>
      <tp t="s">
        <v>#N/A N/A</v>
        <stp/>
        <stp>BDP|7777633178300176994</stp>
        <tr r="W113" s="5"/>
      </tp>
      <tp t="s">
        <v>#N/A N/A</v>
        <stp/>
        <stp>BDP|5012273616631024851</stp>
        <tr r="AG93" s="5"/>
      </tp>
      <tp t="s">
        <v>#N/A N/A</v>
        <stp/>
        <stp>BDP|7820384670904455812</stp>
        <tr r="Q76" s="5"/>
      </tp>
      <tp t="s">
        <v>#N/A N/A</v>
        <stp/>
        <stp>BDP|7805106993956700693</stp>
        <tr r="E107" s="5"/>
      </tp>
      <tp t="s">
        <v>#N/A N/A</v>
        <stp/>
        <stp>BDP|2862958003214278097</stp>
        <tr r="M101" s="5"/>
      </tp>
      <tp t="s">
        <v>#N/A N/A</v>
        <stp/>
        <stp>BDP|5388639244849447152</stp>
        <tr r="T118" s="5"/>
      </tp>
      <tp t="s">
        <v>#N/A N/A</v>
        <stp/>
        <stp>BDP|1176109704868340733</stp>
        <tr r="AO124" s="5"/>
      </tp>
      <tp t="s">
        <v>#N/A N/A</v>
        <stp/>
        <stp>BDP|9168661092440039905</stp>
        <tr r="AC121" s="5"/>
      </tp>
      <tp t="s">
        <v>#N/A N/A</v>
        <stp/>
        <stp>BDP|6116038862219567609</stp>
        <tr r="AR119" s="5"/>
      </tp>
      <tp t="s">
        <v>#N/A N/A</v>
        <stp/>
        <stp>BDP|4920835171013828099</stp>
        <tr r="K121" s="5"/>
      </tp>
      <tp t="s">
        <v>#N/A N/A</v>
        <stp/>
        <stp>BDP|2313501692544211295</stp>
        <tr r="AS119" s="5"/>
      </tp>
      <tp t="s">
        <v>#N/A N/A</v>
        <stp/>
        <stp>BDP|3484050176795424999</stp>
        <tr r="U22" s="5"/>
      </tp>
      <tp t="s">
        <v>#N/A N/A</v>
        <stp/>
        <stp>BDP|6295799684195090443</stp>
        <tr r="AD129" s="5"/>
      </tp>
      <tp t="s">
        <v>#N/A N/A</v>
        <stp/>
        <stp>BDP|6967620311430281936</stp>
        <tr r="L98" s="5"/>
      </tp>
      <tp t="s">
        <v>#N/A N/A</v>
        <stp/>
        <stp>BDP|8080767169199467804</stp>
        <tr r="AI120" s="5"/>
      </tp>
      <tp t="s">
        <v>#N/A N/A</v>
        <stp/>
        <stp>BDP|6391912853296933435</stp>
        <tr r="M68" s="5"/>
      </tp>
      <tp t="s">
        <v>#N/A N/A</v>
        <stp/>
        <stp>BDP|8595625513360818779</stp>
        <tr r="H62" s="5"/>
      </tp>
      <tp t="s">
        <v>#N/A N/A</v>
        <stp/>
        <stp>BDP|7766856020065118086</stp>
        <tr r="AP124" s="5"/>
      </tp>
      <tp t="s">
        <v>#N/A N/A</v>
        <stp/>
        <stp>BDP|7678884031323137768</stp>
        <tr r="U93" s="5"/>
      </tp>
      <tp t="s">
        <v>#N/A N/A</v>
        <stp/>
        <stp>BDP|1642608728284702912</stp>
        <tr r="N77" s="5"/>
      </tp>
      <tp t="s">
        <v>#N/A N/A</v>
        <stp/>
        <stp>BDP|3374846494263315986</stp>
        <tr r="F53" s="5"/>
      </tp>
      <tp t="s">
        <v>#N/A N/A</v>
        <stp/>
        <stp>BDP|8171792480789293635</stp>
        <tr r="H74" s="5"/>
      </tp>
      <tp t="s">
        <v>#N/A N/A</v>
        <stp/>
        <stp>BDP|3726228307078204198</stp>
        <tr r="AB74" s="5"/>
      </tp>
      <tp t="s">
        <v>#N/A N/A</v>
        <stp/>
        <stp>BDP|8050505057538942873</stp>
        <tr r="M74" s="5"/>
      </tp>
      <tp t="s">
        <v>#N/A N/A</v>
        <stp/>
        <stp>BDP|1338909859643483619</stp>
        <tr r="AI126" s="5"/>
      </tp>
      <tp t="s">
        <v>#N/A N/A</v>
        <stp/>
        <stp>BDP|3576973762406942268</stp>
        <tr r="AG102" s="5"/>
      </tp>
      <tp t="s">
        <v>#N/A N/A</v>
        <stp/>
        <stp>BDP|6606683250184383926</stp>
        <tr r="M108" s="5"/>
      </tp>
      <tp t="s">
        <v>#N/A N/A</v>
        <stp/>
        <stp>BDP|8541087553041854499</stp>
        <tr r="N129" s="5"/>
      </tp>
      <tp t="s">
        <v>#N/A N/A</v>
        <stp/>
        <stp>BDP|8013606363760880048</stp>
        <tr r="N66" s="5"/>
      </tp>
      <tp t="s">
        <v>#N/A N/A</v>
        <stp/>
        <stp>BDP|8446994100730337914</stp>
        <tr r="Z124" s="5"/>
      </tp>
      <tp t="s">
        <v>#N/A N/A</v>
        <stp/>
        <stp>BDP|1011783714478407775</stp>
        <tr r="Q104" s="5"/>
      </tp>
      <tp t="s">
        <v>#N/A N/A</v>
        <stp/>
        <stp>BDP|1729207287913876078</stp>
        <tr r="E71" s="5"/>
      </tp>
      <tp t="s">
        <v>#N/A N/A</v>
        <stp/>
        <stp>BDP|7750096896381625710</stp>
        <tr r="N125" s="5"/>
      </tp>
      <tp t="s">
        <v>#N/A N/A</v>
        <stp/>
        <stp>BDP|8599426245276960672</stp>
        <tr r="M57" s="5"/>
      </tp>
      <tp t="s">
        <v>#N/A N/A</v>
        <stp/>
        <stp>BDP|6496625978799106631</stp>
        <tr r="V109" s="5"/>
      </tp>
      <tp t="s">
        <v>#N/A N/A</v>
        <stp/>
        <stp>BDP|5143863189548510571</stp>
        <tr r="G31" s="5"/>
      </tp>
      <tp t="s">
        <v>#N/A N/A</v>
        <stp/>
        <stp>BDP|8349774010282532438</stp>
        <tr r="AG87" s="5"/>
      </tp>
      <tp t="s">
        <v>#N/A N/A</v>
        <stp/>
        <stp>BDP|2398045599765816647</stp>
        <tr r="AD15" s="5"/>
      </tp>
      <tp t="s">
        <v>#N/A N/A</v>
        <stp/>
        <stp>BDP|4495783827699938003</stp>
        <tr r="U47" s="5"/>
      </tp>
      <tp t="s">
        <v>#N/A N/A</v>
        <stp/>
        <stp>BDP|8514175630291450344</stp>
        <tr r="AD67" s="5"/>
      </tp>
      <tp t="s">
        <v>#N/A N/A</v>
        <stp/>
        <stp>BDP|2745993076907226394</stp>
        <tr r="W103" s="5"/>
      </tp>
      <tp t="s">
        <v>#N/A N/A</v>
        <stp/>
        <stp>BDP|2092552576510165812</stp>
        <tr r="U73" s="5"/>
      </tp>
      <tp t="s">
        <v>#N/A N/A</v>
        <stp/>
        <stp>BDP|3529667715295728929</stp>
        <tr r="AI128" s="5"/>
      </tp>
      <tp t="s">
        <v>#N/A N/A</v>
        <stp/>
        <stp>BDP|6006450123489109141</stp>
        <tr r="AD83" s="5"/>
      </tp>
      <tp t="s">
        <v>#N/A N/A</v>
        <stp/>
        <stp>BDP|9751146261617450155</stp>
        <tr r="G103" s="5"/>
      </tp>
      <tp t="s">
        <v>#N/A N/A</v>
        <stp/>
        <stp>BDP|4178699519959747256</stp>
        <tr r="Q64" s="5"/>
      </tp>
      <tp t="s">
        <v>#N/A N/A</v>
        <stp/>
        <stp>BDP|7620307491406632324</stp>
        <tr r="AD74" s="5"/>
      </tp>
      <tp t="s">
        <v>#N/A N/A</v>
        <stp/>
        <stp>BDP|9990603128861721456</stp>
        <tr r="AR80" s="5"/>
      </tp>
      <tp t="s">
        <v>#N/A N/A</v>
        <stp/>
        <stp>BDP|5455273552942878894</stp>
        <tr r="Q107" s="5"/>
      </tp>
      <tp t="s">
        <v>#N/A N/A</v>
        <stp/>
        <stp>BDP|3463414388773872457</stp>
        <tr r="W80" s="5"/>
      </tp>
      <tp t="s">
        <v>#N/A N/A</v>
        <stp/>
        <stp>BDP|6639037043302450827</stp>
        <tr r="U38" s="5"/>
      </tp>
      <tp t="s">
        <v>#N/A N/A</v>
        <stp/>
        <stp>BDP|3209869111485751735</stp>
        <tr r="AI111" s="5"/>
      </tp>
      <tp t="s">
        <v>#N/A N/A</v>
        <stp/>
        <stp>BDP|5549136577083371834</stp>
        <tr r="AD85" s="5"/>
      </tp>
      <tp t="s">
        <v>#N/A N/A</v>
        <stp/>
        <stp>BDP|8826102301307014681</stp>
        <tr r="Q57" s="5"/>
      </tp>
      <tp t="s">
        <v>#N/A N/A</v>
        <stp/>
        <stp>BDP|1746672126458451534</stp>
        <tr r="U118" s="5"/>
      </tp>
      <tp t="s">
        <v>#N/A N/A</v>
        <stp/>
        <stp>BDP|5736727719688572382</stp>
        <tr r="F37" s="5"/>
      </tp>
      <tp t="s">
        <v>#N/A N/A</v>
        <stp/>
        <stp>BDP|3059824251130511608</stp>
        <tr r="AF125" s="5"/>
      </tp>
      <tp t="s">
        <v>#N/A N/A</v>
        <stp/>
        <stp>BDP|7221171362018705068</stp>
        <tr r="Q13" s="5"/>
      </tp>
      <tp t="s">
        <v>#N/A N/A</v>
        <stp/>
        <stp>BDP|6097255361048417263</stp>
        <tr r="Z120" s="5"/>
      </tp>
      <tp t="s">
        <v>#N/A N/A</v>
        <stp/>
        <stp>BDP|4202526286067739677</stp>
        <tr r="L72" s="5"/>
      </tp>
      <tp t="s">
        <v>#N/A N/A</v>
        <stp/>
        <stp>BDP|5794486118268782060</stp>
        <tr r="U86" s="5"/>
      </tp>
      <tp t="s">
        <v>#N/A N/A</v>
        <stp/>
        <stp>BDP|1375024097466153616</stp>
        <tr r="T129" s="5"/>
      </tp>
      <tp t="s">
        <v>#N/A N/A</v>
        <stp/>
        <stp>BDP|4961169139538641669</stp>
        <tr r="H63" s="5"/>
      </tp>
      <tp t="s">
        <v>#N/A N/A</v>
        <stp/>
        <stp>BDP|2029817267565017107</stp>
        <tr r="AB83" s="5"/>
      </tp>
      <tp t="s">
        <v>#N/A N/A</v>
        <stp/>
        <stp>BDP|4918525689153353269</stp>
        <tr r="AG85" s="5"/>
      </tp>
      <tp t="s">
        <v>#N/A N/A</v>
        <stp/>
        <stp>BDP|7051297768339303259</stp>
        <tr r="F96" s="5"/>
      </tp>
      <tp t="s">
        <v>#N/A N/A</v>
        <stp/>
        <stp>BDP|4405942323080000748</stp>
        <tr r="Q65" s="5"/>
      </tp>
      <tp t="s">
        <v>#N/A N/A</v>
        <stp/>
        <stp>BDP|1007748813886572954</stp>
        <tr r="L106" s="5"/>
      </tp>
      <tp t="s">
        <v>#N/A N/A</v>
        <stp/>
        <stp>BDP|2878367587733977272</stp>
        <tr r="T116" s="5"/>
      </tp>
      <tp t="s">
        <v>#N/A N/A</v>
        <stp/>
        <stp>BDP|7576796699668733950</stp>
        <tr r="L89" s="5"/>
      </tp>
      <tp t="s">
        <v>#N/A N/A</v>
        <stp/>
        <stp>BDP|5618522001609255104</stp>
        <tr r="AI119" s="5"/>
      </tp>
      <tp t="s">
        <v>#N/A N/A</v>
        <stp/>
        <stp>BDP|1434909544092283656</stp>
        <tr r="AR84" s="5"/>
      </tp>
      <tp t="s">
        <v>#N/A N/A</v>
        <stp/>
        <stp>BDP|5573270076999416179</stp>
        <tr r="E123" s="5"/>
      </tp>
      <tp t="s">
        <v>#N/A N/A</v>
        <stp/>
        <stp>BDP|1452077416279233132</stp>
        <tr r="M118" s="5"/>
      </tp>
      <tp t="s">
        <v>#N/A N/A</v>
        <stp/>
        <stp>BDP|6045448065164069858</stp>
        <tr r="Q123" s="5"/>
      </tp>
      <tp t="s">
        <v>#N/A N/A</v>
        <stp/>
        <stp>BDP|4072783847668972721</stp>
        <tr r="L54" s="5"/>
      </tp>
      <tp t="s">
        <v>#N/A N/A</v>
        <stp/>
        <stp>BDP|8403673335702592767</stp>
        <tr r="H106" s="5"/>
      </tp>
      <tp t="s">
        <v>#N/A N/A</v>
        <stp/>
        <stp>BDP|9664421923077693044</stp>
        <tr r="O128" s="5"/>
      </tp>
      <tp t="s">
        <v>#N/A N/A</v>
        <stp/>
        <stp>BDP|5185767690647774450</stp>
        <tr r="E87" s="5"/>
      </tp>
      <tp t="s">
        <v>#N/A N/A</v>
        <stp/>
        <stp>BDP|4866119770512599893</stp>
        <tr r="H109" s="5"/>
      </tp>
      <tp t="s">
        <v>#N/A N/A</v>
        <stp/>
        <stp>BDP|3213951437792646330</stp>
        <tr r="AD12" s="5"/>
      </tp>
      <tp t="s">
        <v>#N/A N/A</v>
        <stp/>
        <stp>BDP|6775294868723006933</stp>
        <tr r="R119" s="5"/>
      </tp>
      <tp t="e">
        <v>#N/A</v>
        <stp/>
        <stp>BDH|7780607239699333384</stp>
        <tr r="J5" s="1"/>
      </tp>
      <tp t="s">
        <v>#N/A N/A</v>
        <stp/>
        <stp>BDP|7898002972548042107</stp>
        <tr r="F29" s="5"/>
      </tp>
      <tp t="s">
        <v>#N/A N/A</v>
        <stp/>
        <stp>BDP|5903469110078391163</stp>
        <tr r="AQ92" s="5"/>
      </tp>
      <tp t="s">
        <v>#N/A N/A</v>
        <stp/>
        <stp>BDP|4095865449463445204</stp>
        <tr r="J106" s="5"/>
      </tp>
      <tp t="s">
        <v>#N/A N/A</v>
        <stp/>
        <stp>BDP|4677273181332922529</stp>
        <tr r="J15" s="5"/>
      </tp>
      <tp t="s">
        <v>#N/A N/A</v>
        <stp/>
        <stp>BDP|1084151715001934925</stp>
        <tr r="Q124" s="5"/>
      </tp>
      <tp t="s">
        <v>#N/A N/A</v>
        <stp/>
        <stp>BDP|4707773388650214215</stp>
        <tr r="H69" s="5"/>
      </tp>
      <tp t="s">
        <v>#N/A N/A</v>
        <stp/>
        <stp>BDP|1183630292646272199</stp>
        <tr r="G117" s="5"/>
      </tp>
      <tp t="s">
        <v>#N/A N/A</v>
        <stp/>
        <stp>BDP|2772665391954881031</stp>
        <tr r="AF105" s="5"/>
      </tp>
      <tp t="s">
        <v>#N/A N/A</v>
        <stp/>
        <stp>BDP|4501854067984967763</stp>
        <tr r="H80" s="5"/>
      </tp>
      <tp t="s">
        <v>#N/A N/A</v>
        <stp/>
        <stp>BDP|6899711953179531470</stp>
        <tr r="S126" s="5"/>
      </tp>
      <tp t="s">
        <v>#N/A N/A</v>
        <stp/>
        <stp>BDP|8105444122885688298</stp>
        <tr r="H127" s="5"/>
      </tp>
      <tp t="s">
        <v>#N/A N/A</v>
        <stp/>
        <stp>BDP|7706673557018906562</stp>
        <tr r="U53" s="5"/>
      </tp>
      <tp t="s">
        <v>#N/A N/A</v>
        <stp/>
        <stp>BDP|6372844109470209740</stp>
        <tr r="M56" s="5"/>
      </tp>
      <tp t="s">
        <v>#N/A N/A</v>
        <stp/>
        <stp>BDP|8913707154085589617</stp>
        <tr r="G84" s="5"/>
      </tp>
      <tp t="s">
        <v>#N/A N/A</v>
        <stp/>
        <stp>BDP|5495785414419704362</stp>
        <tr r="N55" s="5"/>
      </tp>
      <tp t="s">
        <v>#N/A N/A</v>
        <stp/>
        <stp>BDP|1113041911591547881</stp>
        <tr r="AB100" s="5"/>
      </tp>
      <tp t="e">
        <v>#N/A</v>
        <stp/>
        <stp>BDH|9937755019305874347</stp>
        <tr r="AQ5" s="1"/>
      </tp>
      <tp t="s">
        <v>#N/A N/A</v>
        <stp/>
        <stp>BDP|6043095750913479935</stp>
        <tr r="L9" s="5"/>
      </tp>
      <tp t="s">
        <v>#N/A N/A</v>
        <stp/>
        <stp>BDP|9117916983935465492</stp>
        <tr r="L23" s="5"/>
      </tp>
      <tp t="s">
        <v>#N/A N/A</v>
        <stp/>
        <stp>BDP|2173095486687702478</stp>
        <tr r="G95" s="5"/>
      </tp>
      <tp t="s">
        <v>#N/A N/A</v>
        <stp/>
        <stp>BDP|4678940572183949072</stp>
        <tr r="Z125" s="5"/>
      </tp>
      <tp t="s">
        <v>#N/A N/A</v>
        <stp/>
        <stp>BDP|2941415825515465871</stp>
        <tr r="G45" s="5"/>
      </tp>
      <tp t="s">
        <v>#N/A N/A</v>
        <stp/>
        <stp>BDP|7540406650218238795</stp>
        <tr r="E64" s="5"/>
      </tp>
      <tp t="s">
        <v>#N/A N/A</v>
        <stp/>
        <stp>BDP|3643219878087104817</stp>
        <tr r="U100" s="5"/>
      </tp>
      <tp t="s">
        <v>#N/A N/A</v>
        <stp/>
        <stp>BDP|2105338683135796597</stp>
        <tr r="AR5" s="5"/>
      </tp>
      <tp t="s">
        <v>#N/A N/A</v>
        <stp/>
        <stp>BDP|7065474189127860593</stp>
        <tr r="Q61" s="5"/>
      </tp>
      <tp t="s">
        <v>#N/A N/A</v>
        <stp/>
        <stp>BDP|6859571794912483138</stp>
        <tr r="N124" s="5"/>
      </tp>
      <tp t="s">
        <v>#N/A N/A</v>
        <stp/>
        <stp>BDP|2802823132427241762</stp>
        <tr r="AQ119" s="5"/>
      </tp>
      <tp t="s">
        <v>#N/A N/A</v>
        <stp/>
        <stp>BDP|8279684366222213321</stp>
        <tr r="F85" s="5"/>
      </tp>
      <tp t="s">
        <v>#N/A N/A</v>
        <stp/>
        <stp>BDP|2587448675788001087</stp>
        <tr r="AK128" s="5"/>
      </tp>
      <tp t="s">
        <v>#N/A N/A</v>
        <stp/>
        <stp>BDP|5150542898202323223</stp>
        <tr r="Q58" s="5"/>
      </tp>
      <tp t="s">
        <v>#N/A N/A</v>
        <stp/>
        <stp>BDP|4261460391125882507</stp>
        <tr r="AW124" s="5"/>
      </tp>
      <tp t="s">
        <v>#N/A N/A</v>
        <stp/>
        <stp>BDP|8791384775271743404</stp>
        <tr r="L64" s="5"/>
      </tp>
      <tp t="s">
        <v>#N/A N/A</v>
        <stp/>
        <stp>BDP|5717516919278191033</stp>
        <tr r="N26" s="5"/>
      </tp>
      <tp t="s">
        <v>#N/A N/A</v>
        <stp/>
        <stp>BDP|5051213358283212864</stp>
        <tr r="AF99" s="5"/>
      </tp>
      <tp t="s">
        <v>#N/A N/A</v>
        <stp/>
        <stp>BDP|7265472070189134497</stp>
        <tr r="AK110" s="5"/>
      </tp>
      <tp t="s">
        <v>#N/A N/A</v>
        <stp/>
        <stp>BDP|8544903567066769883</stp>
        <tr r="AC119" s="5"/>
      </tp>
      <tp t="s">
        <v>#N/A N/A</v>
        <stp/>
        <stp>BDP|2017337809091473934</stp>
        <tr r="M124" s="5"/>
      </tp>
      <tp t="s">
        <v>#N/A N/A</v>
        <stp/>
        <stp>BDP|8700990337178636326</stp>
        <tr r="AR112" s="5"/>
      </tp>
      <tp t="s">
        <v>#N/A N/A</v>
        <stp/>
        <stp>BDP|7334010797104835307</stp>
        <tr r="AG86" s="5"/>
      </tp>
      <tp t="s">
        <v>#N/A N/A</v>
        <stp/>
        <stp>BDP|3761260887318092847</stp>
        <tr r="H60" s="5"/>
      </tp>
      <tp t="s">
        <v>#N/A N/A</v>
        <stp/>
        <stp>BDP|3207574603886403903</stp>
        <tr r="T98" s="5"/>
      </tp>
      <tp t="s">
        <v>#N/A N/A</v>
        <stp/>
        <stp>BDP|9251419394859703423</stp>
        <tr r="AP120" s="5"/>
      </tp>
      <tp t="s">
        <v>#N/A N/A</v>
        <stp/>
        <stp>BDP|7724284912249955477</stp>
        <tr r="AN111" s="5"/>
      </tp>
      <tp t="s">
        <v>#N/A N/A</v>
        <stp/>
        <stp>BDP|8893872440068753587</stp>
        <tr r="H124" s="5"/>
      </tp>
      <tp t="s">
        <v>#N/A N/A</v>
        <stp/>
        <stp>BDP|5739747973945812987</stp>
        <tr r="AB96" s="5"/>
      </tp>
      <tp t="s">
        <v>#N/A N/A</v>
        <stp/>
        <stp>BDP|2381442083386014147</stp>
        <tr r="AD40" s="5"/>
      </tp>
      <tp t="s">
        <v>#N/A N/A</v>
        <stp/>
        <stp>BDP|4518413785208132904</stp>
        <tr r="AG129" s="5"/>
      </tp>
      <tp t="s">
        <v>#N/A N/A</v>
        <stp/>
        <stp>BDP|8690552902642890693</stp>
        <tr r="N34" s="5"/>
      </tp>
      <tp t="s">
        <v>#N/A N/A</v>
        <stp/>
        <stp>BDP|7089059196935589279</stp>
        <tr r="N45" s="5"/>
      </tp>
      <tp t="s">
        <v>#N/A N/A</v>
        <stp/>
        <stp>BDP|3775616991951304459</stp>
        <tr r="U56" s="5"/>
      </tp>
      <tp t="s">
        <v>#N/A N/A</v>
        <stp/>
        <stp>BDP|2870460828184136965</stp>
        <tr r="N65" s="5"/>
      </tp>
      <tp t="s">
        <v>#N/A N/A</v>
        <stp/>
        <stp>BDP|4330234820659876496</stp>
        <tr r="AG90" s="5"/>
      </tp>
      <tp t="s">
        <v>#N/A N/A</v>
        <stp/>
        <stp>BDP|8247869882868738905</stp>
        <tr r="L104" s="5"/>
      </tp>
      <tp t="s">
        <v>#N/A N/A</v>
        <stp/>
        <stp>BDP|5582666023520677879</stp>
        <tr r="N83" s="5"/>
      </tp>
      <tp t="s">
        <v>#N/A N/A</v>
        <stp/>
        <stp>BDP|7699721316579795141</stp>
        <tr r="U74" s="5"/>
      </tp>
      <tp t="s">
        <v>#N/A N/A</v>
        <stp/>
        <stp>BDP|3957685496334755168</stp>
        <tr r="AC112" s="5"/>
      </tp>
      <tp t="s">
        <v>#N/A N/A</v>
        <stp/>
        <stp>BDP|2141668197673296743</stp>
        <tr r="T97" s="5"/>
      </tp>
      <tp t="s">
        <v>#N/A N/A</v>
        <stp/>
        <stp>BDP|4350976546349693937</stp>
        <tr r="AB120" s="5"/>
      </tp>
      <tp t="s">
        <v>#N/A N/A</v>
        <stp/>
        <stp>BDP|5190359767909726038</stp>
        <tr r="F76" s="5"/>
      </tp>
      <tp t="s">
        <v>#N/A N/A</v>
        <stp/>
        <stp>BDP|7596212470908656352</stp>
        <tr r="AI102" s="5"/>
      </tp>
      <tp t="s">
        <v>#N/A N/A</v>
        <stp/>
        <stp>BDP|7377884223431951565</stp>
        <tr r="AM113" s="5"/>
      </tp>
      <tp t="e">
        <v>#N/A</v>
        <stp/>
        <stp>BDH|6638668440209411431</stp>
        <tr r="AP5" s="1"/>
      </tp>
      <tp t="s">
        <v>#N/A N/A</v>
        <stp/>
        <stp>BDP|4694548324378596277</stp>
        <tr r="J16" s="5"/>
      </tp>
      <tp t="s">
        <v>#N/A N/A</v>
        <stp/>
        <stp>BDP|7448657197637427668</stp>
        <tr r="M92" s="5"/>
      </tp>
      <tp t="s">
        <v>#N/A N/A</v>
        <stp/>
        <stp>BDP|3918913423885620498</stp>
        <tr r="E77" s="5"/>
      </tp>
      <tp t="s">
        <v>#N/A N/A</v>
        <stp/>
        <stp>BDP|1431194647999601497</stp>
        <tr r="M83" s="5"/>
      </tp>
      <tp t="s">
        <v>#N/A N/A</v>
        <stp/>
        <stp>BDP|1870014189075789523</stp>
        <tr r="H117" s="5"/>
      </tp>
      <tp t="s">
        <v>#N/A N/A</v>
        <stp/>
        <stp>BDP|7724497794817684499</stp>
        <tr r="U70" s="5"/>
      </tp>
      <tp t="s">
        <v>#N/A N/A</v>
        <stp/>
        <stp>BDP|1726121501419610078</stp>
        <tr r="L26" s="5"/>
      </tp>
      <tp t="s">
        <v>#N/A N/A</v>
        <stp/>
        <stp>BDP|3369265010630524956</stp>
        <tr r="AD97" s="5"/>
      </tp>
      <tp t="s">
        <v>#N/A N/A</v>
        <stp/>
        <stp>BDP|6046767512591130807</stp>
        <tr r="AD18" s="5"/>
      </tp>
      <tp t="s">
        <v>#N/A N/A</v>
        <stp/>
        <stp>BDP|8727497234967115216</stp>
        <tr r="AQ105" s="5"/>
      </tp>
      <tp t="s">
        <v>#N/A N/A</v>
        <stp/>
        <stp>BDP|4126182781200078725</stp>
        <tr r="AD62" s="5"/>
      </tp>
      <tp t="s">
        <v>#N/A N/A</v>
        <stp/>
        <stp>BDP|7835934777916137579</stp>
        <tr r="D124" s="5"/>
      </tp>
      <tp t="s">
        <v>#N/A N/A</v>
        <stp/>
        <stp>BDP|9481597604477055139</stp>
        <tr r="F60" s="5"/>
      </tp>
      <tp t="s">
        <v>#N/A N/A</v>
        <stp/>
        <stp>BDP|2569086584442284201</stp>
        <tr r="AH129" s="5"/>
      </tp>
      <tp t="s">
        <v>#N/A N/A</v>
        <stp/>
        <stp>BDP|2140272078979748426</stp>
        <tr r="G111" s="5"/>
      </tp>
      <tp t="s">
        <v>#N/A N/A</v>
        <stp/>
        <stp>BDP|6612751588823440042</stp>
        <tr r="H122" s="5"/>
      </tp>
      <tp t="s">
        <v>#N/A N/A</v>
        <stp/>
        <stp>BDP|6351761623928592180</stp>
        <tr r="AA113" s="5"/>
      </tp>
      <tp t="s">
        <v>#N/A N/A</v>
        <stp/>
        <stp>BDP|9253023471073371797</stp>
        <tr r="H88" s="5"/>
      </tp>
      <tp t="s">
        <v>#N/A N/A</v>
        <stp/>
        <stp>BDP|6082469965378229692</stp>
        <tr r="H129" s="5"/>
      </tp>
      <tp t="s">
        <v>#N/A N/A</v>
        <stp/>
        <stp>BDP|4841435930580237915</stp>
        <tr r="U88" s="5"/>
      </tp>
      <tp t="s">
        <v>#N/A N/A</v>
        <stp/>
        <stp>BDP|5960547474608205532</stp>
        <tr r="AO129" s="5"/>
      </tp>
      <tp t="s">
        <v>#N/A N/A</v>
        <stp/>
        <stp>BDP|4629169319718725673</stp>
        <tr r="AI101" s="5"/>
      </tp>
      <tp t="s">
        <v>#N/A N/A</v>
        <stp/>
        <stp>BDP|4417412649898050652</stp>
        <tr r="Q14" s="5"/>
      </tp>
      <tp t="s">
        <v>#N/A N/A</v>
        <stp/>
        <stp>BDP|3220348201422782896</stp>
        <tr r="AT124" s="5"/>
      </tp>
      <tp t="s">
        <v>#N/A N/A</v>
        <stp/>
        <stp>BDP|1880473862780185957</stp>
        <tr r="E117" s="5"/>
      </tp>
      <tp t="s">
        <v>#N/A N/A</v>
        <stp/>
        <stp>BDP|3509892728645830655</stp>
        <tr r="W106" s="5"/>
      </tp>
      <tp t="s">
        <v>#N/A N/A</v>
        <stp/>
        <stp>BDP|3064014585239464890</stp>
        <tr r="AA120" s="5"/>
      </tp>
      <tp t="s">
        <v>#N/A N/A</v>
        <stp/>
        <stp>BDP|5934938529315520186</stp>
        <tr r="J83" s="5"/>
      </tp>
      <tp t="s">
        <v>#N/A N/A</v>
        <stp/>
        <stp>BDP|8838304232914536619</stp>
        <tr r="H119" s="5"/>
      </tp>
      <tp t="s">
        <v>#N/A N/A</v>
        <stp/>
        <stp>BDP|3963822965604796367</stp>
        <tr r="AB121" s="5"/>
      </tp>
      <tp t="s">
        <v>#N/A N/A</v>
        <stp/>
        <stp>BDP|8746291591080509954</stp>
        <tr r="AJ124" s="5"/>
      </tp>
      <tp t="s">
        <v>#N/A N/A</v>
        <stp/>
        <stp>BDP|4168255778123507861</stp>
        <tr r="AR99" s="5"/>
      </tp>
      <tp t="s">
        <v>#N/A N/A</v>
        <stp/>
        <stp>BDP|1277141208149593349</stp>
        <tr r="U106" s="5"/>
      </tp>
      <tp t="s">
        <v>#N/A N/A</v>
        <stp/>
        <stp>BDP|9129196464815126114</stp>
        <tr r="K128" s="5"/>
      </tp>
      <tp t="s">
        <v>#N/A N/A</v>
        <stp/>
        <stp>BDP|8564063048835461338</stp>
        <tr r="N67" s="5"/>
      </tp>
      <tp t="s">
        <v>#N/A N/A</v>
        <stp/>
        <stp>BDP|7957647575014707834</stp>
        <tr r="AQ108" s="5"/>
      </tp>
      <tp t="s">
        <v>#N/A N/A</v>
        <stp/>
        <stp>BDP|4272798982162231367</stp>
        <tr r="U123" s="5"/>
      </tp>
      <tp t="s">
        <v>#N/A N/A</v>
        <stp/>
        <stp>BDP|7287892234886432064</stp>
        <tr r="Q51" s="5"/>
      </tp>
      <tp t="s">
        <v>#N/A N/A</v>
        <stp/>
        <stp>BDP|3535266977574047869</stp>
        <tr r="Q90" s="5"/>
      </tp>
      <tp t="s">
        <v>#N/A N/A</v>
        <stp/>
        <stp>BDP|5477312385216439269</stp>
        <tr r="P89" s="5"/>
      </tp>
      <tp t="s">
        <v>#N/A N/A</v>
        <stp/>
        <stp>BDP|6062802235474164369</stp>
        <tr r="E82" s="5"/>
      </tp>
      <tp t="s">
        <v>#N/A N/A</v>
        <stp/>
        <stp>BDP|2931518288156785355</stp>
        <tr r="T101" s="5"/>
      </tp>
      <tp t="s">
        <v>#N/A N/A</v>
        <stp/>
        <stp>BDP|3021642376990059816</stp>
        <tr r="W78" s="5"/>
      </tp>
      <tp t="s">
        <v>#N/A N/A</v>
        <stp/>
        <stp>BDP|4372144533098397440</stp>
        <tr r="AD124" s="5"/>
      </tp>
      <tp t="s">
        <v>#N/A N/A</v>
        <stp/>
        <stp>BDP|9039966098605474694</stp>
        <tr r="P114" s="5"/>
      </tp>
      <tp t="s">
        <v>#N/A N/A</v>
        <stp/>
        <stp>BDP|6464468166419211758</stp>
        <tr r="K126" s="5"/>
      </tp>
      <tp t="s">
        <v>#N/A N/A</v>
        <stp/>
        <stp>BDP|3458919243742441622</stp>
        <tr r="G41" s="5"/>
      </tp>
      <tp t="s">
        <v>#N/A N/A</v>
        <stp/>
        <stp>BDP|5080894442332902123</stp>
        <tr r="V117" s="5"/>
      </tp>
      <tp t="s">
        <v>#N/A N/A</v>
        <stp/>
        <stp>BDP|1063440817428367603</stp>
        <tr r="L109" s="5"/>
      </tp>
      <tp t="s">
        <v>#N/A N/A</v>
        <stp/>
        <stp>BDP|4083601443574125834</stp>
        <tr r="M97" s="5"/>
      </tp>
      <tp t="s">
        <v>#N/A N/A</v>
        <stp/>
        <stp>BDP|4042960906472345528</stp>
        <tr r="G116" s="5"/>
      </tp>
      <tp t="s">
        <v>#N/A N/A</v>
        <stp/>
        <stp>BDP|4390903547393658047</stp>
        <tr r="AQ114" s="5"/>
      </tp>
      <tp t="s">
        <v>#N/A N/A</v>
        <stp/>
        <stp>BDP|7786527435643797813</stp>
        <tr r="Q126" s="5"/>
      </tp>
      <tp t="s">
        <v>#N/A N/A</v>
        <stp/>
        <stp>BDP|3371722586131548743</stp>
        <tr r="H55" s="5"/>
      </tp>
      <tp t="s">
        <v>#N/A N/A</v>
        <stp/>
        <stp>BDP|1740151985131333322</stp>
        <tr r="AQ100" s="5"/>
      </tp>
      <tp t="s">
        <v>#N/A N/A</v>
        <stp/>
        <stp>BDP|2753884869801781776</stp>
        <tr r="P129" s="5"/>
      </tp>
      <tp t="s">
        <v>#N/A N/A</v>
        <stp/>
        <stp>BDP|8869397746347890280</stp>
        <tr r="Q91" s="5"/>
      </tp>
      <tp t="s">
        <v>#N/A N/A</v>
        <stp/>
        <stp>BDP|2531497208754116828</stp>
        <tr r="L83" s="5"/>
      </tp>
      <tp t="s">
        <v>#N/A N/A</v>
        <stp/>
        <stp>BDP|2966513089427594235</stp>
        <tr r="AK121" s="5"/>
      </tp>
      <tp t="s">
        <v>#N/A N/A</v>
        <stp/>
        <stp>BDP|8612915620540207920</stp>
        <tr r="Y129" s="5"/>
      </tp>
      <tp t="s">
        <v>#N/A N/A</v>
        <stp/>
        <stp>BDP|5148809059833772183</stp>
        <tr r="AR33" s="5"/>
      </tp>
      <tp t="s">
        <v>#N/A N/A</v>
        <stp/>
        <stp>BDP|4408762724583811896</stp>
        <tr r="L128" s="5"/>
      </tp>
      <tp t="s">
        <v>#N/A N/A</v>
        <stp/>
        <stp>BDP|8751013884532626833</stp>
        <tr r="Q46" s="5"/>
      </tp>
      <tp t="s">
        <v>#N/A N/A</v>
        <stp/>
        <stp>BDP|6518271185110404646</stp>
        <tr r="L97" s="5"/>
      </tp>
      <tp t="s">
        <v>#N/A N/A</v>
        <stp/>
        <stp>BDP|4428921319356955013</stp>
        <tr r="K129" s="5"/>
      </tp>
      <tp t="s">
        <v>#N/A N/A</v>
        <stp/>
        <stp>BDP|3786932815166708723</stp>
        <tr r="N114" s="5"/>
      </tp>
      <tp t="s">
        <v>#N/A N/A</v>
        <stp/>
        <stp>BDP|3048899697310208885</stp>
        <tr r="G69" s="5"/>
      </tp>
      <tp t="s">
        <v>#N/A N/A</v>
        <stp/>
        <stp>BDP|4634615956534111949</stp>
        <tr r="M61" s="5"/>
      </tp>
      <tp t="s">
        <v>#N/A N/A</v>
        <stp/>
        <stp>BDP|1827518509536171855</stp>
        <tr r="AD71" s="5"/>
      </tp>
      <tp t="s">
        <v>#N/A N/A</v>
        <stp/>
        <stp>BDP|8762909067218109552</stp>
        <tr r="W120" s="5"/>
      </tp>
      <tp t="s">
        <v>#N/A N/A</v>
        <stp/>
        <stp>BDP|3566486298352737663</stp>
        <tr r="Q50" s="5"/>
      </tp>
      <tp t="s">
        <v>#N/A N/A</v>
        <stp/>
        <stp>BDP|8031096331760504189</stp>
        <tr r="J124" s="5"/>
      </tp>
      <tp t="s">
        <v>#N/A N/A</v>
        <stp/>
        <stp>BDP|6161209887532025433</stp>
        <tr r="T92" s="5"/>
      </tp>
      <tp t="s">
        <v>#N/A N/A</v>
        <stp/>
        <stp>BDP|9032703614747986283</stp>
        <tr r="N40" s="5"/>
      </tp>
      <tp t="s">
        <v>#N/A N/A</v>
        <stp/>
        <stp>BDP|5972993016587418077</stp>
        <tr r="AW125" s="5"/>
      </tp>
      <tp t="s">
        <v>#N/A N/A</v>
        <stp/>
        <stp>BDP|6711821750779875979</stp>
        <tr r="W95" s="5"/>
      </tp>
      <tp t="s">
        <v>#N/A N/A</v>
        <stp/>
        <stp>BDP|4460938758755753626</stp>
        <tr r="Q52" s="5"/>
      </tp>
      <tp t="s">
        <v>#N/A N/A</v>
        <stp/>
        <stp>BDP|1625190886485690651</stp>
        <tr r="Q5" s="5"/>
      </tp>
      <tp t="s">
        <v>#N/A N/A</v>
        <stp/>
        <stp>BDP|1971960487699154234</stp>
        <tr r="Q54" s="5"/>
      </tp>
      <tp t="s">
        <v>#N/A N/A</v>
        <stp/>
        <stp>BDP|5645237629196723817</stp>
        <tr r="AD30" s="5"/>
      </tp>
      <tp t="e">
        <v>#N/A</v>
        <stp/>
        <stp>BDH|5522583496181169309</stp>
        <tr r="AV5" s="1"/>
      </tp>
      <tp t="s">
        <v>#N/A N/A</v>
        <stp/>
        <stp>BDP|7995401193688013915</stp>
        <tr r="H101" s="5"/>
      </tp>
      <tp t="s">
        <v>#N/A N/A</v>
        <stp/>
        <stp>BDP|1982762020399607629</stp>
        <tr r="K95" s="5"/>
      </tp>
      <tp t="s">
        <v>#N/A N/A</v>
        <stp/>
        <stp>BDP|9847427791527224821</stp>
        <tr r="L8" s="5"/>
      </tp>
      <tp t="s">
        <v>#N/A N/A</v>
        <stp/>
        <stp>BDP|8070698450982273237</stp>
        <tr r="Z101" s="5"/>
      </tp>
      <tp t="e">
        <v>#N/A</v>
        <stp/>
        <stp>BDH|9602477167713644381</stp>
        <tr r="U5" s="1"/>
      </tp>
      <tp t="s">
        <v>#N/A N/A</v>
        <stp/>
        <stp>BDP|4873873120863488629</stp>
        <tr r="N62" s="5"/>
      </tp>
      <tp t="s">
        <v>#N/A N/A</v>
        <stp/>
        <stp>BDP|9094771445666901722</stp>
        <tr r="W89" s="5"/>
      </tp>
      <tp t="s">
        <v>#N/A N/A</v>
        <stp/>
        <stp>BDP|4768185128198982476</stp>
        <tr r="J94" s="5"/>
      </tp>
      <tp t="s">
        <v>#N/A N/A</v>
        <stp/>
        <stp>BDP|6098616929301476854</stp>
        <tr r="N44" s="5"/>
      </tp>
      <tp t="s">
        <v>#N/A N/A</v>
        <stp/>
        <stp>BDP|5727743990576893628</stp>
        <tr r="AO116" s="5"/>
      </tp>
      <tp t="s">
        <v>#N/A N/A</v>
        <stp/>
        <stp>BDP|7227834737686883101</stp>
        <tr r="F28" s="5"/>
      </tp>
      <tp t="s">
        <v>#N/A N/A</v>
        <stp/>
        <stp>BDP|8013506444386289482</stp>
        <tr r="AN124" s="5"/>
      </tp>
      <tp t="s">
        <v>#N/A N/A</v>
        <stp/>
        <stp>BDP|8740228625461877261</stp>
        <tr r="AY129" s="5"/>
      </tp>
      <tp t="s">
        <v>#N/A N/A</v>
        <stp/>
        <stp>BDP|3806383521151661894</stp>
        <tr r="AD98" s="5"/>
      </tp>
      <tp t="s">
        <v>#N/A N/A</v>
        <stp/>
        <stp>BDP|4685925025315601198</stp>
        <tr r="U45" s="5"/>
      </tp>
      <tp t="s">
        <v>#N/A N/A</v>
        <stp/>
        <stp>BDP|4717880372909560970</stp>
        <tr r="N52" s="5"/>
      </tp>
      <tp t="s">
        <v>#N/A N/A</v>
        <stp/>
        <stp>BDP|6839193045758821034</stp>
        <tr r="W74" s="5"/>
      </tp>
      <tp t="s">
        <v>#N/A N/A</v>
        <stp/>
        <stp>BDP|5504941475094921421</stp>
        <tr r="Y127" s="5"/>
      </tp>
      <tp t="e">
        <v>#N/A</v>
        <stp/>
        <stp>BDH|3152561435867598986</stp>
        <tr r="AO5" s="1"/>
      </tp>
      <tp t="s">
        <v>#N/A N/A</v>
        <stp/>
        <stp>BDP|4251572150546904917</stp>
        <tr r="N93" s="5"/>
      </tp>
      <tp t="s">
        <v>#N/A N/A</v>
        <stp/>
        <stp>BDP|9909238240001912511</stp>
        <tr r="T114" s="5"/>
      </tp>
      <tp t="s">
        <v>#N/A N/A</v>
        <stp/>
        <stp>BDP|6406793618903417830</stp>
        <tr r="P119" s="5"/>
      </tp>
      <tp t="s">
        <v>#N/A N/A</v>
        <stp/>
        <stp>BDP|2785926613703684224</stp>
        <tr r="O98" s="5"/>
      </tp>
      <tp t="s">
        <v>#N/A N/A</v>
        <stp/>
        <stp>BDP|6021195868593420977</stp>
        <tr r="AD58" s="5"/>
      </tp>
      <tp t="s">
        <v>#N/A N/A</v>
        <stp/>
        <stp>BDP|5818123969148168103</stp>
        <tr r="AC109" s="5"/>
      </tp>
      <tp t="s">
        <v>#N/A N/A</v>
        <stp/>
        <stp>BDP|9370183429729658860</stp>
        <tr r="Q103" s="5"/>
      </tp>
      <tp t="s">
        <v>#N/A N/A</v>
        <stp/>
        <stp>BDP|4319477890196775408</stp>
        <tr r="AD93" s="5"/>
      </tp>
      <tp t="s">
        <v>#N/A N/A</v>
        <stp/>
        <stp>BDP|2103374892527701409</stp>
        <tr r="AG116" s="5"/>
      </tp>
      <tp t="s">
        <v>#N/A N/A</v>
        <stp/>
        <stp>BDP|5125992188789383602</stp>
        <tr r="E127" s="5"/>
      </tp>
      <tp t="s">
        <v>#N/A N/A</v>
        <stp/>
        <stp>BDP|4336741890015012441</stp>
        <tr r="J88" s="5"/>
      </tp>
      <tp t="s">
        <v>#N/A N/A</v>
        <stp/>
        <stp>BDP|6768923792515676822</stp>
        <tr r="K113" s="5"/>
      </tp>
      <tp t="s">
        <v>#N/A N/A</v>
        <stp/>
        <stp>BDP|6272981445248469886</stp>
        <tr r="Q80" s="5"/>
      </tp>
      <tp t="s">
        <v>#N/A N/A</v>
        <stp/>
        <stp>BDP|8657330203225699500</stp>
        <tr r="AJ106" s="5"/>
      </tp>
      <tp t="s">
        <v>#N/A N/A</v>
        <stp/>
        <stp>BDP|1348358587318876999</stp>
        <tr r="U57" s="5"/>
      </tp>
      <tp t="s">
        <v>#N/A N/A</v>
        <stp/>
        <stp>BDP|2483860775985418330</stp>
        <tr r="L52" s="5"/>
      </tp>
      <tp t="s">
        <v>#N/A N/A</v>
        <stp/>
        <stp>BDP|8230211895688162072</stp>
        <tr r="AM128" s="5"/>
      </tp>
      <tp t="s">
        <v>#N/A N/A</v>
        <stp/>
        <stp>BDP|6381488362067975800</stp>
        <tr r="N30" s="5"/>
      </tp>
      <tp t="s">
        <v>#N/A N/A</v>
        <stp/>
        <stp>BDP|9061289430986186598</stp>
        <tr r="H102" s="5"/>
      </tp>
      <tp t="s">
        <v>#N/A N/A</v>
        <stp/>
        <stp>BDP|9708476487089376759</stp>
        <tr r="M67" s="5"/>
      </tp>
      <tp t="s">
        <v>#N/A N/A</v>
        <stp/>
        <stp>BDP|7259483099848404964</stp>
        <tr r="AC125" s="5"/>
      </tp>
      <tp t="s">
        <v>#N/A N/A</v>
        <stp/>
        <stp>BDP|4301907206271521714</stp>
        <tr r="AR85" s="5"/>
      </tp>
      <tp t="s">
        <v>#N/A N/A</v>
        <stp/>
        <stp>BDP|7608998949095188465</stp>
        <tr r="M58" s="5"/>
      </tp>
      <tp t="s">
        <v>#N/A N/A</v>
        <stp/>
        <stp>BDP|3193507785691311410</stp>
        <tr r="AA118" s="5"/>
      </tp>
      <tp t="s">
        <v>#N/A N/A</v>
        <stp/>
        <stp>BDP|8407367915807872691</stp>
        <tr r="M104" s="5"/>
      </tp>
      <tp t="s">
        <v>#N/A N/A</v>
        <stp/>
        <stp>BDP|2610758767901393912</stp>
        <tr r="AR124" s="5"/>
      </tp>
      <tp t="s">
        <v>#N/A N/A</v>
        <stp/>
        <stp>BDP|3929658949322663851</stp>
        <tr r="G101" s="5"/>
      </tp>
      <tp t="s">
        <v>#N/A N/A</v>
        <stp/>
        <stp>BDP|5404993908123706459</stp>
        <tr r="Z83" s="5"/>
      </tp>
      <tp t="s">
        <v>#N/A N/A</v>
        <stp/>
        <stp>BDP|9596290559995577074</stp>
        <tr r="AU128" s="5"/>
      </tp>
      <tp t="s">
        <v>#N/A N/A</v>
        <stp/>
        <stp>BDP|6528524692525722453</stp>
        <tr r="AQ84" s="5"/>
      </tp>
      <tp t="s">
        <v>#N/A N/A</v>
        <stp/>
        <stp>BDP|3474408637926267967</stp>
        <tr r="E80" s="5"/>
      </tp>
      <tp t="e">
        <v>#N/A</v>
        <stp/>
        <stp>BDH|6253103694007602273</stp>
        <tr r="AL5" s="1"/>
      </tp>
      <tp t="s">
        <v>#N/A N/A</v>
        <stp/>
        <stp>BDP|9180732451192184268</stp>
        <tr r="AR102" s="5"/>
      </tp>
      <tp t="s">
        <v>#N/A N/A</v>
        <stp/>
        <stp>BDP|9917517828960400502</stp>
        <tr r="N53" s="5"/>
      </tp>
      <tp t="s">
        <v>#N/A N/A</v>
        <stp/>
        <stp>BDP|8934132714811875220</stp>
        <tr r="AK123" s="5"/>
      </tp>
      <tp t="s">
        <v>#N/A N/A</v>
        <stp/>
        <stp>BDP|5241191551668724291</stp>
        <tr r="F49" s="5"/>
      </tp>
      <tp t="s">
        <v>#N/A N/A</v>
        <stp/>
        <stp>BDP|3859531332136960847</stp>
        <tr r="J87" s="5"/>
      </tp>
      <tp t="e">
        <v>#N/A</v>
        <stp/>
        <stp>BDH|5702992226820944558</stp>
        <tr r="O5" s="1"/>
      </tp>
      <tp t="s">
        <v>#N/A N/A</v>
        <stp/>
        <stp>BDP|8471567303785116350</stp>
        <tr r="AI110" s="5"/>
      </tp>
      <tp t="s">
        <v>#N/A N/A</v>
        <stp/>
        <stp>BDP|2397497883703300904</stp>
        <tr r="AG98" s="5"/>
      </tp>
      <tp t="s">
        <v>#N/A N/A</v>
        <stp/>
        <stp>BDP|7595290034806023423</stp>
        <tr r="I122" s="5"/>
      </tp>
      <tp t="s">
        <v>#N/A N/A</v>
        <stp/>
        <stp>BDP|3650431335711866123</stp>
        <tr r="F84" s="5"/>
      </tp>
      <tp t="s">
        <v>#N/A N/A</v>
        <stp/>
        <stp>BDP|6869907391921169328</stp>
        <tr r="G99" s="5"/>
      </tp>
      <tp t="s">
        <v>#N/A N/A</v>
        <stp/>
        <stp>BDP|3870452735090290014</stp>
        <tr r="T108" s="5"/>
      </tp>
      <tp t="s">
        <v>#N/A N/A</v>
        <stp/>
        <stp>BDP|4813018522233412146</stp>
        <tr r="AB82" s="5"/>
      </tp>
      <tp t="s">
        <v>#N/A N/A</v>
        <stp/>
        <stp>BDP|9678648782585961623</stp>
        <tr r="F114" s="5"/>
      </tp>
      <tp t="s">
        <v>#N/A N/A</v>
        <stp/>
        <stp>BDP|7933046212900774238</stp>
        <tr r="G94" s="5"/>
      </tp>
      <tp t="s">
        <v>#N/A N/A</v>
        <stp/>
        <stp>BDP|5574612139517776313</stp>
        <tr r="AD109" s="5"/>
      </tp>
      <tp t="e">
        <v>#N/A</v>
        <stp/>
        <stp>BDH|7404656449843639250</stp>
        <tr r="S5" s="1"/>
      </tp>
      <tp t="s">
        <v>#N/A N/A</v>
        <stp/>
        <stp>BDP|3516622550520649498</stp>
        <tr r="AQ86" s="5"/>
      </tp>
      <tp t="s">
        <v>#N/A N/A</v>
        <stp/>
        <stp>BDP|7807254491151411904</stp>
        <tr r="AG96" s="5"/>
      </tp>
      <tp t="s">
        <v>#N/A N/A</v>
        <stp/>
        <stp>BDP|2835733476175134352</stp>
        <tr r="L103" s="5"/>
      </tp>
      <tp t="s">
        <v>#N/A N/A</v>
        <stp/>
        <stp>BDP|3914729775624311349</stp>
        <tr r="P123" s="5"/>
      </tp>
      <tp t="s">
        <v>#N/A N/A</v>
        <stp/>
        <stp>BDP|8480656694274205794</stp>
        <tr r="W92" s="5"/>
      </tp>
      <tp t="s">
        <v>#N/A N/A</v>
        <stp/>
        <stp>BDP|5135488657300123016</stp>
        <tr r="Q125" s="5"/>
      </tp>
      <tp t="s">
        <v>#N/A N/A</v>
        <stp/>
        <stp>BDP|3775388050807317629</stp>
        <tr r="L7" s="5"/>
      </tp>
      <tp t="s">
        <v>#N/A N/A</v>
        <stp/>
        <stp>BDP|7256882399000855253</stp>
        <tr r="AQ128" s="5"/>
      </tp>
      <tp t="s">
        <v>#N/A N/A</v>
        <stp/>
        <stp>BDP|2070292833061572613</stp>
        <tr r="N123" s="5"/>
      </tp>
      <tp t="s">
        <v>#N/A N/A</v>
        <stp/>
        <stp>BDP|3984053172469636970</stp>
        <tr r="AD43" s="5"/>
      </tp>
      <tp t="s">
        <v>#N/A N/A</v>
        <stp/>
        <stp>BDP|5227406462637952468</stp>
        <tr r="J118" s="5"/>
      </tp>
      <tp t="s">
        <v>#N/A N/A</v>
        <stp/>
        <stp>BDP|4452402727472917452</stp>
        <tr r="N103" s="5"/>
      </tp>
      <tp t="s">
        <v>#N/A N/A</v>
        <stp/>
        <stp>BDP|1507196599395193881</stp>
        <tr r="L80" s="5"/>
      </tp>
      <tp t="s">
        <v>#N/A N/A</v>
        <stp/>
        <stp>BDP|3831547037133066271</stp>
        <tr r="Y116" s="5"/>
      </tp>
      <tp t="s">
        <v>#N/A N/A</v>
        <stp/>
        <stp>BDP|3526242869144269762</stp>
        <tr r="AG88" s="5"/>
      </tp>
      <tp t="s">
        <v>#N/A N/A</v>
        <stp/>
        <stp>BDP|7156673749671169020</stp>
        <tr r="J67" s="5"/>
      </tp>
      <tp t="s">
        <v>#N/A N/A</v>
        <stp/>
        <stp>BDP|3800541170787815290</stp>
        <tr r="I128" s="5"/>
      </tp>
      <tp t="s">
        <v>#N/A N/A</v>
        <stp/>
        <stp>BDP|3095371168616510486</stp>
        <tr r="AU129" s="5"/>
      </tp>
      <tp t="s">
        <v>#N/A N/A</v>
        <stp/>
        <stp>BDP|2896172988007178844</stp>
        <tr r="U23" s="5"/>
      </tp>
      <tp t="s">
        <v>#N/A N/A</v>
        <stp/>
        <stp>BDP|3784171910423723451</stp>
        <tr r="V125" s="5"/>
      </tp>
      <tp t="s">
        <v>#N/A N/A</v>
        <stp/>
        <stp>BDP|1399111141729002911</stp>
        <tr r="H125" s="5"/>
      </tp>
      <tp t="s">
        <v>#N/A N/A</v>
        <stp/>
        <stp>BDP|7999120075955924051</stp>
        <tr r="AJ99" s="5"/>
      </tp>
      <tp t="s">
        <v>#N/A N/A</v>
        <stp/>
        <stp>BDP|2046331710623261731</stp>
        <tr r="AG123" s="5"/>
      </tp>
      <tp t="s">
        <v>#N/A N/A</v>
        <stp/>
        <stp>BDP|1284233082858125718</stp>
        <tr r="U24" s="5"/>
      </tp>
      <tp t="s">
        <v>#N/A N/A</v>
        <stp/>
        <stp>BDP|4690082973767857061</stp>
        <tr r="AG100" s="5"/>
      </tp>
      <tp t="s">
        <v>#N/A N/A</v>
        <stp/>
        <stp>BDP|5673296532745647588</stp>
        <tr r="N86" s="5"/>
      </tp>
      <tp t="s">
        <v>#N/A N/A</v>
        <stp/>
        <stp>BDP|3686359982699550578</stp>
        <tr r="F106" s="5"/>
      </tp>
      <tp t="s">
        <v>#N/A N/A</v>
        <stp/>
        <stp>BDP|5390083906983919278</stp>
        <tr r="AD77" s="5"/>
      </tp>
      <tp t="s">
        <v>#N/A N/A</v>
        <stp/>
        <stp>BDP|9027985485508888466</stp>
        <tr r="N46" s="5"/>
      </tp>
      <tp t="s">
        <v>#N/A N/A</v>
        <stp/>
        <stp>BDP|3692230386224514954</stp>
        <tr r="N128" s="5"/>
      </tp>
      <tp t="s">
        <v>#N/A N/A</v>
        <stp/>
        <stp>BDP|1600366153624764777</stp>
        <tr r="M111" s="5"/>
      </tp>
      <tp t="s">
        <v>#N/A N/A</v>
        <stp/>
        <stp>BDP|2877288971967269400</stp>
        <tr r="Z127" s="5"/>
      </tp>
      <tp t="s">
        <v>#N/A N/A</v>
        <stp/>
        <stp>BDP|1038797884243917975</stp>
        <tr r="AI115" s="5"/>
      </tp>
      <tp t="s">
        <v>#N/A N/A</v>
        <stp/>
        <stp>BDP|4868192008483353290</stp>
        <tr r="F97" s="5"/>
      </tp>
      <tp t="s">
        <v>#N/A N/A</v>
        <stp/>
        <stp>BDP|4671582617960872413</stp>
        <tr r="Y124" s="5"/>
      </tp>
      <tp t="s">
        <v>#N/A N/A</v>
        <stp/>
        <stp>BDP|4254258079464946173</stp>
        <tr r="T115" s="5"/>
      </tp>
      <tp t="s">
        <v>#N/A N/A</v>
        <stp/>
        <stp>BDP|1459657969330123594</stp>
        <tr r="L87" s="5"/>
      </tp>
      <tp t="s">
        <v>#N/A N/A</v>
        <stp/>
        <stp>BDP|7243513933833712663</stp>
        <tr r="U66" s="5"/>
      </tp>
      <tp t="s">
        <v>#N/A N/A</v>
        <stp/>
        <stp>BDP|1924321765815954562</stp>
        <tr r="N97" s="5"/>
      </tp>
      <tp t="s">
        <v>#N/A N/A</v>
        <stp/>
        <stp>BDP|1332975943369529134</stp>
        <tr r="F115" s="5"/>
      </tp>
      <tp t="s">
        <v>#N/A N/A</v>
        <stp/>
        <stp>BDP|2939521860362330791</stp>
        <tr r="AF106" s="5"/>
      </tp>
      <tp t="s">
        <v>#N/A N/A</v>
        <stp/>
        <stp>BDP|1224493358261308515</stp>
        <tr r="AB112" s="5"/>
      </tp>
      <tp t="s">
        <v>#N/A N/A</v>
        <stp/>
        <stp>BDP|2955483966633195702</stp>
        <tr r="M113" s="5"/>
      </tp>
      <tp t="s">
        <v>#N/A N/A</v>
        <stp/>
        <stp>BDP|8472918606005356067</stp>
        <tr r="AF124" s="5"/>
      </tp>
      <tp t="s">
        <v>#N/A N/A</v>
        <stp/>
        <stp>BDP|2786271115207083237</stp>
        <tr r="U27" s="5"/>
      </tp>
      <tp t="s">
        <v>#N/A N/A</v>
        <stp/>
        <stp>BDP|2364417601434652629</stp>
        <tr r="I112" s="5"/>
      </tp>
      <tp t="s">
        <v>#N/A N/A</v>
        <stp/>
        <stp>BDP|9497696632478955017</stp>
        <tr r="Q36" s="5"/>
      </tp>
      <tp t="s">
        <v>#N/A N/A</v>
        <stp/>
        <stp>BDP|4503110712632584246</stp>
        <tr r="P120" s="5"/>
      </tp>
      <tp t="s">
        <v>#N/A N/A</v>
        <stp/>
        <stp>BDP|4354076165202342458</stp>
        <tr r="I121" s="5"/>
      </tp>
      <tp t="s">
        <v>#N/A N/A</v>
        <stp/>
        <stp>BDP|9752316992200187729</stp>
        <tr r="J44" s="5"/>
      </tp>
      <tp t="s">
        <v>#N/A N/A</v>
        <stp/>
        <stp>BDP|6121003028315730592</stp>
        <tr r="M84" s="5"/>
      </tp>
      <tp t="s">
        <v>#N/A N/A</v>
        <stp/>
        <stp>BDP|3727702094799711033</stp>
        <tr r="AO127" s="5"/>
      </tp>
      <tp t="s">
        <v>#N/A N/A</v>
        <stp/>
        <stp>BDP|6575692737334959356</stp>
        <tr r="AK113" s="5"/>
      </tp>
      <tp t="s">
        <v>#N/A N/A</v>
        <stp/>
        <stp>BDP|3191181109811667712</stp>
        <tr r="F62" s="5"/>
      </tp>
      <tp t="s">
        <v>#N/A N/A</v>
        <stp/>
        <stp>BDP|9318865963864204705</stp>
        <tr r="AR12" s="5"/>
      </tp>
      <tp t="s">
        <v>#N/A N/A</v>
        <stp/>
        <stp>BDP|7872177899908263302</stp>
        <tr r="O91" s="5"/>
      </tp>
      <tp t="s">
        <v>#N/A N/A</v>
        <stp/>
        <stp>BDP|8876577795715743588</stp>
        <tr r="U79" s="5"/>
      </tp>
      <tp t="s">
        <v>#N/A N/A</v>
        <stp/>
        <stp>BDP|5670113502998568856</stp>
        <tr r="AN121" s="5"/>
      </tp>
      <tp t="s">
        <v>#N/A N/A</v>
        <stp/>
        <stp>BDP|1907607268554030143</stp>
        <tr r="N16" s="5"/>
      </tp>
      <tp t="s">
        <v>#N/A N/A</v>
        <stp/>
        <stp>BDP|4733521044756565711</stp>
        <tr r="T88" s="5"/>
      </tp>
      <tp t="s">
        <v>#N/A N/A</v>
        <stp/>
        <stp>BDP|5048606522381061472</stp>
        <tr r="P127" s="5"/>
      </tp>
      <tp t="s">
        <v>#N/A N/A</v>
        <stp/>
        <stp>BDP|6034346588269986008</stp>
        <tr r="AD101" s="5"/>
      </tp>
      <tp t="s">
        <v>#N/A N/A</v>
        <stp/>
        <stp>BDP|8995297366550254818</stp>
        <tr r="AD10" s="5"/>
      </tp>
      <tp t="s">
        <v>#N/A N/A</v>
        <stp/>
        <stp>BDP|7434581637206858298</stp>
        <tr r="U80" s="5"/>
      </tp>
      <tp t="s">
        <v>#N/A N/A</v>
        <stp/>
        <stp>BDP|2354760711983897269</stp>
        <tr r="P92" s="5"/>
      </tp>
      <tp t="s">
        <v>#N/A N/A</v>
        <stp/>
        <stp>BDP|5137470684279827507</stp>
        <tr r="G6" s="5"/>
      </tp>
      <tp t="s">
        <v>#N/A N/A</v>
        <stp/>
        <stp>BDP|1816347376460271021</stp>
        <tr r="AD118" s="5"/>
      </tp>
      <tp t="s">
        <v>#N/A N/A</v>
        <stp/>
        <stp>BDP|5367664709901631714</stp>
        <tr r="O109" s="5"/>
      </tp>
      <tp t="s">
        <v>#N/A N/A</v>
        <stp/>
        <stp>BDP|3610170524710714596</stp>
        <tr r="G97" s="5"/>
      </tp>
      <tp t="s">
        <v>#N/A N/A</v>
        <stp/>
        <stp>BDP|6208406739842091606</stp>
        <tr r="G104" s="5"/>
      </tp>
      <tp t="s">
        <v>#N/A N/A</v>
        <stp/>
        <stp>BDP|3337654609469232960</stp>
        <tr r="G109" s="5"/>
      </tp>
      <tp t="s">
        <v>#N/A N/A</v>
        <stp/>
        <stp>BDP|8622597290215225460</stp>
        <tr r="W119" s="5"/>
      </tp>
      <tp t="s">
        <v>#N/A N/A</v>
        <stp/>
        <stp>BDP|7803018974977527234</stp>
        <tr r="F58" s="5"/>
      </tp>
      <tp t="s">
        <v>#N/A N/A</v>
        <stp/>
        <stp>BDP|1561604048806092059</stp>
        <tr r="L78" s="5"/>
      </tp>
      <tp t="s">
        <v>#N/A N/A</v>
        <stp/>
        <stp>BDP|1531041223563319599</stp>
        <tr r="U85" s="5"/>
      </tp>
      <tp t="s">
        <v>#N/A N/A</v>
        <stp/>
        <stp>BDP|8896437931852662846</stp>
        <tr r="F124" s="5"/>
      </tp>
      <tp t="s">
        <v>#N/A N/A</v>
        <stp/>
        <stp>BDP|3732262398969954495</stp>
        <tr r="Q116" s="5"/>
      </tp>
      <tp t="s">
        <v>#N/A N/A</v>
        <stp/>
        <stp>BDP|5659296326908439841</stp>
        <tr r="L110" s="5"/>
      </tp>
      <tp t="s">
        <v>#N/A N/A</v>
        <stp/>
        <stp>BDP|6832383229722195014</stp>
        <tr r="AR25" s="5"/>
      </tp>
      <tp t="s">
        <v>#N/A N/A</v>
        <stp/>
        <stp>BDP|4263878183130803106</stp>
        <tr r="J40" s="5"/>
      </tp>
      <tp t="s">
        <v>#N/A N/A</v>
        <stp/>
        <stp>BDP|4954362879271076484</stp>
        <tr r="F125" s="5"/>
      </tp>
      <tp t="s">
        <v>#N/A N/A</v>
        <stp/>
        <stp>BDP|3398611314995005498</stp>
        <tr r="AI122" s="5"/>
      </tp>
      <tp t="s">
        <v>#N/A N/A</v>
        <stp/>
        <stp>BDP|5676480001645330138</stp>
        <tr r="N49" s="5"/>
      </tp>
      <tp t="s">
        <v>#N/A N/A</v>
        <stp/>
        <stp>BDP|5589019972024899315</stp>
        <tr r="H47" s="5"/>
      </tp>
      <tp t="s">
        <v>#N/A N/A</v>
        <stp/>
        <stp>BDP|5411934982394325595</stp>
        <tr r="AK88" s="5"/>
      </tp>
      <tp t="s">
        <v>#N/A N/A</v>
        <stp/>
        <stp>BDP|2887994991681988663</stp>
        <tr r="L99" s="5"/>
      </tp>
      <tp t="e">
        <v>#N/A</v>
        <stp/>
        <stp>BDH|6666412409520936781</stp>
        <tr r="AH5" s="1"/>
      </tp>
      <tp t="s">
        <v>#N/A N/A</v>
        <stp/>
        <stp>BDP|7980474798806374998</stp>
        <tr r="G17" s="5"/>
      </tp>
      <tp t="s">
        <v>#N/A N/A</v>
        <stp/>
        <stp>BDP|8400668504289380292</stp>
        <tr r="AR29" s="5"/>
      </tp>
      <tp t="s">
        <v>#N/A N/A</v>
        <stp/>
        <stp>BDP|5014272613512959116</stp>
        <tr r="AN128" s="5"/>
      </tp>
      <tp t="e">
        <v>#N/A</v>
        <stp/>
        <stp>BDH|4476153739254197755</stp>
        <tr r="AZ5" s="1"/>
      </tp>
      <tp t="s">
        <v>#N/A N/A</v>
        <stp/>
        <stp>BDP|9352942341963277290</stp>
        <tr r="Q94" s="5"/>
      </tp>
      <tp t="s">
        <v>#N/A N/A</v>
        <stp/>
        <stp>BDP|8458089464142758923</stp>
        <tr r="F70" s="5"/>
      </tp>
      <tp t="s">
        <v>#N/A N/A</v>
        <stp/>
        <stp>BDP|1935296617883345496</stp>
        <tr r="U42" s="5"/>
      </tp>
      <tp t="s">
        <v>#N/A N/A</v>
        <stp/>
        <stp>BDP|3365374478595313727</stp>
        <tr r="D127" s="5"/>
      </tp>
      <tp t="s">
        <v>#N/A N/A</v>
        <stp/>
        <stp>BDP|9819727480443031074</stp>
        <tr r="AR123" s="5"/>
      </tp>
      <tp t="s">
        <v>#N/A N/A</v>
        <stp/>
        <stp>BDP|4196771652034448724</stp>
        <tr r="R112" s="5"/>
      </tp>
      <tp t="s">
        <v>#N/A N/A</v>
        <stp/>
        <stp>BDP|3879145425912912720</stp>
        <tr r="M40" s="5"/>
      </tp>
      <tp t="s">
        <v>#N/A N/A</v>
        <stp/>
        <stp>BDP|2733515701697394565</stp>
        <tr r="L32" s="5"/>
      </tp>
      <tp t="s">
        <v>#N/A N/A</v>
        <stp/>
        <stp>BDP|1013507504408479926</stp>
        <tr r="Q9" s="5"/>
      </tp>
      <tp t="s">
        <v>#N/A N/A</v>
        <stp/>
        <stp>BDP|6359224173474703277</stp>
        <tr r="S120" s="5"/>
      </tp>
      <tp t="s">
        <v>#N/A N/A</v>
        <stp/>
        <stp>BDP|1442147040441159034</stp>
        <tr r="G89" s="5"/>
      </tp>
      <tp t="s">
        <v>#N/A N/A</v>
        <stp/>
        <stp>BDP|4019785725090951478</stp>
        <tr r="Y113" s="5"/>
      </tp>
      <tp t="s">
        <v>#N/A N/A</v>
        <stp/>
        <stp>BDP|1768719905364817784</stp>
        <tr r="Q17" s="5"/>
      </tp>
      <tp t="s">
        <v>#N/A N/A</v>
        <stp/>
        <stp>BDP|3987349639910463636</stp>
        <tr r="AQ97" s="5"/>
      </tp>
      <tp t="s">
        <v>#N/A N/A</v>
        <stp/>
        <stp>BDP|9259669587552822083</stp>
        <tr r="Y125" s="5"/>
      </tp>
      <tp t="s">
        <v>#N/A N/A</v>
        <stp/>
        <stp>BDP|1564254734704438139</stp>
        <tr r="AH128" s="5"/>
      </tp>
      <tp t="s">
        <v>#N/A N/A</v>
        <stp/>
        <stp>BDP|9920995460780524360</stp>
        <tr r="L90" s="5"/>
      </tp>
      <tp t="s">
        <v>#N/A N/A</v>
        <stp/>
        <stp>BDP|2027162825870563458</stp>
        <tr r="AO125" s="5"/>
      </tp>
      <tp t="s">
        <v>#N/A N/A</v>
        <stp/>
        <stp>BDP|9244047855141725848</stp>
        <tr r="AK90" s="5"/>
      </tp>
      <tp t="s">
        <v>#N/A N/A</v>
        <stp/>
        <stp>BDP|4074923004829129175</stp>
        <tr r="F51" s="5"/>
      </tp>
      <tp t="s">
        <v>#N/A N/A</v>
        <stp/>
        <stp>BDP|6437649455482427212</stp>
        <tr r="R100" s="5"/>
      </tp>
      <tp t="s">
        <v>#N/A N/A</v>
        <stp/>
        <stp>BDP|1726866241259305137</stp>
        <tr r="N95" s="5"/>
      </tp>
      <tp t="s">
        <v>#N/A N/A</v>
        <stp/>
        <stp>BDP|5875344037158318884</stp>
        <tr r="G5" s="5"/>
      </tp>
      <tp t="s">
        <v>#N/A N/A</v>
        <stp/>
        <stp>BDP|8309528113381685845</stp>
        <tr r="AB107" s="5"/>
      </tp>
      <tp t="s">
        <v>#N/A N/A</v>
        <stp/>
        <stp>BDP|3447646397300306947</stp>
        <tr r="T128" s="5"/>
      </tp>
      <tp t="e">
        <v>#N/A</v>
        <stp/>
        <stp>BDH|2532631898049641186</stp>
        <tr r="AW5" s="1"/>
      </tp>
      <tp t="s">
        <v>#N/A N/A</v>
        <stp/>
        <stp>BDP|6832499462586675740</stp>
        <tr r="X126" s="5"/>
      </tp>
      <tp t="s">
        <v>#N/A N/A</v>
        <stp/>
        <stp>BDP|5830176136066070483</stp>
        <tr r="N88" s="5"/>
      </tp>
      <tp t="s">
        <v>#N/A N/A</v>
        <stp/>
        <stp>BDP|4670454286389249467</stp>
        <tr r="G81" s="5"/>
      </tp>
      <tp t="s">
        <v>#N/A N/A</v>
        <stp/>
        <stp>BDP|7141092572437995229</stp>
        <tr r="Q53" s="5"/>
      </tp>
      <tp t="s">
        <v>#N/A N/A</v>
        <stp/>
        <stp>BDP|5077984197748851865</stp>
        <tr r="Z113" s="5"/>
      </tp>
      <tp t="s">
        <v>#N/A N/A</v>
        <stp/>
        <stp>BDP|5722003661552089478</stp>
        <tr r="R127" s="5"/>
      </tp>
      <tp t="s">
        <v>#N/A N/A</v>
        <stp/>
        <stp>BDP|8642136595737593237</stp>
        <tr r="N41" s="5"/>
      </tp>
      <tp t="s">
        <v>#N/A N/A</v>
        <stp/>
        <stp>BDP|4896633052216936460</stp>
        <tr r="U67" s="5"/>
      </tp>
      <tp t="s">
        <v>#N/A N/A</v>
        <stp/>
        <stp>BDP|5611021965075162366</stp>
        <tr r="AB87" s="5"/>
      </tp>
      <tp t="s">
        <v>#N/A N/A</v>
        <stp/>
        <stp>BDP|3109662141882096605</stp>
        <tr r="U13" s="5"/>
      </tp>
      <tp t="s">
        <v>#N/A N/A</v>
        <stp/>
        <stp>BDP|2805934816976316991</stp>
        <tr r="AG113" s="5"/>
      </tp>
      <tp t="s">
        <v>#N/A N/A</v>
        <stp/>
        <stp>BDP|2022610450093225779</stp>
        <tr r="G44" s="5"/>
      </tp>
      <tp t="s">
        <v>#N/A N/A</v>
        <stp/>
        <stp>BDP|4388478686554721915</stp>
        <tr r="L15" s="5"/>
      </tp>
      <tp t="s">
        <v>#N/A N/A</v>
        <stp/>
        <stp>BDP|4939125183420980858</stp>
        <tr r="F127" s="5"/>
      </tp>
      <tp t="s">
        <v>#N/A N/A</v>
        <stp/>
        <stp>BDP|5058451951922712378</stp>
        <tr r="Q12" s="5"/>
      </tp>
      <tp t="s">
        <v>#N/A N/A</v>
        <stp/>
        <stp>BDP|8772146710935794807</stp>
        <tr r="E100" s="5"/>
      </tp>
      <tp t="s">
        <v>#N/A N/A</v>
        <stp/>
        <stp>BDP|7803427926490163487</stp>
        <tr r="AI112" s="5"/>
      </tp>
      <tp t="s">
        <v>#N/A N/A</v>
        <stp/>
        <stp>BDP|9345944134357157172</stp>
        <tr r="Q11" s="5"/>
      </tp>
      <tp t="s">
        <v>#N/A N/A</v>
        <stp/>
        <stp>BDP|6202500471001426024</stp>
        <tr r="AF94" s="5"/>
      </tp>
      <tp t="e">
        <v>#N/A</v>
        <stp/>
        <stp>BDH|1513419201847887787</stp>
        <tr r="AF5" s="1"/>
      </tp>
      <tp t="s">
        <v>#N/A N/A</v>
        <stp/>
        <stp>BDP|9440565859577155808</stp>
        <tr r="J111" s="5"/>
      </tp>
      <tp t="s">
        <v>#N/A N/A</v>
        <stp/>
        <stp>BDP|8490960632784254083</stp>
        <tr r="W123" s="5"/>
      </tp>
      <tp t="s">
        <v>#N/A N/A</v>
        <stp/>
        <stp>BDP|3935315527264407018</stp>
        <tr r="AD114" s="5"/>
      </tp>
      <tp t="s">
        <v>#N/A N/A</v>
        <stp/>
        <stp>BDP|9017983772467999690</stp>
        <tr r="R114" s="5"/>
      </tp>
      <tp t="s">
        <v>#N/A N/A</v>
        <stp/>
        <stp>BDP|8275178697472061495</stp>
        <tr r="H105" s="5"/>
      </tp>
      <tp t="s">
        <v>#N/A N/A</v>
        <stp/>
        <stp>BDP|6936946433659034358</stp>
        <tr r="L115" s="5"/>
      </tp>
      <tp t="s">
        <v>#N/A N/A</v>
        <stp/>
        <stp>BDP|8596078088810056617</stp>
        <tr r="V118" s="5"/>
      </tp>
      <tp t="s">
        <v>#N/A N/A</v>
        <stp/>
        <stp>BDP|5181991405278019267</stp>
        <tr r="G33" s="5"/>
      </tp>
      <tp t="s">
        <v>#N/A N/A</v>
        <stp/>
        <stp>BDP|1899624841645901097</stp>
        <tr r="H90" s="5"/>
      </tp>
      <tp t="s">
        <v>#N/A N/A</v>
        <stp/>
        <stp>BDP|9870930366180684002</stp>
        <tr r="F40" s="5"/>
      </tp>
      <tp t="s">
        <v>#N/A N/A</v>
        <stp/>
        <stp>BDP|4906619911656242307</stp>
        <tr r="L37" s="5"/>
      </tp>
      <tp t="s">
        <v>#N/A N/A</v>
        <stp/>
        <stp>BDP|9487081927165378830</stp>
        <tr r="G19" s="5"/>
      </tp>
      <tp t="s">
        <v>#N/A N/A</v>
        <stp/>
        <stp>BDP|9497227955930167891</stp>
        <tr r="M127" s="5"/>
      </tp>
      <tp t="s">
        <v>#N/A N/A</v>
        <stp/>
        <stp>BDP|4820658787225432959</stp>
        <tr r="N43" s="5"/>
      </tp>
      <tp t="s">
        <v>#N/A N/A</v>
        <stp/>
        <stp>BDP|7993981630399063290</stp>
        <tr r="AA119" s="5"/>
      </tp>
      <tp t="s">
        <v>#N/A N/A</v>
        <stp/>
        <stp>BDP|4162691432346021128</stp>
        <tr r="AK120" s="5"/>
      </tp>
      <tp t="s">
        <v>#N/A N/A</v>
        <stp/>
        <stp>BDP|5248586032331998499</stp>
        <tr r="G34" s="5"/>
      </tp>
      <tp t="s">
        <v>#N/A N/A</v>
        <stp/>
        <stp>BDP|6451859796057795683</stp>
        <tr r="J41" s="5"/>
      </tp>
      <tp t="s">
        <v>#N/A N/A</v>
        <stp/>
        <stp>BDP|8995384848098222121</stp>
        <tr r="AQ83" s="5"/>
      </tp>
      <tp t="s">
        <v>#N/A N/A</v>
        <stp/>
        <stp>BDP|7764247443690886711</stp>
        <tr r="Q118" s="5"/>
      </tp>
      <tp t="s">
        <v>#N/A N/A</v>
        <stp/>
        <stp>BDP|6634519556642960263</stp>
        <tr r="L43" s="5"/>
      </tp>
      <tp t="s">
        <v>#N/A N/A</v>
        <stp/>
        <stp>BDP|7966942964079188767</stp>
        <tr r="G39" s="5"/>
      </tp>
      <tp t="s">
        <v>#N/A N/A</v>
        <stp/>
        <stp>BDP|2412904190061900538</stp>
        <tr r="AJ128" s="5"/>
      </tp>
      <tp t="s">
        <v>#N/A N/A</v>
        <stp/>
        <stp>BDP|9423304483093188780</stp>
        <tr r="W88" s="5"/>
      </tp>
      <tp t="s">
        <v>#N/A N/A</v>
        <stp/>
        <stp>BDP|4306909893152640082</stp>
        <tr r="S124" s="5"/>
      </tp>
      <tp t="s">
        <v>#N/A N/A</v>
        <stp/>
        <stp>BDP|4704429244423971168</stp>
        <tr r="U11" s="5"/>
      </tp>
      <tp t="s">
        <v>#N/A N/A</v>
        <stp/>
        <stp>BDP|6957578623862223512</stp>
        <tr r="F59" s="5"/>
      </tp>
      <tp t="s">
        <v>#N/A N/A</v>
        <stp/>
        <stp>BDP|1105561453905256294</stp>
        <tr r="I127" s="5"/>
      </tp>
      <tp t="s">
        <v>#N/A N/A</v>
        <stp/>
        <stp>BDP|4383492554435749661</stp>
        <tr r="E73" s="5"/>
      </tp>
      <tp t="s">
        <v>#N/A N/A</v>
        <stp/>
        <stp>BDP|9754036783844883304</stp>
        <tr r="W116" s="5"/>
      </tp>
      <tp t="s">
        <v>#N/A N/A</v>
        <stp/>
        <stp>BDP|6155265579343065612</stp>
        <tr r="L79" s="5"/>
      </tp>
      <tp t="s">
        <v>#N/A N/A</v>
        <stp/>
        <stp>BDP|1022649795680959841</stp>
        <tr r="J84" s="5"/>
      </tp>
      <tp t="s">
        <v>#N/A N/A</v>
        <stp/>
        <stp>BDP|9243880467887116601</stp>
        <tr r="L77" s="5"/>
      </tp>
      <tp t="s">
        <v>#N/A N/A</v>
        <stp/>
        <stp>BDP|7604826354815898943</stp>
        <tr r="N79" s="5"/>
      </tp>
      <tp t="s">
        <v>#N/A N/A</v>
        <stp/>
        <stp>BDP|3690601330035956525</stp>
        <tr r="Q108" s="5"/>
      </tp>
      <tp t="s">
        <v>#N/A N/A</v>
        <stp/>
        <stp>BDP|7947454801433172618</stp>
        <tr r="Z123" s="5"/>
      </tp>
      <tp t="s">
        <v>#N/A N/A</v>
        <stp/>
        <stp>BDP|4233842325971930971</stp>
        <tr r="Q69" s="5"/>
      </tp>
      <tp t="s">
        <v>#N/A N/A</v>
        <stp/>
        <stp>BDP|7431978189902232252</stp>
        <tr r="G63" s="5"/>
      </tp>
      <tp t="s">
        <v>#N/A N/A</v>
        <stp/>
        <stp>BDP|5389090339078844895</stp>
        <tr r="AG128" s="5"/>
      </tp>
      <tp t="s">
        <v>#N/A N/A</v>
        <stp/>
        <stp>BDP|3768890378642781834</stp>
        <tr r="T111" s="5"/>
      </tp>
      <tp t="s">
        <v>#N/A N/A</v>
        <stp/>
        <stp>BDP|7001140780499569130</stp>
        <tr r="AR78" s="5"/>
      </tp>
      <tp t="s">
        <v>#N/A N/A</v>
        <stp/>
        <stp>BDP|4608252758154887101</stp>
        <tr r="AR86" s="5"/>
      </tp>
      <tp t="s">
        <v>#N/A N/A</v>
        <stp/>
        <stp>BDP|5525181819973198060</stp>
        <tr r="E120" s="5"/>
      </tp>
      <tp t="s">
        <v>#N/A N/A</v>
        <stp/>
        <stp>BDP|7790342414132289160</stp>
        <tr r="Z88" s="5"/>
      </tp>
      <tp t="s">
        <v>#N/A N/A</v>
        <stp/>
        <stp>BDP|6797568950484648445</stp>
        <tr r="J80" s="5"/>
      </tp>
      <tp t="s">
        <v>#N/A N/A</v>
        <stp/>
        <stp>BDP|7277268491642671837</stp>
        <tr r="N64" s="5"/>
      </tp>
      <tp t="s">
        <v>#N/A N/A</v>
        <stp/>
        <stp>BDP|9067182187550891671</stp>
        <tr r="G119" s="5"/>
      </tp>
      <tp t="s">
        <v>#N/A N/A</v>
        <stp/>
        <stp>BDP|5074526473954566547</stp>
        <tr r="T117" s="5"/>
      </tp>
      <tp t="s">
        <v>#N/A N/A</v>
        <stp/>
        <stp>BDP|2404805813068575529</stp>
        <tr r="P126" s="5"/>
      </tp>
      <tp t="s">
        <v>#N/A N/A</v>
        <stp/>
        <stp>BDP|2731661510865921686</stp>
        <tr r="R110" s="5"/>
      </tp>
      <tp t="s">
        <v>#N/A N/A</v>
        <stp/>
        <stp>BDP|6858784644142427101</stp>
        <tr r="AR63" s="5"/>
      </tp>
      <tp t="s">
        <v>#N/A N/A</v>
        <stp/>
        <stp>BDP|3941512949215018113</stp>
        <tr r="AP128" s="5"/>
      </tp>
      <tp t="s">
        <v>#N/A N/A</v>
        <stp/>
        <stp>BDP|1346711947896225263</stp>
        <tr r="N69" s="5"/>
      </tp>
      <tp t="s">
        <v>#N/A N/A</v>
        <stp/>
        <stp>BDP|1511065730814243009</stp>
        <tr r="W77" s="5"/>
      </tp>
      <tp t="s">
        <v>#N/A N/A</v>
        <stp/>
        <stp>BDP|7118371032647376661</stp>
        <tr r="AS118" s="5"/>
      </tp>
      <tp t="s">
        <v>#N/A N/A</v>
        <stp/>
        <stp>BDP|3125801855721276970</stp>
        <tr r="AJ122" s="5"/>
      </tp>
      <tp t="s">
        <v>#N/A N/A</v>
        <stp/>
        <stp>BDP|2327798116246489493</stp>
        <tr r="J58" s="5"/>
      </tp>
      <tp t="s">
        <v>#N/A N/A</v>
        <stp/>
        <stp>BDP|3013442266825145229</stp>
        <tr r="M70" s="5"/>
      </tp>
      <tp t="s">
        <v>#N/A N/A</v>
        <stp/>
        <stp>BDP|1939598336675756471</stp>
        <tr r="AK105" s="5"/>
      </tp>
      <tp t="s">
        <v>#N/A N/A</v>
        <stp/>
        <stp>BDP|5788879296911320333</stp>
        <tr r="AF114" s="5"/>
      </tp>
      <tp t="s">
        <v>#N/A N/A</v>
        <stp/>
        <stp>BDP|3869282809455882270</stp>
        <tr r="Q7" s="5"/>
      </tp>
      <tp t="s">
        <v>#N/A N/A</v>
        <stp/>
        <stp>BDP|5295206744535476046</stp>
        <tr r="T121" s="5"/>
      </tp>
      <tp t="s">
        <v>#N/A N/A</v>
        <stp/>
        <stp>BDP|9383738996722889383</stp>
        <tr r="Q93" s="5"/>
      </tp>
      <tp t="s">
        <v>#N/A N/A</v>
        <stp/>
        <stp>BDP|8074919661767567630</stp>
        <tr r="L18" s="5"/>
      </tp>
      <tp t="s">
        <v>#N/A N/A</v>
        <stp/>
        <stp>BDP|3221721722367705730</stp>
        <tr r="AD75" s="5"/>
      </tp>
      <tp t="s">
        <v>#N/A N/A</v>
        <stp/>
        <stp>BDP|9161908976683483252</stp>
        <tr r="V126" s="5"/>
      </tp>
      <tp t="s">
        <v>#N/A N/A</v>
        <stp/>
        <stp>BDP|8324712303189748000</stp>
        <tr r="AN129" s="5"/>
      </tp>
      <tp t="s">
        <v>#N/A N/A</v>
        <stp/>
        <stp>BDP|4895477030130996502</stp>
        <tr r="AG108" s="5"/>
      </tp>
      <tp t="s">
        <v>#N/A N/A</v>
        <stp/>
        <stp>BDP|8664833140725206715</stp>
        <tr r="O120" s="5"/>
      </tp>
      <tp t="s">
        <v>#N/A N/A</v>
        <stp/>
        <stp>BDP|9021868335217701337</stp>
        <tr r="O125" s="5"/>
      </tp>
      <tp t="s">
        <v>#N/A N/A</v>
        <stp/>
        <stp>BDP|8149863646743697106</stp>
        <tr r="AD95" s="5"/>
      </tp>
      <tp t="s">
        <v>#N/A N/A</v>
        <stp/>
        <stp>BDP|5595663042950501131</stp>
        <tr r="I117" s="5"/>
      </tp>
      <tp t="s">
        <v>#N/A N/A</v>
        <stp/>
        <stp>BDP|8130614013390175969</stp>
        <tr r="N110" s="5"/>
      </tp>
      <tp t="s">
        <v>#N/A N/A</v>
        <stp/>
        <stp>BDP|2594409260725399324</stp>
        <tr r="G66" s="5"/>
      </tp>
      <tp t="s">
        <v>#N/A N/A</v>
        <stp/>
        <stp>BDP|9478898665996524799</stp>
        <tr r="AG91" s="5"/>
      </tp>
      <tp t="s">
        <v>#N/A N/A</v>
        <stp/>
        <stp>BDP|9888759998973662271</stp>
        <tr r="J81" s="5"/>
      </tp>
      <tp t="s">
        <v>#N/A N/A</v>
        <stp/>
        <stp>BDP|9824098994413396527</stp>
        <tr r="AI113" s="5"/>
      </tp>
      <tp t="s">
        <v>#N/A N/A</v>
        <stp/>
        <stp>BDP|1489333196824688939</stp>
        <tr r="AF122" s="5"/>
      </tp>
      <tp t="s">
        <v>#N/A N/A</v>
        <stp/>
        <stp>BDP|7693146097391353839</stp>
        <tr r="Z121" s="5"/>
      </tp>
      <tp t="s">
        <v>#N/A N/A</v>
        <stp/>
        <stp>BDP|1231352212212755774</stp>
        <tr r="U120" s="5"/>
      </tp>
      <tp t="s">
        <v>#N/A N/A</v>
        <stp/>
        <stp>BDP|3210598363341394619</stp>
        <tr r="F117" s="5"/>
      </tp>
      <tp t="s">
        <v>#N/A N/A</v>
        <stp/>
        <stp>BDP|3391565235594858621</stp>
        <tr r="P109" s="5"/>
      </tp>
      <tp t="s">
        <v>#N/A N/A</v>
        <stp/>
        <stp>BDP|7807793274845876573</stp>
        <tr r="F91" s="5"/>
      </tp>
      <tp t="s">
        <v>#N/A N/A</v>
        <stp/>
        <stp>BDP|7577336547917950022</stp>
        <tr r="L121" s="5"/>
      </tp>
      <tp t="s">
        <v>#N/A N/A</v>
        <stp/>
        <stp>BDP|4904662199334804840</stp>
        <tr r="K118" s="5"/>
      </tp>
      <tp t="s">
        <v>#N/A N/A</v>
        <stp/>
        <stp>BDP|5671018033500966179</stp>
        <tr r="Q97" s="5"/>
      </tp>
      <tp t="s">
        <v>#N/A N/A</v>
        <stp/>
        <stp>BDP|1805644223452391072</stp>
        <tr r="AR53" s="5"/>
      </tp>
      <tp t="s">
        <v>#N/A N/A</v>
        <stp/>
        <stp>BDP|6826259133259145941</stp>
        <tr r="G30" s="5"/>
      </tp>
      <tp t="s">
        <v>#N/A N/A</v>
        <stp/>
        <stp>BDP|2704391984588269633</stp>
        <tr r="L125" s="5"/>
      </tp>
      <tp t="s">
        <v>#N/A N/A</v>
        <stp/>
        <stp>BDP|5096730179312382020</stp>
        <tr r="AD45" s="5"/>
      </tp>
      <tp t="s">
        <v>#N/A N/A</v>
        <stp/>
        <stp>BDP|7872208903532596054</stp>
        <tr r="H99" s="5"/>
      </tp>
      <tp t="s">
        <v>#N/A N/A</v>
        <stp/>
        <stp>BDP|7921228591138269301</stp>
        <tr r="L71" s="5"/>
      </tp>
      <tp t="s">
        <v>#N/A N/A</v>
        <stp/>
        <stp>BDP|7852635503667534152</stp>
        <tr r="AR15" s="5"/>
      </tp>
      <tp t="s">
        <v>#N/A N/A</v>
        <stp/>
        <stp>BDP|6456680352056699414</stp>
        <tr r="AJ120" s="5"/>
      </tp>
      <tp t="s">
        <v>#N/A N/A</v>
        <stp/>
        <stp>BDP|3896370968111650083</stp>
        <tr r="I89" s="5"/>
      </tp>
      <tp t="s">
        <v>#N/A N/A</v>
        <stp/>
        <stp>BDP|5347424302177244186</stp>
        <tr r="AK116" s="5"/>
      </tp>
      <tp t="s">
        <v>#N/A N/A</v>
        <stp/>
        <stp>BDP|9861236065729210353</stp>
        <tr r="G10" s="5"/>
      </tp>
      <tp t="s">
        <v>#N/A N/A</v>
        <stp/>
        <stp>BDP|1917284704272979655</stp>
        <tr r="AR16" s="5"/>
      </tp>
      <tp t="s">
        <v>#N/A N/A</v>
        <stp/>
        <stp>BDP|2730106107797724398</stp>
        <tr r="W99" s="5"/>
      </tp>
      <tp t="s">
        <v>#N/A N/A</v>
        <stp/>
        <stp>BDP|7097616561012964275</stp>
        <tr r="T95" s="5"/>
      </tp>
      <tp t="s">
        <v>#N/A N/A</v>
        <stp/>
        <stp>BDP|6221034343140444580</stp>
        <tr r="AK92" s="5"/>
      </tp>
      <tp t="s">
        <v>#N/A N/A</v>
        <stp/>
        <stp>BDP|9371060615348901772</stp>
        <tr r="AV126" s="5"/>
      </tp>
      <tp t="s">
        <v>#N/A N/A</v>
        <stp/>
        <stp>BDP|8583913520745232197</stp>
        <tr r="S127" s="5"/>
      </tp>
      <tp t="s">
        <v>#N/A N/A</v>
        <stp/>
        <stp>BDP|2386582515543128205</stp>
        <tr r="I97" s="5"/>
      </tp>
      <tp t="s">
        <v>#N/A N/A</v>
        <stp/>
        <stp>BDP|3398740831516899614</stp>
        <tr r="F69" s="5"/>
      </tp>
      <tp t="s">
        <v>#N/A N/A</v>
        <stp/>
        <stp>BDP|1502057384048211692</stp>
        <tr r="M55" s="5"/>
      </tp>
      <tp t="s">
        <v>#N/A N/A</v>
        <stp/>
        <stp>BDP|7597975563627666888</stp>
        <tr r="M54" s="5"/>
      </tp>
      <tp t="s">
        <v>#N/A N/A</v>
        <stp/>
        <stp>BDP|6863834717549483179</stp>
        <tr r="M117" s="5"/>
      </tp>
      <tp t="s">
        <v>#N/A N/A</v>
        <stp/>
        <stp>BDP|1743113842295867609</stp>
        <tr r="H44" s="5"/>
      </tp>
      <tp t="s">
        <v>#N/A N/A</v>
        <stp/>
        <stp>BDP|6660250828089214857</stp>
        <tr r="AA129" s="5"/>
      </tp>
      <tp t="s">
        <v>#N/A N/A</v>
        <stp/>
        <stp>BDP|6034526382465404982</stp>
        <tr r="T94" s="5"/>
      </tp>
      <tp t="s">
        <v>#N/A N/A</v>
        <stp/>
        <stp>BDP|3349744250501342783</stp>
        <tr r="Q78" s="5"/>
      </tp>
      <tp t="s">
        <v>#N/A N/A</v>
        <stp/>
        <stp>BDP|7391498112850280566</stp>
        <tr r="R117" s="5"/>
      </tp>
      <tp t="s">
        <v>#N/A N/A</v>
        <stp/>
        <stp>BDP|6701531619293752660</stp>
        <tr r="AY128" s="5"/>
      </tp>
      <tp t="s">
        <v>#N/A N/A</v>
        <stp/>
        <stp>BDP|1134220785905210990</stp>
        <tr r="AD69" s="5"/>
      </tp>
      <tp t="s">
        <v>#N/A N/A</v>
        <stp/>
        <stp>BDP|9404763795632324297</stp>
        <tr r="G55" s="5"/>
      </tp>
      <tp t="s">
        <v>#N/A N/A</v>
        <stp/>
        <stp>BDP|4774439406706995162</stp>
        <tr r="J119" s="5"/>
      </tp>
      <tp t="e">
        <v>#N/A</v>
        <stp/>
        <stp>BDH|7881303309233416082</stp>
        <tr r="H5" s="1"/>
      </tp>
      <tp t="s">
        <v>#N/A N/A</v>
        <stp/>
        <stp>BDP|6629581882285765998</stp>
        <tr r="E78" s="5"/>
      </tp>
      <tp t="s">
        <v>#N/A N/A</v>
        <stp/>
        <stp>BDP|5695440872726528772</stp>
        <tr r="L25" s="5"/>
      </tp>
      <tp t="s">
        <v>#N/A N/A</v>
        <stp/>
        <stp>BDP|5407528707344233300</stp>
        <tr r="J38" s="5"/>
      </tp>
      <tp t="s">
        <v>#N/A N/A</v>
        <stp/>
        <stp>BDP|2940180510723488660</stp>
        <tr r="G14" s="5"/>
      </tp>
      <tp t="s">
        <v>#N/A N/A</v>
        <stp/>
        <stp>BDP|6922122609549636977</stp>
        <tr r="H104" s="5"/>
      </tp>
      <tp t="s">
        <v>#N/A N/A</v>
        <stp/>
        <stp>BDP|5486037413331598225</stp>
        <tr r="M119" s="5"/>
      </tp>
      <tp t="s">
        <v>#N/A N/A</v>
        <stp/>
        <stp>BDP|6562582776537134497</stp>
        <tr r="F72" s="5"/>
      </tp>
      <tp t="s">
        <v>#N/A N/A</v>
        <stp/>
        <stp>BDP|3914689809953876109</stp>
        <tr r="F94" s="5"/>
      </tp>
      <tp t="s">
        <v>#N/A N/A</v>
        <stp/>
        <stp>BDP|7401064717791476016</stp>
        <tr r="J45" s="5"/>
      </tp>
      <tp t="s">
        <v>#N/A N/A</v>
        <stp/>
        <stp>BDP|3332381019257493178</stp>
        <tr r="L56" s="5"/>
      </tp>
      <tp t="s">
        <v>#N/A N/A</v>
        <stp/>
        <stp>BDP|6221249969697772299</stp>
        <tr r="K110" s="5"/>
      </tp>
      <tp t="s">
        <v>#N/A N/A</v>
        <stp/>
        <stp>BDP|6238927236782281958</stp>
        <tr r="AC128" s="5"/>
      </tp>
      <tp t="s">
        <v>#N/A N/A</v>
        <stp/>
        <stp>BDP|6348638917154512238</stp>
        <tr r="AR88" s="5"/>
      </tp>
      <tp t="s">
        <v>#N/A N/A</v>
        <stp/>
        <stp>BDP|6228598649699451904</stp>
        <tr r="AQ113" s="5"/>
      </tp>
      <tp t="s">
        <v>#N/A N/A</v>
        <stp/>
        <stp>BDP|1331971023305723863</stp>
        <tr r="AD128" s="5"/>
      </tp>
      <tp t="s">
        <v>#N/A N/A</v>
        <stp/>
        <stp>BDP|6000953204660788808</stp>
        <tr r="AR111" s="5"/>
      </tp>
      <tp t="s">
        <v>#N/A N/A</v>
        <stp/>
        <stp>BDP|7118614736866024315</stp>
        <tr r="H78" s="5"/>
      </tp>
      <tp t="s">
        <v>#N/A N/A</v>
        <stp/>
        <stp>BDP|4057046784163482837</stp>
        <tr r="AE128" s="5"/>
      </tp>
      <tp t="s">
        <v>#N/A N/A</v>
        <stp/>
        <stp>BDP|4023678010432053604</stp>
        <tr r="W117" s="5"/>
      </tp>
      <tp t="s">
        <v>#N/A N/A</v>
        <stp/>
        <stp>BDP|3158294185989284784</stp>
        <tr r="AD84" s="5"/>
      </tp>
      <tp t="s">
        <v>#N/A N/A</v>
        <stp/>
        <stp>BDP|8026758450099122403</stp>
        <tr r="L73" s="5"/>
      </tp>
      <tp t="s">
        <v>#N/A N/A</v>
        <stp/>
        <stp>BDP|7149626383886343872</stp>
        <tr r="P112" s="5"/>
      </tp>
      <tp t="s">
        <v>#N/A N/A</v>
        <stp/>
        <stp>BDP|4135224780348593122</stp>
        <tr r="AJ126" s="5"/>
      </tp>
      <tp t="s">
        <v>#N/A N/A</v>
        <stp/>
        <stp>BDP|6840190060476181046</stp>
        <tr r="AJ129" s="5"/>
      </tp>
      <tp t="s">
        <v>#N/A N/A</v>
        <stp/>
        <stp>BDP|7106490065247098583</stp>
        <tr r="P110" s="5"/>
      </tp>
      <tp t="s">
        <v>#N/A N/A</v>
        <stp/>
        <stp>BDP|3434909868773152882</stp>
        <tr r="AR98" s="5"/>
      </tp>
      <tp t="s">
        <v>#N/A N/A</v>
        <stp/>
        <stp>BDP|8715734390901954085</stp>
        <tr r="AQ126" s="5"/>
      </tp>
      <tp t="s">
        <v>#N/A N/A</v>
        <stp/>
        <stp>BDP|4380301975744458378</stp>
        <tr r="U112" s="5"/>
      </tp>
      <tp t="s">
        <v>#N/A N/A</v>
        <stp/>
        <stp>BDP|4416344943045387158</stp>
        <tr r="O122" s="5"/>
      </tp>
      <tp t="s">
        <v>#N/A N/A</v>
        <stp/>
        <stp>BDP|1919774346761456490</stp>
        <tr r="AT120" s="5"/>
      </tp>
      <tp t="s">
        <v>#N/A N/A</v>
        <stp/>
        <stp>BDP|5638467959047336306</stp>
        <tr r="J90" s="5"/>
      </tp>
      <tp t="s">
        <v>#N/A N/A</v>
        <stp/>
        <stp>BDP|2366777778561712311</stp>
        <tr r="AQ110" s="5"/>
      </tp>
      <tp t="s">
        <v>#N/A N/A</v>
        <stp/>
        <stp>BDP|2180087504432072065</stp>
        <tr r="AM126" s="5"/>
      </tp>
      <tp t="s">
        <v>#N/A N/A</v>
        <stp/>
        <stp>BDP|5339176968052093075</stp>
        <tr r="G90" s="5"/>
      </tp>
      <tp t="s">
        <v>#N/A N/A</v>
        <stp/>
        <stp>BDP|1404933394905914410</stp>
        <tr r="J68" s="5"/>
      </tp>
      <tp t="s">
        <v>#N/A N/A</v>
        <stp/>
        <stp>BDP|7611839587333009491</stp>
        <tr r="G91" s="5"/>
      </tp>
      <tp t="s">
        <v>#N/A N/A</v>
        <stp/>
        <stp>BDP|2124003301091981323</stp>
        <tr r="AB106" s="5"/>
      </tp>
      <tp t="s">
        <v>#N/A N/A</v>
        <stp/>
        <stp>BDP|2684289849576870242</stp>
        <tr r="AR61" s="5"/>
      </tp>
      <tp t="s">
        <v>#N/A N/A</v>
        <stp/>
        <stp>BDP|6745121040055870664</stp>
        <tr r="Z77" s="5"/>
      </tp>
      <tp t="s">
        <v>#N/A N/A</v>
        <stp/>
        <stp>BDP|8832896658386250305</stp>
        <tr r="J65" s="5"/>
      </tp>
      <tp t="s">
        <v>#N/A N/A</v>
        <stp/>
        <stp>BDP|1924596248354537459</stp>
        <tr r="AR91" s="5"/>
      </tp>
      <tp t="s">
        <v>#N/A N/A</v>
        <stp/>
        <stp>BDP|2168429044216899475</stp>
        <tr r="AK109" s="5"/>
      </tp>
      <tp t="s">
        <v>#N/A N/A</v>
        <stp/>
        <stp>BDP|1381830573906923824</stp>
        <tr r="U72" s="5"/>
      </tp>
      <tp t="s">
        <v>#N/A N/A</v>
        <stp/>
        <stp>BDP|8994139213429852197</stp>
        <tr r="J93" s="5"/>
      </tp>
      <tp t="s">
        <v>#N/A N/A</v>
        <stp/>
        <stp>BDP|7907973496684940388</stp>
        <tr r="U104" s="5"/>
      </tp>
      <tp t="s">
        <v>#N/A N/A</v>
        <stp/>
        <stp>BDP|2311041004854906635</stp>
        <tr r="V113" s="5"/>
      </tp>
      <tp t="s">
        <v>#N/A N/A</v>
        <stp/>
        <stp>BDP|2821328147417444205</stp>
        <tr r="N60" s="5"/>
      </tp>
      <tp t="s">
        <v>#N/A N/A</v>
        <stp/>
        <stp>BDP|5303674324837099694</stp>
        <tr r="E70" s="5"/>
      </tp>
      <tp t="s">
        <v>#N/A N/A</v>
        <stp/>
        <stp>BDP|4029805620528991609</stp>
        <tr r="M75" s="5"/>
      </tp>
      <tp t="s">
        <v>#N/A N/A</v>
        <stp/>
        <stp>BDP|3781049518175706754</stp>
        <tr r="J51" s="5"/>
      </tp>
      <tp t="s">
        <v>#N/A N/A</v>
        <stp/>
        <stp>BDP|1082539851526808732</stp>
        <tr r="J18" s="5"/>
      </tp>
      <tp t="e">
        <v>#N/A</v>
        <stp/>
        <stp>BDH|6004353638616682026</stp>
        <tr r="AU5" s="1"/>
      </tp>
      <tp t="s">
        <v>#N/A N/A</v>
        <stp/>
        <stp>BDP|4638188764255347677</stp>
        <tr r="U26" s="5"/>
      </tp>
      <tp t="s">
        <v>#N/A N/A</v>
        <stp/>
        <stp>BDP|5450652332048926849</stp>
        <tr r="AM114" s="5"/>
      </tp>
      <tp t="s">
        <v>#N/A N/A</v>
        <stp/>
        <stp>BDP|7876460180088420340</stp>
        <tr r="AB105" s="5"/>
      </tp>
      <tp t="s">
        <v>#N/A N/A</v>
        <stp/>
        <stp>BDP|1745734050510215380</stp>
        <tr r="AD42" s="5"/>
      </tp>
      <tp t="s">
        <v>#N/A N/A</v>
        <stp/>
        <stp>BDP|2059348509605565476</stp>
        <tr r="AR73" s="5"/>
      </tp>
      <tp t="s">
        <v>#N/A N/A</v>
        <stp/>
        <stp>BDP|4569301822010966511</stp>
        <tr r="V114" s="5"/>
      </tp>
      <tp t="s">
        <v>#N/A N/A</v>
        <stp/>
        <stp>BDP|3178616709565768017</stp>
        <tr r="Q74" s="5"/>
      </tp>
      <tp t="s">
        <v>#N/A N/A</v>
        <stp/>
        <stp>BDP|5422995927047358966</stp>
        <tr r="H120" s="5"/>
      </tp>
      <tp t="s">
        <v>#N/A N/A</v>
        <stp/>
        <stp>BDP|7722970498461729602</stp>
        <tr r="E104" s="5"/>
      </tp>
      <tp t="s">
        <v>#N/A N/A</v>
        <stp/>
        <stp>BDP|2375850367014927844</stp>
        <tr r="AD9" s="5"/>
      </tp>
      <tp t="s">
        <v>#N/A N/A</v>
        <stp/>
        <stp>BDP|6743610438966395510</stp>
        <tr r="W118" s="5"/>
      </tp>
      <tp t="s">
        <v>#N/A N/A</v>
        <stp/>
        <stp>BDP|3260573684457848951</stp>
        <tr r="F20" s="5"/>
      </tp>
      <tp t="s">
        <v>#N/A N/A</v>
        <stp/>
        <stp>BDP|5668063618255003141</stp>
        <tr r="AG121" s="5"/>
      </tp>
      <tp t="s">
        <v>#N/A N/A</v>
        <stp/>
        <stp>BDP|5444298174446598607</stp>
        <tr r="L108" s="5"/>
      </tp>
      <tp t="s">
        <v>#N/A N/A</v>
        <stp/>
        <stp>BDP|8911183969369603639</stp>
        <tr r="Q106" s="5"/>
      </tp>
      <tp t="s">
        <v>#N/A N/A</v>
        <stp/>
        <stp>BDP|3229942399800534377</stp>
        <tr r="F122" s="5"/>
      </tp>
      <tp t="s">
        <v>#N/A N/A</v>
        <stp/>
        <stp>BDP|8179553599555873182</stp>
        <tr r="AK111" s="5"/>
      </tp>
      <tp t="s">
        <v>#N/A N/A</v>
        <stp/>
        <stp>BDP|6256084656576204532</stp>
        <tr r="M120" s="5"/>
      </tp>
      <tp t="s">
        <v>#N/A N/A</v>
        <stp/>
        <stp>BDP|7511681062601989646</stp>
        <tr r="P97" s="5"/>
      </tp>
      <tp t="s">
        <v>#N/A N/A</v>
        <stp/>
        <stp>BDP|9975530528169798774</stp>
        <tr r="U21" s="5"/>
      </tp>
      <tp t="s">
        <v>#N/A N/A</v>
        <stp/>
        <stp>BDP|3696276835602664005</stp>
        <tr r="R120" s="5"/>
      </tp>
      <tp t="s">
        <v>#N/A N/A</v>
        <stp/>
        <stp>BDP|8610181284590188199</stp>
        <tr r="G22" s="5"/>
      </tp>
      <tp t="s">
        <v>#N/A N/A</v>
        <stp/>
        <stp>BDP|4237375977207477753</stp>
        <tr r="AR18" s="5"/>
      </tp>
      <tp t="s">
        <v>#N/A N/A</v>
        <stp/>
        <stp>BDP|3423474171599645975</stp>
        <tr r="G71" s="5"/>
      </tp>
      <tp t="s">
        <v>#N/A N/A</v>
        <stp/>
        <stp>BDP|9049939809215881510</stp>
        <tr r="E122" s="5"/>
      </tp>
      <tp t="s">
        <v>#N/A N/A</v>
        <stp/>
        <stp>BDP|3091018006720225356</stp>
        <tr r="AC123" s="5"/>
      </tp>
      <tp t="s">
        <v>#N/A N/A</v>
        <stp/>
        <stp>BDP|5290745464831302511</stp>
        <tr r="AA115" s="5"/>
      </tp>
      <tp t="s">
        <v>#N/A N/A</v>
        <stp/>
        <stp>BDP|6976719226716691584</stp>
        <tr r="AK91" s="5"/>
      </tp>
      <tp t="s">
        <v>#N/A N/A</v>
        <stp/>
        <stp>BDP|8379843585839047131</stp>
        <tr r="L46" s="5"/>
      </tp>
      <tp t="s">
        <v>#N/A N/A</v>
        <stp/>
        <stp>BDP|6536667918046943738</stp>
        <tr r="AP121" s="5"/>
      </tp>
      <tp t="s">
        <v>#N/A N/A</v>
        <stp/>
        <stp>BDP|5780567123557313506</stp>
        <tr r="AR75" s="5"/>
      </tp>
      <tp t="s">
        <v>#N/A N/A</v>
        <stp/>
        <stp>BDP|3381219835414107674</stp>
        <tr r="N70" s="5"/>
      </tp>
      <tp t="s">
        <v>#N/A N/A</v>
        <stp/>
        <stp>BDP|4821079708794294046</stp>
        <tr r="H51" s="5"/>
      </tp>
      <tp t="s">
        <v>#N/A N/A</v>
        <stp/>
        <stp>BDP|9795184264367282983</stp>
        <tr r="M65" s="5"/>
      </tp>
      <tp t="s">
        <v>#N/A N/A</v>
        <stp/>
        <stp>BDP|3571904832449516033</stp>
        <tr r="T103" s="5"/>
      </tp>
      <tp t="s">
        <v>#N/A N/A</v>
        <stp/>
        <stp>BDP|5387315375336354726</stp>
        <tr r="AB93" s="5"/>
      </tp>
      <tp t="s">
        <v>#N/A N/A</v>
        <stp/>
        <stp>BDP|1475591819425361015</stp>
        <tr r="L101" s="5"/>
      </tp>
      <tp t="s">
        <v>#N/A N/A</v>
        <stp/>
        <stp>BDP|5172858576392566819</stp>
        <tr r="AC118" s="5"/>
      </tp>
      <tp t="s">
        <v>#N/A N/A</v>
        <stp/>
        <stp>BDP|9002804657363560744</stp>
        <tr r="AR92" s="5"/>
      </tp>
      <tp t="s">
        <v>#N/A N/A</v>
        <stp/>
        <stp>BDP|2784241012645417439</stp>
        <tr r="J59" s="5"/>
      </tp>
      <tp t="s">
        <v>#N/A N/A</v>
        <stp/>
        <stp>BDP|2665377737217421547</stp>
        <tr r="U33" s="5"/>
      </tp>
      <tp t="s">
        <v>#N/A N/A</v>
        <stp/>
        <stp>BDP|7419743993201610828</stp>
        <tr r="N18" s="5"/>
      </tp>
      <tp t="s">
        <v>#N/A N/A</v>
        <stp/>
        <stp>BDP|5996786372443437602</stp>
        <tr r="M66" s="5"/>
      </tp>
      <tp t="s">
        <v>#N/A N/A</v>
        <stp/>
        <stp>BDP|9003202398814680698</stp>
        <tr r="W75" s="5"/>
      </tp>
      <tp t="s">
        <v>#N/A N/A</v>
        <stp/>
        <stp>BDP|6258500907946614541</stp>
        <tr r="T126" s="5"/>
      </tp>
      <tp t="s">
        <v>#N/A N/A</v>
        <stp/>
        <stp>BDP|8052848345574110077</stp>
        <tr r="AR77" s="5"/>
      </tp>
      <tp t="s">
        <v>#N/A N/A</v>
        <stp/>
        <stp>BDP|9585953918582895376</stp>
        <tr r="R113" s="5"/>
      </tp>
      <tp t="s">
        <v>#N/A N/A</v>
        <stp/>
        <stp>BDP|7456616463107823094</stp>
        <tr r="T104" s="5"/>
      </tp>
      <tp t="e">
        <v>#N/A</v>
        <stp/>
        <stp>BDH|7984171327362713691</stp>
        <tr r="K5" s="1"/>
      </tp>
      <tp t="s">
        <v>#N/A N/A</v>
        <stp/>
        <stp>BDP|8010504147389439076</stp>
        <tr r="AM124" s="5"/>
      </tp>
      <tp t="s">
        <v>#N/A N/A</v>
        <stp/>
        <stp>BDP|7888882002999736612</stp>
        <tr r="AD55" s="5"/>
      </tp>
      <tp t="s">
        <v>#N/A N/A</v>
        <stp/>
        <stp>BDP|1140037466991486646</stp>
        <tr r="J47" s="5"/>
      </tp>
      <tp t="s">
        <v>#N/A N/A</v>
        <stp/>
        <stp>BDP|8810611632485636890</stp>
        <tr r="D117" s="5"/>
      </tp>
      <tp t="s">
        <v>#N/A N/A</v>
        <stp/>
        <stp>BDP|1026957715379533008</stp>
        <tr r="G25" s="5"/>
      </tp>
      <tp t="s">
        <v>#N/A N/A</v>
        <stp/>
        <stp>BDP|6693486610476343583</stp>
        <tr r="X127" s="5"/>
      </tp>
      <tp t="s">
        <v>#N/A N/A</v>
        <stp/>
        <stp>BDP|5504648751455022351</stp>
        <tr r="M93" s="5"/>
      </tp>
      <tp t="s">
        <v>#N/A N/A</v>
        <stp/>
        <stp>BDP|2249525172461506124</stp>
        <tr r="F47" s="5"/>
      </tp>
      <tp t="s">
        <v>#N/A N/A</v>
        <stp/>
        <stp>BDP|7650613633613274137</stp>
        <tr r="AG103" s="5"/>
      </tp>
      <tp t="s">
        <v>#N/A N/A</v>
        <stp/>
        <stp>BDP|7149225130421012767</stp>
        <tr r="J110" s="5"/>
      </tp>
      <tp t="s">
        <v>#N/A N/A</v>
        <stp/>
        <stp>BDP|1509200627828088975</stp>
        <tr r="F108" s="5"/>
      </tp>
      <tp t="s">
        <v>#N/A N/A</v>
        <stp/>
        <stp>BDP|1136792681948552699</stp>
        <tr r="Z91" s="5"/>
      </tp>
      <tp t="s">
        <v>#N/A N/A</v>
        <stp/>
        <stp>BDP|3140549126923059766</stp>
        <tr r="N73" s="5"/>
      </tp>
      <tp t="s">
        <v>#N/A N/A</v>
        <stp/>
        <stp>BDP|7600611709835626526</stp>
        <tr r="N115" s="5"/>
      </tp>
      <tp t="s">
        <v>#N/A N/A</v>
        <stp/>
        <stp>BDP|1526213368186129273</stp>
        <tr r="T123" s="5"/>
      </tp>
      <tp t="s">
        <v>#N/A N/A</v>
        <stp/>
        <stp>BDP|1776145495529937154</stp>
        <tr r="P115" s="5"/>
      </tp>
      <tp t="s">
        <v>#N/A N/A</v>
        <stp/>
        <stp>BDP|3286090044407496110</stp>
        <tr r="Q113" s="5"/>
      </tp>
      <tp t="s">
        <v>#N/A N/A</v>
        <stp/>
        <stp>BDP|1436987745735426875</stp>
        <tr r="Q75" s="5"/>
      </tp>
      <tp t="s">
        <v>#N/A N/A</v>
        <stp/>
        <stp>BDP|7440237160896883455</stp>
        <tr r="Q67" s="5"/>
      </tp>
      <tp t="e">
        <v>#N/A</v>
        <stp/>
        <stp>BDH|4148226478152842299</stp>
        <tr r="AG5" s="1"/>
      </tp>
      <tp t="s">
        <v>#N/A N/A</v>
        <stp/>
        <stp>BDP|7076177930936976254</stp>
        <tr r="AR129" s="5"/>
      </tp>
      <tp t="s">
        <v>#N/A N/A</v>
        <stp/>
        <stp>BDP|6581903758088539335</stp>
        <tr r="N122" s="5"/>
      </tp>
      <tp t="s">
        <v>#N/A N/A</v>
        <stp/>
        <stp>BDP|9532373499565234729</stp>
        <tr r="AD14" s="5"/>
      </tp>
      <tp t="s">
        <v>#N/A N/A</v>
        <stp/>
        <stp>BDP|5396590709829843804</stp>
        <tr r="AG94" s="5"/>
      </tp>
      <tp t="s">
        <v>#N/A N/A</v>
        <stp/>
        <stp>BDP|6415886589280868766</stp>
        <tr r="AV117" s="5"/>
      </tp>
      <tp t="s">
        <v>#N/A N/A</v>
        <stp/>
        <stp>BDP|1351769759025266767</stp>
        <tr r="AR14" s="5"/>
      </tp>
      <tp t="s">
        <v>#N/A N/A</v>
        <stp/>
        <stp>BDP|2842877066814839994</stp>
        <tr r="AM116" s="5"/>
      </tp>
      <tp t="s">
        <v>#N/A N/A</v>
        <stp/>
        <stp>BDP|6014622343182988708</stp>
        <tr r="Q26" s="5"/>
      </tp>
      <tp t="s">
        <v>#N/A N/A</v>
        <stp/>
        <stp>BDP|7655256485369671582</stp>
        <tr r="J43" s="5"/>
      </tp>
      <tp t="s">
        <v>#N/A N/A</v>
        <stp/>
        <stp>BDP|5538358574803577385</stp>
        <tr r="AF108" s="5"/>
      </tp>
      <tp t="s">
        <v>#N/A N/A</v>
        <stp/>
        <stp>BDP|5694311245625360688</stp>
        <tr r="E90" s="5"/>
      </tp>
      <tp t="s">
        <v>#N/A N/A</v>
        <stp/>
        <stp>BDP|7922969285736760149</stp>
        <tr r="AQ78" s="5"/>
      </tp>
      <tp t="s">
        <v>#N/A N/A</v>
        <stp/>
        <stp>BDP|7153185513513777540</stp>
        <tr r="U90" s="5"/>
      </tp>
      <tp t="s">
        <v>#N/A N/A</v>
        <stp/>
        <stp>BDP|1506450978441643272</stp>
        <tr r="AP122" s="5"/>
      </tp>
      <tp t="s">
        <v>#N/A N/A</v>
        <stp/>
        <stp>BDP|7697786660800243754</stp>
        <tr r="L34" s="5"/>
      </tp>
      <tp t="s">
        <v>#N/A N/A</v>
        <stp/>
        <stp>BDP|6400076879075086538</stp>
        <tr r="L38" s="5"/>
      </tp>
      <tp t="s">
        <v>#N/A N/A</v>
        <stp/>
        <stp>BDP|2818033902880529326</stp>
        <tr r="AM127" s="5"/>
      </tp>
      <tp t="s">
        <v>#N/A N/A</v>
        <stp/>
        <stp>BDP|5714256201562416491</stp>
        <tr r="AB73" s="5"/>
      </tp>
      <tp t="s">
        <v>#N/A N/A</v>
        <stp/>
        <stp>BDP|8566113224053602987</stp>
        <tr r="AR95" s="5"/>
      </tp>
      <tp t="s">
        <v>#N/A N/A</v>
        <stp/>
        <stp>BDP|9903911204071345017</stp>
        <tr r="X124" s="5"/>
      </tp>
      <tp t="s">
        <v>#N/A N/A</v>
        <stp/>
        <stp>BDP|3802278212596239719</stp>
        <tr r="W110" s="5"/>
      </tp>
      <tp t="s">
        <v>#N/A N/A</v>
        <stp/>
        <stp>BDP|5464351909164588325</stp>
        <tr r="J117" s="5"/>
      </tp>
      <tp t="s">
        <v>#N/A N/A</v>
        <stp/>
        <stp>BDP|7421780904858489938</stp>
        <tr r="AD72" s="5"/>
      </tp>
      <tp t="s">
        <v>#N/A N/A</v>
        <stp/>
        <stp>BDP|3195479198426354920</stp>
        <tr r="AD59" s="5"/>
      </tp>
      <tp t="s">
        <v>#N/A N/A</v>
        <stp/>
        <stp>BDP|4258576149322572667</stp>
        <tr r="AI105" s="5"/>
      </tp>
      <tp t="s">
        <v>#N/A N/A</v>
        <stp/>
        <stp>BDP|5873704904134234716</stp>
        <tr r="AR93" s="5"/>
      </tp>
      <tp t="s">
        <v>#N/A N/A</v>
        <stp/>
        <stp>BDP|2456905134900411980</stp>
        <tr r="AQ77" s="5"/>
      </tp>
      <tp t="s">
        <v>#N/A N/A</v>
        <stp/>
        <stp>BDP|7832400402104383655</stp>
        <tr r="O88" s="5"/>
      </tp>
      <tp t="s">
        <v>#N/A N/A</v>
        <stp/>
        <stp>BDP|3975217405271675174</stp>
        <tr r="U34" s="5"/>
      </tp>
      <tp t="s">
        <v>#N/A N/A</v>
        <stp/>
        <stp>BDP|4824119821340483601</stp>
        <tr r="G57" s="5"/>
      </tp>
      <tp t="s">
        <v>#N/A N/A</v>
        <stp/>
        <stp>BDP|7843131032030606433</stp>
        <tr r="L42" s="5"/>
      </tp>
      <tp t="s">
        <v>#N/A N/A</v>
        <stp/>
        <stp>BDP|1822959268358917712</stp>
        <tr r="Z107" s="5"/>
      </tp>
      <tp t="s">
        <v>#N/A N/A</v>
        <stp/>
        <stp>BDP|5618265339854468107</stp>
        <tr r="L5" s="5"/>
      </tp>
      <tp t="s">
        <v>#N/A N/A</v>
        <stp/>
        <stp>BDP|3297344608113094235</stp>
        <tr r="AJ104" s="5"/>
      </tp>
      <tp t="s">
        <v>#N/A N/A</v>
        <stp/>
        <stp>BDP|7145256553390245185</stp>
        <tr r="K108" s="5"/>
      </tp>
      <tp t="s">
        <v>#N/A N/A</v>
        <stp/>
        <stp>BDP|4539334725332789699</stp>
        <tr r="P96" s="5"/>
      </tp>
      <tp t="s">
        <v>#N/A N/A</v>
        <stp/>
        <stp>BDP|2159436874483210390</stp>
        <tr r="AB115" s="5"/>
      </tp>
      <tp t="s">
        <v>#N/A N/A</v>
        <stp/>
        <stp>BDP|3481356925477778416</stp>
        <tr r="L49" s="5"/>
      </tp>
      <tp t="s">
        <v>#N/A N/A</v>
        <stp/>
        <stp>BDP|2111264987151796850</stp>
        <tr r="F89" s="5"/>
      </tp>
      <tp t="s">
        <v>#N/A N/A</v>
        <stp/>
        <stp>BDP|1331369454347622157</stp>
        <tr r="AK89" s="5"/>
      </tp>
      <tp t="s">
        <v>#N/A N/A</v>
        <stp/>
        <stp>BDP|4182034040826336730</stp>
        <tr r="Q16" s="5"/>
      </tp>
      <tp t="s">
        <v>#N/A N/A</v>
        <stp/>
        <stp>BDP|4032640667056440351</stp>
        <tr r="AR66" s="5"/>
      </tp>
      <tp t="s">
        <v>#N/A N/A</v>
        <stp/>
        <stp>BDP|6856672682120986971</stp>
        <tr r="J96" s="5"/>
      </tp>
      <tp t="s">
        <v>#N/A N/A</v>
        <stp/>
        <stp>BDP|1660421217353878682</stp>
        <tr r="G38" s="5"/>
      </tp>
      <tp t="s">
        <v>#N/A N/A</v>
        <stp/>
        <stp>BDP|5312339325275700019</stp>
        <tr r="AN115" s="5"/>
      </tp>
      <tp t="s">
        <v>#N/A N/A</v>
        <stp/>
        <stp>BDP|4589251853491505358</stp>
        <tr r="AG99" s="5"/>
      </tp>
      <tp t="s">
        <v>#N/A N/A</v>
        <stp/>
        <stp>BDP|8800022379249165712</stp>
        <tr r="J86" s="5"/>
      </tp>
      <tp t="s">
        <v>#N/A N/A</v>
        <stp/>
        <stp>BDP|3607743097729130570</stp>
        <tr r="L94" s="5"/>
      </tp>
      <tp t="s">
        <v>#N/A N/A</v>
        <stp/>
        <stp>BDP|3723272132855686677</stp>
        <tr r="AQ89" s="5"/>
      </tp>
      <tp t="s">
        <v>#N/A N/A</v>
        <stp/>
        <stp>BDP|6022058717313269538</stp>
        <tr r="E91" s="5"/>
      </tp>
      <tp t="s">
        <v>#N/A N/A</v>
        <stp/>
        <stp>BDP|7218585475074742083</stp>
        <tr r="AW127" s="5"/>
      </tp>
      <tp t="s">
        <v>#N/A N/A</v>
        <stp/>
        <stp>BDP|9210211161175654940</stp>
        <tr r="P101" s="5"/>
      </tp>
      <tp t="s">
        <v>#N/A N/A</v>
        <stp/>
        <stp>BDP|5941186231520802681</stp>
        <tr r="AD73" s="5"/>
      </tp>
      <tp t="s">
        <v>#N/A N/A</v>
        <stp/>
        <stp>BDP|4265925961549951385</stp>
        <tr r="AO117" s="5"/>
      </tp>
      <tp t="s">
        <v>#N/A N/A</v>
        <stp/>
        <stp>BDP|2220142950575492237</stp>
        <tr r="E76" s="5"/>
      </tp>
      <tp t="s">
        <v>#N/A N/A</v>
        <stp/>
        <stp>BDP|2137002616120583237</stp>
        <tr r="V107" s="5"/>
      </tp>
      <tp t="s">
        <v>#N/A N/A</v>
        <stp/>
        <stp>BDP|9031231593502834192</stp>
        <tr r="M88" s="5"/>
      </tp>
      <tp t="s">
        <v>#N/A N/A</v>
        <stp/>
        <stp>BDP|5124636952323072468</stp>
        <tr r="P111" s="5"/>
      </tp>
      <tp t="s">
        <v>#N/A N/A</v>
        <stp/>
        <stp>BDP|2238226026555298630</stp>
        <tr r="F99" s="5"/>
      </tp>
      <tp t="s">
        <v>#N/A N/A</v>
        <stp/>
        <stp>BDP|6221356454730633120</stp>
        <tr r="R105" s="5"/>
      </tp>
      <tp t="s">
        <v>#N/A N/A</v>
        <stp/>
        <stp>BDP|7020140106196368165</stp>
        <tr r="AB75" s="5"/>
      </tp>
      <tp t="s">
        <v>#N/A N/A</v>
        <stp/>
        <stp>BDP|9050343500388215310</stp>
        <tr r="G112" s="5"/>
      </tp>
      <tp t="s">
        <v>#N/A N/A</v>
        <stp/>
        <stp>BDP|2979297824473074034</stp>
        <tr r="H84" s="5"/>
      </tp>
      <tp t="s">
        <v>#N/A N/A</v>
        <stp/>
        <stp>BDP|1218432148163951370</stp>
        <tr r="D112" s="5"/>
      </tp>
      <tp t="s">
        <v>#N/A N/A</v>
        <stp/>
        <stp>BDP|9941619419477502801</stp>
        <tr r="G118" s="5"/>
      </tp>
      <tp t="s">
        <v>#N/A N/A</v>
        <stp/>
        <stp>BDP|1778508991675325914</stp>
        <tr r="G7" s="5"/>
      </tp>
      <tp t="s">
        <v>#N/A N/A</v>
        <stp/>
        <stp>BDP|7561013600755927394</stp>
        <tr r="E86" s="5"/>
      </tp>
      <tp t="s">
        <v>#N/A N/A</v>
        <stp/>
        <stp>BDP|4658471552317220349</stp>
        <tr r="L117" s="5"/>
      </tp>
      <tp t="s">
        <v>#N/A N/A</v>
        <stp/>
        <stp>BDP|9538071915911499865</stp>
        <tr r="AQ127" s="5"/>
      </tp>
      <tp t="s">
        <v>#N/A N/A</v>
        <stp/>
        <stp>BDP|1136748395689831426</stp>
        <tr r="AE129" s="5"/>
      </tp>
      <tp t="s">
        <v>#N/A N/A</v>
        <stp/>
        <stp>BDP|6709373868776379717</stp>
        <tr r="G121" s="5"/>
      </tp>
      <tp t="s">
        <v>#N/A N/A</v>
        <stp/>
        <stp>BDP|9439735548818586002</stp>
        <tr r="N84" s="5"/>
      </tp>
      <tp t="s">
        <v>#N/A N/A</v>
        <stp/>
        <stp>BDP|6874558705188501979</stp>
        <tr r="F64" s="5"/>
      </tp>
      <tp t="s">
        <v>#N/A N/A</v>
        <stp/>
        <stp>BDP|2592786157865088716</stp>
        <tr r="I94" s="5"/>
      </tp>
      <tp t="s">
        <v>#N/A N/A</v>
        <stp/>
        <stp>BDP|7073888692321627576</stp>
        <tr r="G102" s="5"/>
      </tp>
      <tp t="s">
        <v>#N/A N/A</v>
        <stp/>
        <stp>BDP|7970833695491236569</stp>
        <tr r="Z128" s="5"/>
      </tp>
      <tp t="s">
        <v>#N/A N/A</v>
        <stp/>
        <stp>BDP|3065162373702684586</stp>
        <tr r="D116" s="5"/>
      </tp>
      <tp t="s">
        <v>#N/A N/A</v>
        <stp/>
        <stp>BDP|9541416600666865975</stp>
        <tr r="G26" s="5"/>
      </tp>
      <tp t="s">
        <v>#N/A N/A</v>
        <stp/>
        <stp>BDP|3089280073371154524</stp>
        <tr r="E97" s="5"/>
      </tp>
      <tp t="s">
        <v>#N/A N/A</v>
        <stp/>
        <stp>BDP|4906730335387214553</stp>
        <tr r="F73" s="5"/>
      </tp>
      <tp t="s">
        <v>#N/A N/A</v>
        <stp/>
        <stp>BDP|1900469364289217801</stp>
        <tr r="L82" s="5"/>
      </tp>
      <tp t="s">
        <v>#N/A N/A</v>
        <stp/>
        <stp>BDP|2339609840277396595</stp>
        <tr r="H65" s="5"/>
      </tp>
      <tp t="s">
        <v>#N/A N/A</v>
        <stp/>
        <stp>BDP|2251590921571335604</stp>
        <tr r="AD99" s="5"/>
      </tp>
      <tp t="s">
        <v>#N/A N/A</v>
        <stp/>
        <stp>BDP|5329278364091604287</stp>
        <tr r="P100" s="5"/>
      </tp>
      <tp t="s">
        <v>#N/A N/A</v>
        <stp/>
        <stp>BDP|8377986515121399335</stp>
        <tr r="Z114" s="5"/>
      </tp>
      <tp t="s">
        <v>#N/A N/A</v>
        <stp/>
        <stp>BDP|4887895077151149894</stp>
        <tr r="F102" s="5"/>
      </tp>
      <tp t="s">
        <v>#N/A N/A</v>
        <stp/>
        <stp>BDP|1497194530855267415</stp>
        <tr r="AD13" s="5"/>
      </tp>
      <tp t="s">
        <v>#N/A N/A</v>
        <stp/>
        <stp>BDP|7270682207367461469</stp>
        <tr r="L31" s="5"/>
      </tp>
      <tp t="s">
        <v>#N/A N/A</v>
        <stp/>
        <stp>BDP|6043951848068495165</stp>
        <tr r="AB99" s="5"/>
      </tp>
      <tp t="s">
        <v>#N/A N/A</v>
        <stp/>
        <stp>BDP|2429656237694104180</stp>
        <tr r="U5" s="5"/>
      </tp>
      <tp t="s">
        <v>#N/A N/A</v>
        <stp/>
        <stp>BDP|8134961225481794097</stp>
        <tr r="U15" s="5"/>
      </tp>
      <tp t="s">
        <v>#N/A N/A</v>
        <stp/>
        <stp>BDP|8141764078988039231</stp>
        <tr r="N105" s="5"/>
      </tp>
      <tp t="s">
        <v>#N/A N/A</v>
        <stp/>
        <stp>BDP|5428589560665468140</stp>
        <tr r="AN110" s="5"/>
      </tp>
      <tp t="s">
        <v>#N/A N/A</v>
        <stp/>
        <stp>BDP|4025513628905660432</stp>
        <tr r="AT129" s="5"/>
      </tp>
      <tp t="s">
        <v>#N/A N/A</v>
        <stp/>
        <stp>BDP|1028186874371180411</stp>
        <tr r="AO121" s="5"/>
      </tp>
      <tp t="s">
        <v>#N/A N/A</v>
        <stp/>
        <stp>BDP|7617448609948759905</stp>
        <tr r="AD25" s="5"/>
      </tp>
      <tp t="s">
        <v>#N/A N/A</v>
        <stp/>
        <stp>BDP|4623451039467266642</stp>
        <tr r="AQ124" s="5"/>
      </tp>
      <tp t="s">
        <v>#N/A N/A</v>
        <stp/>
        <stp>BDP|7572384355717166456</stp>
        <tr r="M102" s="5"/>
      </tp>
      <tp t="s">
        <v>#N/A N/A</v>
        <stp/>
        <stp>BDP|4683037239193561640</stp>
        <tr r="U50" s="5"/>
      </tp>
      <tp t="s">
        <v>#N/A N/A</v>
        <stp/>
        <stp>BDP|8800721469379684287</stp>
        <tr r="O111" s="5"/>
      </tp>
      <tp t="s">
        <v>#N/A N/A</v>
        <stp/>
        <stp>BDP|1573500479872244338</stp>
        <tr r="O107" s="5"/>
      </tp>
      <tp t="s">
        <v>#N/A N/A</v>
        <stp/>
        <stp>BDP|9068145605559408377</stp>
        <tr r="M59" s="5"/>
      </tp>
      <tp t="s">
        <v>#N/A N/A</v>
        <stp/>
        <stp>BDP|4365110261849187800</stp>
        <tr r="AA123" s="5"/>
      </tp>
      <tp t="s">
        <v>#N/A N/A</v>
        <stp/>
        <stp>BDP|7796964106119626523</stp>
        <tr r="W102" s="5"/>
      </tp>
      <tp t="s">
        <v>#N/A N/A</v>
        <stp/>
        <stp>BDP|8526247237089423218</stp>
        <tr r="AR71" s="5"/>
      </tp>
      <tp t="s">
        <v>#N/A N/A</v>
        <stp/>
        <stp>BDP|2422417214704359118</stp>
        <tr r="S112" s="5"/>
      </tp>
      <tp t="s">
        <v>#N/A N/A</v>
        <stp/>
        <stp>BDP|4993290538806876135</stp>
        <tr r="F30" s="5"/>
      </tp>
      <tp t="s">
        <v>#N/A N/A</v>
        <stp/>
        <stp>BDP|8033050320178384058</stp>
        <tr r="Q119" s="5"/>
      </tp>
      <tp t="s">
        <v>#N/A N/A</v>
        <stp/>
        <stp>BDP|1453845297133242161</stp>
        <tr r="AV116" s="5"/>
      </tp>
      <tp t="e">
        <v>#N/A</v>
        <stp/>
        <stp>BDH|3762142850225398038</stp>
        <tr r="AX5" s="1"/>
      </tp>
      <tp t="s">
        <v>#N/A N/A</v>
        <stp/>
        <stp>BDP|8736198499654334644</stp>
        <tr r="Q89" s="5"/>
      </tp>
      <tp t="s">
        <v>#N/A N/A</v>
        <stp/>
        <stp>BDP|4519297801234468093</stp>
        <tr r="N24" s="5"/>
      </tp>
      <tp t="s">
        <v>#N/A N/A</v>
        <stp/>
        <stp>BDP|6009860830427448823</stp>
        <tr r="R123" s="5"/>
      </tp>
      <tp t="s">
        <v>#N/A N/A</v>
        <stp/>
        <stp>BDP|4371521619782158096</stp>
        <tr r="AR30" s="5"/>
      </tp>
      <tp t="s">
        <v>#N/A N/A</v>
        <stp/>
        <stp>BDP|4200339901227683266</stp>
        <tr r="L118" s="5"/>
      </tp>
      <tp t="s">
        <v>#N/A N/A</v>
        <stp/>
        <stp>BDP|1659754452013669271</stp>
        <tr r="L60" s="5"/>
      </tp>
      <tp t="s">
        <v>#N/A N/A</v>
        <stp/>
        <stp>BDP|1283574456895370605</stp>
        <tr r="AI127" s="5"/>
      </tp>
      <tp t="s">
        <v>#N/A N/A</v>
        <stp/>
        <stp>BDP|3625183103620496085</stp>
        <tr r="U44" s="5"/>
      </tp>
      <tp t="s">
        <v>#N/A N/A</v>
        <stp/>
        <stp>BDP|4406104827024781157</stp>
        <tr r="AB122" s="5"/>
      </tp>
      <tp t="s">
        <v>#N/A N/A</v>
        <stp/>
        <stp>BDP|4384476275392772770</stp>
        <tr r="AR104" s="5"/>
      </tp>
      <tp t="s">
        <v>#N/A N/A</v>
        <stp/>
        <stp>BDP|6343588239347767544</stp>
        <tr r="F110" s="5"/>
      </tp>
      <tp t="s">
        <v>#N/A N/A</v>
        <stp/>
        <stp>BDP|1621288556150032499</stp>
        <tr r="AP125" s="5"/>
      </tp>
      <tp t="s">
        <v>#N/A N/A</v>
        <stp/>
        <stp>BDP|3620681615487306195</stp>
        <tr r="K105" s="5"/>
      </tp>
      <tp t="s">
        <v>#N/A N/A</v>
        <stp/>
        <stp>BDP|3909655709196609158</stp>
        <tr r="W76" s="5"/>
      </tp>
      <tp t="s">
        <v>#N/A N/A</v>
        <stp/>
        <stp>BDP|9229229525442182925</stp>
        <tr r="U125" s="5"/>
      </tp>
      <tp t="s">
        <v>#N/A N/A</v>
        <stp/>
        <stp>BDP|9960675090471043586</stp>
        <tr r="AR72" s="5"/>
      </tp>
      <tp t="e">
        <v>#N/A</v>
        <stp/>
        <stp>BDH|5992184940333531129</stp>
        <tr r="G5" s="1"/>
      </tp>
      <tp t="s">
        <v>#N/A N/A</v>
        <stp/>
        <stp>BDP|7429155427911144708</stp>
        <tr r="Q71" s="5"/>
      </tp>
      <tp t="s">
        <v>#N/A N/A</v>
        <stp/>
        <stp>BDP|5201283254525155586</stp>
        <tr r="AD41" s="5"/>
      </tp>
      <tp t="s">
        <v>#N/A N/A</v>
        <stp/>
        <stp>BDP|2832433666902958039</stp>
        <tr r="N127" s="5"/>
      </tp>
      <tp t="s">
        <v>#N/A N/A</v>
        <stp/>
        <stp>BDP|1553080579363401772</stp>
        <tr r="AY121" s="5"/>
      </tp>
      <tp t="s">
        <v>#N/A N/A</v>
        <stp/>
        <stp>BDP|3743710611052622558</stp>
        <tr r="AD8" s="5"/>
      </tp>
      <tp t="s">
        <v>#N/A N/A</v>
        <stp/>
        <stp>BDP|9716312112791307835</stp>
        <tr r="AT127" s="5"/>
      </tp>
      <tp t="s">
        <v>#N/A N/A</v>
        <stp/>
        <stp>BDP|5222240239100240695</stp>
        <tr r="U119" s="5"/>
      </tp>
      <tp t="s">
        <v>#N/A N/A</v>
        <stp/>
        <stp>BDP|2017446648893093380</stp>
        <tr r="G42" s="5"/>
      </tp>
      <tp t="s">
        <v>#N/A N/A</v>
        <stp/>
        <stp>BDP|7459316070911913093</stp>
        <tr r="T93" s="5"/>
      </tp>
      <tp t="s">
        <v>#N/A N/A</v>
        <stp/>
        <stp>BDP|6868559525130867354</stp>
        <tr r="J109" s="5"/>
      </tp>
      <tp t="s">
        <v>#N/A N/A</v>
        <stp/>
        <stp>BDP|9333450102606360921</stp>
        <tr r="F25" s="5"/>
      </tp>
      <tp t="s">
        <v>#N/A N/A</v>
        <stp/>
        <stp>BDP|4346272326022052476</stp>
        <tr r="G100" s="5"/>
      </tp>
      <tp t="s">
        <v>#N/A N/A</v>
        <stp/>
        <stp>BDP|4117525456660874680</stp>
        <tr r="AF103" s="5"/>
      </tp>
      <tp t="s">
        <v>#N/A N/A</v>
        <stp/>
        <stp>BDP|4319091551464644784</stp>
        <tr r="AO119" s="5"/>
      </tp>
      <tp t="s">
        <v>#N/A N/A</v>
        <stp/>
        <stp>BDP|6198231947861858381</stp>
        <tr r="E88" s="5"/>
      </tp>
      <tp t="s">
        <v>#N/A N/A</v>
        <stp/>
        <stp>BDP|5976540747273286424</stp>
        <tr r="I102" s="5"/>
      </tp>
      <tp t="s">
        <v>#N/A N/A</v>
        <stp/>
        <stp>BDP|8488211802858860158</stp>
        <tr r="AV125" s="5"/>
      </tp>
      <tp t="s">
        <v>#N/A N/A</v>
        <stp/>
        <stp>BDP|5013200359887454673</stp>
        <tr r="Z103" s="5"/>
      </tp>
      <tp t="s">
        <v>#N/A N/A</v>
        <stp/>
        <stp>BDP|6668930676499124282</stp>
        <tr r="AC108" s="5"/>
      </tp>
      <tp t="e">
        <v>#N/A</v>
        <stp/>
        <stp>BDH|2414105159782174775</stp>
        <tr r="AT5" s="1"/>
      </tp>
      <tp t="s">
        <v>#N/A N/A</v>
        <stp/>
        <stp>BDP|1233296573576817188</stp>
        <tr r="E108" s="5"/>
      </tp>
      <tp t="s">
        <v>#N/A N/A</v>
        <stp/>
        <stp>BDP|1460456661634834405</stp>
        <tr r="M126" s="5"/>
      </tp>
      <tp t="s">
        <v>#N/A N/A</v>
        <stp/>
        <stp>BDP|2061060808731606004</stp>
        <tr r="L14" s="5"/>
      </tp>
      <tp t="s">
        <v>#N/A N/A</v>
        <stp/>
        <stp>BDP|1384499559323346080</stp>
        <tr r="AN122" s="5"/>
      </tp>
      <tp t="s">
        <v>#N/A N/A</v>
        <stp/>
        <stp>BDP|9433595012969217744</stp>
        <tr r="T109" s="5"/>
      </tp>
      <tp t="s">
        <v>#N/A N/A</v>
        <stp/>
        <stp>BDP|8651196928880622888</stp>
        <tr r="AD52" s="5"/>
      </tp>
      <tp t="s">
        <v>#N/A N/A</v>
        <stp/>
        <stp>BDP|9231904758952694455</stp>
        <tr r="W111" s="5"/>
      </tp>
      <tp t="s">
        <v>#N/A N/A</v>
        <stp/>
        <stp>BDP|6022839922847005881</stp>
        <tr r="G8" s="5"/>
      </tp>
      <tp t="s">
        <v>#N/A N/A</v>
        <stp/>
        <stp>BDP|4557981434545557829</stp>
        <tr r="Q62" s="5"/>
      </tp>
      <tp t="s">
        <v>#N/A N/A</v>
        <stp/>
        <stp>BDP|1762852113663698894</stp>
        <tr r="M87" s="5"/>
      </tp>
      <tp t="s">
        <v>#N/A N/A</v>
        <stp/>
        <stp>BDP|3814864834112405901</stp>
        <tr r="O95" s="5"/>
      </tp>
      <tp t="s">
        <v>#N/A N/A</v>
        <stp/>
        <stp>BDP|7078013060200810271</stp>
        <tr r="AJ113" s="5"/>
      </tp>
      <tp t="s">
        <v>#N/A N/A</v>
        <stp/>
        <stp>BDP|7894428362533290556</stp>
        <tr r="W93" s="5"/>
      </tp>
      <tp t="s">
        <v>#N/A N/A</v>
        <stp/>
        <stp>BDP|3164231128874722414</stp>
        <tr r="AQ106" s="5"/>
      </tp>
      <tp t="s">
        <v>#N/A N/A</v>
        <stp/>
        <stp>BDP|9619562991373442590</stp>
        <tr r="AR67" s="5"/>
      </tp>
      <tp t="s">
        <v>#N/A N/A</v>
        <stp/>
        <stp>BDP|3090073585369765185</stp>
        <tr r="AR100" s="5"/>
      </tp>
      <tp t="s">
        <v>#N/A N/A</v>
        <stp/>
        <stp>BDP|1040382172006070070</stp>
        <tr r="O118" s="5"/>
      </tp>
      <tp t="s">
        <v>#N/A N/A</v>
        <stp/>
        <stp>BDP|1237793056745425545</stp>
        <tr r="J54" s="5"/>
      </tp>
      <tp t="s">
        <v>#N/A N/A</v>
        <stp/>
        <stp>BDP|1613187859523666538</stp>
        <tr r="N75" s="5"/>
      </tp>
      <tp t="s">
        <v>#N/A N/A</v>
        <stp/>
        <stp>BDP|4503009361510144177</stp>
        <tr r="AD110" s="5"/>
      </tp>
      <tp t="s">
        <v>#N/A N/A</v>
        <stp/>
        <stp>BDP|8326305183439470964</stp>
        <tr r="J73" s="5"/>
      </tp>
      <tp t="s">
        <v>#N/A N/A</v>
        <stp/>
        <stp>BDP|6012676834225371533</stp>
        <tr r="U101" s="5"/>
      </tp>
      <tp t="s">
        <v>#N/A N/A</v>
        <stp/>
        <stp>BDP|7302951047338718150</stp>
        <tr r="AG111" s="5"/>
      </tp>
      <tp t="s">
        <v>#N/A N/A</v>
        <stp/>
        <stp>BDP|4671404632921085174</stp>
        <tr r="AK108" s="5"/>
      </tp>
      <tp t="s">
        <v>#N/A N/A</v>
        <stp/>
        <stp>BDP|7005876414789101428</stp>
        <tr r="S128" s="5"/>
      </tp>
      <tp t="s">
        <v>#N/A N/A</v>
        <stp/>
        <stp>BDP|4607164999199929603</stp>
        <tr r="AG117" s="5"/>
      </tp>
      <tp t="s">
        <v>#N/A N/A</v>
        <stp/>
        <stp>BDP|5298416687312279871</stp>
        <tr r="J23" s="5"/>
      </tp>
      <tp t="s">
        <v>#N/A N/A</v>
        <stp/>
        <stp>BDP|3809691273412009339</stp>
        <tr r="AD115" s="5"/>
      </tp>
      <tp t="s">
        <v>#N/A N/A</v>
        <stp/>
        <stp>BDP|5388771826427058438</stp>
        <tr r="D129" s="5"/>
      </tp>
      <tp t="s">
        <v>#N/A N/A</v>
        <stp/>
        <stp>BDP|4075441914657045516</stp>
        <tr r="AR54" s="5"/>
      </tp>
      <tp t="s">
        <v>#N/A N/A</v>
        <stp/>
        <stp>BDP|6240190842006199698</stp>
        <tr r="AD127" s="5"/>
      </tp>
      <tp t="s">
        <v>#N/A N/A</v>
        <stp/>
        <stp>BDP|5201555880448204345</stp>
        <tr r="AD38" s="5"/>
      </tp>
      <tp t="s">
        <v>#N/A N/A</v>
        <stp/>
        <stp>BDP|6562756503257740550</stp>
        <tr r="AQ81" s="5"/>
      </tp>
      <tp t="s">
        <v>#N/A N/A</v>
        <stp/>
        <stp>BDP|6667729502734188666</stp>
        <tr r="K127" s="5"/>
      </tp>
      <tp t="s">
        <v>#N/A N/A</v>
        <stp/>
        <stp>BDP|9832224178277090846</stp>
        <tr r="Z89" s="5"/>
      </tp>
      <tp t="s">
        <v>#N/A N/A</v>
        <stp/>
        <stp>BDP|6437666722985209440</stp>
        <tr r="AF107" s="5"/>
      </tp>
      <tp t="s">
        <v>#N/A N/A</v>
        <stp/>
        <stp>BDP|6656170398899739481</stp>
        <tr r="AE125" s="5"/>
      </tp>
      <tp t="s">
        <v>#N/A N/A</v>
        <stp/>
        <stp>BDP|9142372365038632732</stp>
        <tr r="AB124" s="5"/>
      </tp>
      <tp t="s">
        <v>#N/A N/A</v>
        <stp/>
        <stp>BDP|4659502633857176631</stp>
        <tr r="AD49" s="5"/>
      </tp>
      <tp t="s">
        <v>#N/A N/A</v>
        <stp/>
        <stp>BDP|2970958258575637851</stp>
        <tr r="N85" s="5"/>
      </tp>
      <tp t="s">
        <v>#N/A N/A</v>
        <stp/>
        <stp>BDP|9386781782587647289</stp>
        <tr r="Q6" s="5"/>
      </tp>
      <tp t="s">
        <v>#N/A N/A</v>
        <stp/>
        <stp>BDP|4654369415245042016</stp>
        <tr r="AK107" s="5"/>
      </tp>
      <tp t="s">
        <v>#N/A N/A</v>
        <stp/>
        <stp>BDP|3313928746575470875</stp>
        <tr r="AD80" s="5"/>
      </tp>
      <tp t="s">
        <v>#N/A N/A</v>
        <stp/>
        <stp>BDP|6504478567143192401</stp>
        <tr r="AA127" s="5"/>
      </tp>
      <tp t="s">
        <v>#N/A N/A</v>
        <stp/>
        <stp>BDP|7955657779735763060</stp>
        <tr r="L74" s="5"/>
      </tp>
      <tp t="s">
        <v>#N/A N/A</v>
        <stp/>
        <stp>BDP|6752909690776699351</stp>
        <tr r="AJ98" s="5"/>
      </tp>
      <tp t="s">
        <v>#N/A N/A</v>
        <stp/>
        <stp>BDP|8405269282573660228</stp>
        <tr r="F126" s="5"/>
      </tp>
      <tp t="s">
        <v>#N/A N/A</v>
        <stp/>
        <stp>BDP|4315521487343061921</stp>
        <tr r="AG97" s="5"/>
      </tp>
      <tp t="s">
        <v>#N/A N/A</v>
        <stp/>
        <stp>BDP|1400101316561453339</stp>
        <tr r="AB110" s="5"/>
      </tp>
      <tp t="s">
        <v>#N/A N/A</v>
        <stp/>
        <stp>BDP|5495278534484708358</stp>
        <tr r="O104" s="5"/>
      </tp>
      <tp t="s">
        <v>#N/A N/A</v>
        <stp/>
        <stp>BDP|2783433697865378958</stp>
        <tr r="G82" s="5"/>
      </tp>
      <tp t="s">
        <v>#N/A N/A</v>
        <stp/>
        <stp>BDP|8660804141806438167</stp>
        <tr r="I93" s="5"/>
      </tp>
      <tp t="s">
        <v>#N/A N/A</v>
        <stp/>
        <stp>BDP|1706788857817451797</stp>
        <tr r="AP126" s="5"/>
      </tp>
      <tp t="s">
        <v>#N/A N/A</v>
        <stp/>
        <stp>BDP|9591278877248017707</stp>
        <tr r="V127" s="5"/>
      </tp>
      <tp t="s">
        <v>#N/A N/A</v>
        <stp/>
        <stp>BDP|5273305342930749129</stp>
        <tr r="M129" s="5"/>
      </tp>
      <tp t="s">
        <v>#N/A N/A</v>
        <stp/>
        <stp>BDP|44916134176299783</stp>
        <tr r="AG124" s="5"/>
      </tp>
      <tp t="s">
        <v>#N/A N/A</v>
        <stp/>
        <stp>BDP|46923050951774083</stp>
        <tr r="AQ87" s="5"/>
      </tp>
      <tp t="s">
        <v>#N/A N/A</v>
        <stp/>
        <stp>BDP|94222484290406649</stp>
        <tr r="D126" s="5"/>
      </tp>
      <tp t="s">
        <v>#N/A N/A</v>
        <stp/>
        <stp>BDP|18558846249469600</stp>
        <tr r="AP127" s="5"/>
      </tp>
      <tp t="s">
        <v>#N/A N/A</v>
        <stp/>
        <stp>BDP|98306072772311823</stp>
        <tr r="V124" s="5"/>
      </tp>
      <tp t="s">
        <v>#N/A N/A</v>
        <stp/>
        <stp>BDP|73694711138621101</stp>
        <tr r="F112" s="5"/>
      </tp>
      <tp t="s">
        <v>#N/A N/A</v>
        <stp/>
        <stp>BDP|75558513517253295</stp>
        <tr r="AQ111" s="5"/>
      </tp>
      <tp t="s">
        <v>#N/A N/A</v>
        <stp/>
        <stp>BDP|22228633604395666</stp>
        <tr r="M122" s="5"/>
      </tp>
      <tp t="s">
        <v>#N/A N/A</v>
        <stp/>
        <stp>BDP|81184314876109589</stp>
        <tr r="AR107" s="5"/>
      </tp>
      <tp t="s">
        <v>#N/A N/A</v>
        <stp/>
        <stp>BDP|95672973073321180</stp>
        <tr r="L123" s="5"/>
      </tp>
      <tp t="s">
        <v>#N/A N/A</v>
        <stp/>
        <stp>BDP|70933155289947106</stp>
        <tr r="AT121" s="5"/>
      </tp>
      <tp t="s">
        <v>#N/A N/A</v>
        <stp/>
        <stp>BDP|46875689914306331</stp>
        <tr r="L61" s="5"/>
      </tp>
      <tp t="s">
        <v>#N/A N/A</v>
        <stp/>
        <stp>BDP|40162090119861641</stp>
        <tr r="U117" s="5"/>
      </tp>
      <tp t="s">
        <v>#N/A N/A</v>
        <stp/>
        <stp>BDP|708673870882519691</stp>
        <tr r="J115" s="5"/>
      </tp>
      <tp t="s">
        <v>#N/A N/A</v>
        <stp/>
        <stp>BDP|138202296536179882</stp>
        <tr r="J46" s="5"/>
      </tp>
      <tp t="s">
        <v>#N/A N/A</v>
        <stp/>
        <stp>BDP|981545342723282729</stp>
        <tr r="AG112" s="5"/>
      </tp>
      <tp t="s">
        <v>#N/A N/A</v>
        <stp/>
        <stp>BDP|215428071565108385</stp>
        <tr r="Z97" s="5"/>
      </tp>
      <tp t="s">
        <v>#N/A N/A</v>
        <stp/>
        <stp>BDP|750798621623322345</stp>
        <tr r="K96" s="5"/>
      </tp>
      <tp t="s">
        <v>#N/A N/A</v>
        <stp/>
        <stp>BDP|193092750453479351</stp>
        <tr r="AR109" s="5"/>
      </tp>
      <tp t="s">
        <v>#N/A N/A</v>
        <stp/>
        <stp>BDP|685725010696887565</stp>
        <tr r="G21" s="5"/>
      </tp>
      <tp t="s">
        <v>#N/A N/A</v>
        <stp/>
        <stp>BDP|255580093719256001</stp>
        <tr r="AR96" s="5"/>
      </tp>
      <tp t="s">
        <v>#N/A N/A</v>
        <stp/>
        <stp>BDP|618798723292872211</stp>
        <tr r="I125" s="5"/>
      </tp>
      <tp t="s">
        <v>#N/A N/A</v>
        <stp/>
        <stp>BDP|398526560395616313</stp>
        <tr r="P102" s="5"/>
      </tp>
      <tp t="s">
        <v>#N/A N/A</v>
        <stp/>
        <stp>BDP|505042715002021636</stp>
        <tr r="Z94" s="5"/>
      </tp>
      <tp t="s">
        <v>#N/A N/A</v>
        <stp/>
        <stp>BDP|612359700431336711</stp>
        <tr r="AQ115" s="5"/>
      </tp>
      <tp t="s">
        <v>#N/A N/A</v>
        <stp/>
        <stp>BDP|301784089693651977</stp>
        <tr r="Q129" s="5"/>
      </tp>
      <tp t="s">
        <v>#N/A N/A</v>
        <stp/>
        <stp>BDP|849719433813048372</stp>
        <tr r="Q73" s="5"/>
      </tp>
      <tp t="s">
        <v>#N/A N/A</v>
        <stp/>
        <stp>BDP|589632648287179115</stp>
        <tr r="F67" s="5"/>
      </tp>
      <tp t="s">
        <v>#N/A N/A</v>
        <stp/>
        <stp>BDP|129919648649018067</stp>
        <tr r="AM117" s="5"/>
      </tp>
      <tp t="s">
        <v>#N/A N/A</v>
        <stp/>
        <stp>BDP|128502447847083282</stp>
        <tr r="AG89" s="5"/>
      </tp>
      <tp t="s">
        <v>#N/A N/A</v>
        <stp/>
        <stp>BDP|691890686761237524</stp>
        <tr r="J37" s="5"/>
      </tp>
      <tp t="s">
        <v>#N/A N/A</v>
        <stp/>
        <stp>BDP|381248210845818243</stp>
        <tr r="H56" s="5"/>
      </tp>
      <tp t="s">
        <v>#N/A N/A</v>
        <stp/>
        <stp>BDP|548233223520049418</stp>
        <tr r="AQ112" s="5"/>
      </tp>
      <tp t="s">
        <v>#N/A N/A</v>
        <stp/>
        <stp>BDP|773475171873273466</stp>
        <tr r="E66" s="5"/>
      </tp>
      <tp t="s">
        <v>#N/A N/A</v>
        <stp/>
        <stp>BDP|160003073007610420</stp>
        <tr r="AW126" s="5"/>
      </tp>
      <tp t="s">
        <v>#N/A N/A</v>
        <stp/>
        <stp>BDP|997388047303945088</stp>
        <tr r="AK94" s="5"/>
      </tp>
      <tp t="s">
        <v>#N/A N/A</v>
        <stp/>
        <stp>BDP|147891785714923076</stp>
        <tr r="O126" s="5"/>
      </tp>
      <tp t="s">
        <v>#N/A N/A</v>
        <stp/>
        <stp>BDP|333388978880821349</stp>
        <tr r="H57" s="5"/>
      </tp>
      <tp t="s">
        <v>#N/A N/A</v>
        <stp/>
        <stp>BDP|214658991881988978</stp>
        <tr r="Q128" s="5"/>
      </tp>
      <tp t="s">
        <v>#N/A N/A</v>
        <stp/>
        <stp>BDP|727527308590058248</stp>
        <tr r="L105" s="5"/>
      </tp>
      <tp t="s">
        <v>#N/A N/A</v>
        <stp/>
        <stp>BDP|232141416327924005</stp>
        <tr r="N58" s="5"/>
      </tp>
      <tp t="s">
        <v>#N/A N/A</v>
        <stp/>
        <stp>BDP|614090757003306112</stp>
        <tr r="L70" s="5"/>
      </tp>
      <tp t="s">
        <v>#N/A N/A</v>
        <stp/>
        <stp>BDP|725613891889858144</stp>
        <tr r="Y120" s="5"/>
      </tp>
      <tp t="s">
        <v>#N/A N/A</v>
        <stp/>
        <stp>BDP|504499520144733505</stp>
        <tr r="AQ99" s="5"/>
      </tp>
      <tp t="s">
        <v>#N/A N/A</v>
        <stp/>
        <stp>BDP|408878762499385092</stp>
        <tr r="AD81" s="5"/>
      </tp>
      <tp t="s">
        <v>#N/A N/A</v>
        <stp/>
        <stp>BDP|699292039980120625</stp>
        <tr r="AK117" s="5"/>
      </tp>
      <tp t="s">
        <v>#N/A N/A</v>
        <stp/>
        <stp>BDP|327243853399739952</stp>
        <tr r="L84" s="5"/>
      </tp>
      <tp t="s">
        <v>#N/A N/A</v>
        <stp/>
        <stp>BDP|659284159751779115</stp>
        <tr r="AC107" s="5"/>
      </tp>
      <tp t="s">
        <v>#N/A N/A</v>
        <stp/>
        <stp>BDP|749166954501215394</stp>
        <tr r="AB119" s="5"/>
      </tp>
      <tp t="s">
        <v>#N/A N/A</v>
        <stp/>
        <stp>BDP|618336712705919117</stp>
        <tr r="E79" s="5"/>
      </tp>
      <tp t="s">
        <v>#N/A N/A</v>
        <stp/>
        <stp>BDP|551450918524659756</stp>
        <tr r="L29" s="5"/>
      </tp>
      <tp t="s">
        <v>#N/A N/A</v>
        <stp/>
        <stp>BDP|565573746375062201</stp>
        <tr r="H54" s="5"/>
      </tp>
      <tp t="s">
        <v>#N/A N/A</v>
        <stp/>
        <stp>BDP|140142052425157779</stp>
        <tr r="S129" s="5"/>
      </tp>
      <tp t="s">
        <v>#N/A N/A</v>
        <stp/>
        <stp>BDP|260817098197316097</stp>
        <tr r="F52" s="5"/>
      </tp>
      <tp t="s">
        <v>#N/A N/A</v>
        <stp/>
        <stp>BDP|406884490553941440</stp>
        <tr r="W84" s="5"/>
      </tp>
      <tp t="s">
        <v>#N/A N/A</v>
        <stp/>
        <stp>BDP|235784882407176946</stp>
        <tr r="J32" s="5"/>
      </tp>
      <tp t="s">
        <v>#N/A N/A</v>
        <stp/>
        <stp>BDP|945464240224064511</stp>
        <tr r="AQ98" s="5"/>
      </tp>
      <tp t="s">
        <v>#N/A N/A</v>
        <stp/>
        <stp>BDP|727099473827102156</stp>
        <tr r="G114" s="5"/>
      </tp>
      <tp t="s">
        <v>#N/A N/A</v>
        <stp/>
        <stp>BDP|181940691045704491</stp>
        <tr r="K104" s="5"/>
      </tp>
      <tp t="s">
        <v>#N/A N/A</v>
        <stp/>
        <stp>BDP|769180583400731815</stp>
        <tr r="AI117" s="5"/>
      </tp>
      <tp t="s">
        <v>#N/A N/A</v>
        <stp/>
        <stp>BDP|946783818954114337</stp>
        <tr r="G106" s="5"/>
      </tp>
      <tp t="s">
        <v>#N/A N/A</v>
        <stp/>
        <stp>BDP|973587217406681349</stp>
        <tr r="J19" s="5"/>
      </tp>
      <tp t="s">
        <v>#N/A N/A</v>
        <stp/>
        <stp>BDP|935626302520638797</stp>
        <tr r="N102" s="5"/>
      </tp>
      <tp t="s">
        <v>#N/A N/A</v>
        <stp/>
        <stp>BDP|916136779573520414</stp>
        <tr r="E102" s="5"/>
      </tp>
      <tp t="s">
        <v>#N/A N/A</v>
        <stp/>
        <stp>BDP|332972485763414358</stp>
        <tr r="G12" s="5"/>
      </tp>
      <tp t="s">
        <v>#N/A N/A</v>
        <stp/>
        <stp>BDP|724290248620095776</stp>
        <tr r="M42" s="5"/>
      </tp>
      <tp t="s">
        <v>#N/A N/A</v>
        <stp/>
        <stp>BDP|251482568900710340</stp>
        <tr r="AE126" s="5"/>
      </tp>
      <tp t="s">
        <v>#N/A N/A</v>
        <stp/>
        <stp>BDP|827139917793779283</stp>
        <tr r="U31" s="5"/>
      </tp>
      <tp t="s">
        <v>#N/A N/A</v>
        <stp/>
        <stp>BDP|292223222588931851</stp>
        <tr r="G128" s="5"/>
      </tp>
      <tp t="s">
        <v>#N/A N/A</v>
        <stp/>
        <stp>BDP|830857455365310855</stp>
        <tr r="AJ97" s="5"/>
      </tp>
      <tp t="s">
        <v>#N/A N/A</v>
        <stp/>
        <stp>BDP|302408760871013392</stp>
        <tr r="G11" s="5"/>
      </tp>
      <tp t="s">
        <v>#N/A N/A</v>
        <stp/>
        <stp>BDP|105565532786770096</stp>
        <tr r="E118" s="5"/>
      </tp>
      <tp t="s">
        <v>#N/A N/A</v>
        <stp/>
        <stp>BDP|782264576507129227</stp>
        <tr r="E126" s="5"/>
      </tp>
      <tp t="s">
        <v>#N/A N/A</v>
        <stp/>
        <stp>BDP|607373670954470004</stp>
        <tr r="P93" s="5"/>
      </tp>
      <tp t="s">
        <v>#N/A N/A</v>
        <stp/>
        <stp>BDP|469755160508780939</stp>
        <tr r="G73" s="5"/>
      </tp>
      <tp t="s">
        <v>#N/A N/A</v>
        <stp/>
        <stp>BDP|323018965650373620</stp>
        <tr r="AV119" s="5"/>
      </tp>
      <tp t="s">
        <v>#N/A N/A</v>
        <stp/>
        <stp>BDP|479137239471119395</stp>
        <tr r="AH124" s="5"/>
      </tp>
      <tp t="s">
        <v>#N/A N/A</v>
        <stp/>
        <stp>BDP|150343437108756852</stp>
        <tr r="P128" s="5"/>
      </tp>
      <tp t="s">
        <v>#N/A N/A</v>
        <stp/>
        <stp>BDP|821757479179733915</stp>
        <tr r="AB129" s="5"/>
      </tp>
      <tp t="s">
        <v>#N/A N/A</v>
        <stp/>
        <stp>BDP|768597372329500859</stp>
        <tr r="Q85" s="5"/>
      </tp>
      <tp t="s">
        <v>#N/A N/A</v>
        <stp/>
        <stp>BDP|371320349872461614</stp>
        <tr r="H85" s="5"/>
      </tp>
      <tp t="s">
        <v>#N/A N/A</v>
        <stp/>
        <stp>BDP|439270282619628093</stp>
        <tr r="AJ121" s="5"/>
      </tp>
      <tp t="s">
        <v>#N/A N/A</v>
        <stp/>
        <stp>BDP|536997093783191062</stp>
        <tr r="AR115" s="5"/>
      </tp>
      <tp t="s">
        <v>#N/A N/A</v>
        <stp/>
        <stp>BDP|208811101482446911</stp>
        <tr r="N82" s="5"/>
      </tp>
      <tp t="s">
        <v>#N/A N/A</v>
        <stp/>
        <stp>BDP|214671367365574601</stp>
        <tr r="U114" s="5"/>
      </tp>
      <tp t="s">
        <v>#N/A N/A</v>
        <stp/>
        <stp>BDP|298748249883902349</stp>
        <tr r="J42" s="5"/>
      </tp>
      <tp t="s">
        <v>#N/A N/A</v>
        <stp/>
        <stp>BDP|827123637153367365</stp>
        <tr r="Q20" s="5"/>
      </tp>
      <tp t="s">
        <v>#N/A N/A</v>
        <stp/>
        <stp>BDP|489468736282535795</stp>
        <tr r="AD39" s="5"/>
      </tp>
      <tp t="s">
        <v>#N/A N/A</v>
        <stp/>
        <stp>BDP|436827620450172814</stp>
        <tr r="T107" s="5"/>
      </tp>
      <tp t="s">
        <v>#N/A N/A</v>
        <stp/>
        <stp>BDP|273352830650854285</stp>
        <tr r="N99" s="5"/>
      </tp>
      <tp t="s">
        <v>#N/A N/A</v>
        <stp/>
        <stp>BDP|369526854358837512</stp>
        <tr r="AI116" s="5"/>
      </tp>
      <tp t="s">
        <v>#N/A N/A</v>
        <stp/>
        <stp>BDP|797084743751698863</stp>
        <tr r="U102" s="5"/>
      </tp>
      <tp t="s">
        <v>#N/A N/A</v>
        <stp/>
        <stp>BDP|406348949359743366</stp>
        <tr r="G83" s="5"/>
      </tp>
      <tp t="s">
        <v>#N/A N/A</v>
        <stp/>
        <stp>BDP|552633868984770924</stp>
        <tr r="M45" s="5"/>
      </tp>
      <tp t="s">
        <v>#N/A N/A</v>
        <stp/>
        <stp>BDP|987816684554271989</stp>
        <tr r="T89" s="5"/>
      </tp>
      <tp t="s">
        <v>#N/A N/A</v>
        <stp/>
        <stp>BDP|278081354231024998</stp>
        <tr r="J91" s="5"/>
      </tp>
      <tp t="s">
        <v>#N/A N/A</v>
        <stp/>
        <stp>BDP|293818391738746468</stp>
        <tr r="G86" s="5"/>
      </tp>
      <tp t="s">
        <v>#N/A N/A</v>
        <stp/>
        <stp>BDP|285512481090748192</stp>
        <tr r="Q24" s="5"/>
      </tp>
      <tp t="s">
        <v>#N/A N/A</v>
        <stp/>
        <stp>BDP|861129668319047292</stp>
        <tr r="F74" s="5"/>
      </tp>
      <tp t="s">
        <v>#N/A N/A</v>
        <stp/>
        <stp>BDP|410527078068951620</stp>
        <tr r="T90" s="5"/>
      </tp>
      <tp t="s">
        <v>#N/A N/A</v>
        <stp/>
        <stp>BDP|661195558750005824</stp>
        <tr r="AD31" s="5"/>
      </tp>
      <tp t="s">
        <v>#N/A N/A</v>
        <stp/>
        <stp>BDP|971893924227020110</stp>
        <tr r="N23" s="5"/>
      </tp>
      <tp t="s">
        <v>#N/A N/A</v>
        <stp/>
        <stp>BDP|190373153423016926</stp>
        <tr r="H111" s="5"/>
      </tp>
      <tp t="s">
        <v>#N/A N/A</v>
        <stp/>
        <stp>BDP|578983820270011435</stp>
        <tr r="AD121" s="5"/>
      </tp>
      <tp t="s">
        <v>#N/A N/A</v>
        <stp/>
        <stp>BDP|150963413696436153</stp>
        <tr r="Z96" s="5"/>
      </tp>
      <tp t="s">
        <v>#N/A N/A</v>
        <stp/>
        <stp>BDP|424270058431853952</stp>
        <tr r="F55" s="5"/>
      </tp>
      <tp t="s">
        <v>#N/A N/A</v>
        <stp/>
        <stp>BDP|645154064251737974</stp>
        <tr r="D121" s="5"/>
      </tp>
      <tp t="s">
        <v>#N/A N/A</v>
        <stp/>
        <stp>BDP|802381283417591350</stp>
        <tr r="E74" s="5"/>
      </tp>
      <tp t="s">
        <v>#N/A N/A</v>
        <stp/>
        <stp>BDP|334295396683981699</stp>
        <tr r="G35" s="5"/>
      </tp>
      <tp t="s">
        <v>#N/A N/A</v>
        <stp/>
        <stp>BDP|831334500398730527</stp>
        <tr r="AQ109" s="5"/>
      </tp>
      <tp t="s">
        <v>#N/A N/A</v>
        <stp/>
        <stp>BDP|594329472259400383</stp>
        <tr r="V106" s="5"/>
      </tp>
      <tp t="s">
        <v>#N/A N/A</v>
        <stp/>
        <stp>BDP|374535786981566299</stp>
        <tr r="G29" s="5"/>
      </tp>
      <tp t="s">
        <v>#N/A N/A</v>
        <stp/>
        <stp>BDP|446870340790232213</stp>
        <tr r="G48" s="5"/>
      </tp>
      <tp t="e">
        <v>#N/A</v>
        <stp/>
        <stp>BSRCH|1315285344582259535</stp>
        <tr r="C4" s="5"/>
        <tr r="C4" s="1"/>
      </tp>
      <tp t="s">
        <v>#N/A N/A</v>
        <stp/>
        <stp>BDP|831863855736393272</stp>
        <tr r="AR11" s="5"/>
      </tp>
      <tp t="s">
        <v>#N/A N/A</v>
        <stp/>
        <stp>BDP|428876622040036347</stp>
        <tr r="AS122" s="5"/>
      </tp>
      <tp t="s">
        <v>#N/A N/A</v>
        <stp/>
        <stp>BDP|429429146848473129</stp>
        <tr r="I120" s="5"/>
      </tp>
      <tp t="e">
        <v>#N/A</v>
        <stp/>
        <stp>BDH|149643799770559680</stp>
        <tr r="Z5" s="1"/>
      </tp>
      <tp t="s">
        <v>#N/A N/A</v>
        <stp/>
        <stp>BDP|715889999368635035</stp>
        <tr r="L16" s="5"/>
      </tp>
      <tp t="s">
        <v>#N/A N/A</v>
        <stp/>
        <stp>BDP|712817822376582489</stp>
        <tr r="AR50" s="5"/>
      </tp>
      <tp t="s">
        <v>#N/A N/A</v>
        <stp/>
        <stp>BDP|988907693950488885</stp>
        <tr r="G123" s="5"/>
      </tp>
      <tp t="s">
        <v>#N/A N/A</v>
        <stp/>
        <stp>BDP|200252634918035155</stp>
        <tr r="AM115" s="5"/>
      </tp>
      <tp t="s">
        <v>#N/A N/A</v>
        <stp/>
        <stp>BDP|845625790126590189</stp>
        <tr r="Q117" s="5"/>
      </tp>
      <tp t="s">
        <v>#N/A N/A</v>
        <stp/>
        <stp>BDP|973914543550807671</stp>
        <tr r="I114" s="5"/>
      </tp>
      <tp t="s">
        <v>#N/A N/A</v>
        <stp/>
        <stp>BDP|102125203138396267</stp>
        <tr r="AD111" s="5"/>
      </tp>
      <tp t="s">
        <v>#N/A N/A</v>
        <stp/>
        <stp>BDP|270725880354156064</stp>
        <tr r="AV124" s="5"/>
      </tp>
      <tp t="s">
        <v>#N/A N/A</v>
        <stp/>
        <stp>BDP|696546602606290824</stp>
        <tr r="I104" s="5"/>
      </tp>
      <tp t="s">
        <v>#N/A N/A</v>
        <stp/>
        <stp>BDP|223984528848307804</stp>
        <tr r="M100" s="5"/>
      </tp>
      <tp t="s">
        <v>#N/A N/A</v>
        <stp/>
        <stp>BDP|455538405797457971</stp>
        <tr r="M77" s="5"/>
      </tp>
      <tp t="s">
        <v>#N/A N/A</v>
        <stp/>
        <stp>BDP|581715751851982914</stp>
        <tr r="AR126" s="5"/>
      </tp>
      <tp t="s">
        <v>#N/A N/A</v>
        <stp/>
        <stp>BDP|612224648549816543</stp>
        <tr r="Z76" s="5"/>
      </tp>
      <tp t="s">
        <v>#N/A N/A</v>
        <stp/>
        <stp>BDP|993764919985067976</stp>
        <tr r="E89" s="5"/>
      </tp>
      <tp t="s">
        <v>#N/A N/A</v>
        <stp/>
        <stp>BDP|322733515225211966</stp>
        <tr r="V108" s="5"/>
      </tp>
      <tp t="s">
        <v>#N/A N/A</v>
        <stp/>
        <stp>BDP|365920911842115</stp>
        <tr r="AJ103" s="5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volatileDependencies" Target="volatileDependencies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96"/>
  <sheetViews>
    <sheetView workbookViewId="0">
      <selection activeCell="D2" sqref="D2"/>
    </sheetView>
  </sheetViews>
  <sheetFormatPr defaultRowHeight="15" x14ac:dyDescent="0.25"/>
  <cols>
    <col min="1" max="1" width="9.5703125" bestFit="1" customWidth="1"/>
    <col min="2" max="2" width="9.7109375" bestFit="1" customWidth="1"/>
    <col min="3" max="3" width="10.7109375" customWidth="1"/>
    <col min="4" max="4" width="13.7109375" bestFit="1" customWidth="1"/>
    <col min="5" max="5" width="13.85546875" bestFit="1" customWidth="1"/>
    <col min="6" max="7" width="13.7109375" bestFit="1" customWidth="1"/>
    <col min="8" max="8" width="14.42578125" bestFit="1" customWidth="1"/>
    <col min="9" max="9" width="13.85546875" bestFit="1" customWidth="1"/>
    <col min="10" max="10" width="13.28515625" bestFit="1" customWidth="1"/>
    <col min="11" max="11" width="14" bestFit="1" customWidth="1"/>
    <col min="12" max="12" width="13.28515625" bestFit="1" customWidth="1"/>
    <col min="13" max="13" width="14.42578125" bestFit="1" customWidth="1"/>
    <col min="14" max="14" width="13.7109375" bestFit="1" customWidth="1"/>
    <col min="15" max="16" width="13.85546875" bestFit="1" customWidth="1"/>
    <col min="17" max="17" width="14" bestFit="1" customWidth="1"/>
    <col min="18" max="18" width="14.42578125" bestFit="1" customWidth="1"/>
    <col min="19" max="19" width="13.7109375" bestFit="1" customWidth="1"/>
    <col min="20" max="20" width="13.85546875" bestFit="1" customWidth="1"/>
    <col min="21" max="21" width="13.28515625" bestFit="1" customWidth="1"/>
    <col min="22" max="22" width="13.42578125" bestFit="1" customWidth="1"/>
    <col min="23" max="23" width="14.85546875" bestFit="1" customWidth="1"/>
    <col min="24" max="25" width="13.7109375" bestFit="1" customWidth="1"/>
    <col min="26" max="26" width="14.85546875" bestFit="1" customWidth="1"/>
    <col min="27" max="27" width="13.7109375" bestFit="1" customWidth="1"/>
    <col min="28" max="28" width="14.140625" bestFit="1" customWidth="1"/>
    <col min="29" max="29" width="13.42578125" bestFit="1" customWidth="1"/>
    <col min="30" max="30" width="13.85546875" bestFit="1" customWidth="1"/>
    <col min="31" max="31" width="13.7109375" bestFit="1" customWidth="1"/>
    <col min="32" max="32" width="14.140625" bestFit="1" customWidth="1"/>
    <col min="33" max="33" width="14.28515625" bestFit="1" customWidth="1"/>
    <col min="34" max="34" width="13.7109375" bestFit="1" customWidth="1"/>
    <col min="35" max="35" width="14.42578125" bestFit="1" customWidth="1"/>
    <col min="36" max="37" width="13.85546875" bestFit="1" customWidth="1"/>
    <col min="38" max="38" width="14.140625" bestFit="1" customWidth="1"/>
    <col min="39" max="39" width="13.7109375" bestFit="1" customWidth="1"/>
    <col min="40" max="40" width="13.42578125" bestFit="1" customWidth="1"/>
    <col min="41" max="41" width="13.7109375" bestFit="1" customWidth="1"/>
    <col min="42" max="42" width="14.5703125" bestFit="1" customWidth="1"/>
    <col min="43" max="44" width="13.85546875" bestFit="1" customWidth="1"/>
    <col min="45" max="45" width="14.5703125" bestFit="1" customWidth="1"/>
    <col min="46" max="46" width="13.7109375" bestFit="1" customWidth="1"/>
    <col min="47" max="47" width="14.140625" bestFit="1" customWidth="1"/>
    <col min="48" max="49" width="13.7109375" bestFit="1" customWidth="1"/>
    <col min="50" max="50" width="14.140625" bestFit="1" customWidth="1"/>
    <col min="51" max="51" width="13.7109375" bestFit="1" customWidth="1"/>
    <col min="52" max="52" width="14.140625" bestFit="1" customWidth="1"/>
  </cols>
  <sheetData>
    <row r="1" spans="1:52" x14ac:dyDescent="0.25">
      <c r="A1" t="s">
        <v>0</v>
      </c>
      <c r="B1" s="6">
        <v>42057</v>
      </c>
    </row>
    <row r="2" spans="1:52" x14ac:dyDescent="0.25">
      <c r="A2" t="s">
        <v>1</v>
      </c>
      <c r="B2" s="6">
        <f ca="1">TODAY()</f>
        <v>45843</v>
      </c>
    </row>
    <row r="4" spans="1:52" x14ac:dyDescent="0.25">
      <c r="C4" s="3" t="str">
        <f>_xll.BSRCH("fi:bra_sovereign_local_bonds","dir=h","cols=50;rows=1")</f>
        <v>id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  <c r="AB4" t="s">
        <v>27</v>
      </c>
      <c r="AC4" t="s">
        <v>28</v>
      </c>
      <c r="AD4" t="s">
        <v>29</v>
      </c>
      <c r="AE4" t="s">
        <v>30</v>
      </c>
      <c r="AF4" t="s">
        <v>31</v>
      </c>
      <c r="AG4" t="s">
        <v>32</v>
      </c>
      <c r="AH4" t="s">
        <v>33</v>
      </c>
      <c r="AI4" t="s">
        <v>34</v>
      </c>
      <c r="AJ4" t="s">
        <v>35</v>
      </c>
      <c r="AK4" t="s">
        <v>36</v>
      </c>
      <c r="AL4" t="s">
        <v>37</v>
      </c>
      <c r="AM4" t="s">
        <v>38</v>
      </c>
      <c r="AN4" t="s">
        <v>39</v>
      </c>
      <c r="AO4" t="s">
        <v>40</v>
      </c>
      <c r="AP4" t="s">
        <v>41</v>
      </c>
      <c r="AQ4" t="s">
        <v>42</v>
      </c>
      <c r="AR4" t="s">
        <v>43</v>
      </c>
      <c r="AS4" t="s">
        <v>44</v>
      </c>
      <c r="AT4" t="s">
        <v>45</v>
      </c>
      <c r="AU4" t="s">
        <v>46</v>
      </c>
      <c r="AV4" t="s">
        <v>47</v>
      </c>
      <c r="AW4" t="s">
        <v>48</v>
      </c>
      <c r="AX4" t="s">
        <v>49</v>
      </c>
      <c r="AY4" t="s">
        <v>50</v>
      </c>
      <c r="AZ4" t="s">
        <v>51</v>
      </c>
    </row>
    <row r="5" spans="1:52" x14ac:dyDescent="0.25">
      <c r="A5" s="1"/>
      <c r="B5" s="2"/>
      <c r="C5" s="4" cm="1">
        <f t="array" ref="C5:D129">_xll.BDH(D$4 &amp; " Corp","PX_LAST",$B$1,"","per=m","days=all","fill=0","QtTyp=P")</f>
        <v>42062</v>
      </c>
      <c r="D5" s="2">
        <v>0</v>
      </c>
      <c r="E5" s="5" cm="1">
        <f t="array" ref="E5:E129">_xll.BDH(E$4 &amp; " Corp","px_last",$B$1,"","per=m","days=all","fill=0","dts=h","QtTyp=P")</f>
        <v>0</v>
      </c>
      <c r="F5" s="5" cm="1">
        <f t="array" ref="F5:F129">_xll.BDH(F$4 &amp; " Corp","px_last",$B$1,"","per=m","days=all","fill=0","dts=h","QtTyp=P")</f>
        <v>0</v>
      </c>
      <c r="G5" s="5" cm="1">
        <f t="array" ref="G5:G129">_xll.BDH(G$4 &amp; " Corp","px_last",$B$1,"","per=m","days=all","fill=0","dts=h","QtTyp=P")</f>
        <v>2512.9574929999999</v>
      </c>
      <c r="H5" s="5" cm="1">
        <f t="array" ref="H5:H129">_xll.BDH(H$4 &amp; " Corp","px_last",$B$1,"","per=m","days=all","fill=0","dts=h","QtTyp=P")</f>
        <v>0</v>
      </c>
      <c r="I5" s="5" cm="1">
        <f t="array" ref="I5:I129">_xll.BDH(I$4 &amp; " Corp","px_last",$B$1,"","per=m","days=all","fill=0","dts=h","QtTyp=P")</f>
        <v>0</v>
      </c>
      <c r="J5" s="5" cm="1">
        <f t="array" ref="J5:J129">_xll.BDH(J$4 &amp; " Corp","px_last",$B$1,"","per=m","days=all","fill=0","dts=h","QtTyp=P")</f>
        <v>2486.3806939999999</v>
      </c>
      <c r="K5" s="5" cm="1">
        <f t="array" ref="K5:K129">_xll.BDH(K$4 &amp; " Corp","px_last",$B$1,"","per=m","days=all","fill=0","dts=h","QtTyp=P")</f>
        <v>0</v>
      </c>
      <c r="L5" s="5" cm="1">
        <f t="array" ref="L5:L129">_xll.BDH(L$4 &amp; " Corp","px_last",$B$1,"","per=m","days=all","fill=0","dts=h","QtTyp=P")</f>
        <v>2488.7189309999999</v>
      </c>
      <c r="M5" s="5" cm="1">
        <f t="array" ref="M5:M129">_xll.BDH(M$4 &amp; " Corp","px_last",$B$1,"","per=m","days=all","fill=0","dts=h","QtTyp=P")</f>
        <v>0</v>
      </c>
      <c r="N5" s="5" cm="1">
        <f t="array" ref="N5:N129">_xll.BDH(N$4 &amp; " Corp","px_last",$B$1,"","per=m","days=all","fill=0","dts=h","QtTyp=P")</f>
        <v>0</v>
      </c>
      <c r="O5" s="5" cm="1">
        <f t="array" ref="O5:O129">_xll.BDH(O$4 &amp; " Corp","px_last",$B$1,"","per=m","days=all","fill=0","dts=h","QtTyp=P")</f>
        <v>0</v>
      </c>
      <c r="P5" s="5" cm="1">
        <f t="array" ref="P5:P129">_xll.BDH(P$4 &amp; " Corp","px_last",$B$1,"","per=m","days=all","fill=0","dts=h","QtTyp=P")</f>
        <v>0</v>
      </c>
      <c r="Q5" s="5" cm="1">
        <f t="array" ref="Q5:Q129">_xll.BDH(Q$4 &amp; " Corp","px_last",$B$1,"","per=m","days=all","fill=0","dts=h","QtTyp=P")</f>
        <v>2531.5769660000001</v>
      </c>
      <c r="R5" s="5" cm="1">
        <f t="array" ref="R5:R129">_xll.BDH(R$4 &amp; " Corp","px_last",$B$1,"","per=m","days=all","fill=0","dts=h","QtTyp=P")</f>
        <v>0</v>
      </c>
      <c r="S5" s="5" cm="1">
        <f t="array" ref="S5:S129">_xll.BDH(S$4 &amp; " Corp","px_last",$B$1,"","per=m","days=all","fill=0","dts=h","QtTyp=P")</f>
        <v>0</v>
      </c>
      <c r="T5" s="5" cm="1">
        <f t="array" ref="T5:T129">_xll.BDH(T$4 &amp; " Corp","px_last",$B$1,"","per=m","days=all","fill=0","dts=h","QtTyp=P")</f>
        <v>0</v>
      </c>
      <c r="U5" s="5" cm="1">
        <f t="array" ref="U5:U129">_xll.BDH(U$4 &amp; " Corp","px_last",$B$1,"","per=m","days=all","fill=0","dts=h","QtTyp=P")</f>
        <v>2500.681337</v>
      </c>
      <c r="V5" s="5" cm="1">
        <f t="array" ref="V5:V129">_xll.BDH(V$4 &amp; " Corp","px_last",$B$1,"","per=m","days=all","fill=0","dts=h","QtTyp=P")</f>
        <v>0</v>
      </c>
      <c r="W5" s="5" cm="1">
        <f t="array" ref="W5:W129">_xll.BDH(W$4 &amp; " Corp","px_last",$B$1,"","per=m","days=all","fill=0","dts=h","QtTyp=P")</f>
        <v>0</v>
      </c>
      <c r="X5" s="5" cm="1">
        <f t="array" ref="X5:X129">_xll.BDH(X$4 &amp; " Corp","px_last",$B$1,"","per=m","days=all","fill=0","dts=h","QtTyp=P")</f>
        <v>0</v>
      </c>
      <c r="Y5" s="5" cm="1">
        <f t="array" ref="Y5:Y129">_xll.BDH(Y$4 &amp; " Corp","px_last",$B$1,"","per=m","days=all","fill=0","dts=h","QtTyp=P")</f>
        <v>0</v>
      </c>
      <c r="Z5" s="5" cm="1">
        <f t="array" ref="Z5:Z129">_xll.BDH(Z$4 &amp; " Corp","px_last",$B$1,"","per=m","days=all","fill=0","dts=h","QtTyp=P")</f>
        <v>0</v>
      </c>
      <c r="AA5" s="5" cm="1">
        <f t="array" ref="AA5:AA129">_xll.BDH(AA$4 &amp; " Corp","px_last",$B$1,"","per=m","days=all","fill=0","dts=h","QtTyp=P")</f>
        <v>0</v>
      </c>
      <c r="AB5" s="5" cm="1">
        <f t="array" ref="AB5:AB129">_xll.BDH(AB$4 &amp; " Corp","px_last",$B$1,"","per=m","days=all","fill=0","dts=h","QtTyp=P")</f>
        <v>0</v>
      </c>
      <c r="AC5" s="5" cm="1">
        <f t="array" ref="AC5:AC129">_xll.BDH(AC$4 &amp; " Corp","px_last",$B$1,"","per=m","days=all","fill=0","dts=h","QtTyp=P")</f>
        <v>0</v>
      </c>
      <c r="AD5" s="5" cm="1">
        <f t="array" ref="AD5:AD129">_xll.BDH(AD$4 &amp; " Corp","px_last",$B$1,"","per=m","days=all","fill=0","dts=h","QtTyp=P")</f>
        <v>2525.6198570000001</v>
      </c>
      <c r="AE5" s="5" cm="1">
        <f t="array" ref="AE5:AE129">_xll.BDH(AE$4 &amp; " Corp","px_last",$B$1,"","per=m","days=all","fill=0","dts=h","QtTyp=P")</f>
        <v>0</v>
      </c>
      <c r="AF5" s="5" cm="1">
        <f t="array" ref="AF5:AF129">_xll.BDH(AF$4 &amp; " Corp","px_last",$B$1,"","per=m","days=all","fill=0","dts=h","QtTyp=P")</f>
        <v>0</v>
      </c>
      <c r="AG5" s="5" cm="1">
        <f t="array" ref="AG5:AG129">_xll.BDH(AG$4 &amp; " Corp","px_last",$B$1,"","per=m","days=all","fill=0","dts=h","QtTyp=P")</f>
        <v>0</v>
      </c>
      <c r="AH5" s="5" cm="1">
        <f t="array" ref="AH5:AH129">_xll.BDH(AH$4 &amp; " Corp","px_last",$B$1,"","per=m","days=all","fill=0","dts=h","QtTyp=P")</f>
        <v>0</v>
      </c>
      <c r="AI5" s="5" cm="1">
        <f t="array" ref="AI5:AI129">_xll.BDH(AI$4 &amp; " Corp","px_last",$B$1,"","per=m","days=all","fill=0","dts=h","QtTyp=P")</f>
        <v>0</v>
      </c>
      <c r="AJ5" s="5" cm="1">
        <f t="array" ref="AJ5:AJ129">_xll.BDH(AJ$4 &amp; " Corp","px_last",$B$1,"","per=m","days=all","fill=0","dts=h","QtTyp=P")</f>
        <v>0</v>
      </c>
      <c r="AK5" s="5" cm="1">
        <f t="array" ref="AK5:AK129">_xll.BDH(AK$4 &amp; " Corp","px_last",$B$1,"","per=m","days=all","fill=0","dts=h","QtTyp=P")</f>
        <v>0</v>
      </c>
      <c r="AL5" s="5" cm="1">
        <f t="array" ref="AL5:AL129">_xll.BDH(AL$4 &amp; " Corp","px_last",$B$1,"","per=m","days=all","fill=0","dts=h","QtTyp=P")</f>
        <v>0</v>
      </c>
      <c r="AM5" s="5" cm="1">
        <f t="array" ref="AM5:AM129">_xll.BDH(AM$4 &amp; " Corp","px_last",$B$1,"","per=m","days=all","fill=0","dts=h","QtTyp=P")</f>
        <v>0</v>
      </c>
      <c r="AN5" s="5" cm="1">
        <f t="array" ref="AN5:AN129">_xll.BDH(AN$4 &amp; " Corp","px_last",$B$1,"","per=m","days=all","fill=0","dts=h","QtTyp=P")</f>
        <v>0</v>
      </c>
      <c r="AO5" s="5" cm="1">
        <f t="array" ref="AO5:AO129">_xll.BDH(AO$4 &amp; " Corp","px_last",$B$1,"","per=m","days=all","fill=0","dts=h","QtTyp=P")</f>
        <v>0</v>
      </c>
      <c r="AP5" s="5" cm="1">
        <f t="array" ref="AP5:AP129">_xll.BDH(AP$4 &amp; " Corp","px_last",$B$1,"","per=m","days=all","fill=0","dts=h","QtTyp=P")</f>
        <v>0</v>
      </c>
      <c r="AQ5" s="5" cm="1">
        <f t="array" ref="AQ5:AQ129">_xll.BDH(AQ$4 &amp; " Corp","px_last",$B$1,"","per=m","days=all","fill=0","dts=h","QtTyp=P")</f>
        <v>0</v>
      </c>
      <c r="AR5" s="5" cm="1">
        <f t="array" ref="AR5:AR129">_xll.BDH(AR$4 &amp; " Corp","px_last",$B$1,"","per=m","days=all","fill=0","dts=h","QtTyp=P")</f>
        <v>4847.1715279999999</v>
      </c>
      <c r="AS5" s="5" cm="1">
        <f t="array" ref="AS5:AS129">_xll.BDH(AS$4 &amp; " Corp","px_last",$B$1,"","per=m","days=all","fill=0","dts=h","QtTyp=P")</f>
        <v>0</v>
      </c>
      <c r="AT5" s="5" cm="1">
        <f t="array" ref="AT5:AT129">_xll.BDH(AT$4 &amp; " Corp","px_last",$B$1,"","per=m","days=all","fill=0","dts=h","QtTyp=P")</f>
        <v>0</v>
      </c>
      <c r="AU5" s="5" cm="1">
        <f t="array" ref="AU5:AU129">_xll.BDH(AU$4 &amp; " Corp","px_last",$B$1,"","per=m","days=all","fill=0","dts=h","QtTyp=P")</f>
        <v>0</v>
      </c>
      <c r="AV5" s="5" cm="1">
        <f t="array" ref="AV5:AV129">_xll.BDH(AV$4 &amp; " Corp","px_last",$B$1,"","per=m","days=all","fill=0","dts=h","QtTyp=P")</f>
        <v>0</v>
      </c>
      <c r="AW5" s="5" cm="1">
        <f t="array" ref="AW5:AW129">_xll.BDH(AW$4 &amp; " Corp","px_last",$B$1,"","per=m","days=all","fill=0","dts=h","QtTyp=P")</f>
        <v>0</v>
      </c>
      <c r="AX5" s="5" cm="1">
        <f t="array" ref="AX5:AX129">_xll.BDH(AX$4 &amp; " Corp","px_last",$B$1,"","per=m","days=all","fill=0","dts=h","QtTyp=P")</f>
        <v>0</v>
      </c>
      <c r="AY5" s="5" cm="1">
        <f t="array" ref="AY5:AY129">_xll.BDH(AY$4 &amp; " Corp","px_last",$B$1,"","per=m","days=all","fill=0","dts=h","QtTyp=P")</f>
        <v>0</v>
      </c>
      <c r="AZ5" s="5" cm="1">
        <f t="array" ref="AZ5:AZ129">_xll.BDH(AZ$4 &amp; " Corp","px_last",$B$1,"","per=m","days=all","fill=0","dts=h","QtTyp=P")</f>
        <v>0</v>
      </c>
    </row>
    <row r="6" spans="1:52" x14ac:dyDescent="0.25">
      <c r="A6" s="1"/>
      <c r="B6" s="2"/>
      <c r="C6" s="1">
        <v>42094</v>
      </c>
      <c r="D6" s="2">
        <v>0</v>
      </c>
      <c r="E6" s="2">
        <v>0</v>
      </c>
      <c r="F6" s="2">
        <v>0</v>
      </c>
      <c r="G6" s="2">
        <v>2502.853983</v>
      </c>
      <c r="H6" s="2">
        <v>0</v>
      </c>
      <c r="I6" s="2">
        <v>0</v>
      </c>
      <c r="J6" s="2">
        <v>2452.7113370000002</v>
      </c>
      <c r="K6" s="2">
        <v>0</v>
      </c>
      <c r="L6" s="2">
        <v>2507.6794030000001</v>
      </c>
      <c r="M6" s="2">
        <v>0</v>
      </c>
      <c r="N6" s="2">
        <v>0</v>
      </c>
      <c r="O6" s="2">
        <v>0</v>
      </c>
      <c r="P6" s="2">
        <v>0</v>
      </c>
      <c r="Q6" s="2">
        <v>2468.7502439999998</v>
      </c>
      <c r="R6" s="2">
        <v>0</v>
      </c>
      <c r="S6" s="2">
        <v>0</v>
      </c>
      <c r="T6" s="2">
        <v>0</v>
      </c>
      <c r="U6" s="2">
        <v>2437.789507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2493.4198609999999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4786.312414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</row>
    <row r="7" spans="1:52" x14ac:dyDescent="0.25">
      <c r="A7" s="1"/>
      <c r="B7" s="2"/>
      <c r="C7" s="1">
        <v>42124</v>
      </c>
      <c r="D7" s="2">
        <v>0</v>
      </c>
      <c r="E7" s="2">
        <v>0</v>
      </c>
      <c r="F7" s="2">
        <v>0</v>
      </c>
      <c r="G7" s="2">
        <v>2640.931564</v>
      </c>
      <c r="H7" s="2">
        <v>0</v>
      </c>
      <c r="I7" s="2">
        <v>0</v>
      </c>
      <c r="J7" s="2">
        <v>2591.837419</v>
      </c>
      <c r="K7" s="2">
        <v>0</v>
      </c>
      <c r="L7" s="2">
        <v>2633.2302140000002</v>
      </c>
      <c r="M7" s="2">
        <v>0</v>
      </c>
      <c r="N7" s="2">
        <v>0</v>
      </c>
      <c r="O7" s="2">
        <v>0</v>
      </c>
      <c r="P7" s="2">
        <v>0</v>
      </c>
      <c r="Q7" s="2">
        <v>2665.361989</v>
      </c>
      <c r="R7" s="2">
        <v>0</v>
      </c>
      <c r="S7" s="2">
        <v>0</v>
      </c>
      <c r="T7" s="2">
        <v>0</v>
      </c>
      <c r="U7" s="2">
        <v>2630.5617400000001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2635.5343280000002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5006.3020219999999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</row>
    <row r="8" spans="1:52" x14ac:dyDescent="0.25">
      <c r="A8" s="1"/>
      <c r="B8" s="2"/>
      <c r="C8" s="1">
        <v>42153</v>
      </c>
      <c r="D8" s="2">
        <v>0</v>
      </c>
      <c r="E8" s="2">
        <v>0</v>
      </c>
      <c r="F8" s="2">
        <v>0</v>
      </c>
      <c r="G8" s="2">
        <v>2647.1758810000001</v>
      </c>
      <c r="H8" s="2">
        <v>0</v>
      </c>
      <c r="I8" s="2">
        <v>0</v>
      </c>
      <c r="J8" s="2">
        <v>2719.862701</v>
      </c>
      <c r="K8" s="2">
        <v>0</v>
      </c>
      <c r="L8" s="2">
        <v>2474.076231</v>
      </c>
      <c r="M8" s="2">
        <v>0</v>
      </c>
      <c r="N8" s="2">
        <v>0</v>
      </c>
      <c r="O8" s="2">
        <v>0</v>
      </c>
      <c r="P8" s="2">
        <v>0</v>
      </c>
      <c r="Q8" s="2">
        <v>2668.5618039999999</v>
      </c>
      <c r="R8" s="2">
        <v>0</v>
      </c>
      <c r="S8" s="2">
        <v>0</v>
      </c>
      <c r="T8" s="2">
        <v>0</v>
      </c>
      <c r="U8" s="2">
        <v>2699.5264259999999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2667.206228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5167.9996529999999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</row>
    <row r="9" spans="1:52" x14ac:dyDescent="0.25">
      <c r="A9" s="1"/>
      <c r="B9" s="2"/>
      <c r="C9" s="1">
        <v>42185</v>
      </c>
      <c r="D9" s="2">
        <v>0</v>
      </c>
      <c r="E9" s="2">
        <v>0</v>
      </c>
      <c r="F9" s="2">
        <v>0</v>
      </c>
      <c r="G9" s="2">
        <v>2621.5089320000002</v>
      </c>
      <c r="H9" s="2">
        <v>0</v>
      </c>
      <c r="I9" s="2">
        <v>0</v>
      </c>
      <c r="J9" s="2">
        <v>2681.8877109999999</v>
      </c>
      <c r="K9" s="2">
        <v>0</v>
      </c>
      <c r="L9" s="2">
        <v>2671.2176100000001</v>
      </c>
      <c r="M9" s="2">
        <v>0</v>
      </c>
      <c r="N9" s="2">
        <v>0</v>
      </c>
      <c r="O9" s="2">
        <v>0</v>
      </c>
      <c r="P9" s="2">
        <v>0</v>
      </c>
      <c r="Q9" s="2">
        <v>2620.4900720000001</v>
      </c>
      <c r="R9" s="2">
        <v>0</v>
      </c>
      <c r="S9" s="2">
        <v>0</v>
      </c>
      <c r="T9" s="2">
        <v>0</v>
      </c>
      <c r="U9" s="2">
        <v>2672.5184530000001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2634.2859189999999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4891.9623730000003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</row>
    <row r="10" spans="1:52" x14ac:dyDescent="0.25">
      <c r="A10" s="1"/>
      <c r="B10" s="2"/>
      <c r="C10" s="1">
        <v>42216</v>
      </c>
      <c r="D10" s="2">
        <v>0</v>
      </c>
      <c r="E10" s="2">
        <v>0</v>
      </c>
      <c r="F10" s="2">
        <v>0</v>
      </c>
      <c r="G10" s="2">
        <v>2544.5330410000001</v>
      </c>
      <c r="H10" s="2">
        <v>0</v>
      </c>
      <c r="I10" s="2">
        <v>0</v>
      </c>
      <c r="J10" s="2">
        <v>2572.8945010000002</v>
      </c>
      <c r="K10" s="2">
        <v>0</v>
      </c>
      <c r="L10" s="2">
        <v>2612.1446420000002</v>
      </c>
      <c r="M10" s="2">
        <v>0</v>
      </c>
      <c r="N10" s="2">
        <v>0</v>
      </c>
      <c r="O10" s="2">
        <v>0</v>
      </c>
      <c r="P10" s="2">
        <v>0</v>
      </c>
      <c r="Q10" s="2">
        <v>2535.7229870000001</v>
      </c>
      <c r="R10" s="2">
        <v>0</v>
      </c>
      <c r="S10" s="2">
        <v>0</v>
      </c>
      <c r="T10" s="2">
        <v>0</v>
      </c>
      <c r="U10" s="2">
        <v>2595.6790299999998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2524.4941199999998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4885.3375720000004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</row>
    <row r="11" spans="1:52" x14ac:dyDescent="0.25">
      <c r="A11" s="1"/>
      <c r="B11" s="2"/>
      <c r="C11" s="1">
        <v>42247</v>
      </c>
      <c r="D11" s="2">
        <v>0</v>
      </c>
      <c r="E11" s="2">
        <v>0</v>
      </c>
      <c r="F11" s="2">
        <v>0</v>
      </c>
      <c r="G11" s="2">
        <v>2404.5772019999999</v>
      </c>
      <c r="H11" s="2">
        <v>0</v>
      </c>
      <c r="I11" s="2">
        <v>0</v>
      </c>
      <c r="J11" s="2">
        <v>2330.4614029999998</v>
      </c>
      <c r="K11" s="2">
        <v>0</v>
      </c>
      <c r="L11" s="2">
        <v>2413.2617439999999</v>
      </c>
      <c r="M11" s="2">
        <v>0</v>
      </c>
      <c r="N11" s="2">
        <v>0</v>
      </c>
      <c r="O11" s="2">
        <v>0</v>
      </c>
      <c r="P11" s="2">
        <v>0</v>
      </c>
      <c r="Q11" s="2">
        <v>2376.3396670000002</v>
      </c>
      <c r="R11" s="2">
        <v>0</v>
      </c>
      <c r="S11" s="2">
        <v>0</v>
      </c>
      <c r="T11" s="2">
        <v>0</v>
      </c>
      <c r="U11" s="2">
        <v>2363.0909660000002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2359.879649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4728.9496259999996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</row>
    <row r="12" spans="1:52" x14ac:dyDescent="0.25">
      <c r="A12" s="1"/>
      <c r="B12" s="2"/>
      <c r="C12" s="1">
        <v>42277</v>
      </c>
      <c r="D12" s="2">
        <v>0</v>
      </c>
      <c r="E12" s="2">
        <v>0</v>
      </c>
      <c r="F12" s="2">
        <v>0</v>
      </c>
      <c r="G12" s="2">
        <v>2374.2466749999999</v>
      </c>
      <c r="H12" s="2">
        <v>0</v>
      </c>
      <c r="I12" s="2">
        <v>0</v>
      </c>
      <c r="J12" s="2">
        <v>2255.9373009999999</v>
      </c>
      <c r="K12" s="2">
        <v>0</v>
      </c>
      <c r="L12" s="2">
        <v>2378.4288120000001</v>
      </c>
      <c r="M12" s="2">
        <v>0</v>
      </c>
      <c r="N12" s="2">
        <v>0</v>
      </c>
      <c r="O12" s="2">
        <v>0</v>
      </c>
      <c r="P12" s="2">
        <v>0</v>
      </c>
      <c r="Q12" s="2">
        <v>2325.394785</v>
      </c>
      <c r="R12" s="2">
        <v>0</v>
      </c>
      <c r="S12" s="2">
        <v>0</v>
      </c>
      <c r="T12" s="2">
        <v>0</v>
      </c>
      <c r="U12" s="2">
        <v>2310.1862799999999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2301.5331179999998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4608.9728510000004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</row>
    <row r="13" spans="1:52" x14ac:dyDescent="0.25">
      <c r="A13" s="1"/>
      <c r="B13" s="2"/>
      <c r="C13" s="1">
        <v>42307</v>
      </c>
      <c r="D13" s="2">
        <v>0</v>
      </c>
      <c r="E13" s="2">
        <v>0</v>
      </c>
      <c r="F13" s="2">
        <v>0</v>
      </c>
      <c r="G13" s="2">
        <v>2446.6755050000002</v>
      </c>
      <c r="H13" s="2">
        <v>0</v>
      </c>
      <c r="I13" s="2">
        <v>0</v>
      </c>
      <c r="J13" s="2">
        <v>2352.4638559999999</v>
      </c>
      <c r="K13" s="2">
        <v>0</v>
      </c>
      <c r="L13" s="2">
        <v>2459.1187070000001</v>
      </c>
      <c r="M13" s="2">
        <v>0</v>
      </c>
      <c r="N13" s="2">
        <v>0</v>
      </c>
      <c r="O13" s="2">
        <v>0</v>
      </c>
      <c r="P13" s="2">
        <v>0</v>
      </c>
      <c r="Q13" s="2">
        <v>2395.494443</v>
      </c>
      <c r="R13" s="2">
        <v>0</v>
      </c>
      <c r="S13" s="2">
        <v>0</v>
      </c>
      <c r="T13" s="2">
        <v>0</v>
      </c>
      <c r="U13" s="2">
        <v>2377.630279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2402.6498959999999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4938.7454189999999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</row>
    <row r="14" spans="1:52" x14ac:dyDescent="0.25">
      <c r="A14" s="1"/>
      <c r="B14" s="2"/>
      <c r="C14" s="1">
        <v>42338</v>
      </c>
      <c r="D14" s="2">
        <v>0</v>
      </c>
      <c r="E14" s="2">
        <v>0</v>
      </c>
      <c r="F14" s="2">
        <v>0</v>
      </c>
      <c r="G14" s="2">
        <v>2403.942599</v>
      </c>
      <c r="H14" s="2">
        <v>0</v>
      </c>
      <c r="I14" s="2">
        <v>0</v>
      </c>
      <c r="J14" s="2">
        <v>2396.3240289999999</v>
      </c>
      <c r="K14" s="2">
        <v>0</v>
      </c>
      <c r="L14" s="2">
        <v>2493.1448420000002</v>
      </c>
      <c r="M14" s="2">
        <v>0</v>
      </c>
      <c r="N14" s="2">
        <v>0</v>
      </c>
      <c r="O14" s="2">
        <v>0</v>
      </c>
      <c r="P14" s="2">
        <v>0</v>
      </c>
      <c r="Q14" s="2">
        <v>2356.3943880000002</v>
      </c>
      <c r="R14" s="2">
        <v>0</v>
      </c>
      <c r="S14" s="2">
        <v>0</v>
      </c>
      <c r="T14" s="2">
        <v>0</v>
      </c>
      <c r="U14" s="2">
        <v>2423.9440399999999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2368.2978899999998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5079.504594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</row>
    <row r="15" spans="1:52" x14ac:dyDescent="0.25">
      <c r="A15" s="1"/>
      <c r="B15" s="2"/>
      <c r="C15" s="1">
        <v>42369</v>
      </c>
      <c r="D15" s="2">
        <v>0</v>
      </c>
      <c r="E15" s="2">
        <v>0</v>
      </c>
      <c r="F15" s="2">
        <v>0</v>
      </c>
      <c r="G15" s="2">
        <v>2402.6214960000002</v>
      </c>
      <c r="H15" s="2">
        <v>0</v>
      </c>
      <c r="I15" s="2">
        <v>0</v>
      </c>
      <c r="J15" s="2">
        <v>2403.38841</v>
      </c>
      <c r="K15" s="2">
        <v>0</v>
      </c>
      <c r="L15" s="2">
        <v>2517.0652960000002</v>
      </c>
      <c r="M15" s="2">
        <v>0</v>
      </c>
      <c r="N15" s="2">
        <v>0</v>
      </c>
      <c r="O15" s="2">
        <v>0</v>
      </c>
      <c r="P15" s="2">
        <v>0</v>
      </c>
      <c r="Q15" s="2">
        <v>2336.1304799999998</v>
      </c>
      <c r="R15" s="2">
        <v>0</v>
      </c>
      <c r="S15" s="2">
        <v>0</v>
      </c>
      <c r="T15" s="2">
        <v>0</v>
      </c>
      <c r="U15" s="2">
        <v>2436.652478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2348.0985860000001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5049.6260380000003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</row>
    <row r="16" spans="1:52" x14ac:dyDescent="0.25">
      <c r="A16" s="1"/>
      <c r="B16" s="2"/>
      <c r="C16" s="1">
        <v>42398</v>
      </c>
      <c r="D16" s="2">
        <v>0</v>
      </c>
      <c r="E16" s="2">
        <v>0</v>
      </c>
      <c r="F16" s="2">
        <v>708.18429100000003</v>
      </c>
      <c r="G16" s="2">
        <v>2441.216461</v>
      </c>
      <c r="H16" s="2">
        <v>0</v>
      </c>
      <c r="I16" s="2">
        <v>0</v>
      </c>
      <c r="J16" s="2">
        <v>2415.130134</v>
      </c>
      <c r="K16" s="2">
        <v>0</v>
      </c>
      <c r="L16" s="2">
        <v>2576.1479570000001</v>
      </c>
      <c r="M16" s="2">
        <v>0</v>
      </c>
      <c r="N16" s="2">
        <v>2599.476122</v>
      </c>
      <c r="O16" s="2">
        <v>0</v>
      </c>
      <c r="P16" s="2">
        <v>0</v>
      </c>
      <c r="Q16" s="2">
        <v>2386.3332489999998</v>
      </c>
      <c r="R16" s="2">
        <v>0</v>
      </c>
      <c r="S16" s="2">
        <v>0</v>
      </c>
      <c r="T16" s="2">
        <v>0</v>
      </c>
      <c r="U16" s="2">
        <v>2451.9914910000002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2364.9119949999999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4743.282005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</row>
    <row r="17" spans="1:52" x14ac:dyDescent="0.25">
      <c r="A17" s="1"/>
      <c r="B17" s="2"/>
      <c r="C17" s="1">
        <v>42429</v>
      </c>
      <c r="D17" s="2">
        <v>0</v>
      </c>
      <c r="E17" s="2">
        <v>0</v>
      </c>
      <c r="F17" s="2">
        <v>722.12804100000005</v>
      </c>
      <c r="G17" s="2">
        <v>2510.6705919999999</v>
      </c>
      <c r="H17" s="2">
        <v>0</v>
      </c>
      <c r="I17" s="2">
        <v>0</v>
      </c>
      <c r="J17" s="2">
        <v>2378.5989100000002</v>
      </c>
      <c r="K17" s="2">
        <v>0</v>
      </c>
      <c r="L17" s="2">
        <v>2559.6344979999999</v>
      </c>
      <c r="M17" s="2">
        <v>0</v>
      </c>
      <c r="N17" s="2">
        <v>2647.8550719999998</v>
      </c>
      <c r="O17" s="2">
        <v>0</v>
      </c>
      <c r="P17" s="2">
        <v>0</v>
      </c>
      <c r="Q17" s="2">
        <v>2432.7294350000002</v>
      </c>
      <c r="R17" s="2">
        <v>0</v>
      </c>
      <c r="S17" s="2">
        <v>0</v>
      </c>
      <c r="T17" s="2">
        <v>0</v>
      </c>
      <c r="U17" s="2">
        <v>2440.6861399999998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2414.3970039999999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4892.650885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</row>
    <row r="18" spans="1:52" x14ac:dyDescent="0.25">
      <c r="A18" s="1"/>
      <c r="B18" s="2"/>
      <c r="C18" s="1">
        <v>42460</v>
      </c>
      <c r="D18" s="2">
        <v>0</v>
      </c>
      <c r="E18" s="2">
        <v>0</v>
      </c>
      <c r="F18" s="2">
        <v>826.77069100000006</v>
      </c>
      <c r="G18" s="2">
        <v>2795.4587820000002</v>
      </c>
      <c r="H18" s="2">
        <v>0</v>
      </c>
      <c r="I18" s="2">
        <v>0</v>
      </c>
      <c r="J18" s="2">
        <v>2701.8531910000002</v>
      </c>
      <c r="K18" s="2">
        <v>0</v>
      </c>
      <c r="L18" s="2">
        <v>2780.518141</v>
      </c>
      <c r="M18" s="2">
        <v>0</v>
      </c>
      <c r="N18" s="2">
        <v>2775.775443</v>
      </c>
      <c r="O18" s="2">
        <v>0</v>
      </c>
      <c r="P18" s="2">
        <v>0</v>
      </c>
      <c r="Q18" s="2">
        <v>2745.3725789999999</v>
      </c>
      <c r="R18" s="2">
        <v>0</v>
      </c>
      <c r="S18" s="2">
        <v>0</v>
      </c>
      <c r="T18" s="2">
        <v>0</v>
      </c>
      <c r="U18" s="2">
        <v>2744.8652480000001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2751.4035589999999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5489.8510299999998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</row>
    <row r="19" spans="1:52" x14ac:dyDescent="0.25">
      <c r="A19" s="1"/>
      <c r="B19" s="2"/>
      <c r="C19" s="1">
        <v>42489</v>
      </c>
      <c r="D19" s="2">
        <v>0</v>
      </c>
      <c r="E19" s="2">
        <v>0</v>
      </c>
      <c r="F19" s="2">
        <v>895.89871300000004</v>
      </c>
      <c r="G19" s="2">
        <v>2922.2084960000002</v>
      </c>
      <c r="H19" s="2">
        <v>0</v>
      </c>
      <c r="I19" s="2">
        <v>0</v>
      </c>
      <c r="J19" s="2">
        <v>2885.805699</v>
      </c>
      <c r="K19" s="2">
        <v>0</v>
      </c>
      <c r="L19" s="2">
        <v>2883.5607690000002</v>
      </c>
      <c r="M19" s="2">
        <v>0</v>
      </c>
      <c r="N19" s="2">
        <v>2882.844912</v>
      </c>
      <c r="O19" s="2">
        <v>0</v>
      </c>
      <c r="P19" s="2">
        <v>0</v>
      </c>
      <c r="Q19" s="2">
        <v>2905.173945</v>
      </c>
      <c r="R19" s="2">
        <v>0</v>
      </c>
      <c r="S19" s="2">
        <v>0</v>
      </c>
      <c r="T19" s="2">
        <v>0</v>
      </c>
      <c r="U19" s="2">
        <v>2895.398193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2929.5617860000002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5532.3437299999996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</row>
    <row r="20" spans="1:52" x14ac:dyDescent="0.25">
      <c r="A20" s="1"/>
      <c r="B20" s="2"/>
      <c r="C20" s="1">
        <v>42521</v>
      </c>
      <c r="D20" s="2">
        <v>0</v>
      </c>
      <c r="E20" s="2">
        <v>0</v>
      </c>
      <c r="F20" s="2">
        <v>878.92749900000001</v>
      </c>
      <c r="G20" s="2">
        <v>2825.286623</v>
      </c>
      <c r="H20" s="2">
        <v>0</v>
      </c>
      <c r="I20" s="2">
        <v>0</v>
      </c>
      <c r="J20" s="2">
        <v>2829.2267409999999</v>
      </c>
      <c r="K20" s="2">
        <v>0</v>
      </c>
      <c r="L20" s="2">
        <v>2891.4811800000002</v>
      </c>
      <c r="M20" s="2">
        <v>0</v>
      </c>
      <c r="N20" s="2">
        <v>2898.1845720000001</v>
      </c>
      <c r="O20" s="2">
        <v>0</v>
      </c>
      <c r="P20" s="2">
        <v>0</v>
      </c>
      <c r="Q20" s="2">
        <v>2779.2253179999998</v>
      </c>
      <c r="R20" s="2">
        <v>0</v>
      </c>
      <c r="S20" s="2">
        <v>0</v>
      </c>
      <c r="T20" s="2">
        <v>0</v>
      </c>
      <c r="U20" s="2">
        <v>2870.531637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2786.1681170000002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5593.1565199999995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</row>
    <row r="21" spans="1:52" x14ac:dyDescent="0.25">
      <c r="A21" s="1"/>
      <c r="B21" s="2"/>
      <c r="C21" s="1">
        <v>42551</v>
      </c>
      <c r="D21" s="2">
        <v>0</v>
      </c>
      <c r="E21" s="2">
        <v>0</v>
      </c>
      <c r="F21" s="2">
        <v>886.15885600000001</v>
      </c>
      <c r="G21" s="2">
        <v>2906.173859</v>
      </c>
      <c r="H21" s="2">
        <v>0</v>
      </c>
      <c r="I21" s="2">
        <v>0</v>
      </c>
      <c r="J21" s="2">
        <v>2949.7708189999998</v>
      </c>
      <c r="K21" s="2">
        <v>0</v>
      </c>
      <c r="L21" s="2">
        <v>2968.1095679999999</v>
      </c>
      <c r="M21" s="2">
        <v>0</v>
      </c>
      <c r="N21" s="2">
        <v>2925.5947719999999</v>
      </c>
      <c r="O21" s="2">
        <v>0</v>
      </c>
      <c r="P21" s="2">
        <v>0</v>
      </c>
      <c r="Q21" s="2">
        <v>2878.3567539999999</v>
      </c>
      <c r="R21" s="2">
        <v>0</v>
      </c>
      <c r="S21" s="2">
        <v>0</v>
      </c>
      <c r="T21" s="2">
        <v>0</v>
      </c>
      <c r="U21" s="2">
        <v>2949.588041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2914.8021520000002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</row>
    <row r="22" spans="1:52" x14ac:dyDescent="0.25">
      <c r="A22" s="1"/>
      <c r="B22" s="2"/>
      <c r="C22" s="1">
        <v>42580</v>
      </c>
      <c r="D22" s="2">
        <v>0</v>
      </c>
      <c r="E22" s="2">
        <v>0</v>
      </c>
      <c r="F22" s="2">
        <v>907.25582799999995</v>
      </c>
      <c r="G22" s="2">
        <v>2988.7003829999999</v>
      </c>
      <c r="H22" s="2">
        <v>0</v>
      </c>
      <c r="I22" s="2">
        <v>0</v>
      </c>
      <c r="J22" s="2">
        <v>3079.2532940000001</v>
      </c>
      <c r="K22" s="2">
        <v>0</v>
      </c>
      <c r="L22" s="2">
        <v>3041.6185329999998</v>
      </c>
      <c r="M22" s="2">
        <v>0</v>
      </c>
      <c r="N22" s="2">
        <v>2994.5976500000002</v>
      </c>
      <c r="O22" s="2">
        <v>0</v>
      </c>
      <c r="P22" s="2">
        <v>0</v>
      </c>
      <c r="Q22" s="2">
        <v>3003.3547290000001</v>
      </c>
      <c r="R22" s="2">
        <v>0</v>
      </c>
      <c r="S22" s="2">
        <v>0</v>
      </c>
      <c r="T22" s="2">
        <v>0</v>
      </c>
      <c r="U22" s="2">
        <v>3069.3389889999999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3044.3705909999999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5680.0835120000002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</row>
    <row r="23" spans="1:52" x14ac:dyDescent="0.25">
      <c r="A23" s="1"/>
      <c r="B23" s="2"/>
      <c r="C23" s="1">
        <v>42613</v>
      </c>
      <c r="D23" s="2">
        <v>0</v>
      </c>
      <c r="E23" s="2">
        <v>0</v>
      </c>
      <c r="F23" s="2">
        <v>903.30324399999995</v>
      </c>
      <c r="G23" s="2">
        <v>3029.4542970000002</v>
      </c>
      <c r="H23" s="2">
        <v>0</v>
      </c>
      <c r="I23" s="2">
        <v>0</v>
      </c>
      <c r="J23" s="2">
        <v>2998.4854439999999</v>
      </c>
      <c r="K23" s="2">
        <v>0</v>
      </c>
      <c r="L23" s="2">
        <v>3002.6200899999999</v>
      </c>
      <c r="M23" s="2">
        <v>0</v>
      </c>
      <c r="N23" s="2">
        <v>2951.9940969999998</v>
      </c>
      <c r="O23" s="2">
        <v>0</v>
      </c>
      <c r="P23" s="2">
        <v>0</v>
      </c>
      <c r="Q23" s="2">
        <v>3023.0678499999999</v>
      </c>
      <c r="R23" s="2">
        <v>0</v>
      </c>
      <c r="S23" s="2">
        <v>0</v>
      </c>
      <c r="T23" s="2">
        <v>0</v>
      </c>
      <c r="U23" s="2">
        <v>3014.4881650000002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3047.7176049999998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5700.9997329999997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</row>
    <row r="24" spans="1:52" x14ac:dyDescent="0.25">
      <c r="A24" s="1"/>
      <c r="B24" s="2"/>
      <c r="C24" s="1">
        <v>42643</v>
      </c>
      <c r="D24" s="2">
        <v>0</v>
      </c>
      <c r="E24" s="2">
        <v>0</v>
      </c>
      <c r="F24" s="2">
        <v>936.978835</v>
      </c>
      <c r="G24" s="2">
        <v>3079.4200879999999</v>
      </c>
      <c r="H24" s="2">
        <v>0</v>
      </c>
      <c r="I24" s="2">
        <v>0</v>
      </c>
      <c r="J24" s="2">
        <v>3075.6166629999998</v>
      </c>
      <c r="K24" s="2">
        <v>0</v>
      </c>
      <c r="L24" s="2">
        <v>3026.339551</v>
      </c>
      <c r="M24" s="2">
        <v>0</v>
      </c>
      <c r="N24" s="2">
        <v>2990.1350590000002</v>
      </c>
      <c r="O24" s="2">
        <v>0</v>
      </c>
      <c r="P24" s="2">
        <v>0</v>
      </c>
      <c r="Q24" s="2">
        <v>3087.311827</v>
      </c>
      <c r="R24" s="2">
        <v>0</v>
      </c>
      <c r="S24" s="2">
        <v>0</v>
      </c>
      <c r="T24" s="2">
        <v>0</v>
      </c>
      <c r="U24" s="2">
        <v>3047.7385869999998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3127.3344280000001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</row>
    <row r="25" spans="1:52" x14ac:dyDescent="0.25">
      <c r="A25" s="1"/>
      <c r="B25" s="2"/>
      <c r="C25" s="1">
        <v>42674</v>
      </c>
      <c r="D25" s="2">
        <v>0</v>
      </c>
      <c r="E25" s="2">
        <v>0</v>
      </c>
      <c r="F25" s="2">
        <v>955.35242700000003</v>
      </c>
      <c r="G25" s="2">
        <v>3093.1607650000001</v>
      </c>
      <c r="H25" s="2">
        <v>0</v>
      </c>
      <c r="I25" s="2">
        <v>0</v>
      </c>
      <c r="J25" s="2">
        <v>3108.872836</v>
      </c>
      <c r="K25" s="2">
        <v>0</v>
      </c>
      <c r="L25" s="2">
        <v>3045.492287</v>
      </c>
      <c r="M25" s="2">
        <v>0</v>
      </c>
      <c r="N25" s="2">
        <v>3003.1346840000001</v>
      </c>
      <c r="O25" s="2">
        <v>0</v>
      </c>
      <c r="P25" s="2">
        <v>0</v>
      </c>
      <c r="Q25" s="2">
        <v>3121.876538</v>
      </c>
      <c r="R25" s="2">
        <v>0</v>
      </c>
      <c r="S25" s="2">
        <v>0</v>
      </c>
      <c r="T25" s="2">
        <v>0</v>
      </c>
      <c r="U25" s="2">
        <v>3072.5406929999999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3156.5413140000001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5671.4950609999996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</row>
    <row r="26" spans="1:52" x14ac:dyDescent="0.25">
      <c r="A26" s="1"/>
      <c r="B26" s="2"/>
      <c r="C26" s="1">
        <v>42704</v>
      </c>
      <c r="D26" s="2">
        <v>0</v>
      </c>
      <c r="E26" s="2">
        <v>0</v>
      </c>
      <c r="F26" s="2">
        <v>941.25538400000005</v>
      </c>
      <c r="G26" s="2">
        <v>2936.6639879999998</v>
      </c>
      <c r="H26" s="2">
        <v>0</v>
      </c>
      <c r="I26" s="2">
        <v>0</v>
      </c>
      <c r="J26" s="2">
        <v>2990.0804469999998</v>
      </c>
      <c r="K26" s="2">
        <v>0</v>
      </c>
      <c r="L26" s="2">
        <v>3001.0456079999999</v>
      </c>
      <c r="M26" s="2">
        <v>0</v>
      </c>
      <c r="N26" s="2">
        <v>2985.501557</v>
      </c>
      <c r="O26" s="2">
        <v>0</v>
      </c>
      <c r="P26" s="2">
        <v>0</v>
      </c>
      <c r="Q26" s="2">
        <v>2929.6703440000001</v>
      </c>
      <c r="R26" s="2">
        <v>0</v>
      </c>
      <c r="S26" s="2">
        <v>0</v>
      </c>
      <c r="T26" s="2">
        <v>0</v>
      </c>
      <c r="U26" s="2">
        <v>3003.4810000000002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2953.903378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5574.3018780000002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</row>
    <row r="27" spans="1:52" x14ac:dyDescent="0.25">
      <c r="A27" s="1"/>
      <c r="B27" s="2"/>
      <c r="C27" s="1">
        <v>42734</v>
      </c>
      <c r="D27" s="2">
        <v>0</v>
      </c>
      <c r="E27" s="2">
        <v>0</v>
      </c>
      <c r="F27" s="2">
        <v>971.29090399999995</v>
      </c>
      <c r="G27" s="2">
        <v>3054.2914510000001</v>
      </c>
      <c r="H27" s="2">
        <v>0</v>
      </c>
      <c r="I27" s="2">
        <v>0</v>
      </c>
      <c r="J27" s="2">
        <v>3140.911959</v>
      </c>
      <c r="K27" s="2">
        <v>0</v>
      </c>
      <c r="L27" s="2">
        <v>3095.4485970000001</v>
      </c>
      <c r="M27" s="2">
        <v>0</v>
      </c>
      <c r="N27" s="2">
        <v>3039.907862</v>
      </c>
      <c r="O27" s="2">
        <v>0</v>
      </c>
      <c r="P27" s="2">
        <v>0</v>
      </c>
      <c r="Q27" s="2">
        <v>3067.5881479999998</v>
      </c>
      <c r="R27" s="2">
        <v>0</v>
      </c>
      <c r="S27" s="2">
        <v>0</v>
      </c>
      <c r="T27" s="2">
        <v>0</v>
      </c>
      <c r="U27" s="2">
        <v>3142.775623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3121.7289190000001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5527.0780100000002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</row>
    <row r="28" spans="1:52" x14ac:dyDescent="0.25">
      <c r="A28" s="1"/>
      <c r="B28" s="2"/>
      <c r="C28" s="1">
        <v>42766</v>
      </c>
      <c r="D28" s="2">
        <v>0</v>
      </c>
      <c r="E28" s="2">
        <v>0</v>
      </c>
      <c r="F28" s="2">
        <v>959.13014599999997</v>
      </c>
      <c r="G28" s="2">
        <v>3133.4598470000001</v>
      </c>
      <c r="H28" s="2">
        <v>0</v>
      </c>
      <c r="I28" s="2">
        <v>0</v>
      </c>
      <c r="J28" s="2">
        <v>3237.2765220000001</v>
      </c>
      <c r="K28" s="2">
        <v>0</v>
      </c>
      <c r="L28" s="2">
        <v>3156.959914</v>
      </c>
      <c r="M28" s="2">
        <v>0</v>
      </c>
      <c r="N28" s="2">
        <v>3104.5889299999999</v>
      </c>
      <c r="O28" s="2">
        <v>0</v>
      </c>
      <c r="P28" s="2">
        <v>0</v>
      </c>
      <c r="Q28" s="2">
        <v>3157.6538839999998</v>
      </c>
      <c r="R28" s="2">
        <v>0</v>
      </c>
      <c r="S28" s="2">
        <v>0</v>
      </c>
      <c r="T28" s="2">
        <v>0</v>
      </c>
      <c r="U28" s="2">
        <v>3213.5985150000001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3220.25054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5499.0477920000003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</row>
    <row r="29" spans="1:52" x14ac:dyDescent="0.25">
      <c r="A29" s="1"/>
      <c r="B29" s="2"/>
      <c r="C29" s="1">
        <v>42794</v>
      </c>
      <c r="D29" s="2">
        <v>0</v>
      </c>
      <c r="E29" s="2">
        <v>0</v>
      </c>
      <c r="F29" s="2">
        <v>1002.853819</v>
      </c>
      <c r="G29" s="2">
        <v>3308.8600449999999</v>
      </c>
      <c r="H29" s="2">
        <v>0</v>
      </c>
      <c r="I29" s="2">
        <v>0</v>
      </c>
      <c r="J29" s="2">
        <v>3375.0142209999999</v>
      </c>
      <c r="K29" s="2">
        <v>0</v>
      </c>
      <c r="L29" s="2">
        <v>3225.454855</v>
      </c>
      <c r="M29" s="2">
        <v>0</v>
      </c>
      <c r="N29" s="2">
        <v>3131.4384610000002</v>
      </c>
      <c r="O29" s="2">
        <v>0</v>
      </c>
      <c r="P29" s="2">
        <v>0</v>
      </c>
      <c r="Q29" s="2">
        <v>3362.2611430000002</v>
      </c>
      <c r="R29" s="2">
        <v>0</v>
      </c>
      <c r="S29" s="2">
        <v>0</v>
      </c>
      <c r="T29" s="2">
        <v>0</v>
      </c>
      <c r="U29" s="2">
        <v>3316.7344090000001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3455.6349749999999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5640.0862219999999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</row>
    <row r="30" spans="1:52" x14ac:dyDescent="0.25">
      <c r="A30" s="1"/>
      <c r="B30" s="2"/>
      <c r="C30" s="1">
        <v>42825</v>
      </c>
      <c r="D30" s="2">
        <v>0</v>
      </c>
      <c r="E30" s="2">
        <v>0</v>
      </c>
      <c r="F30" s="2">
        <v>1024.2477730000001</v>
      </c>
      <c r="G30" s="2">
        <v>3325.0028280000001</v>
      </c>
      <c r="H30" s="2">
        <v>0</v>
      </c>
      <c r="I30" s="2">
        <v>0</v>
      </c>
      <c r="J30" s="2">
        <v>3374.3812079999998</v>
      </c>
      <c r="K30" s="2">
        <v>0</v>
      </c>
      <c r="L30" s="2">
        <v>3245.5970950000001</v>
      </c>
      <c r="M30" s="2">
        <v>0</v>
      </c>
      <c r="N30" s="2">
        <v>3164.5208560000001</v>
      </c>
      <c r="O30" s="2">
        <v>0</v>
      </c>
      <c r="P30" s="2">
        <v>0</v>
      </c>
      <c r="Q30" s="2">
        <v>3377.6744920000001</v>
      </c>
      <c r="R30" s="2">
        <v>0</v>
      </c>
      <c r="S30" s="2">
        <v>0</v>
      </c>
      <c r="T30" s="2">
        <v>0</v>
      </c>
      <c r="U30" s="2">
        <v>3343.381382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3466.9928909999999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5734.0147729999999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</row>
    <row r="31" spans="1:52" x14ac:dyDescent="0.25">
      <c r="A31" s="1"/>
      <c r="B31" s="2"/>
      <c r="C31" s="1">
        <v>42853</v>
      </c>
      <c r="D31" s="2">
        <v>0</v>
      </c>
      <c r="E31" s="2">
        <v>0</v>
      </c>
      <c r="F31" s="2">
        <v>1017.6684310000001</v>
      </c>
      <c r="G31" s="2">
        <v>3278.6795649999999</v>
      </c>
      <c r="H31" s="2">
        <v>0</v>
      </c>
      <c r="I31" s="2">
        <v>0</v>
      </c>
      <c r="J31" s="2">
        <v>3337.1317239999998</v>
      </c>
      <c r="K31" s="2">
        <v>0</v>
      </c>
      <c r="L31" s="2">
        <v>3205.2183690000002</v>
      </c>
      <c r="M31" s="2">
        <v>0</v>
      </c>
      <c r="N31" s="2">
        <v>3158.2217340000002</v>
      </c>
      <c r="O31" s="2">
        <v>0</v>
      </c>
      <c r="P31" s="2">
        <v>0</v>
      </c>
      <c r="Q31" s="2">
        <v>3323.6588569999999</v>
      </c>
      <c r="R31" s="2">
        <v>0</v>
      </c>
      <c r="S31" s="2">
        <v>0</v>
      </c>
      <c r="T31" s="2">
        <v>0</v>
      </c>
      <c r="U31" s="2">
        <v>3300.5206720000001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3414.2241389999999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</row>
    <row r="32" spans="1:52" x14ac:dyDescent="0.25">
      <c r="A32" s="1"/>
      <c r="B32" s="2"/>
      <c r="C32" s="1">
        <v>42886</v>
      </c>
      <c r="D32" s="2">
        <v>0</v>
      </c>
      <c r="E32" s="2">
        <v>0</v>
      </c>
      <c r="F32" s="2">
        <v>1002.549671</v>
      </c>
      <c r="G32" s="2">
        <v>3150.3263750000001</v>
      </c>
      <c r="H32" s="2">
        <v>0</v>
      </c>
      <c r="I32" s="2">
        <v>0</v>
      </c>
      <c r="J32" s="2">
        <v>3238.9366610000002</v>
      </c>
      <c r="K32" s="2">
        <v>0</v>
      </c>
      <c r="L32" s="2">
        <v>3169.517124</v>
      </c>
      <c r="M32" s="2">
        <v>0</v>
      </c>
      <c r="N32" s="2">
        <v>3131.6063989999998</v>
      </c>
      <c r="O32" s="2">
        <v>0</v>
      </c>
      <c r="P32" s="2">
        <v>0</v>
      </c>
      <c r="Q32" s="2">
        <v>3167.580058</v>
      </c>
      <c r="R32" s="2">
        <v>0</v>
      </c>
      <c r="S32" s="2">
        <v>0</v>
      </c>
      <c r="T32" s="2">
        <v>0</v>
      </c>
      <c r="U32" s="2">
        <v>3222.5525590000002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3218.6724290000002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5138.3569749999997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</row>
    <row r="33" spans="1:52" x14ac:dyDescent="0.25">
      <c r="A33" s="1"/>
      <c r="B33" s="2"/>
      <c r="C33" s="1">
        <v>42916</v>
      </c>
      <c r="D33" s="2">
        <v>0</v>
      </c>
      <c r="E33" s="2">
        <v>0</v>
      </c>
      <c r="F33" s="2">
        <v>972.05696999999998</v>
      </c>
      <c r="G33" s="2">
        <v>3151.3251289999998</v>
      </c>
      <c r="H33" s="2">
        <v>0</v>
      </c>
      <c r="I33" s="2">
        <v>0</v>
      </c>
      <c r="J33" s="2">
        <v>3229.0146340000001</v>
      </c>
      <c r="K33" s="2">
        <v>0</v>
      </c>
      <c r="L33" s="2">
        <v>3177.8340269999999</v>
      </c>
      <c r="M33" s="2">
        <v>0</v>
      </c>
      <c r="N33" s="2">
        <v>3141.4528489999998</v>
      </c>
      <c r="O33" s="2">
        <v>0</v>
      </c>
      <c r="P33" s="2">
        <v>0</v>
      </c>
      <c r="Q33" s="2">
        <v>3153.3691159999998</v>
      </c>
      <c r="R33" s="2">
        <v>0</v>
      </c>
      <c r="S33" s="2">
        <v>0</v>
      </c>
      <c r="T33" s="2">
        <v>0</v>
      </c>
      <c r="U33" s="2">
        <v>3227.4411829999999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3209.4049420000001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5109.9394469999997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</row>
    <row r="34" spans="1:52" x14ac:dyDescent="0.25">
      <c r="A34" s="1"/>
      <c r="B34" s="2"/>
      <c r="C34" s="1">
        <v>42947</v>
      </c>
      <c r="D34" s="2">
        <v>0</v>
      </c>
      <c r="E34" s="2">
        <v>0</v>
      </c>
      <c r="F34" s="2">
        <v>1011.7989</v>
      </c>
      <c r="G34" s="2">
        <v>3295.4839449999999</v>
      </c>
      <c r="H34" s="2">
        <v>0</v>
      </c>
      <c r="I34" s="2">
        <v>0</v>
      </c>
      <c r="J34" s="2">
        <v>3392.9782610000002</v>
      </c>
      <c r="K34" s="2">
        <v>0</v>
      </c>
      <c r="L34" s="2">
        <v>3302.8920640000001</v>
      </c>
      <c r="M34" s="2">
        <v>0</v>
      </c>
      <c r="N34" s="2">
        <v>3271.891153</v>
      </c>
      <c r="O34" s="2">
        <v>0</v>
      </c>
      <c r="P34" s="2">
        <v>0</v>
      </c>
      <c r="Q34" s="2">
        <v>3319.3731819999998</v>
      </c>
      <c r="R34" s="2">
        <v>0</v>
      </c>
      <c r="S34" s="2">
        <v>0</v>
      </c>
      <c r="T34" s="2">
        <v>0</v>
      </c>
      <c r="U34" s="2">
        <v>3379.7909709999999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3388.8669650000002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</row>
    <row r="35" spans="1:52" x14ac:dyDescent="0.25">
      <c r="A35" s="1"/>
      <c r="B35" s="2"/>
      <c r="C35" s="1">
        <v>42978</v>
      </c>
      <c r="D35" s="2">
        <v>0</v>
      </c>
      <c r="E35" s="2">
        <v>0</v>
      </c>
      <c r="F35" s="2">
        <v>1020.594688</v>
      </c>
      <c r="G35" s="2">
        <v>3352.8417909999998</v>
      </c>
      <c r="H35" s="2">
        <v>0</v>
      </c>
      <c r="I35" s="2">
        <v>0</v>
      </c>
      <c r="J35" s="2">
        <v>3352.222366</v>
      </c>
      <c r="K35" s="2">
        <v>0</v>
      </c>
      <c r="L35" s="2">
        <v>3267.6619209999999</v>
      </c>
      <c r="M35" s="2">
        <v>0</v>
      </c>
      <c r="N35" s="2">
        <v>3242.1723080000002</v>
      </c>
      <c r="O35" s="2">
        <v>0</v>
      </c>
      <c r="P35" s="2">
        <v>0</v>
      </c>
      <c r="Q35" s="2">
        <v>3355.7675180000001</v>
      </c>
      <c r="R35" s="2">
        <v>0</v>
      </c>
      <c r="S35" s="2">
        <v>0</v>
      </c>
      <c r="T35" s="2">
        <v>0</v>
      </c>
      <c r="U35" s="2">
        <v>3336.2135539999999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3426.8209040000002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5305.5602419999996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</row>
    <row r="36" spans="1:52" x14ac:dyDescent="0.25">
      <c r="A36" s="1"/>
      <c r="B36" s="2"/>
      <c r="C36" s="1">
        <v>43007</v>
      </c>
      <c r="D36" s="2">
        <v>0</v>
      </c>
      <c r="E36" s="2">
        <v>0</v>
      </c>
      <c r="F36" s="2">
        <v>1044.9396859999999</v>
      </c>
      <c r="G36" s="2">
        <v>3423.606499</v>
      </c>
      <c r="H36" s="2">
        <v>0</v>
      </c>
      <c r="I36" s="2">
        <v>0</v>
      </c>
      <c r="J36" s="2">
        <v>3452.640934</v>
      </c>
      <c r="K36" s="2">
        <v>0</v>
      </c>
      <c r="L36" s="2">
        <v>3329.926465</v>
      </c>
      <c r="M36" s="2">
        <v>0</v>
      </c>
      <c r="N36" s="2">
        <v>3289.049708</v>
      </c>
      <c r="O36" s="2">
        <v>0</v>
      </c>
      <c r="P36" s="2">
        <v>0</v>
      </c>
      <c r="Q36" s="2">
        <v>3460.6701360000002</v>
      </c>
      <c r="R36" s="2">
        <v>0</v>
      </c>
      <c r="S36" s="2">
        <v>0</v>
      </c>
      <c r="T36" s="2">
        <v>0</v>
      </c>
      <c r="U36" s="2">
        <v>3422.9569449999999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3538.2797380000002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</row>
    <row r="37" spans="1:52" x14ac:dyDescent="0.25">
      <c r="A37" s="1"/>
      <c r="B37" s="2"/>
      <c r="C37" s="1">
        <v>43039</v>
      </c>
      <c r="D37" s="2">
        <v>0</v>
      </c>
      <c r="E37" s="2">
        <v>0</v>
      </c>
      <c r="F37" s="2">
        <v>1042.2771009999999</v>
      </c>
      <c r="G37" s="2">
        <v>3391.174395</v>
      </c>
      <c r="H37" s="2">
        <v>0</v>
      </c>
      <c r="I37" s="2">
        <v>0</v>
      </c>
      <c r="J37" s="2">
        <v>3395.9953529999998</v>
      </c>
      <c r="K37" s="2">
        <v>0</v>
      </c>
      <c r="L37" s="2">
        <v>3308.6898200000001</v>
      </c>
      <c r="M37" s="2">
        <v>0</v>
      </c>
      <c r="N37" s="2">
        <v>3275.4895069999998</v>
      </c>
      <c r="O37" s="2">
        <v>0</v>
      </c>
      <c r="P37" s="2">
        <v>0</v>
      </c>
      <c r="Q37" s="2">
        <v>3412.094396</v>
      </c>
      <c r="R37" s="2">
        <v>0</v>
      </c>
      <c r="S37" s="2">
        <v>0</v>
      </c>
      <c r="T37" s="2">
        <v>0</v>
      </c>
      <c r="U37" s="2">
        <v>3379.5491539999998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3481.9756510000002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</row>
    <row r="38" spans="1:52" x14ac:dyDescent="0.25">
      <c r="A38" s="1"/>
      <c r="B38" s="2"/>
      <c r="C38" s="1">
        <v>43069</v>
      </c>
      <c r="D38" s="2">
        <v>0</v>
      </c>
      <c r="E38" s="2">
        <v>0</v>
      </c>
      <c r="F38" s="2">
        <v>1021.463843</v>
      </c>
      <c r="G38" s="2">
        <v>3248.0843970000001</v>
      </c>
      <c r="H38" s="2">
        <v>0</v>
      </c>
      <c r="I38" s="2">
        <v>0</v>
      </c>
      <c r="J38" s="2">
        <v>3337.6189380000001</v>
      </c>
      <c r="K38" s="2">
        <v>0</v>
      </c>
      <c r="L38" s="2">
        <v>3279.6678959999999</v>
      </c>
      <c r="M38" s="2">
        <v>0</v>
      </c>
      <c r="N38" s="2">
        <v>3260.0701939999999</v>
      </c>
      <c r="O38" s="2">
        <v>0</v>
      </c>
      <c r="P38" s="2">
        <v>0</v>
      </c>
      <c r="Q38" s="2">
        <v>3270.9261700000002</v>
      </c>
      <c r="R38" s="2">
        <v>0</v>
      </c>
      <c r="S38" s="2">
        <v>0</v>
      </c>
      <c r="T38" s="2">
        <v>0</v>
      </c>
      <c r="U38" s="2">
        <v>3312.3691009999998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3315.7191870000001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</row>
    <row r="39" spans="1:52" x14ac:dyDescent="0.25">
      <c r="A39" s="1"/>
      <c r="B39" s="2"/>
      <c r="C39" s="1">
        <v>43098</v>
      </c>
      <c r="D39" s="2">
        <v>0</v>
      </c>
      <c r="E39" s="2">
        <v>0</v>
      </c>
      <c r="F39" s="2">
        <v>1039.304269</v>
      </c>
      <c r="G39" s="2">
        <v>3273.8485580000001</v>
      </c>
      <c r="H39" s="2">
        <v>0</v>
      </c>
      <c r="I39" s="2">
        <v>0</v>
      </c>
      <c r="J39" s="2">
        <v>3358.5804830000002</v>
      </c>
      <c r="K39" s="2">
        <v>0</v>
      </c>
      <c r="L39" s="2">
        <v>3301.746502</v>
      </c>
      <c r="M39" s="2">
        <v>0</v>
      </c>
      <c r="N39" s="2">
        <v>3294.0154539999999</v>
      </c>
      <c r="O39" s="2">
        <v>0</v>
      </c>
      <c r="P39" s="2">
        <v>0</v>
      </c>
      <c r="Q39" s="2">
        <v>3291.022594</v>
      </c>
      <c r="R39" s="2">
        <v>0</v>
      </c>
      <c r="S39" s="2">
        <v>0</v>
      </c>
      <c r="T39" s="2">
        <v>0</v>
      </c>
      <c r="U39" s="2">
        <v>3342.8998409999999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3336.528632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</row>
    <row r="40" spans="1:52" x14ac:dyDescent="0.25">
      <c r="A40" s="1"/>
      <c r="B40" s="2"/>
      <c r="C40" s="1">
        <v>43131</v>
      </c>
      <c r="D40" s="2">
        <v>0</v>
      </c>
      <c r="E40" s="2">
        <v>0</v>
      </c>
      <c r="F40" s="2">
        <v>1025.3446449999999</v>
      </c>
      <c r="G40" s="2">
        <v>3444.1076790000002</v>
      </c>
      <c r="H40" s="2">
        <v>1017.022712</v>
      </c>
      <c r="I40" s="2">
        <v>0</v>
      </c>
      <c r="J40" s="2">
        <v>3563.2454459999999</v>
      </c>
      <c r="K40" s="2">
        <v>0</v>
      </c>
      <c r="L40" s="2">
        <v>3453.224929</v>
      </c>
      <c r="M40" s="2">
        <v>3442.4746930000001</v>
      </c>
      <c r="N40" s="2">
        <v>3418.6056279999998</v>
      </c>
      <c r="O40" s="2">
        <v>0</v>
      </c>
      <c r="P40" s="2">
        <v>0</v>
      </c>
      <c r="Q40" s="2">
        <v>3483.1039919999998</v>
      </c>
      <c r="R40" s="2">
        <v>0</v>
      </c>
      <c r="S40" s="2">
        <v>0</v>
      </c>
      <c r="T40" s="2">
        <v>0</v>
      </c>
      <c r="U40" s="2">
        <v>3537.1390379999998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3548.7744440000001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</row>
    <row r="41" spans="1:52" x14ac:dyDescent="0.25">
      <c r="A41" s="1"/>
      <c r="B41" s="2"/>
      <c r="C41" s="1">
        <v>43159</v>
      </c>
      <c r="D41" s="2">
        <v>0</v>
      </c>
      <c r="E41" s="2">
        <v>0</v>
      </c>
      <c r="F41" s="2">
        <v>1041.7587149999999</v>
      </c>
      <c r="G41" s="2">
        <v>3452.2787490000001</v>
      </c>
      <c r="H41" s="2">
        <v>1034.8556639999999</v>
      </c>
      <c r="I41" s="2">
        <v>0</v>
      </c>
      <c r="J41" s="2">
        <v>3506.00099</v>
      </c>
      <c r="K41" s="2">
        <v>0</v>
      </c>
      <c r="L41" s="2">
        <v>3374.091981</v>
      </c>
      <c r="M41" s="2">
        <v>3347.6514499999998</v>
      </c>
      <c r="N41" s="2">
        <v>3329.078231</v>
      </c>
      <c r="O41" s="2">
        <v>0</v>
      </c>
      <c r="P41" s="2">
        <v>0</v>
      </c>
      <c r="Q41" s="2">
        <v>3516.2052490000001</v>
      </c>
      <c r="R41" s="2">
        <v>0</v>
      </c>
      <c r="S41" s="2">
        <v>0</v>
      </c>
      <c r="T41" s="2">
        <v>0</v>
      </c>
      <c r="U41" s="2">
        <v>3463.2140680000002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3566.4832459999998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</row>
    <row r="42" spans="1:52" x14ac:dyDescent="0.25">
      <c r="A42" s="1"/>
      <c r="B42" s="2"/>
      <c r="C42" s="1">
        <v>43189</v>
      </c>
      <c r="D42" s="2">
        <v>0</v>
      </c>
      <c r="E42" s="2">
        <v>0</v>
      </c>
      <c r="F42" s="2">
        <v>1055.510389</v>
      </c>
      <c r="G42" s="2">
        <v>3464.373677</v>
      </c>
      <c r="H42" s="2">
        <v>1049.3747289999999</v>
      </c>
      <c r="I42" s="2">
        <v>0</v>
      </c>
      <c r="J42" s="2">
        <v>3483.9233570000001</v>
      </c>
      <c r="K42" s="2">
        <v>0</v>
      </c>
      <c r="L42" s="2">
        <v>3394.5993779999999</v>
      </c>
      <c r="M42" s="2">
        <v>3379.3048269999999</v>
      </c>
      <c r="N42" s="2">
        <v>3383.9584909999999</v>
      </c>
      <c r="O42" s="2">
        <v>0</v>
      </c>
      <c r="P42" s="2">
        <v>0</v>
      </c>
      <c r="Q42" s="2">
        <v>3499.092216</v>
      </c>
      <c r="R42" s="2">
        <v>0</v>
      </c>
      <c r="S42" s="2">
        <v>0</v>
      </c>
      <c r="T42" s="2">
        <v>0</v>
      </c>
      <c r="U42" s="2">
        <v>3459.4287770000001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3544.8471119999999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</row>
    <row r="43" spans="1:52" x14ac:dyDescent="0.25">
      <c r="A43" s="1"/>
      <c r="B43" s="2"/>
      <c r="C43" s="1">
        <v>43220</v>
      </c>
      <c r="D43" s="2">
        <v>0</v>
      </c>
      <c r="E43" s="2">
        <v>0</v>
      </c>
      <c r="F43" s="2">
        <v>1053.318135</v>
      </c>
      <c r="G43" s="2">
        <v>3442.1248049999999</v>
      </c>
      <c r="H43" s="2">
        <v>1046.2169369999999</v>
      </c>
      <c r="I43" s="2">
        <v>0</v>
      </c>
      <c r="J43" s="2">
        <v>3451.5498400000001</v>
      </c>
      <c r="K43" s="2">
        <v>0</v>
      </c>
      <c r="L43" s="2">
        <v>3385.583807</v>
      </c>
      <c r="M43" s="2">
        <v>3376.4351660000002</v>
      </c>
      <c r="N43" s="2">
        <v>3378.9902750000001</v>
      </c>
      <c r="O43" s="2">
        <v>0</v>
      </c>
      <c r="P43" s="2">
        <v>0</v>
      </c>
      <c r="Q43" s="2">
        <v>3471.3826450000001</v>
      </c>
      <c r="R43" s="2">
        <v>0</v>
      </c>
      <c r="S43" s="2">
        <v>0</v>
      </c>
      <c r="T43" s="2">
        <v>0</v>
      </c>
      <c r="U43" s="2">
        <v>3432.9485239999999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3510.1115850000001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</row>
    <row r="44" spans="1:52" x14ac:dyDescent="0.25">
      <c r="A44" s="1"/>
      <c r="B44" s="2"/>
      <c r="C44" s="1">
        <v>43251</v>
      </c>
      <c r="D44" s="2">
        <v>0</v>
      </c>
      <c r="E44" s="2">
        <v>0</v>
      </c>
      <c r="F44" s="2">
        <v>973.99654199999998</v>
      </c>
      <c r="G44" s="2">
        <v>3207.9815789999998</v>
      </c>
      <c r="H44" s="2">
        <v>957.62198100000001</v>
      </c>
      <c r="I44" s="2">
        <v>0</v>
      </c>
      <c r="J44" s="2">
        <v>3266.9292719999999</v>
      </c>
      <c r="K44" s="2">
        <v>0</v>
      </c>
      <c r="L44" s="2">
        <v>3254.4338870000001</v>
      </c>
      <c r="M44" s="2">
        <v>3245.8400409999999</v>
      </c>
      <c r="N44" s="2">
        <v>3251.1969640000002</v>
      </c>
      <c r="O44" s="2">
        <v>0</v>
      </c>
      <c r="P44" s="2">
        <v>0</v>
      </c>
      <c r="Q44" s="2">
        <v>3199.6000399999998</v>
      </c>
      <c r="R44" s="2">
        <v>0</v>
      </c>
      <c r="S44" s="2">
        <v>0</v>
      </c>
      <c r="T44" s="2">
        <v>0</v>
      </c>
      <c r="U44" s="2">
        <v>3262.2923489999998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3224.2954249999998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</row>
    <row r="45" spans="1:52" x14ac:dyDescent="0.25">
      <c r="A45" s="1"/>
      <c r="B45" s="2"/>
      <c r="C45" s="1">
        <v>43280</v>
      </c>
      <c r="D45" s="2">
        <v>0</v>
      </c>
      <c r="E45" s="2">
        <v>0</v>
      </c>
      <c r="F45" s="2">
        <v>962.25930100000005</v>
      </c>
      <c r="G45" s="2">
        <v>3175.2053559999999</v>
      </c>
      <c r="H45" s="2">
        <v>945.27134799999999</v>
      </c>
      <c r="I45" s="2">
        <v>0</v>
      </c>
      <c r="J45" s="2">
        <v>3202.2835960000002</v>
      </c>
      <c r="K45" s="2">
        <v>0</v>
      </c>
      <c r="L45" s="2">
        <v>3216.1811739999998</v>
      </c>
      <c r="M45" s="2">
        <v>3224.576204</v>
      </c>
      <c r="N45" s="2">
        <v>3227.1521280000002</v>
      </c>
      <c r="O45" s="2">
        <v>0</v>
      </c>
      <c r="P45" s="2">
        <v>0</v>
      </c>
      <c r="Q45" s="2">
        <v>3155.6686770000001</v>
      </c>
      <c r="R45" s="2">
        <v>0</v>
      </c>
      <c r="S45" s="2">
        <v>0</v>
      </c>
      <c r="T45" s="2">
        <v>0</v>
      </c>
      <c r="U45" s="2">
        <v>3214.9894210000002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3156.5718019999999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</row>
    <row r="46" spans="1:52" x14ac:dyDescent="0.25">
      <c r="A46" s="1"/>
      <c r="B46" s="2"/>
      <c r="C46" s="1">
        <v>43312</v>
      </c>
      <c r="D46" s="2">
        <v>0</v>
      </c>
      <c r="E46" s="2">
        <v>0</v>
      </c>
      <c r="F46" s="2">
        <v>953.56241</v>
      </c>
      <c r="G46" s="2">
        <v>3276.7003100000002</v>
      </c>
      <c r="H46" s="2">
        <v>941.11001099999999</v>
      </c>
      <c r="I46" s="2">
        <v>0</v>
      </c>
      <c r="J46" s="2">
        <v>3335.5383240000001</v>
      </c>
      <c r="K46" s="2">
        <v>0</v>
      </c>
      <c r="L46" s="2">
        <v>3307.233365</v>
      </c>
      <c r="M46" s="2">
        <v>3315.2476270000002</v>
      </c>
      <c r="N46" s="2">
        <v>3307.5181360000001</v>
      </c>
      <c r="O46" s="2">
        <v>0</v>
      </c>
      <c r="P46" s="2">
        <v>0</v>
      </c>
      <c r="Q46" s="2">
        <v>3281.1283389999999</v>
      </c>
      <c r="R46" s="2">
        <v>0</v>
      </c>
      <c r="S46" s="2">
        <v>0</v>
      </c>
      <c r="T46" s="2">
        <v>0</v>
      </c>
      <c r="U46" s="2">
        <v>3339.4687859999999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3296.7531770000001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</row>
    <row r="47" spans="1:52" x14ac:dyDescent="0.25">
      <c r="A47" s="1"/>
      <c r="B47" s="2"/>
      <c r="C47" s="1">
        <v>43343</v>
      </c>
      <c r="D47" s="2">
        <v>0</v>
      </c>
      <c r="E47" s="2">
        <v>0</v>
      </c>
      <c r="F47" s="2">
        <v>913.13099899999997</v>
      </c>
      <c r="G47" s="2">
        <v>3275.7664749999999</v>
      </c>
      <c r="H47" s="2">
        <v>896.64502500000003</v>
      </c>
      <c r="I47" s="2">
        <v>0</v>
      </c>
      <c r="J47" s="2">
        <v>3213.7995209999999</v>
      </c>
      <c r="K47" s="2">
        <v>0</v>
      </c>
      <c r="L47" s="2">
        <v>3216.6550969999998</v>
      </c>
      <c r="M47" s="2">
        <v>3224.5322259999998</v>
      </c>
      <c r="N47" s="2">
        <v>3218.2474499999998</v>
      </c>
      <c r="O47" s="2">
        <v>0</v>
      </c>
      <c r="P47" s="2">
        <v>0</v>
      </c>
      <c r="Q47" s="2">
        <v>3256.8087059999998</v>
      </c>
      <c r="R47" s="2">
        <v>0</v>
      </c>
      <c r="S47" s="2">
        <v>0</v>
      </c>
      <c r="T47" s="2">
        <v>0</v>
      </c>
      <c r="U47" s="2">
        <v>3236.3776969999999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3263.820698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</row>
    <row r="48" spans="1:52" x14ac:dyDescent="0.25">
      <c r="A48" s="1"/>
      <c r="B48" s="2"/>
      <c r="C48" s="1">
        <v>43371</v>
      </c>
      <c r="D48" s="2">
        <v>0</v>
      </c>
      <c r="E48" s="2">
        <v>0</v>
      </c>
      <c r="F48" s="2">
        <v>942.86573099999998</v>
      </c>
      <c r="G48" s="2">
        <v>3235.734144</v>
      </c>
      <c r="H48" s="2">
        <v>925.21974299999999</v>
      </c>
      <c r="I48" s="2">
        <v>0</v>
      </c>
      <c r="J48" s="2">
        <v>3180.022676</v>
      </c>
      <c r="K48" s="2">
        <v>0</v>
      </c>
      <c r="L48" s="2">
        <v>3189.0265180000001</v>
      </c>
      <c r="M48" s="2">
        <v>3188.3611940000001</v>
      </c>
      <c r="N48" s="2">
        <v>3190.3791339999998</v>
      </c>
      <c r="O48" s="2">
        <v>0</v>
      </c>
      <c r="P48" s="2">
        <v>0</v>
      </c>
      <c r="Q48" s="2">
        <v>3225.5063570000002</v>
      </c>
      <c r="R48" s="2">
        <v>0</v>
      </c>
      <c r="S48" s="2">
        <v>0</v>
      </c>
      <c r="T48" s="2">
        <v>0</v>
      </c>
      <c r="U48" s="2">
        <v>3188.4741730000001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3230.2012850000001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</row>
    <row r="49" spans="1:52" x14ac:dyDescent="0.25">
      <c r="A49" s="1"/>
      <c r="B49" s="2"/>
      <c r="C49" s="1">
        <v>43404</v>
      </c>
      <c r="D49" s="2">
        <v>0</v>
      </c>
      <c r="E49" s="2">
        <v>0</v>
      </c>
      <c r="F49" s="2">
        <v>1031.9120270000001</v>
      </c>
      <c r="G49" s="2">
        <v>3551.5997470000002</v>
      </c>
      <c r="H49" s="2">
        <v>1021.547728</v>
      </c>
      <c r="I49" s="2">
        <v>0</v>
      </c>
      <c r="J49" s="2">
        <v>3587.5398599999999</v>
      </c>
      <c r="K49" s="2">
        <v>0</v>
      </c>
      <c r="L49" s="2">
        <v>3483.6434180000001</v>
      </c>
      <c r="M49" s="2">
        <v>3473.0586840000001</v>
      </c>
      <c r="N49" s="2">
        <v>3436.7460689999998</v>
      </c>
      <c r="O49" s="2">
        <v>0</v>
      </c>
      <c r="P49" s="2">
        <v>0</v>
      </c>
      <c r="Q49" s="2">
        <v>3593.9765659999998</v>
      </c>
      <c r="R49" s="2">
        <v>0</v>
      </c>
      <c r="S49" s="2">
        <v>0</v>
      </c>
      <c r="T49" s="2">
        <v>0</v>
      </c>
      <c r="U49" s="2">
        <v>3538.7105529999999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3658.2268170000002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</row>
    <row r="50" spans="1:52" x14ac:dyDescent="0.25">
      <c r="A50" s="1"/>
      <c r="B50" s="2"/>
      <c r="C50" s="1">
        <v>43434</v>
      </c>
      <c r="D50" s="2">
        <v>0</v>
      </c>
      <c r="E50" s="2">
        <v>0</v>
      </c>
      <c r="F50" s="2">
        <v>1055.203769</v>
      </c>
      <c r="G50" s="2">
        <v>3497.2837300000001</v>
      </c>
      <c r="H50" s="2">
        <v>1049.5037830000001</v>
      </c>
      <c r="I50" s="2">
        <v>0</v>
      </c>
      <c r="J50" s="2">
        <v>3664.6887360000001</v>
      </c>
      <c r="K50" s="2">
        <v>0</v>
      </c>
      <c r="L50" s="2">
        <v>3508.651965</v>
      </c>
      <c r="M50" s="2">
        <v>3488.6106319999999</v>
      </c>
      <c r="N50" s="2">
        <v>3446.7680690000002</v>
      </c>
      <c r="O50" s="2">
        <v>0</v>
      </c>
      <c r="P50" s="2">
        <v>0</v>
      </c>
      <c r="Q50" s="2">
        <v>3569.332054</v>
      </c>
      <c r="R50" s="2">
        <v>0</v>
      </c>
      <c r="S50" s="2">
        <v>0</v>
      </c>
      <c r="T50" s="2">
        <v>0</v>
      </c>
      <c r="U50" s="2">
        <v>3596.068577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3645.6458360000001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6342.6575339999999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</row>
    <row r="51" spans="1:52" x14ac:dyDescent="0.25">
      <c r="A51" s="1"/>
      <c r="B51" s="2"/>
      <c r="C51" s="1">
        <v>43465</v>
      </c>
      <c r="D51" s="2">
        <v>0</v>
      </c>
      <c r="E51" s="2">
        <v>0</v>
      </c>
      <c r="F51" s="2">
        <v>1094.566094</v>
      </c>
      <c r="G51" s="2">
        <v>3569.0741499999999</v>
      </c>
      <c r="H51" s="2">
        <v>1099.039659</v>
      </c>
      <c r="I51" s="2">
        <v>0</v>
      </c>
      <c r="J51" s="2">
        <v>3744.1661650000001</v>
      </c>
      <c r="K51" s="2">
        <v>0</v>
      </c>
      <c r="L51" s="2">
        <v>3569.9514559999998</v>
      </c>
      <c r="M51" s="2">
        <v>3544.5316659999999</v>
      </c>
      <c r="N51" s="2">
        <v>3509.044946</v>
      </c>
      <c r="O51" s="2">
        <v>0</v>
      </c>
      <c r="P51" s="2">
        <v>0</v>
      </c>
      <c r="Q51" s="2">
        <v>3656.088409</v>
      </c>
      <c r="R51" s="2">
        <v>0</v>
      </c>
      <c r="S51" s="2">
        <v>0</v>
      </c>
      <c r="T51" s="2">
        <v>0</v>
      </c>
      <c r="U51" s="2">
        <v>3678.699556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3742.3137240000001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</row>
    <row r="52" spans="1:52" x14ac:dyDescent="0.25">
      <c r="A52" s="1"/>
      <c r="B52" s="2"/>
      <c r="C52" s="1">
        <v>43496</v>
      </c>
      <c r="D52" s="2">
        <v>0</v>
      </c>
      <c r="E52" s="2">
        <v>0</v>
      </c>
      <c r="F52" s="2">
        <v>1076.899662</v>
      </c>
      <c r="G52" s="2">
        <v>3789.1794559999998</v>
      </c>
      <c r="H52" s="2">
        <v>1081.5090009999999</v>
      </c>
      <c r="I52" s="2">
        <v>0</v>
      </c>
      <c r="J52" s="2">
        <v>4062.2668250000002</v>
      </c>
      <c r="K52" s="2">
        <v>0</v>
      </c>
      <c r="L52" s="2">
        <v>3750.6970489999999</v>
      </c>
      <c r="M52" s="2">
        <v>3686.377133</v>
      </c>
      <c r="N52" s="2">
        <v>3623.1526439999998</v>
      </c>
      <c r="O52" s="2">
        <v>0</v>
      </c>
      <c r="P52" s="2">
        <v>0</v>
      </c>
      <c r="Q52" s="2">
        <v>3933.1299359999998</v>
      </c>
      <c r="R52" s="2">
        <v>0</v>
      </c>
      <c r="S52" s="2">
        <v>0</v>
      </c>
      <c r="T52" s="2">
        <v>0</v>
      </c>
      <c r="U52" s="2">
        <v>3950.6219390000001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4079.4010739999999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</row>
    <row r="53" spans="1:52" x14ac:dyDescent="0.25">
      <c r="A53" s="1"/>
      <c r="B53" s="2"/>
      <c r="C53" s="1">
        <v>43524</v>
      </c>
      <c r="D53" s="2">
        <v>0</v>
      </c>
      <c r="E53" s="2">
        <v>0</v>
      </c>
      <c r="F53" s="2">
        <v>1075.954252</v>
      </c>
      <c r="G53" s="2">
        <v>3820.8514930000001</v>
      </c>
      <c r="H53" s="2">
        <v>1080.0838670000001</v>
      </c>
      <c r="I53" s="2">
        <v>0</v>
      </c>
      <c r="J53" s="2">
        <v>3984.6075329999999</v>
      </c>
      <c r="K53" s="2">
        <v>0</v>
      </c>
      <c r="L53" s="2">
        <v>3680.7849120000001</v>
      </c>
      <c r="M53" s="2">
        <v>3609.5990579999998</v>
      </c>
      <c r="N53" s="2">
        <v>3552.866282</v>
      </c>
      <c r="O53" s="2">
        <v>0</v>
      </c>
      <c r="P53" s="2">
        <v>0</v>
      </c>
      <c r="Q53" s="2">
        <v>3949.700429</v>
      </c>
      <c r="R53" s="2">
        <v>0</v>
      </c>
      <c r="S53" s="2">
        <v>0</v>
      </c>
      <c r="T53" s="2">
        <v>0</v>
      </c>
      <c r="U53" s="2">
        <v>3886.7634979999998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4094.0407019999998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6827.4370570000001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</row>
    <row r="54" spans="1:52" x14ac:dyDescent="0.25">
      <c r="A54" s="1"/>
      <c r="B54" s="2"/>
      <c r="C54" s="1">
        <v>43553</v>
      </c>
      <c r="D54" s="2">
        <v>0</v>
      </c>
      <c r="E54" s="2">
        <v>0</v>
      </c>
      <c r="F54" s="2">
        <v>1083.915227</v>
      </c>
      <c r="G54" s="2">
        <v>3843.5184199999999</v>
      </c>
      <c r="H54" s="2">
        <v>1089.385331</v>
      </c>
      <c r="I54" s="2">
        <v>0</v>
      </c>
      <c r="J54" s="2">
        <v>3993.9349689999999</v>
      </c>
      <c r="K54" s="2">
        <v>0</v>
      </c>
      <c r="L54" s="2">
        <v>3705.0797739999998</v>
      </c>
      <c r="M54" s="2">
        <v>3641.110361</v>
      </c>
      <c r="N54" s="2">
        <v>3583.5257590000001</v>
      </c>
      <c r="O54" s="2">
        <v>0</v>
      </c>
      <c r="P54" s="2">
        <v>0</v>
      </c>
      <c r="Q54" s="2">
        <v>3968.4946930000001</v>
      </c>
      <c r="R54" s="2">
        <v>0</v>
      </c>
      <c r="S54" s="2">
        <v>0</v>
      </c>
      <c r="T54" s="2">
        <v>0</v>
      </c>
      <c r="U54" s="2">
        <v>3915.9445129999999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4095.7535360000002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6924.6693610000002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</row>
    <row r="55" spans="1:52" x14ac:dyDescent="0.25">
      <c r="A55" s="1"/>
      <c r="B55" s="2"/>
      <c r="C55" s="1">
        <v>43585</v>
      </c>
      <c r="D55" s="2">
        <v>0</v>
      </c>
      <c r="E55" s="2">
        <v>0</v>
      </c>
      <c r="F55" s="2">
        <v>1093.519767</v>
      </c>
      <c r="G55" s="2">
        <v>3899.777055</v>
      </c>
      <c r="H55" s="2">
        <v>1097.9440050000001</v>
      </c>
      <c r="I55" s="2">
        <v>0</v>
      </c>
      <c r="J55" s="2">
        <v>4077.4108150000002</v>
      </c>
      <c r="K55" s="2">
        <v>0</v>
      </c>
      <c r="L55" s="2">
        <v>3752.9688379999998</v>
      </c>
      <c r="M55" s="2">
        <v>3684.889463</v>
      </c>
      <c r="N55" s="2">
        <v>3620.4296199999999</v>
      </c>
      <c r="O55" s="2">
        <v>0</v>
      </c>
      <c r="P55" s="2">
        <v>0</v>
      </c>
      <c r="Q55" s="2">
        <v>4052.5277390000001</v>
      </c>
      <c r="R55" s="2">
        <v>0</v>
      </c>
      <c r="S55" s="2">
        <v>0</v>
      </c>
      <c r="T55" s="2">
        <v>0</v>
      </c>
      <c r="U55" s="2">
        <v>3972.553778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4185.0926950000003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7002.7536270000001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</row>
    <row r="56" spans="1:52" x14ac:dyDescent="0.25">
      <c r="A56" s="1"/>
      <c r="B56" s="2"/>
      <c r="C56" s="1">
        <v>43616</v>
      </c>
      <c r="D56" s="2">
        <v>0</v>
      </c>
      <c r="E56" s="2">
        <v>0</v>
      </c>
      <c r="F56" s="2">
        <v>1131.4258609999999</v>
      </c>
      <c r="G56" s="2">
        <v>4012.0870030000001</v>
      </c>
      <c r="H56" s="2">
        <v>1138.1092510000001</v>
      </c>
      <c r="I56" s="2">
        <v>0</v>
      </c>
      <c r="J56" s="2">
        <v>4328.5487480000002</v>
      </c>
      <c r="K56" s="2">
        <v>0</v>
      </c>
      <c r="L56" s="2">
        <v>3913.397363</v>
      </c>
      <c r="M56" s="2">
        <v>3815.1985709999999</v>
      </c>
      <c r="N56" s="2">
        <v>3733.0912189999999</v>
      </c>
      <c r="O56" s="2">
        <v>0</v>
      </c>
      <c r="P56" s="2">
        <v>0</v>
      </c>
      <c r="Q56" s="2">
        <v>4180.6256970000004</v>
      </c>
      <c r="R56" s="2">
        <v>0</v>
      </c>
      <c r="S56" s="2">
        <v>0</v>
      </c>
      <c r="T56" s="2">
        <v>0</v>
      </c>
      <c r="U56" s="2">
        <v>4200.5309010000001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4360.999656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7202.4998960000003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</row>
    <row r="57" spans="1:52" x14ac:dyDescent="0.25">
      <c r="A57" s="1"/>
      <c r="B57" s="2"/>
      <c r="C57" s="1">
        <v>43644</v>
      </c>
      <c r="D57" s="2">
        <v>0</v>
      </c>
      <c r="E57" s="2">
        <v>0</v>
      </c>
      <c r="F57" s="2">
        <v>1150.155477</v>
      </c>
      <c r="G57" s="2">
        <v>4193.5791010000003</v>
      </c>
      <c r="H57" s="2">
        <v>1166.57158</v>
      </c>
      <c r="I57" s="2">
        <v>0</v>
      </c>
      <c r="J57" s="2">
        <v>4594.0679339999997</v>
      </c>
      <c r="K57" s="2">
        <v>0</v>
      </c>
      <c r="L57" s="2">
        <v>4055.1128869999998</v>
      </c>
      <c r="M57" s="2">
        <v>3944.7583460000001</v>
      </c>
      <c r="N57" s="2">
        <v>3859.3062209999998</v>
      </c>
      <c r="O57" s="2">
        <v>0</v>
      </c>
      <c r="P57" s="2">
        <v>0</v>
      </c>
      <c r="Q57" s="2">
        <v>4414.7337340000004</v>
      </c>
      <c r="R57" s="2">
        <v>0</v>
      </c>
      <c r="S57" s="2">
        <v>0</v>
      </c>
      <c r="T57" s="2">
        <v>0</v>
      </c>
      <c r="U57" s="2">
        <v>4409.613128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4651.766764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7352.5745800000004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</row>
    <row r="58" spans="1:52" x14ac:dyDescent="0.25">
      <c r="A58" s="1"/>
      <c r="B58" s="2"/>
      <c r="C58" s="1">
        <v>43677</v>
      </c>
      <c r="D58" s="2">
        <v>0</v>
      </c>
      <c r="E58" s="2">
        <v>0</v>
      </c>
      <c r="F58" s="2">
        <v>1169.169899</v>
      </c>
      <c r="G58" s="2">
        <v>4217.1897529999997</v>
      </c>
      <c r="H58" s="2">
        <v>1189.31206</v>
      </c>
      <c r="I58" s="2">
        <v>0</v>
      </c>
      <c r="J58" s="2">
        <v>4682.5085390000004</v>
      </c>
      <c r="K58" s="2">
        <v>0</v>
      </c>
      <c r="L58" s="2">
        <v>4092.6318019999999</v>
      </c>
      <c r="M58" s="2">
        <v>3983.8594250000001</v>
      </c>
      <c r="N58" s="2">
        <v>3895.8132949999999</v>
      </c>
      <c r="O58" s="2">
        <v>0</v>
      </c>
      <c r="P58" s="2">
        <v>0</v>
      </c>
      <c r="Q58" s="2">
        <v>4497.168686</v>
      </c>
      <c r="R58" s="2">
        <v>0</v>
      </c>
      <c r="S58" s="2">
        <v>0</v>
      </c>
      <c r="T58" s="2">
        <v>0</v>
      </c>
      <c r="U58" s="2">
        <v>4472.6172999999999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4747.982137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7465.3051969999997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</row>
    <row r="59" spans="1:52" x14ac:dyDescent="0.25">
      <c r="A59" s="1"/>
      <c r="B59" s="2"/>
      <c r="C59" s="1">
        <v>43707</v>
      </c>
      <c r="D59" s="2">
        <v>0</v>
      </c>
      <c r="E59" s="2">
        <v>0</v>
      </c>
      <c r="F59" s="2">
        <v>1167.2893730000001</v>
      </c>
      <c r="G59" s="2">
        <v>4209.8639270000003</v>
      </c>
      <c r="H59" s="2">
        <v>1183.640065</v>
      </c>
      <c r="I59" s="2">
        <v>0</v>
      </c>
      <c r="J59" s="2">
        <v>4535.166604</v>
      </c>
      <c r="K59" s="2">
        <v>0</v>
      </c>
      <c r="L59" s="2">
        <v>4004.727253</v>
      </c>
      <c r="M59" s="2">
        <v>3892.4551059999999</v>
      </c>
      <c r="N59" s="2">
        <v>3798.6030380000002</v>
      </c>
      <c r="O59" s="2">
        <v>0</v>
      </c>
      <c r="P59" s="2">
        <v>0</v>
      </c>
      <c r="Q59" s="2">
        <v>4443.6619710000004</v>
      </c>
      <c r="R59" s="2">
        <v>0</v>
      </c>
      <c r="S59" s="2">
        <v>0</v>
      </c>
      <c r="T59" s="2">
        <v>0</v>
      </c>
      <c r="U59" s="2">
        <v>4328.8481190000002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4685.8395490000003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7462.4901460000001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</row>
    <row r="60" spans="1:52" x14ac:dyDescent="0.25">
      <c r="A60" s="1"/>
      <c r="B60" s="2"/>
      <c r="C60" s="1">
        <v>43738</v>
      </c>
      <c r="D60" s="2">
        <v>0</v>
      </c>
      <c r="E60" s="2">
        <v>0</v>
      </c>
      <c r="F60" s="2">
        <v>1198.9608539999999</v>
      </c>
      <c r="G60" s="2">
        <v>4355.1413910000001</v>
      </c>
      <c r="H60" s="2">
        <v>1218.472473</v>
      </c>
      <c r="I60" s="2">
        <v>0</v>
      </c>
      <c r="J60" s="2">
        <v>4725.6597259999999</v>
      </c>
      <c r="K60" s="2">
        <v>0</v>
      </c>
      <c r="L60" s="2">
        <v>4125.0021779999997</v>
      </c>
      <c r="M60" s="2">
        <v>4004.9548989999998</v>
      </c>
      <c r="N60" s="2">
        <v>3898.410347</v>
      </c>
      <c r="O60" s="2">
        <v>0</v>
      </c>
      <c r="P60" s="2">
        <v>0</v>
      </c>
      <c r="Q60" s="2">
        <v>4622.4066249999996</v>
      </c>
      <c r="R60" s="2">
        <v>0</v>
      </c>
      <c r="S60" s="2">
        <v>0</v>
      </c>
      <c r="T60" s="2">
        <v>0</v>
      </c>
      <c r="U60" s="2">
        <v>4479.7306150000004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4898.4609419999997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7630.0119619999996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</row>
    <row r="61" spans="1:52" x14ac:dyDescent="0.25">
      <c r="A61" s="1"/>
      <c r="B61" s="2"/>
      <c r="C61" s="1">
        <v>43769</v>
      </c>
      <c r="D61" s="2">
        <v>0</v>
      </c>
      <c r="E61" s="2">
        <v>0</v>
      </c>
      <c r="F61" s="2">
        <v>1241.3999980000001</v>
      </c>
      <c r="G61" s="2">
        <v>4574.2496300000003</v>
      </c>
      <c r="H61" s="2">
        <v>1268.7339460000001</v>
      </c>
      <c r="I61" s="2">
        <v>0</v>
      </c>
      <c r="J61" s="2">
        <v>4974.4300679999997</v>
      </c>
      <c r="K61" s="2">
        <v>0</v>
      </c>
      <c r="L61" s="2">
        <v>4263.2465229999998</v>
      </c>
      <c r="M61" s="2">
        <v>4128.3986080000004</v>
      </c>
      <c r="N61" s="2">
        <v>4000.5766880000001</v>
      </c>
      <c r="O61" s="2">
        <v>0</v>
      </c>
      <c r="P61" s="2">
        <v>0</v>
      </c>
      <c r="Q61" s="2">
        <v>4833.2526029999999</v>
      </c>
      <c r="R61" s="2">
        <v>0</v>
      </c>
      <c r="S61" s="2">
        <v>0</v>
      </c>
      <c r="T61" s="2">
        <v>0</v>
      </c>
      <c r="U61" s="2">
        <v>4670.6149189999996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5174.9251960000001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7900.5452859999996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</row>
    <row r="62" spans="1:52" x14ac:dyDescent="0.25">
      <c r="A62" s="1"/>
      <c r="B62" s="2"/>
      <c r="C62" s="1">
        <v>43798</v>
      </c>
      <c r="D62" s="2">
        <v>0</v>
      </c>
      <c r="E62" s="2">
        <v>0</v>
      </c>
      <c r="F62" s="2">
        <v>1217.0206029999999</v>
      </c>
      <c r="G62" s="2">
        <v>4321.1868249999998</v>
      </c>
      <c r="H62" s="2">
        <v>1241.556198</v>
      </c>
      <c r="I62" s="2">
        <v>0</v>
      </c>
      <c r="J62" s="2">
        <v>4729.5945579999998</v>
      </c>
      <c r="K62" s="2">
        <v>0</v>
      </c>
      <c r="L62" s="2">
        <v>4153.753522</v>
      </c>
      <c r="M62" s="2">
        <v>4047.003099</v>
      </c>
      <c r="N62" s="2">
        <v>3936.3552530000002</v>
      </c>
      <c r="O62" s="2">
        <v>0</v>
      </c>
      <c r="P62" s="2">
        <v>0</v>
      </c>
      <c r="Q62" s="2">
        <v>4534.1647659999999</v>
      </c>
      <c r="R62" s="2">
        <v>0</v>
      </c>
      <c r="S62" s="2">
        <v>0</v>
      </c>
      <c r="T62" s="2">
        <v>0</v>
      </c>
      <c r="U62" s="2">
        <v>4496.5318960000004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4804.2302129999998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7712.5593500000004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</row>
    <row r="63" spans="1:52" x14ac:dyDescent="0.25">
      <c r="A63" s="1"/>
      <c r="B63" s="2"/>
      <c r="C63" s="1">
        <v>43830</v>
      </c>
      <c r="D63" s="2">
        <v>0</v>
      </c>
      <c r="E63" s="2">
        <v>0</v>
      </c>
      <c r="F63" s="2">
        <v>1228.0450049999999</v>
      </c>
      <c r="G63" s="2">
        <v>4372.4814120000001</v>
      </c>
      <c r="H63" s="2">
        <v>1258.0634889999999</v>
      </c>
      <c r="I63" s="2">
        <v>0</v>
      </c>
      <c r="J63" s="2">
        <v>4888.6500500000002</v>
      </c>
      <c r="K63" s="2">
        <v>0</v>
      </c>
      <c r="L63" s="2">
        <v>4199.9209039999996</v>
      </c>
      <c r="M63" s="2">
        <v>4112.5534690000004</v>
      </c>
      <c r="N63" s="2">
        <v>3994.9741920000001</v>
      </c>
      <c r="O63" s="2">
        <v>0</v>
      </c>
      <c r="P63" s="2">
        <v>0</v>
      </c>
      <c r="Q63" s="2">
        <v>4671.1843840000001</v>
      </c>
      <c r="R63" s="2">
        <v>0</v>
      </c>
      <c r="S63" s="2">
        <v>0</v>
      </c>
      <c r="T63" s="2">
        <v>0</v>
      </c>
      <c r="U63" s="2">
        <v>4589.9470780000001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4972.1959779999997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7652.6985880000002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</row>
    <row r="64" spans="1:52" x14ac:dyDescent="0.25">
      <c r="A64" s="1"/>
      <c r="B64" s="2"/>
      <c r="C64" s="1">
        <v>43861</v>
      </c>
      <c r="D64" s="2">
        <v>0</v>
      </c>
      <c r="E64" s="2">
        <v>1242.110764</v>
      </c>
      <c r="F64" s="2">
        <v>1197.1577460000001</v>
      </c>
      <c r="G64" s="2">
        <v>4409.2161930000002</v>
      </c>
      <c r="H64" s="2">
        <v>1222.797053</v>
      </c>
      <c r="I64" s="2">
        <v>0</v>
      </c>
      <c r="J64" s="2">
        <v>4862.3449229999997</v>
      </c>
      <c r="K64" s="2">
        <v>0</v>
      </c>
      <c r="L64" s="2">
        <v>4251.2730860000001</v>
      </c>
      <c r="M64" s="2">
        <v>4165.1268010000003</v>
      </c>
      <c r="N64" s="2">
        <v>4036.183008</v>
      </c>
      <c r="O64" s="2">
        <v>0</v>
      </c>
      <c r="P64" s="2">
        <v>0</v>
      </c>
      <c r="Q64" s="2">
        <v>4666.3742570000004</v>
      </c>
      <c r="R64" s="2">
        <v>0</v>
      </c>
      <c r="S64" s="2">
        <v>0</v>
      </c>
      <c r="T64" s="2">
        <v>0</v>
      </c>
      <c r="U64" s="2">
        <v>4593.2867420000002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4929.7910229999998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7744.3519910000005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</row>
    <row r="65" spans="1:52" x14ac:dyDescent="0.25">
      <c r="A65" s="1"/>
      <c r="B65" s="2"/>
      <c r="C65" s="1">
        <v>43889</v>
      </c>
      <c r="D65" s="2">
        <v>0</v>
      </c>
      <c r="E65" s="2">
        <v>1239.961773</v>
      </c>
      <c r="F65" s="2">
        <v>1200.7453760000001</v>
      </c>
      <c r="G65" s="2">
        <v>4439.1142220000002</v>
      </c>
      <c r="H65" s="2">
        <v>1223.222759</v>
      </c>
      <c r="I65" s="2">
        <v>0</v>
      </c>
      <c r="J65" s="2">
        <v>4767.5119949999998</v>
      </c>
      <c r="K65" s="2">
        <v>0</v>
      </c>
      <c r="L65" s="2">
        <v>4180.6722559999998</v>
      </c>
      <c r="M65" s="2">
        <v>4092.0049560000002</v>
      </c>
      <c r="N65" s="2">
        <v>3971.7200910000001</v>
      </c>
      <c r="O65" s="2">
        <v>0</v>
      </c>
      <c r="P65" s="2">
        <v>0</v>
      </c>
      <c r="Q65" s="2">
        <v>4666.3450339999999</v>
      </c>
      <c r="R65" s="2">
        <v>0</v>
      </c>
      <c r="S65" s="2">
        <v>0</v>
      </c>
      <c r="T65" s="2">
        <v>0</v>
      </c>
      <c r="U65" s="2">
        <v>4520.370277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4926.1284919999998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7785.6315590000004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</row>
    <row r="66" spans="1:52" x14ac:dyDescent="0.25">
      <c r="A66" s="1"/>
      <c r="B66" s="2"/>
      <c r="C66" s="1">
        <v>43921</v>
      </c>
      <c r="D66" s="2">
        <v>0</v>
      </c>
      <c r="E66" s="2">
        <v>1171.7679129999999</v>
      </c>
      <c r="F66" s="2">
        <v>1160.040299</v>
      </c>
      <c r="G66" s="2">
        <v>3996.3252680000001</v>
      </c>
      <c r="H66" s="2">
        <v>1166.8231330000001</v>
      </c>
      <c r="I66" s="2">
        <v>0</v>
      </c>
      <c r="J66" s="2">
        <v>4112.8619829999998</v>
      </c>
      <c r="K66" s="2">
        <v>0</v>
      </c>
      <c r="L66" s="2">
        <v>3893.3126820000002</v>
      </c>
      <c r="M66" s="2">
        <v>3873.707167</v>
      </c>
      <c r="N66" s="2">
        <v>3792.0158670000001</v>
      </c>
      <c r="O66" s="2">
        <v>0</v>
      </c>
      <c r="P66" s="2">
        <v>0</v>
      </c>
      <c r="Q66" s="2">
        <v>4101.6034689999997</v>
      </c>
      <c r="R66" s="2">
        <v>0</v>
      </c>
      <c r="S66" s="2">
        <v>0</v>
      </c>
      <c r="T66" s="2">
        <v>0</v>
      </c>
      <c r="U66" s="2">
        <v>4037.480618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4219.468417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7386.86276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</row>
    <row r="67" spans="1:52" x14ac:dyDescent="0.25">
      <c r="A67" s="1"/>
      <c r="B67" s="2"/>
      <c r="C67" s="1">
        <v>43951</v>
      </c>
      <c r="D67" s="2">
        <v>0</v>
      </c>
      <c r="E67" s="2">
        <v>1188.872466</v>
      </c>
      <c r="F67" s="2">
        <v>1178.615</v>
      </c>
      <c r="G67" s="2">
        <v>4088.1893129999999</v>
      </c>
      <c r="H67" s="2">
        <v>1184.398328</v>
      </c>
      <c r="I67" s="2">
        <v>0</v>
      </c>
      <c r="J67" s="2">
        <v>4218.6285930000004</v>
      </c>
      <c r="K67" s="2">
        <v>0</v>
      </c>
      <c r="L67" s="2">
        <v>3956.3471399999999</v>
      </c>
      <c r="M67" s="2">
        <v>3907.0936809999998</v>
      </c>
      <c r="N67" s="2">
        <v>3839.7316510000001</v>
      </c>
      <c r="O67" s="2">
        <v>0</v>
      </c>
      <c r="P67" s="2">
        <v>0</v>
      </c>
      <c r="Q67" s="2">
        <v>4185.6705309999998</v>
      </c>
      <c r="R67" s="2">
        <v>0</v>
      </c>
      <c r="S67" s="2">
        <v>0</v>
      </c>
      <c r="T67" s="2">
        <v>0</v>
      </c>
      <c r="U67" s="2">
        <v>4085.8335109999998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4328.9873109999999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7526.683677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</row>
    <row r="68" spans="1:52" x14ac:dyDescent="0.25">
      <c r="A68" s="1"/>
      <c r="B68" s="2"/>
      <c r="C68" s="1">
        <v>43980</v>
      </c>
      <c r="D68" s="2">
        <v>0</v>
      </c>
      <c r="E68" s="2">
        <v>1238.5753239999999</v>
      </c>
      <c r="F68" s="2">
        <v>1215.669913</v>
      </c>
      <c r="G68" s="2">
        <v>4037.612893</v>
      </c>
      <c r="H68" s="2">
        <v>1230.3320550000001</v>
      </c>
      <c r="I68" s="2">
        <v>0</v>
      </c>
      <c r="J68" s="2">
        <v>4225.2309610000002</v>
      </c>
      <c r="K68" s="2">
        <v>0</v>
      </c>
      <c r="L68" s="2">
        <v>4025.1612409999998</v>
      </c>
      <c r="M68" s="2">
        <v>4008.0221019999999</v>
      </c>
      <c r="N68" s="2">
        <v>3962.6658069999999</v>
      </c>
      <c r="O68" s="2">
        <v>0</v>
      </c>
      <c r="P68" s="2">
        <v>0</v>
      </c>
      <c r="Q68" s="2">
        <v>4114.4903160000003</v>
      </c>
      <c r="R68" s="2">
        <v>0</v>
      </c>
      <c r="S68" s="2">
        <v>0</v>
      </c>
      <c r="T68" s="2">
        <v>0</v>
      </c>
      <c r="U68" s="2">
        <v>4141.8279510000002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4236.8096800000003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7750.0325249999996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</row>
    <row r="69" spans="1:52" x14ac:dyDescent="0.25">
      <c r="A69" s="1"/>
      <c r="B69" s="2"/>
      <c r="C69" s="1">
        <v>44012</v>
      </c>
      <c r="D69" s="2">
        <v>0</v>
      </c>
      <c r="E69" s="2">
        <v>1218.1798799999999</v>
      </c>
      <c r="F69" s="2">
        <v>1188.9969739999999</v>
      </c>
      <c r="G69" s="2">
        <v>4147.0150970000004</v>
      </c>
      <c r="H69" s="2">
        <v>1205.1084089999999</v>
      </c>
      <c r="I69" s="2">
        <v>0</v>
      </c>
      <c r="J69" s="2">
        <v>4369.4903679999998</v>
      </c>
      <c r="K69" s="2">
        <v>0</v>
      </c>
      <c r="L69" s="2">
        <v>4142.3467010000004</v>
      </c>
      <c r="M69" s="2">
        <v>4096.0449079999999</v>
      </c>
      <c r="N69" s="2">
        <v>4018.645732</v>
      </c>
      <c r="O69" s="2">
        <v>0</v>
      </c>
      <c r="P69" s="2">
        <v>0</v>
      </c>
      <c r="Q69" s="2">
        <v>4227.2443030000004</v>
      </c>
      <c r="R69" s="2">
        <v>0</v>
      </c>
      <c r="S69" s="2">
        <v>0</v>
      </c>
      <c r="T69" s="2">
        <v>0</v>
      </c>
      <c r="U69" s="2">
        <v>4238.1789580000004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4389.8046459999996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7846.9942620000002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</row>
    <row r="70" spans="1:52" x14ac:dyDescent="0.25">
      <c r="A70" s="1"/>
      <c r="B70" s="2"/>
      <c r="C70" s="1">
        <v>44043</v>
      </c>
      <c r="D70" s="2">
        <v>0</v>
      </c>
      <c r="E70" s="2">
        <v>1258.6744020000001</v>
      </c>
      <c r="F70" s="2">
        <v>1219.8269660000001</v>
      </c>
      <c r="G70" s="2">
        <v>4435.1601909999999</v>
      </c>
      <c r="H70" s="2">
        <v>1243.557912</v>
      </c>
      <c r="I70" s="2">
        <v>0</v>
      </c>
      <c r="J70" s="2">
        <v>4754.6144649999997</v>
      </c>
      <c r="K70" s="2">
        <v>0</v>
      </c>
      <c r="L70" s="2">
        <v>4317.1161629999997</v>
      </c>
      <c r="M70" s="2">
        <v>4245.4337079999996</v>
      </c>
      <c r="N70" s="2">
        <v>4139.8501589999996</v>
      </c>
      <c r="O70" s="2">
        <v>0</v>
      </c>
      <c r="P70" s="2">
        <v>0</v>
      </c>
      <c r="Q70" s="2">
        <v>4569.7829350000002</v>
      </c>
      <c r="R70" s="2">
        <v>0</v>
      </c>
      <c r="S70" s="2">
        <v>0</v>
      </c>
      <c r="T70" s="2">
        <v>0</v>
      </c>
      <c r="U70" s="2">
        <v>4572.3080819999996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4810.7824680000003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8210.7838479999991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</row>
    <row r="71" spans="1:52" x14ac:dyDescent="0.25">
      <c r="A71" s="1"/>
      <c r="B71" s="2"/>
      <c r="C71" s="1">
        <v>44074</v>
      </c>
      <c r="D71" s="2">
        <v>0</v>
      </c>
      <c r="E71" s="2">
        <v>1216.041727</v>
      </c>
      <c r="F71" s="2">
        <v>1187.1896369999999</v>
      </c>
      <c r="G71" s="2">
        <v>4305.8295820000003</v>
      </c>
      <c r="H71" s="2">
        <v>1205.6103169999999</v>
      </c>
      <c r="I71" s="2">
        <v>0</v>
      </c>
      <c r="J71" s="2">
        <v>4442.2756149999996</v>
      </c>
      <c r="K71" s="2">
        <v>0</v>
      </c>
      <c r="L71" s="2">
        <v>4136.8668879999996</v>
      </c>
      <c r="M71" s="2">
        <v>4077.6064999999999</v>
      </c>
      <c r="N71" s="2">
        <v>3986.2602670000001</v>
      </c>
      <c r="O71" s="2">
        <v>0</v>
      </c>
      <c r="P71" s="2">
        <v>0</v>
      </c>
      <c r="Q71" s="2">
        <v>4386.9223959999999</v>
      </c>
      <c r="R71" s="2">
        <v>0</v>
      </c>
      <c r="S71" s="2">
        <v>0</v>
      </c>
      <c r="T71" s="2">
        <v>0</v>
      </c>
      <c r="U71" s="2">
        <v>4325.8989760000004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4560.2098189999997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8405.7611109999998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</row>
    <row r="72" spans="1:52" x14ac:dyDescent="0.25">
      <c r="A72" s="1"/>
      <c r="B72" s="2"/>
      <c r="C72" s="1">
        <v>44104</v>
      </c>
      <c r="D72" s="2">
        <v>0</v>
      </c>
      <c r="E72" s="2">
        <v>1183.94857</v>
      </c>
      <c r="F72" s="2">
        <v>1163.7966899999999</v>
      </c>
      <c r="G72" s="2">
        <v>4189.8064889999996</v>
      </c>
      <c r="H72" s="2">
        <v>1180.4550609999999</v>
      </c>
      <c r="I72" s="2">
        <v>0</v>
      </c>
      <c r="J72" s="2">
        <v>4290.4395990000003</v>
      </c>
      <c r="K72" s="2">
        <v>0</v>
      </c>
      <c r="L72" s="2">
        <v>4053.3375580000002</v>
      </c>
      <c r="M72" s="2">
        <v>4022.5759819999998</v>
      </c>
      <c r="N72" s="2">
        <v>3946.9580719999999</v>
      </c>
      <c r="O72" s="2">
        <v>0</v>
      </c>
      <c r="P72" s="2">
        <v>0</v>
      </c>
      <c r="Q72" s="2">
        <v>4254.2577309999997</v>
      </c>
      <c r="R72" s="2">
        <v>0</v>
      </c>
      <c r="S72" s="2">
        <v>0</v>
      </c>
      <c r="T72" s="2">
        <v>0</v>
      </c>
      <c r="U72" s="2">
        <v>4186.4824420000004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4395.175362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8206.7662639999999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</row>
    <row r="73" spans="1:52" x14ac:dyDescent="0.25">
      <c r="A73" s="1"/>
      <c r="B73" s="2"/>
      <c r="C73" s="1">
        <v>44134</v>
      </c>
      <c r="D73" s="2">
        <v>0</v>
      </c>
      <c r="E73" s="2">
        <v>1177.478824</v>
      </c>
      <c r="F73" s="2">
        <v>1161.5489250000001</v>
      </c>
      <c r="G73" s="2">
        <v>4199.5291010000001</v>
      </c>
      <c r="H73" s="2">
        <v>1175.2854170000001</v>
      </c>
      <c r="I73" s="2">
        <v>0</v>
      </c>
      <c r="J73" s="2">
        <v>4320.1126029999996</v>
      </c>
      <c r="K73" s="2">
        <v>0</v>
      </c>
      <c r="L73" s="2">
        <v>4066.1169970000001</v>
      </c>
      <c r="M73" s="2">
        <v>4010.763453</v>
      </c>
      <c r="N73" s="2">
        <v>3935.7409499999999</v>
      </c>
      <c r="O73" s="2">
        <v>0</v>
      </c>
      <c r="P73" s="2">
        <v>0</v>
      </c>
      <c r="Q73" s="2">
        <v>4282.9988899999998</v>
      </c>
      <c r="R73" s="2">
        <v>0</v>
      </c>
      <c r="S73" s="2">
        <v>0</v>
      </c>
      <c r="T73" s="2">
        <v>0</v>
      </c>
      <c r="U73" s="2">
        <v>4220.912343</v>
      </c>
      <c r="V73" s="2">
        <v>0</v>
      </c>
      <c r="W73" s="2">
        <v>10625.925535</v>
      </c>
      <c r="X73" s="2">
        <v>0</v>
      </c>
      <c r="Y73" s="2">
        <v>0</v>
      </c>
      <c r="Z73" s="2">
        <v>10554.044012</v>
      </c>
      <c r="AA73" s="2">
        <v>0</v>
      </c>
      <c r="AB73" s="2">
        <v>10497.105179</v>
      </c>
      <c r="AC73" s="2">
        <v>0</v>
      </c>
      <c r="AD73" s="2">
        <v>4430.6251140000004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10514.911973</v>
      </c>
      <c r="AR73" s="2">
        <v>8766.544973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</row>
    <row r="74" spans="1:52" x14ac:dyDescent="0.25">
      <c r="A74" s="1"/>
      <c r="B74" s="2"/>
      <c r="C74" s="1">
        <v>44165</v>
      </c>
      <c r="D74" s="2">
        <v>0</v>
      </c>
      <c r="E74" s="2">
        <v>1176.610805</v>
      </c>
      <c r="F74" s="2">
        <v>1167.0608629999999</v>
      </c>
      <c r="G74" s="2">
        <v>4207.0193049999998</v>
      </c>
      <c r="H74" s="2">
        <v>1179.72614</v>
      </c>
      <c r="I74" s="2">
        <v>0</v>
      </c>
      <c r="J74" s="2">
        <v>4439.9783559999996</v>
      </c>
      <c r="K74" s="2">
        <v>0</v>
      </c>
      <c r="L74" s="2">
        <v>4165.165129</v>
      </c>
      <c r="M74" s="2">
        <v>4093.5697009999999</v>
      </c>
      <c r="N74" s="2">
        <v>4003.1488559999998</v>
      </c>
      <c r="O74" s="2">
        <v>0</v>
      </c>
      <c r="P74" s="2">
        <v>0</v>
      </c>
      <c r="Q74" s="2">
        <v>4296.4256679999999</v>
      </c>
      <c r="R74" s="2">
        <v>0</v>
      </c>
      <c r="S74" s="2">
        <v>0</v>
      </c>
      <c r="T74" s="2">
        <v>0</v>
      </c>
      <c r="U74" s="2">
        <v>4306.847788</v>
      </c>
      <c r="V74" s="2">
        <v>0</v>
      </c>
      <c r="W74" s="2">
        <v>10628.961159</v>
      </c>
      <c r="X74" s="2">
        <v>0</v>
      </c>
      <c r="Y74" s="2">
        <v>0</v>
      </c>
      <c r="Z74" s="2">
        <v>10549.591729</v>
      </c>
      <c r="AA74" s="2">
        <v>0</v>
      </c>
      <c r="AB74" s="2">
        <v>10502.666218</v>
      </c>
      <c r="AC74" s="2">
        <v>0</v>
      </c>
      <c r="AD74" s="2">
        <v>4466.7471740000001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10526.043030000001</v>
      </c>
      <c r="AR74" s="2">
        <v>8856.1649610000004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</row>
    <row r="75" spans="1:52" x14ac:dyDescent="0.25">
      <c r="A75" s="1"/>
      <c r="B75" s="2"/>
      <c r="C75" s="1">
        <v>44196</v>
      </c>
      <c r="D75" s="2">
        <v>0</v>
      </c>
      <c r="E75" s="2">
        <v>1265.2504409999999</v>
      </c>
      <c r="F75" s="2">
        <v>1230.9901580000001</v>
      </c>
      <c r="G75" s="2">
        <v>4523.2302630000004</v>
      </c>
      <c r="H75" s="2">
        <v>1253.279935</v>
      </c>
      <c r="I75" s="2">
        <v>0</v>
      </c>
      <c r="J75" s="2">
        <v>4818.7503669999996</v>
      </c>
      <c r="K75" s="2">
        <v>0</v>
      </c>
      <c r="L75" s="2">
        <v>4394.2843050000001</v>
      </c>
      <c r="M75" s="2">
        <v>4289.418471</v>
      </c>
      <c r="N75" s="2">
        <v>4161.1051209999996</v>
      </c>
      <c r="O75" s="2">
        <v>0</v>
      </c>
      <c r="P75" s="2">
        <v>0</v>
      </c>
      <c r="Q75" s="2">
        <v>4625.6443140000001</v>
      </c>
      <c r="R75" s="2">
        <v>0</v>
      </c>
      <c r="S75" s="2">
        <v>0</v>
      </c>
      <c r="T75" s="2">
        <v>0</v>
      </c>
      <c r="U75" s="2">
        <v>4640.8098</v>
      </c>
      <c r="V75" s="2">
        <v>0</v>
      </c>
      <c r="W75" s="2">
        <v>10690.201709999999</v>
      </c>
      <c r="X75" s="2">
        <v>0</v>
      </c>
      <c r="Y75" s="2">
        <v>0</v>
      </c>
      <c r="Z75" s="2">
        <v>10613.763503</v>
      </c>
      <c r="AA75" s="2">
        <v>0</v>
      </c>
      <c r="AB75" s="2">
        <v>10541.220374</v>
      </c>
      <c r="AC75" s="2">
        <v>0</v>
      </c>
      <c r="AD75" s="2">
        <v>4875.8013199999996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10595.407143</v>
      </c>
      <c r="AR75" s="2">
        <v>8701.7022159999997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</row>
    <row r="76" spans="1:52" x14ac:dyDescent="0.25">
      <c r="A76" s="1"/>
      <c r="B76" s="2"/>
      <c r="C76" s="1">
        <v>44225</v>
      </c>
      <c r="D76" s="2">
        <v>0</v>
      </c>
      <c r="E76" s="2">
        <v>1170.3930150000001</v>
      </c>
      <c r="F76" s="2">
        <v>1155.5246480000001</v>
      </c>
      <c r="G76" s="2">
        <v>4482.7897860000003</v>
      </c>
      <c r="H76" s="2">
        <v>1165.7626439999999</v>
      </c>
      <c r="I76" s="2">
        <v>0</v>
      </c>
      <c r="J76" s="2">
        <v>4713.8968779999996</v>
      </c>
      <c r="K76" s="2">
        <v>0</v>
      </c>
      <c r="L76" s="2">
        <v>4334.0590700000002</v>
      </c>
      <c r="M76" s="2">
        <v>4231.2662399999999</v>
      </c>
      <c r="N76" s="2">
        <v>4134.3717260000003</v>
      </c>
      <c r="O76" s="2">
        <v>0</v>
      </c>
      <c r="P76" s="2">
        <v>0</v>
      </c>
      <c r="Q76" s="2">
        <v>4560.6544670000003</v>
      </c>
      <c r="R76" s="2">
        <v>0</v>
      </c>
      <c r="S76" s="2">
        <v>0</v>
      </c>
      <c r="T76" s="2">
        <v>0</v>
      </c>
      <c r="U76" s="2">
        <v>4592.257028</v>
      </c>
      <c r="V76" s="2">
        <v>0</v>
      </c>
      <c r="W76" s="2">
        <v>10709.503479000001</v>
      </c>
      <c r="X76" s="2">
        <v>0</v>
      </c>
      <c r="Y76" s="2">
        <v>0</v>
      </c>
      <c r="Z76" s="2">
        <v>10664.93075</v>
      </c>
      <c r="AA76" s="2">
        <v>0</v>
      </c>
      <c r="AB76" s="2">
        <v>10577.714333</v>
      </c>
      <c r="AC76" s="2">
        <v>0</v>
      </c>
      <c r="AD76" s="2">
        <v>4718.8362870000001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10654.240191999999</v>
      </c>
      <c r="AR76" s="2">
        <v>9083.5968529999991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</row>
    <row r="77" spans="1:52" x14ac:dyDescent="0.25">
      <c r="A77" s="1"/>
      <c r="B77" s="2"/>
      <c r="C77" s="1">
        <v>44253</v>
      </c>
      <c r="D77" s="2">
        <v>0</v>
      </c>
      <c r="E77" s="2">
        <v>1113.020352</v>
      </c>
      <c r="F77" s="2">
        <v>1110.1615220000001</v>
      </c>
      <c r="G77" s="2">
        <v>4359.5812459999997</v>
      </c>
      <c r="H77" s="2">
        <v>1115.045044</v>
      </c>
      <c r="I77" s="2">
        <v>0</v>
      </c>
      <c r="J77" s="2">
        <v>4497.0783359999996</v>
      </c>
      <c r="K77" s="2">
        <v>0</v>
      </c>
      <c r="L77" s="2">
        <v>4131.8587230000003</v>
      </c>
      <c r="M77" s="2">
        <v>4041.7094689999999</v>
      </c>
      <c r="N77" s="2">
        <v>3959.364955</v>
      </c>
      <c r="O77" s="2">
        <v>0</v>
      </c>
      <c r="P77" s="2">
        <v>0</v>
      </c>
      <c r="Q77" s="2">
        <v>4474.0034509999996</v>
      </c>
      <c r="R77" s="2">
        <v>0</v>
      </c>
      <c r="S77" s="2">
        <v>0</v>
      </c>
      <c r="T77" s="2">
        <v>0</v>
      </c>
      <c r="U77" s="2">
        <v>4387.6076739999999</v>
      </c>
      <c r="V77" s="2">
        <v>0</v>
      </c>
      <c r="W77" s="2">
        <v>10690.339054</v>
      </c>
      <c r="X77" s="2">
        <v>0</v>
      </c>
      <c r="Y77" s="2">
        <v>0</v>
      </c>
      <c r="Z77" s="2">
        <v>10654.544411999999</v>
      </c>
      <c r="AA77" s="2">
        <v>0</v>
      </c>
      <c r="AB77" s="2">
        <v>10577.073886</v>
      </c>
      <c r="AC77" s="2">
        <v>0</v>
      </c>
      <c r="AD77" s="2">
        <v>4603.6438619999999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10638.46542</v>
      </c>
      <c r="AR77" s="2">
        <v>9354.2581439999994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</row>
    <row r="78" spans="1:52" x14ac:dyDescent="0.25">
      <c r="A78" s="1"/>
      <c r="B78" s="2"/>
      <c r="C78" s="1">
        <v>44286</v>
      </c>
      <c r="D78" s="2">
        <v>0</v>
      </c>
      <c r="E78" s="2">
        <v>1068.9127550000001</v>
      </c>
      <c r="F78" s="2">
        <v>1076.9180160000001</v>
      </c>
      <c r="G78" s="2">
        <v>4327.5275110000002</v>
      </c>
      <c r="H78" s="2">
        <v>1071.9781029999999</v>
      </c>
      <c r="I78" s="2">
        <v>0</v>
      </c>
      <c r="J78" s="2">
        <v>4428.0094550000003</v>
      </c>
      <c r="K78" s="2">
        <v>0</v>
      </c>
      <c r="L78" s="2">
        <v>4083.5785110000002</v>
      </c>
      <c r="M78" s="2">
        <v>4004.538321</v>
      </c>
      <c r="N78" s="2">
        <v>3948.2291919999998</v>
      </c>
      <c r="O78" s="2">
        <v>0</v>
      </c>
      <c r="P78" s="2">
        <v>0</v>
      </c>
      <c r="Q78" s="2">
        <v>4426.0404570000001</v>
      </c>
      <c r="R78" s="2">
        <v>0</v>
      </c>
      <c r="S78" s="2">
        <v>0</v>
      </c>
      <c r="T78" s="2">
        <v>0</v>
      </c>
      <c r="U78" s="2">
        <v>4340.7218970000004</v>
      </c>
      <c r="V78" s="2">
        <v>0</v>
      </c>
      <c r="W78" s="2">
        <v>10703.065857</v>
      </c>
      <c r="X78" s="2">
        <v>0</v>
      </c>
      <c r="Y78" s="2">
        <v>0</v>
      </c>
      <c r="Z78" s="2">
        <v>10671.102720999999</v>
      </c>
      <c r="AA78" s="2">
        <v>0</v>
      </c>
      <c r="AB78" s="2">
        <v>10610.041886000001</v>
      </c>
      <c r="AC78" s="2">
        <v>0</v>
      </c>
      <c r="AD78" s="2">
        <v>4531.4939459999996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10654.375058</v>
      </c>
      <c r="AR78" s="2">
        <v>9190.7590689999997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</row>
    <row r="79" spans="1:52" x14ac:dyDescent="0.25">
      <c r="A79" s="1"/>
      <c r="B79" s="2"/>
      <c r="C79" s="1">
        <v>44316</v>
      </c>
      <c r="D79" s="2">
        <v>0</v>
      </c>
      <c r="E79" s="2">
        <v>1088.371588</v>
      </c>
      <c r="F79" s="2">
        <v>1096.0618469999999</v>
      </c>
      <c r="G79" s="2">
        <v>4346.0635840000004</v>
      </c>
      <c r="H79" s="2">
        <v>1090.7429420000001</v>
      </c>
      <c r="I79" s="2">
        <v>0</v>
      </c>
      <c r="J79" s="2">
        <v>4427.4441479999996</v>
      </c>
      <c r="K79" s="2">
        <v>0</v>
      </c>
      <c r="L79" s="2">
        <v>4103.2207399999998</v>
      </c>
      <c r="M79" s="2">
        <v>4048.883726</v>
      </c>
      <c r="N79" s="2">
        <v>3999.9005109999998</v>
      </c>
      <c r="O79" s="2">
        <v>0</v>
      </c>
      <c r="P79" s="2">
        <v>0</v>
      </c>
      <c r="Q79" s="2">
        <v>4441.1366399999997</v>
      </c>
      <c r="R79" s="2">
        <v>0</v>
      </c>
      <c r="S79" s="2">
        <v>0</v>
      </c>
      <c r="T79" s="2">
        <v>0</v>
      </c>
      <c r="U79" s="2">
        <v>4360.688854</v>
      </c>
      <c r="V79" s="2">
        <v>0</v>
      </c>
      <c r="W79" s="2">
        <v>10684.585631</v>
      </c>
      <c r="X79" s="2">
        <v>0</v>
      </c>
      <c r="Y79" s="2">
        <v>0</v>
      </c>
      <c r="Z79" s="2">
        <v>10665.168529</v>
      </c>
      <c r="AA79" s="2">
        <v>0</v>
      </c>
      <c r="AB79" s="2">
        <v>10620.678226</v>
      </c>
      <c r="AC79" s="2">
        <v>0</v>
      </c>
      <c r="AD79" s="2">
        <v>4531.704197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10646.954159999999</v>
      </c>
      <c r="AR79" s="2">
        <v>9305.1021889999993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</row>
    <row r="80" spans="1:52" x14ac:dyDescent="0.25">
      <c r="A80" s="1"/>
      <c r="B80" s="2"/>
      <c r="C80" s="1">
        <v>44347</v>
      </c>
      <c r="D80" s="2">
        <v>0</v>
      </c>
      <c r="E80" s="2">
        <v>1095.754477</v>
      </c>
      <c r="F80" s="2">
        <v>1104.038215</v>
      </c>
      <c r="G80" s="2">
        <v>4251.2353780000003</v>
      </c>
      <c r="H80" s="2">
        <v>1100.2563540000001</v>
      </c>
      <c r="I80" s="2">
        <v>0</v>
      </c>
      <c r="J80" s="2">
        <v>4530.0519649999997</v>
      </c>
      <c r="K80" s="2">
        <v>0</v>
      </c>
      <c r="L80" s="2">
        <v>4137.449302</v>
      </c>
      <c r="M80" s="2">
        <v>4081.9967280000001</v>
      </c>
      <c r="N80" s="2">
        <v>4025.5000829999999</v>
      </c>
      <c r="O80" s="2">
        <v>0</v>
      </c>
      <c r="P80" s="2">
        <v>0</v>
      </c>
      <c r="Q80" s="2">
        <v>4418.8353660000002</v>
      </c>
      <c r="R80" s="2">
        <v>0</v>
      </c>
      <c r="S80" s="2">
        <v>0</v>
      </c>
      <c r="T80" s="2">
        <v>0</v>
      </c>
      <c r="U80" s="2">
        <v>4412.1462320000001</v>
      </c>
      <c r="V80" s="2">
        <v>0</v>
      </c>
      <c r="W80" s="2">
        <v>10739.642001</v>
      </c>
      <c r="X80" s="2">
        <v>0</v>
      </c>
      <c r="Y80" s="2">
        <v>0</v>
      </c>
      <c r="Z80" s="2">
        <v>10715.044257</v>
      </c>
      <c r="AA80" s="2">
        <v>0</v>
      </c>
      <c r="AB80" s="2">
        <v>10668.912624000001</v>
      </c>
      <c r="AC80" s="2">
        <v>0</v>
      </c>
      <c r="AD80" s="2">
        <v>4511.4391820000001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10699.094837000001</v>
      </c>
      <c r="AR80" s="2">
        <v>9919.9257739999994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</row>
    <row r="81" spans="1:52" x14ac:dyDescent="0.25">
      <c r="A81" s="1"/>
      <c r="B81" s="2"/>
      <c r="C81" s="1">
        <v>44377</v>
      </c>
      <c r="D81" s="2">
        <v>0</v>
      </c>
      <c r="E81" s="2">
        <v>1056.0902779999999</v>
      </c>
      <c r="F81" s="2">
        <v>1060.8460210000001</v>
      </c>
      <c r="G81" s="2">
        <v>4301.185923</v>
      </c>
      <c r="H81" s="2">
        <v>1064.427222</v>
      </c>
      <c r="I81" s="2">
        <v>0</v>
      </c>
      <c r="J81" s="2">
        <v>4583.3436680000004</v>
      </c>
      <c r="K81" s="2">
        <v>0</v>
      </c>
      <c r="L81" s="2">
        <v>4168.2035960000003</v>
      </c>
      <c r="M81" s="2">
        <v>4095.3364689999999</v>
      </c>
      <c r="N81" s="2">
        <v>4016.6781999999998</v>
      </c>
      <c r="O81" s="2">
        <v>0</v>
      </c>
      <c r="P81" s="2">
        <v>0</v>
      </c>
      <c r="Q81" s="2">
        <v>4449.0526280000004</v>
      </c>
      <c r="R81" s="2">
        <v>0</v>
      </c>
      <c r="S81" s="2">
        <v>0</v>
      </c>
      <c r="T81" s="2">
        <v>0</v>
      </c>
      <c r="U81" s="2">
        <v>4440.8080950000003</v>
      </c>
      <c r="V81" s="2">
        <v>0</v>
      </c>
      <c r="W81" s="2">
        <v>10779.148074999999</v>
      </c>
      <c r="X81" s="2">
        <v>0</v>
      </c>
      <c r="Y81" s="2">
        <v>0</v>
      </c>
      <c r="Z81" s="2">
        <v>10758.605030000001</v>
      </c>
      <c r="AA81" s="2">
        <v>0</v>
      </c>
      <c r="AB81" s="2">
        <v>10714.009731</v>
      </c>
      <c r="AC81" s="2">
        <v>0</v>
      </c>
      <c r="AD81" s="2">
        <v>4568.002845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10740.198026</v>
      </c>
      <c r="AR81" s="2">
        <v>9760.2813249999999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</row>
    <row r="82" spans="1:52" x14ac:dyDescent="0.25">
      <c r="A82" s="1"/>
      <c r="B82" s="2"/>
      <c r="C82" s="1">
        <v>44407</v>
      </c>
      <c r="D82" s="2">
        <v>0</v>
      </c>
      <c r="E82" s="2">
        <v>1034.8251620000001</v>
      </c>
      <c r="F82" s="2">
        <v>1044.692448</v>
      </c>
      <c r="G82" s="2">
        <v>4250.9144530000003</v>
      </c>
      <c r="H82" s="2">
        <v>1044.9670149999999</v>
      </c>
      <c r="I82" s="2">
        <v>0</v>
      </c>
      <c r="J82" s="2">
        <v>4553.7823250000001</v>
      </c>
      <c r="K82" s="2">
        <v>0</v>
      </c>
      <c r="L82" s="2">
        <v>4144.7697250000001</v>
      </c>
      <c r="M82" s="2">
        <v>4069.1147129999999</v>
      </c>
      <c r="N82" s="2">
        <v>4001.7672429999998</v>
      </c>
      <c r="O82" s="2">
        <v>0</v>
      </c>
      <c r="P82" s="2">
        <v>0</v>
      </c>
      <c r="Q82" s="2">
        <v>4425.1501289999997</v>
      </c>
      <c r="R82" s="2">
        <v>0</v>
      </c>
      <c r="S82" s="2">
        <v>0</v>
      </c>
      <c r="T82" s="2">
        <v>0</v>
      </c>
      <c r="U82" s="2">
        <v>4394.9154209999997</v>
      </c>
      <c r="V82" s="2">
        <v>0</v>
      </c>
      <c r="W82" s="2">
        <v>10835.941994999999</v>
      </c>
      <c r="X82" s="2">
        <v>0</v>
      </c>
      <c r="Y82" s="2">
        <v>0</v>
      </c>
      <c r="Z82" s="2">
        <v>10815.533697999999</v>
      </c>
      <c r="AA82" s="2">
        <v>0</v>
      </c>
      <c r="AB82" s="2">
        <v>10775.285822</v>
      </c>
      <c r="AC82" s="2">
        <v>0</v>
      </c>
      <c r="AD82" s="2">
        <v>4529.5636709999999</v>
      </c>
      <c r="AE82" s="2">
        <v>0</v>
      </c>
      <c r="AF82" s="2">
        <v>0</v>
      </c>
      <c r="AG82" s="2">
        <v>10730.455377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10802.868741</v>
      </c>
      <c r="AR82" s="2">
        <v>9788.1839839999993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</row>
    <row r="83" spans="1:52" x14ac:dyDescent="0.25">
      <c r="A83" s="1"/>
      <c r="B83" s="2"/>
      <c r="C83" s="1">
        <v>44439</v>
      </c>
      <c r="D83" s="2">
        <v>0</v>
      </c>
      <c r="E83" s="2">
        <v>989.08739600000001</v>
      </c>
      <c r="F83" s="2">
        <v>1015.65363</v>
      </c>
      <c r="G83" s="2">
        <v>4183.9827690000002</v>
      </c>
      <c r="H83" s="2">
        <v>1007.0002030000001</v>
      </c>
      <c r="I83" s="2">
        <v>0</v>
      </c>
      <c r="J83" s="2">
        <v>4301.5612590000001</v>
      </c>
      <c r="K83" s="2">
        <v>0</v>
      </c>
      <c r="L83" s="2">
        <v>4002.2425739999999</v>
      </c>
      <c r="M83" s="2">
        <v>3943.752101</v>
      </c>
      <c r="N83" s="2">
        <v>3883.4291600000001</v>
      </c>
      <c r="O83" s="2">
        <v>0</v>
      </c>
      <c r="P83" s="2">
        <v>0</v>
      </c>
      <c r="Q83" s="2">
        <v>4295.3830189999999</v>
      </c>
      <c r="R83" s="2">
        <v>0</v>
      </c>
      <c r="S83" s="2">
        <v>0</v>
      </c>
      <c r="T83" s="2">
        <v>0</v>
      </c>
      <c r="U83" s="2">
        <v>4182.150302</v>
      </c>
      <c r="V83" s="2">
        <v>0</v>
      </c>
      <c r="W83" s="2">
        <v>10888.432613000001</v>
      </c>
      <c r="X83" s="2">
        <v>0</v>
      </c>
      <c r="Y83" s="2">
        <v>0</v>
      </c>
      <c r="Z83" s="2">
        <v>10867.179101</v>
      </c>
      <c r="AA83" s="2">
        <v>0</v>
      </c>
      <c r="AB83" s="2">
        <v>10804.703659000001</v>
      </c>
      <c r="AC83" s="2">
        <v>0</v>
      </c>
      <c r="AD83" s="2">
        <v>4386.387111</v>
      </c>
      <c r="AE83" s="2">
        <v>0</v>
      </c>
      <c r="AF83" s="2">
        <v>0</v>
      </c>
      <c r="AG83" s="2">
        <v>10777.354178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10853.03206</v>
      </c>
      <c r="AR83" s="2">
        <v>9508.6640530000004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</row>
    <row r="84" spans="1:52" x14ac:dyDescent="0.25">
      <c r="A84" s="1"/>
      <c r="B84" s="2"/>
      <c r="C84" s="1">
        <v>44469</v>
      </c>
      <c r="D84" s="2">
        <v>0</v>
      </c>
      <c r="E84" s="2">
        <v>964.43100600000002</v>
      </c>
      <c r="F84" s="2">
        <v>1000.197557</v>
      </c>
      <c r="G84" s="2">
        <v>4133.3435460000001</v>
      </c>
      <c r="H84" s="2">
        <v>982.52936499999998</v>
      </c>
      <c r="I84" s="2">
        <v>0</v>
      </c>
      <c r="J84" s="2">
        <v>4228.104002</v>
      </c>
      <c r="K84" s="2">
        <v>0</v>
      </c>
      <c r="L84" s="2">
        <v>3984.1609699999999</v>
      </c>
      <c r="M84" s="2">
        <v>3943.661384</v>
      </c>
      <c r="N84" s="2">
        <v>3902.516795</v>
      </c>
      <c r="O84" s="2">
        <v>0</v>
      </c>
      <c r="P84" s="2">
        <v>0</v>
      </c>
      <c r="Q84" s="2">
        <v>4241.1616459999996</v>
      </c>
      <c r="R84" s="2">
        <v>0</v>
      </c>
      <c r="S84" s="2">
        <v>0</v>
      </c>
      <c r="T84" s="2">
        <v>0</v>
      </c>
      <c r="U84" s="2">
        <v>4131.1190189999998</v>
      </c>
      <c r="V84" s="2">
        <v>0</v>
      </c>
      <c r="W84" s="2">
        <v>10944.712264</v>
      </c>
      <c r="X84" s="2">
        <v>0</v>
      </c>
      <c r="Y84" s="2">
        <v>0</v>
      </c>
      <c r="Z84" s="2">
        <v>10919.415257000001</v>
      </c>
      <c r="AA84" s="2">
        <v>0</v>
      </c>
      <c r="AB84" s="2">
        <v>10864.937881</v>
      </c>
      <c r="AC84" s="2">
        <v>0</v>
      </c>
      <c r="AD84" s="2">
        <v>4300.8097559999997</v>
      </c>
      <c r="AE84" s="2">
        <v>0</v>
      </c>
      <c r="AF84" s="2">
        <v>0</v>
      </c>
      <c r="AG84" s="2">
        <v>10827.439176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10906.375107</v>
      </c>
      <c r="AR84" s="2">
        <v>9537.0299169999998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</row>
    <row r="85" spans="1:52" x14ac:dyDescent="0.25">
      <c r="A85" s="1"/>
      <c r="B85" s="2"/>
      <c r="C85" s="1">
        <v>44498</v>
      </c>
      <c r="D85" s="2">
        <v>0</v>
      </c>
      <c r="E85" s="2">
        <v>919.51515400000005</v>
      </c>
      <c r="F85" s="2">
        <v>956.27131499999996</v>
      </c>
      <c r="G85" s="2">
        <v>3992.9370650000001</v>
      </c>
      <c r="H85" s="2">
        <v>936.31018300000005</v>
      </c>
      <c r="I85" s="2">
        <v>0</v>
      </c>
      <c r="J85" s="2">
        <v>4022.8183220000001</v>
      </c>
      <c r="K85" s="2">
        <v>0</v>
      </c>
      <c r="L85" s="2">
        <v>3888.9098629999999</v>
      </c>
      <c r="M85" s="2">
        <v>3862.4273170000001</v>
      </c>
      <c r="N85" s="2">
        <v>3832.0499519999998</v>
      </c>
      <c r="O85" s="2">
        <v>0</v>
      </c>
      <c r="P85" s="2">
        <v>0</v>
      </c>
      <c r="Q85" s="2">
        <v>4056.3093199999998</v>
      </c>
      <c r="R85" s="2">
        <v>0</v>
      </c>
      <c r="S85" s="2">
        <v>0</v>
      </c>
      <c r="T85" s="2">
        <v>0</v>
      </c>
      <c r="U85" s="2">
        <v>3977.8057690000001</v>
      </c>
      <c r="V85" s="2">
        <v>0</v>
      </c>
      <c r="W85" s="2">
        <v>11013.800309</v>
      </c>
      <c r="X85" s="2">
        <v>0</v>
      </c>
      <c r="Y85" s="2">
        <v>0</v>
      </c>
      <c r="Z85" s="2">
        <v>10983.11456</v>
      </c>
      <c r="AA85" s="2">
        <v>0</v>
      </c>
      <c r="AB85" s="2">
        <v>10931.576249</v>
      </c>
      <c r="AC85" s="2">
        <v>0</v>
      </c>
      <c r="AD85" s="2">
        <v>4089.0450500000002</v>
      </c>
      <c r="AE85" s="2">
        <v>0</v>
      </c>
      <c r="AF85" s="2">
        <v>0</v>
      </c>
      <c r="AG85" s="2">
        <v>10904.227354000001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10969.168508000001</v>
      </c>
      <c r="AR85" s="2">
        <v>9398.9966619999996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</row>
    <row r="86" spans="1:52" x14ac:dyDescent="0.25">
      <c r="A86" s="1"/>
      <c r="B86" s="2"/>
      <c r="C86" s="1">
        <v>44530</v>
      </c>
      <c r="D86" s="2">
        <v>0</v>
      </c>
      <c r="E86" s="2">
        <v>968.17420700000002</v>
      </c>
      <c r="F86" s="2">
        <v>990.91004099999998</v>
      </c>
      <c r="G86" s="2">
        <v>4071.0700299999999</v>
      </c>
      <c r="H86" s="2">
        <v>978.37391700000001</v>
      </c>
      <c r="I86" s="2">
        <v>0</v>
      </c>
      <c r="J86" s="2">
        <v>4206.3848900000003</v>
      </c>
      <c r="K86" s="2">
        <v>0</v>
      </c>
      <c r="L86" s="2">
        <v>4043.4282830000002</v>
      </c>
      <c r="M86" s="2">
        <v>4002.0931129999999</v>
      </c>
      <c r="N86" s="2">
        <v>3957.770356</v>
      </c>
      <c r="O86" s="2">
        <v>0</v>
      </c>
      <c r="P86" s="2">
        <v>0</v>
      </c>
      <c r="Q86" s="2">
        <v>4129.9333809999998</v>
      </c>
      <c r="R86" s="2">
        <v>0</v>
      </c>
      <c r="S86" s="2">
        <v>0</v>
      </c>
      <c r="T86" s="2">
        <v>0</v>
      </c>
      <c r="U86" s="2">
        <v>4167.5312549999999</v>
      </c>
      <c r="V86" s="2">
        <v>0</v>
      </c>
      <c r="W86" s="2">
        <v>11082.549529</v>
      </c>
      <c r="X86" s="2">
        <v>0</v>
      </c>
      <c r="Y86" s="2">
        <v>0</v>
      </c>
      <c r="Z86" s="2">
        <v>11057.136541</v>
      </c>
      <c r="AA86" s="2">
        <v>0</v>
      </c>
      <c r="AB86" s="2">
        <v>11007.191489000001</v>
      </c>
      <c r="AC86" s="2">
        <v>0</v>
      </c>
      <c r="AD86" s="2">
        <v>4174.6347420000002</v>
      </c>
      <c r="AE86" s="2">
        <v>0</v>
      </c>
      <c r="AF86" s="2">
        <v>0</v>
      </c>
      <c r="AG86" s="2">
        <v>10975.578579000001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11041.424869</v>
      </c>
      <c r="AR86" s="2">
        <v>9313.4991879999998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</row>
    <row r="87" spans="1:52" x14ac:dyDescent="0.25">
      <c r="A87" s="1"/>
      <c r="B87" s="2"/>
      <c r="C87" s="1">
        <v>44561</v>
      </c>
      <c r="D87" s="2">
        <v>0</v>
      </c>
      <c r="E87" s="2">
        <v>928.64710400000001</v>
      </c>
      <c r="F87" s="2">
        <v>951.66444000000001</v>
      </c>
      <c r="G87" s="2">
        <v>4112.7790510000004</v>
      </c>
      <c r="H87" s="2">
        <v>938.60605199999998</v>
      </c>
      <c r="I87" s="2">
        <v>0</v>
      </c>
      <c r="J87" s="2">
        <v>4245.5048880000004</v>
      </c>
      <c r="K87" s="2">
        <v>0</v>
      </c>
      <c r="L87" s="2">
        <v>4088.1438309999999</v>
      </c>
      <c r="M87" s="2">
        <v>4046.8787040000002</v>
      </c>
      <c r="N87" s="2">
        <v>4002.5851520000001</v>
      </c>
      <c r="O87" s="2">
        <v>0</v>
      </c>
      <c r="P87" s="2">
        <v>0</v>
      </c>
      <c r="Q87" s="2">
        <v>4169.8546729999998</v>
      </c>
      <c r="R87" s="2">
        <v>0</v>
      </c>
      <c r="S87" s="2">
        <v>0</v>
      </c>
      <c r="T87" s="2">
        <v>0</v>
      </c>
      <c r="U87" s="2">
        <v>4207.517409</v>
      </c>
      <c r="V87" s="2">
        <v>0</v>
      </c>
      <c r="W87" s="2">
        <v>11166.086800999999</v>
      </c>
      <c r="X87" s="2">
        <v>0</v>
      </c>
      <c r="Y87" s="2">
        <v>0</v>
      </c>
      <c r="Z87" s="2">
        <v>11140.523311999999</v>
      </c>
      <c r="AA87" s="2">
        <v>0</v>
      </c>
      <c r="AB87" s="2">
        <v>11090.418874999999</v>
      </c>
      <c r="AC87" s="2">
        <v>0</v>
      </c>
      <c r="AD87" s="2">
        <v>4210.2739549999997</v>
      </c>
      <c r="AE87" s="2">
        <v>0</v>
      </c>
      <c r="AF87" s="2">
        <v>0</v>
      </c>
      <c r="AG87" s="2">
        <v>11060.04608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11124.645858</v>
      </c>
      <c r="AR87" s="2">
        <v>8512.6574199999995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</row>
    <row r="88" spans="1:52" x14ac:dyDescent="0.25">
      <c r="A88" s="1"/>
      <c r="B88" s="2"/>
      <c r="C88" s="1">
        <v>44592</v>
      </c>
      <c r="D88" s="2">
        <v>0</v>
      </c>
      <c r="E88" s="2">
        <v>940.00898199999995</v>
      </c>
      <c r="F88" s="2">
        <v>967.37958600000002</v>
      </c>
      <c r="G88" s="2">
        <v>3990.273608</v>
      </c>
      <c r="H88" s="2">
        <v>947.22705199999996</v>
      </c>
      <c r="I88" s="2">
        <v>927.05571999999995</v>
      </c>
      <c r="J88" s="2">
        <v>4085.8191820000002</v>
      </c>
      <c r="K88" s="2">
        <v>0</v>
      </c>
      <c r="L88" s="2">
        <v>4033.2700669999999</v>
      </c>
      <c r="M88" s="2">
        <v>4014.111535</v>
      </c>
      <c r="N88" s="2">
        <v>3996.177021</v>
      </c>
      <c r="O88" s="2">
        <v>4090.3047120000001</v>
      </c>
      <c r="P88" s="2">
        <v>4039.0822480000002</v>
      </c>
      <c r="Q88" s="2">
        <v>4011.496243</v>
      </c>
      <c r="R88" s="2">
        <v>0</v>
      </c>
      <c r="S88" s="2">
        <v>0</v>
      </c>
      <c r="T88" s="2">
        <v>3943.703931</v>
      </c>
      <c r="U88" s="2">
        <v>4064.7105860000001</v>
      </c>
      <c r="V88" s="2">
        <v>0</v>
      </c>
      <c r="W88" s="2">
        <v>11263.948333</v>
      </c>
      <c r="X88" s="2">
        <v>0</v>
      </c>
      <c r="Y88" s="2">
        <v>0</v>
      </c>
      <c r="Z88" s="2">
        <v>11239.940774000001</v>
      </c>
      <c r="AA88" s="2">
        <v>0</v>
      </c>
      <c r="AB88" s="2">
        <v>11194.121537999999</v>
      </c>
      <c r="AC88" s="2">
        <v>0</v>
      </c>
      <c r="AD88" s="2">
        <v>4052.595855</v>
      </c>
      <c r="AE88" s="2">
        <v>0</v>
      </c>
      <c r="AF88" s="2">
        <v>0</v>
      </c>
      <c r="AG88" s="2">
        <v>11174.494424</v>
      </c>
      <c r="AH88" s="2">
        <v>0</v>
      </c>
      <c r="AI88" s="2">
        <v>0</v>
      </c>
      <c r="AJ88" s="2">
        <v>0</v>
      </c>
      <c r="AK88" s="2">
        <v>11149.705855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11226.210848999999</v>
      </c>
      <c r="AR88" s="2">
        <v>9203.0940019999998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</row>
    <row r="89" spans="1:52" x14ac:dyDescent="0.25">
      <c r="A89" s="1"/>
      <c r="B89" s="2"/>
      <c r="C89" s="1">
        <v>44620</v>
      </c>
      <c r="D89" s="2">
        <v>0</v>
      </c>
      <c r="E89" s="2">
        <v>937.35796400000004</v>
      </c>
      <c r="F89" s="2">
        <v>972.39093500000001</v>
      </c>
      <c r="G89" s="2">
        <v>3990.3661040000002</v>
      </c>
      <c r="H89" s="2">
        <v>949.77369899999997</v>
      </c>
      <c r="I89" s="2">
        <v>920.37743399999999</v>
      </c>
      <c r="J89" s="2">
        <v>3978.3094369999999</v>
      </c>
      <c r="K89" s="2">
        <v>0</v>
      </c>
      <c r="L89" s="2">
        <v>3920.1433910000001</v>
      </c>
      <c r="M89" s="2">
        <v>3913.8527899999999</v>
      </c>
      <c r="N89" s="2">
        <v>3908.7299509999998</v>
      </c>
      <c r="O89" s="2">
        <v>3999.574196</v>
      </c>
      <c r="P89" s="2">
        <v>3920.170192</v>
      </c>
      <c r="Q89" s="2">
        <v>4019.6597069999998</v>
      </c>
      <c r="R89" s="2">
        <v>0</v>
      </c>
      <c r="S89" s="2">
        <v>0</v>
      </c>
      <c r="T89" s="2">
        <v>3970.9774219999999</v>
      </c>
      <c r="U89" s="2">
        <v>3948.0356790000001</v>
      </c>
      <c r="V89" s="2">
        <v>0</v>
      </c>
      <c r="W89" s="2">
        <v>11366.706861000001</v>
      </c>
      <c r="X89" s="2">
        <v>0</v>
      </c>
      <c r="Y89" s="2">
        <v>0</v>
      </c>
      <c r="Z89" s="2">
        <v>11349.486150000001</v>
      </c>
      <c r="AA89" s="2">
        <v>0</v>
      </c>
      <c r="AB89" s="2">
        <v>11320.644311</v>
      </c>
      <c r="AC89" s="2">
        <v>0</v>
      </c>
      <c r="AD89" s="2">
        <v>4049.1524039999999</v>
      </c>
      <c r="AE89" s="2">
        <v>0</v>
      </c>
      <c r="AF89" s="2">
        <v>0</v>
      </c>
      <c r="AG89" s="2">
        <v>11313.185804000001</v>
      </c>
      <c r="AH89" s="2">
        <v>0</v>
      </c>
      <c r="AI89" s="2">
        <v>0</v>
      </c>
      <c r="AJ89" s="2">
        <v>0</v>
      </c>
      <c r="AK89" s="2">
        <v>11305.100053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11340.932817000001</v>
      </c>
      <c r="AR89" s="2">
        <v>9657.1206880000009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</row>
    <row r="90" spans="1:52" x14ac:dyDescent="0.25">
      <c r="A90" s="1"/>
      <c r="B90" s="2"/>
      <c r="C90" s="1">
        <v>44651</v>
      </c>
      <c r="D90" s="2">
        <v>0</v>
      </c>
      <c r="E90" s="2">
        <v>942.69929300000001</v>
      </c>
      <c r="F90" s="2">
        <v>977.89699800000005</v>
      </c>
      <c r="G90" s="2">
        <v>4153.9038579999997</v>
      </c>
      <c r="H90" s="2">
        <v>961.10085000000004</v>
      </c>
      <c r="I90" s="2">
        <v>930.35016199999995</v>
      </c>
      <c r="J90" s="2">
        <v>4109.6193499999999</v>
      </c>
      <c r="K90" s="2">
        <v>0</v>
      </c>
      <c r="L90" s="2">
        <v>4063.7297130000002</v>
      </c>
      <c r="M90" s="2">
        <v>4042.8242620000001</v>
      </c>
      <c r="N90" s="2">
        <v>4021.9692140000002</v>
      </c>
      <c r="O90" s="2">
        <v>4139.4576950000001</v>
      </c>
      <c r="P90" s="2">
        <v>4071.069109</v>
      </c>
      <c r="Q90" s="2">
        <v>4153.1982209999996</v>
      </c>
      <c r="R90" s="2">
        <v>0</v>
      </c>
      <c r="S90" s="2">
        <v>0</v>
      </c>
      <c r="T90" s="2">
        <v>4091.288309</v>
      </c>
      <c r="U90" s="2">
        <v>4118.912816</v>
      </c>
      <c r="V90" s="2">
        <v>0</v>
      </c>
      <c r="W90" s="2">
        <v>11479.863230000001</v>
      </c>
      <c r="X90" s="2">
        <v>0</v>
      </c>
      <c r="Y90" s="2">
        <v>0</v>
      </c>
      <c r="Z90" s="2">
        <v>11463.944665999999</v>
      </c>
      <c r="AA90" s="2">
        <v>0</v>
      </c>
      <c r="AB90" s="2">
        <v>11416.327095000001</v>
      </c>
      <c r="AC90" s="2">
        <v>0</v>
      </c>
      <c r="AD90" s="2">
        <v>4184.7618860000002</v>
      </c>
      <c r="AE90" s="2">
        <v>0</v>
      </c>
      <c r="AF90" s="2">
        <v>0</v>
      </c>
      <c r="AG90" s="2">
        <v>11402.975297999999</v>
      </c>
      <c r="AH90" s="2">
        <v>0</v>
      </c>
      <c r="AI90" s="2">
        <v>0</v>
      </c>
      <c r="AJ90" s="2">
        <v>0</v>
      </c>
      <c r="AK90" s="2">
        <v>11394.308139999999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11456.819871</v>
      </c>
      <c r="AR90" s="2">
        <v>9904.6209930000005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</row>
    <row r="91" spans="1:52" x14ac:dyDescent="0.25">
      <c r="A91" s="1"/>
      <c r="B91" s="2"/>
      <c r="C91" s="1">
        <v>44680</v>
      </c>
      <c r="D91" s="2">
        <v>0</v>
      </c>
      <c r="E91" s="2">
        <v>921.03889900000001</v>
      </c>
      <c r="F91" s="2">
        <v>963.41516300000001</v>
      </c>
      <c r="G91" s="2">
        <v>4169.6969680000002</v>
      </c>
      <c r="H91" s="2">
        <v>940.900621</v>
      </c>
      <c r="I91" s="2">
        <v>905.18292299999996</v>
      </c>
      <c r="J91" s="2">
        <v>4091.4806229999999</v>
      </c>
      <c r="K91" s="2">
        <v>0</v>
      </c>
      <c r="L91" s="2">
        <v>4099.8377920000003</v>
      </c>
      <c r="M91" s="2">
        <v>4077.9252710000001</v>
      </c>
      <c r="N91" s="2">
        <v>4058.3309119999999</v>
      </c>
      <c r="O91" s="2">
        <v>4095.8261940000002</v>
      </c>
      <c r="P91" s="2">
        <v>4100.8279220000004</v>
      </c>
      <c r="Q91" s="2">
        <v>4150.3580000000002</v>
      </c>
      <c r="R91" s="2">
        <v>0</v>
      </c>
      <c r="S91" s="2">
        <v>0</v>
      </c>
      <c r="T91" s="2">
        <v>4120.3515580000003</v>
      </c>
      <c r="U91" s="2">
        <v>4121.7306680000002</v>
      </c>
      <c r="V91" s="2">
        <v>0</v>
      </c>
      <c r="W91" s="2">
        <v>11546.951556</v>
      </c>
      <c r="X91" s="2">
        <v>0</v>
      </c>
      <c r="Y91" s="2">
        <v>0</v>
      </c>
      <c r="Z91" s="2">
        <v>11533.418726</v>
      </c>
      <c r="AA91" s="2">
        <v>0</v>
      </c>
      <c r="AB91" s="2">
        <v>11498.681365</v>
      </c>
      <c r="AC91" s="2">
        <v>0</v>
      </c>
      <c r="AD91" s="2">
        <v>4157.3399879999997</v>
      </c>
      <c r="AE91" s="2">
        <v>0</v>
      </c>
      <c r="AF91" s="2">
        <v>11457.003497</v>
      </c>
      <c r="AG91" s="2">
        <v>11483.535273</v>
      </c>
      <c r="AH91" s="2">
        <v>0</v>
      </c>
      <c r="AI91" s="2">
        <v>0</v>
      </c>
      <c r="AJ91" s="2">
        <v>0</v>
      </c>
      <c r="AK91" s="2">
        <v>11473.913732000001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11522.183923000001</v>
      </c>
      <c r="AR91" s="2">
        <v>10008.213154999999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</row>
    <row r="92" spans="1:52" x14ac:dyDescent="0.25">
      <c r="A92" s="1"/>
      <c r="B92" s="2"/>
      <c r="C92" s="1">
        <v>44712</v>
      </c>
      <c r="D92" s="2">
        <v>0</v>
      </c>
      <c r="E92" s="2">
        <v>915.87937199999999</v>
      </c>
      <c r="F92" s="2">
        <v>961.74355700000001</v>
      </c>
      <c r="G92" s="2">
        <v>4091.7242999999999</v>
      </c>
      <c r="H92" s="2">
        <v>936.651791</v>
      </c>
      <c r="I92" s="2">
        <v>898.93408499999998</v>
      </c>
      <c r="J92" s="2">
        <v>4143.5187299999998</v>
      </c>
      <c r="K92" s="2">
        <v>0</v>
      </c>
      <c r="L92" s="2">
        <v>4143.6813309999998</v>
      </c>
      <c r="M92" s="2">
        <v>4121.071833</v>
      </c>
      <c r="N92" s="2">
        <v>4096.4516320000002</v>
      </c>
      <c r="O92" s="2">
        <v>4130.9825739999997</v>
      </c>
      <c r="P92" s="2">
        <v>4138.2956620000004</v>
      </c>
      <c r="Q92" s="2">
        <v>4084.784005</v>
      </c>
      <c r="R92" s="2">
        <v>0</v>
      </c>
      <c r="S92" s="2">
        <v>0</v>
      </c>
      <c r="T92" s="2">
        <v>4049.2814210000001</v>
      </c>
      <c r="U92" s="2">
        <v>4168.4641330000004</v>
      </c>
      <c r="V92" s="2">
        <v>0</v>
      </c>
      <c r="W92" s="2">
        <v>11672.982144</v>
      </c>
      <c r="X92" s="2">
        <v>0</v>
      </c>
      <c r="Y92" s="2">
        <v>0</v>
      </c>
      <c r="Z92" s="2">
        <v>11658.523643</v>
      </c>
      <c r="AA92" s="2">
        <v>0</v>
      </c>
      <c r="AB92" s="2">
        <v>11630.450933</v>
      </c>
      <c r="AC92" s="2">
        <v>0</v>
      </c>
      <c r="AD92" s="2">
        <v>4085.7834069999999</v>
      </c>
      <c r="AE92" s="2">
        <v>0</v>
      </c>
      <c r="AF92" s="2">
        <v>11598.367835999999</v>
      </c>
      <c r="AG92" s="2">
        <v>11619.228885</v>
      </c>
      <c r="AH92" s="2">
        <v>0</v>
      </c>
      <c r="AI92" s="2">
        <v>0</v>
      </c>
      <c r="AJ92" s="2">
        <v>0</v>
      </c>
      <c r="AK92" s="2">
        <v>11610.164472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11649.400598</v>
      </c>
      <c r="AR92" s="2">
        <v>10085.356830999999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</row>
    <row r="93" spans="1:52" x14ac:dyDescent="0.25">
      <c r="A93" s="1"/>
      <c r="B93" s="2"/>
      <c r="C93" s="1">
        <v>44742</v>
      </c>
      <c r="D93" s="2">
        <v>0</v>
      </c>
      <c r="E93" s="2">
        <v>853.88244599999996</v>
      </c>
      <c r="F93" s="2">
        <v>908.78575499999999</v>
      </c>
      <c r="G93" s="2">
        <v>4064.125689</v>
      </c>
      <c r="H93" s="2">
        <v>877.41998000000001</v>
      </c>
      <c r="I93" s="2">
        <v>834.88244599999996</v>
      </c>
      <c r="J93" s="2">
        <v>4068.5830639999999</v>
      </c>
      <c r="K93" s="2">
        <v>0</v>
      </c>
      <c r="L93" s="2">
        <v>4142.9510650000002</v>
      </c>
      <c r="M93" s="2">
        <v>4127.2545639999998</v>
      </c>
      <c r="N93" s="2">
        <v>4110.6490469999999</v>
      </c>
      <c r="O93" s="2">
        <v>4060.13877</v>
      </c>
      <c r="P93" s="2">
        <v>4136.9268300000003</v>
      </c>
      <c r="Q93" s="2">
        <v>4019.9546129999999</v>
      </c>
      <c r="R93" s="2">
        <v>0</v>
      </c>
      <c r="S93" s="2">
        <v>0</v>
      </c>
      <c r="T93" s="2">
        <v>4059.3055039999999</v>
      </c>
      <c r="U93" s="2">
        <v>4113.7508699999998</v>
      </c>
      <c r="V93" s="2">
        <v>0</v>
      </c>
      <c r="W93" s="2">
        <v>11799.96917</v>
      </c>
      <c r="X93" s="2">
        <v>0</v>
      </c>
      <c r="Y93" s="2">
        <v>0</v>
      </c>
      <c r="Z93" s="2">
        <v>11786.275960000001</v>
      </c>
      <c r="AA93" s="2">
        <v>0</v>
      </c>
      <c r="AB93" s="2">
        <v>11757.669472</v>
      </c>
      <c r="AC93" s="2">
        <v>0</v>
      </c>
      <c r="AD93" s="2">
        <v>4009.971368</v>
      </c>
      <c r="AE93" s="2">
        <v>0</v>
      </c>
      <c r="AF93" s="2">
        <v>11722.299295999999</v>
      </c>
      <c r="AG93" s="2">
        <v>11747.482481999999</v>
      </c>
      <c r="AH93" s="2">
        <v>0</v>
      </c>
      <c r="AI93" s="2">
        <v>0</v>
      </c>
      <c r="AJ93" s="2">
        <v>0</v>
      </c>
      <c r="AK93" s="2">
        <v>11738.136511000001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11777.853926</v>
      </c>
      <c r="AR93" s="2">
        <v>9862.4110139999993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</row>
    <row r="94" spans="1:52" x14ac:dyDescent="0.25">
      <c r="A94" s="1"/>
      <c r="B94" s="2"/>
      <c r="C94" s="1">
        <v>44771</v>
      </c>
      <c r="D94" s="2">
        <v>0</v>
      </c>
      <c r="E94" s="2">
        <v>868.98180500000001</v>
      </c>
      <c r="F94" s="2">
        <v>921.53639399999997</v>
      </c>
      <c r="G94" s="2">
        <v>3980.2350649999998</v>
      </c>
      <c r="H94" s="2">
        <v>891.43931699999996</v>
      </c>
      <c r="I94" s="2">
        <v>851.75844400000005</v>
      </c>
      <c r="J94" s="2">
        <v>3979.1034589999999</v>
      </c>
      <c r="K94" s="2">
        <v>664.00122099999999</v>
      </c>
      <c r="L94" s="2">
        <v>4092.7262139999998</v>
      </c>
      <c r="M94" s="2">
        <v>4093.2322490000001</v>
      </c>
      <c r="N94" s="2">
        <v>4095.280295</v>
      </c>
      <c r="O94" s="2">
        <v>3961.0416009999999</v>
      </c>
      <c r="P94" s="2">
        <v>4066.5159990000002</v>
      </c>
      <c r="Q94" s="2">
        <v>3932.9347520000001</v>
      </c>
      <c r="R94" s="2">
        <v>0</v>
      </c>
      <c r="S94" s="2">
        <v>0</v>
      </c>
      <c r="T94" s="2">
        <v>4036.9547980000002</v>
      </c>
      <c r="U94" s="2">
        <v>4016.952475</v>
      </c>
      <c r="V94" s="2">
        <v>0</v>
      </c>
      <c r="W94" s="2">
        <v>11927.166622999999</v>
      </c>
      <c r="X94" s="2">
        <v>0</v>
      </c>
      <c r="Y94" s="2">
        <v>0</v>
      </c>
      <c r="Z94" s="2">
        <v>11911.512586999999</v>
      </c>
      <c r="AA94" s="2">
        <v>0</v>
      </c>
      <c r="AB94" s="2">
        <v>11878.038322</v>
      </c>
      <c r="AC94" s="2">
        <v>0</v>
      </c>
      <c r="AD94" s="2">
        <v>3912.4423320000001</v>
      </c>
      <c r="AE94" s="2">
        <v>0</v>
      </c>
      <c r="AF94" s="2">
        <v>11845.569362</v>
      </c>
      <c r="AG94" s="2">
        <v>11866.896191</v>
      </c>
      <c r="AH94" s="2">
        <v>0</v>
      </c>
      <c r="AI94" s="2">
        <v>0</v>
      </c>
      <c r="AJ94" s="2">
        <v>0</v>
      </c>
      <c r="AK94" s="2">
        <v>11857.154306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11902.572553</v>
      </c>
      <c r="AR94" s="2">
        <v>9888.15229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</row>
    <row r="95" spans="1:52" x14ac:dyDescent="0.25">
      <c r="A95" s="1"/>
      <c r="B95" s="2"/>
      <c r="C95" s="1">
        <v>44804</v>
      </c>
      <c r="D95" s="2">
        <v>0</v>
      </c>
      <c r="E95" s="2">
        <v>911.19356200000004</v>
      </c>
      <c r="F95" s="2">
        <v>955.85634600000003</v>
      </c>
      <c r="G95" s="2">
        <v>4066.4188749999998</v>
      </c>
      <c r="H95" s="2">
        <v>930.57918900000004</v>
      </c>
      <c r="I95" s="2">
        <v>895.40130099999999</v>
      </c>
      <c r="J95" s="2">
        <v>3997.5780070000001</v>
      </c>
      <c r="K95" s="2">
        <v>686.81558500000006</v>
      </c>
      <c r="L95" s="2">
        <v>4021.7628749999999</v>
      </c>
      <c r="M95" s="2">
        <v>4013.4911910000001</v>
      </c>
      <c r="N95" s="2">
        <v>3989.46486</v>
      </c>
      <c r="O95" s="2">
        <v>3997.5027020000002</v>
      </c>
      <c r="P95" s="2">
        <v>4008.0573239999999</v>
      </c>
      <c r="Q95" s="2">
        <v>4054.4730880000002</v>
      </c>
      <c r="R95" s="2">
        <v>0</v>
      </c>
      <c r="S95" s="2">
        <v>0</v>
      </c>
      <c r="T95" s="2">
        <v>4058.8407910000001</v>
      </c>
      <c r="U95" s="2">
        <v>4018.6238360000002</v>
      </c>
      <c r="V95" s="2">
        <v>0</v>
      </c>
      <c r="W95" s="2">
        <v>12070.948689999999</v>
      </c>
      <c r="X95" s="2">
        <v>0</v>
      </c>
      <c r="Y95" s="2">
        <v>0</v>
      </c>
      <c r="Z95" s="2">
        <v>12055.160034</v>
      </c>
      <c r="AA95" s="2">
        <v>0</v>
      </c>
      <c r="AB95" s="2">
        <v>12015.349372000001</v>
      </c>
      <c r="AC95" s="2">
        <v>0</v>
      </c>
      <c r="AD95" s="2">
        <v>4058.147191</v>
      </c>
      <c r="AE95" s="2">
        <v>0</v>
      </c>
      <c r="AF95" s="2">
        <v>11981.374701000001</v>
      </c>
      <c r="AG95" s="2">
        <v>12004.331214</v>
      </c>
      <c r="AH95" s="2">
        <v>0</v>
      </c>
      <c r="AI95" s="2">
        <v>0</v>
      </c>
      <c r="AJ95" s="2">
        <v>0</v>
      </c>
      <c r="AK95" s="2">
        <v>11994.100068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12047.737912000001</v>
      </c>
      <c r="AR95" s="2">
        <v>9781.9244159999998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</row>
    <row r="96" spans="1:52" x14ac:dyDescent="0.25">
      <c r="A96" s="1"/>
      <c r="B96" s="2"/>
      <c r="C96" s="1">
        <v>44834</v>
      </c>
      <c r="D96" s="2">
        <v>0</v>
      </c>
      <c r="E96" s="2">
        <v>928.91835400000002</v>
      </c>
      <c r="F96" s="2">
        <v>970.59944299999995</v>
      </c>
      <c r="G96" s="2">
        <v>4147.2125720000004</v>
      </c>
      <c r="H96" s="2">
        <v>947.15919499999995</v>
      </c>
      <c r="I96" s="2">
        <v>913.95799799999998</v>
      </c>
      <c r="J96" s="2">
        <v>4127.5986240000002</v>
      </c>
      <c r="K96" s="2">
        <v>699.61052500000005</v>
      </c>
      <c r="L96" s="2">
        <v>4069.0451029999999</v>
      </c>
      <c r="M96" s="2">
        <v>4037.9179330000002</v>
      </c>
      <c r="N96" s="2">
        <v>4010.7562090000001</v>
      </c>
      <c r="O96" s="2">
        <v>4143.7763789999999</v>
      </c>
      <c r="P96" s="2">
        <v>4068.1761809999998</v>
      </c>
      <c r="Q96" s="2">
        <v>4171.3567659999999</v>
      </c>
      <c r="R96" s="2">
        <v>0</v>
      </c>
      <c r="S96" s="2">
        <v>0</v>
      </c>
      <c r="T96" s="2">
        <v>4076.991794</v>
      </c>
      <c r="U96" s="2">
        <v>4123.2461130000002</v>
      </c>
      <c r="V96" s="2">
        <v>0</v>
      </c>
      <c r="W96" s="2">
        <v>12208.032368</v>
      </c>
      <c r="X96" s="2">
        <v>0</v>
      </c>
      <c r="Y96" s="2">
        <v>0</v>
      </c>
      <c r="Z96" s="2">
        <v>12189.259797999999</v>
      </c>
      <c r="AA96" s="2">
        <v>0</v>
      </c>
      <c r="AB96" s="2">
        <v>12152.718145999999</v>
      </c>
      <c r="AC96" s="2">
        <v>0</v>
      </c>
      <c r="AD96" s="2">
        <v>4199.2175779999998</v>
      </c>
      <c r="AE96" s="2">
        <v>0</v>
      </c>
      <c r="AF96" s="2">
        <v>12112.370582</v>
      </c>
      <c r="AG96" s="2">
        <v>12138.583649</v>
      </c>
      <c r="AH96" s="2">
        <v>0</v>
      </c>
      <c r="AI96" s="2">
        <v>0</v>
      </c>
      <c r="AJ96" s="2">
        <v>0</v>
      </c>
      <c r="AK96" s="2">
        <v>12129.246315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12182.088530000001</v>
      </c>
      <c r="AR96" s="2">
        <v>9793.4881860000005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</row>
    <row r="97" spans="1:52" x14ac:dyDescent="0.25">
      <c r="A97" s="1"/>
      <c r="B97" s="2"/>
      <c r="C97" s="1">
        <v>44865</v>
      </c>
      <c r="D97" s="2">
        <v>0</v>
      </c>
      <c r="E97" s="2">
        <v>945.53325600000005</v>
      </c>
      <c r="F97" s="2">
        <v>983.33952599999998</v>
      </c>
      <c r="G97" s="2">
        <v>4178.0840760000001</v>
      </c>
      <c r="H97" s="2">
        <v>961.43963299999996</v>
      </c>
      <c r="I97" s="2">
        <v>932.59616100000005</v>
      </c>
      <c r="J97" s="2">
        <v>4142.0070249999999</v>
      </c>
      <c r="K97" s="2">
        <v>704.70988999999997</v>
      </c>
      <c r="L97" s="2">
        <v>4115.1370960000004</v>
      </c>
      <c r="M97" s="2">
        <v>4090.474029</v>
      </c>
      <c r="N97" s="2">
        <v>4082.8093359999998</v>
      </c>
      <c r="O97" s="2">
        <v>4152.0802819999999</v>
      </c>
      <c r="P97" s="2">
        <v>4102.5208060000004</v>
      </c>
      <c r="Q97" s="2">
        <v>4190.9969870000004</v>
      </c>
      <c r="R97" s="2">
        <v>0</v>
      </c>
      <c r="S97" s="2">
        <v>0</v>
      </c>
      <c r="T97" s="2">
        <v>4138.6255430000001</v>
      </c>
      <c r="U97" s="2">
        <v>4165.554795</v>
      </c>
      <c r="V97" s="2">
        <v>0</v>
      </c>
      <c r="W97" s="2">
        <v>12339.980173</v>
      </c>
      <c r="X97" s="2">
        <v>0</v>
      </c>
      <c r="Y97" s="2">
        <v>0</v>
      </c>
      <c r="Z97" s="2">
        <v>12322.684943</v>
      </c>
      <c r="AA97" s="2">
        <v>0</v>
      </c>
      <c r="AB97" s="2">
        <v>12286.709874</v>
      </c>
      <c r="AC97" s="2">
        <v>0</v>
      </c>
      <c r="AD97" s="2">
        <v>4210.7915110000004</v>
      </c>
      <c r="AE97" s="2">
        <v>0</v>
      </c>
      <c r="AF97" s="2">
        <v>12248.052127999999</v>
      </c>
      <c r="AG97" s="2">
        <v>12275.027249000001</v>
      </c>
      <c r="AH97" s="2">
        <v>0</v>
      </c>
      <c r="AI97" s="2">
        <v>0</v>
      </c>
      <c r="AJ97" s="2">
        <v>12227.740431</v>
      </c>
      <c r="AK97" s="2">
        <v>12265.199008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12317.146513</v>
      </c>
      <c r="AR97" s="2">
        <v>9579.5138270000007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</row>
    <row r="98" spans="1:52" x14ac:dyDescent="0.25">
      <c r="A98" s="1"/>
      <c r="B98" s="2"/>
      <c r="C98" s="1">
        <v>44895</v>
      </c>
      <c r="D98" s="2">
        <v>0</v>
      </c>
      <c r="E98" s="2">
        <v>912.79164500000002</v>
      </c>
      <c r="F98" s="2">
        <v>960.10647100000006</v>
      </c>
      <c r="G98" s="2">
        <v>4020.596693</v>
      </c>
      <c r="H98" s="2">
        <v>932.66958899999997</v>
      </c>
      <c r="I98" s="2">
        <v>895.99131499999999</v>
      </c>
      <c r="J98" s="2">
        <v>4079.32323</v>
      </c>
      <c r="K98" s="2">
        <v>688.58137899999997</v>
      </c>
      <c r="L98" s="2">
        <v>4082.431697</v>
      </c>
      <c r="M98" s="2">
        <v>4064.7003030000001</v>
      </c>
      <c r="N98" s="2">
        <v>4046.1131839999998</v>
      </c>
      <c r="O98" s="2">
        <v>4087.2038499999999</v>
      </c>
      <c r="P98" s="2">
        <v>4067.6853860000001</v>
      </c>
      <c r="Q98" s="2">
        <v>4018.0812620000002</v>
      </c>
      <c r="R98" s="2">
        <v>0</v>
      </c>
      <c r="S98" s="2">
        <v>0</v>
      </c>
      <c r="T98" s="2">
        <v>3995.2433860000001</v>
      </c>
      <c r="U98" s="2">
        <v>4103.7213110000002</v>
      </c>
      <c r="V98" s="2">
        <v>0</v>
      </c>
      <c r="W98" s="2">
        <v>12465.881417000001</v>
      </c>
      <c r="X98" s="2">
        <v>0</v>
      </c>
      <c r="Y98" s="2">
        <v>0</v>
      </c>
      <c r="Z98" s="2">
        <v>12448.621966999999</v>
      </c>
      <c r="AA98" s="2">
        <v>0</v>
      </c>
      <c r="AB98" s="2">
        <v>12408.670461</v>
      </c>
      <c r="AC98" s="2">
        <v>0</v>
      </c>
      <c r="AD98" s="2">
        <v>4025.488249</v>
      </c>
      <c r="AE98" s="2">
        <v>0</v>
      </c>
      <c r="AF98" s="2">
        <v>12370.929464000001</v>
      </c>
      <c r="AG98" s="2">
        <v>12398.055025</v>
      </c>
      <c r="AH98" s="2">
        <v>0</v>
      </c>
      <c r="AI98" s="2">
        <v>0</v>
      </c>
      <c r="AJ98" s="2">
        <v>12350.972444000001</v>
      </c>
      <c r="AK98" s="2">
        <v>12388.563577000001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12442.127818000001</v>
      </c>
      <c r="AR98" s="2">
        <v>9213.3117660000007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</row>
    <row r="99" spans="1:52" x14ac:dyDescent="0.25">
      <c r="A99" s="1"/>
      <c r="B99" s="2"/>
      <c r="C99" s="1">
        <v>44925</v>
      </c>
      <c r="D99" s="2">
        <v>0</v>
      </c>
      <c r="E99" s="2">
        <v>917.98653000000002</v>
      </c>
      <c r="F99" s="2">
        <v>955.72753299999999</v>
      </c>
      <c r="G99" s="2">
        <v>4133.045838</v>
      </c>
      <c r="H99" s="2">
        <v>934.417461</v>
      </c>
      <c r="I99" s="2">
        <v>904.71605599999998</v>
      </c>
      <c r="J99" s="2">
        <v>4233.1949180000001</v>
      </c>
      <c r="K99" s="2">
        <v>722.55341399999998</v>
      </c>
      <c r="L99" s="2">
        <v>4174.8461859999998</v>
      </c>
      <c r="M99" s="2">
        <v>4144.7171820000003</v>
      </c>
      <c r="N99" s="2">
        <v>4117.8794809999999</v>
      </c>
      <c r="O99" s="2">
        <v>4249.0802480000002</v>
      </c>
      <c r="P99" s="2">
        <v>4172.7851270000001</v>
      </c>
      <c r="Q99" s="2">
        <v>4161.1617139999998</v>
      </c>
      <c r="R99" s="2">
        <v>0</v>
      </c>
      <c r="S99" s="2">
        <v>0</v>
      </c>
      <c r="T99" s="2">
        <v>4067.1039420000002</v>
      </c>
      <c r="U99" s="2">
        <v>4228.6653820000001</v>
      </c>
      <c r="V99" s="2">
        <v>0</v>
      </c>
      <c r="W99" s="2">
        <v>12600.583041</v>
      </c>
      <c r="X99" s="2">
        <v>0</v>
      </c>
      <c r="Y99" s="2">
        <v>0</v>
      </c>
      <c r="Z99" s="2">
        <v>12581.614228</v>
      </c>
      <c r="AA99" s="2">
        <v>0</v>
      </c>
      <c r="AB99" s="2">
        <v>12545.747765</v>
      </c>
      <c r="AC99" s="2">
        <v>0</v>
      </c>
      <c r="AD99" s="2">
        <v>4185.0955590000003</v>
      </c>
      <c r="AE99" s="2">
        <v>0</v>
      </c>
      <c r="AF99" s="2">
        <v>12504.476075</v>
      </c>
      <c r="AG99" s="2">
        <v>12531.224373999999</v>
      </c>
      <c r="AH99" s="2">
        <v>0</v>
      </c>
      <c r="AI99" s="2">
        <v>0</v>
      </c>
      <c r="AJ99" s="2">
        <v>12487.512897000001</v>
      </c>
      <c r="AK99" s="2">
        <v>12519.997160000001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12574.036807</v>
      </c>
      <c r="AR99" s="2">
        <v>9351.1073460000007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</row>
    <row r="100" spans="1:52" x14ac:dyDescent="0.25">
      <c r="A100" s="1"/>
      <c r="B100" s="2"/>
      <c r="C100" s="1">
        <v>44957</v>
      </c>
      <c r="D100" s="2">
        <v>0</v>
      </c>
      <c r="E100" s="2">
        <v>870.34467800000004</v>
      </c>
      <c r="F100" s="2">
        <v>929.82569599999999</v>
      </c>
      <c r="G100" s="2">
        <v>3953.3910299999998</v>
      </c>
      <c r="H100" s="2">
        <v>895.42959299999995</v>
      </c>
      <c r="I100" s="2">
        <v>849.50107000000003</v>
      </c>
      <c r="J100" s="2">
        <v>3915.6977820000002</v>
      </c>
      <c r="K100" s="2">
        <v>703.87577299999998</v>
      </c>
      <c r="L100" s="2">
        <v>4091.3783990000002</v>
      </c>
      <c r="M100" s="2">
        <v>4092.239086</v>
      </c>
      <c r="N100" s="2">
        <v>4113.4948279999999</v>
      </c>
      <c r="O100" s="2">
        <v>3897.76413</v>
      </c>
      <c r="P100" s="2">
        <v>4056.9428910000001</v>
      </c>
      <c r="Q100" s="2">
        <v>3874.4129779999998</v>
      </c>
      <c r="R100" s="2">
        <v>662.00967500000002</v>
      </c>
      <c r="S100" s="2">
        <v>0</v>
      </c>
      <c r="T100" s="2">
        <v>4057.7150959999999</v>
      </c>
      <c r="U100" s="2">
        <v>3960.4012010000001</v>
      </c>
      <c r="V100" s="2">
        <v>0</v>
      </c>
      <c r="W100" s="2">
        <v>12754.32345</v>
      </c>
      <c r="X100" s="2">
        <v>0</v>
      </c>
      <c r="Y100" s="2">
        <v>0</v>
      </c>
      <c r="Z100" s="2">
        <v>12732.012688000001</v>
      </c>
      <c r="AA100" s="2">
        <v>0</v>
      </c>
      <c r="AB100" s="2">
        <v>12689.958113999999</v>
      </c>
      <c r="AC100" s="2">
        <v>0</v>
      </c>
      <c r="AD100" s="2">
        <v>3849.203708</v>
      </c>
      <c r="AE100" s="2">
        <v>0</v>
      </c>
      <c r="AF100" s="2">
        <v>12648.031249</v>
      </c>
      <c r="AG100" s="2">
        <v>12677.097817</v>
      </c>
      <c r="AH100" s="2">
        <v>0</v>
      </c>
      <c r="AI100" s="2">
        <v>3976.842729</v>
      </c>
      <c r="AJ100" s="2">
        <v>12634.826138</v>
      </c>
      <c r="AK100" s="2">
        <v>12661.261901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12725.80603</v>
      </c>
      <c r="AR100" s="2">
        <v>8703.6831889999994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</row>
    <row r="101" spans="1:52" x14ac:dyDescent="0.25">
      <c r="A101" s="1"/>
      <c r="B101" s="2"/>
      <c r="C101" s="1">
        <v>44985</v>
      </c>
      <c r="D101" s="2">
        <v>0</v>
      </c>
      <c r="E101" s="2">
        <v>867.86051299999997</v>
      </c>
      <c r="F101" s="2">
        <v>934.72866099999999</v>
      </c>
      <c r="G101" s="2">
        <v>4003.0427880000002</v>
      </c>
      <c r="H101" s="2">
        <v>894.85957599999995</v>
      </c>
      <c r="I101" s="2">
        <v>845.71443699999998</v>
      </c>
      <c r="J101" s="2">
        <v>3837.142034</v>
      </c>
      <c r="K101" s="2">
        <v>710.05576399999995</v>
      </c>
      <c r="L101" s="2">
        <v>4026.9387740000002</v>
      </c>
      <c r="M101" s="2">
        <v>4032.3829169999999</v>
      </c>
      <c r="N101" s="2">
        <v>4067.9195</v>
      </c>
      <c r="O101" s="2">
        <v>3821.201939</v>
      </c>
      <c r="P101" s="2">
        <v>3986.4272310000001</v>
      </c>
      <c r="Q101" s="2">
        <v>3916.1185099999998</v>
      </c>
      <c r="R101" s="2">
        <v>666.80058499999996</v>
      </c>
      <c r="S101" s="2">
        <v>0</v>
      </c>
      <c r="T101" s="2">
        <v>4128.6908590000003</v>
      </c>
      <c r="U101" s="2">
        <v>3890.5035339999999</v>
      </c>
      <c r="V101" s="2">
        <v>0</v>
      </c>
      <c r="W101" s="2">
        <v>12875.692131</v>
      </c>
      <c r="X101" s="2">
        <v>0</v>
      </c>
      <c r="Y101" s="2">
        <v>0</v>
      </c>
      <c r="Z101" s="2">
        <v>12853.936925</v>
      </c>
      <c r="AA101" s="2">
        <v>0</v>
      </c>
      <c r="AB101" s="2">
        <v>12820.762814</v>
      </c>
      <c r="AC101" s="2">
        <v>0</v>
      </c>
      <c r="AD101" s="2">
        <v>3891.543017</v>
      </c>
      <c r="AE101" s="2">
        <v>0</v>
      </c>
      <c r="AF101" s="2">
        <v>12774.172134</v>
      </c>
      <c r="AG101" s="2">
        <v>12805.825443</v>
      </c>
      <c r="AH101" s="2">
        <v>0</v>
      </c>
      <c r="AI101" s="2">
        <v>4028.2411619999998</v>
      </c>
      <c r="AJ101" s="2">
        <v>12753.847513000001</v>
      </c>
      <c r="AK101" s="2">
        <v>12786.531875000001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12847.235084</v>
      </c>
      <c r="AR101" s="2">
        <v>8727.2349579999991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</row>
    <row r="102" spans="1:52" x14ac:dyDescent="0.25">
      <c r="A102" s="1"/>
      <c r="B102" s="2"/>
      <c r="C102" s="1">
        <v>45016</v>
      </c>
      <c r="D102" s="2">
        <v>0</v>
      </c>
      <c r="E102" s="2">
        <v>903.26523499999996</v>
      </c>
      <c r="F102" s="2">
        <v>965.685115</v>
      </c>
      <c r="G102" s="2">
        <v>4143.2192459999997</v>
      </c>
      <c r="H102" s="2">
        <v>928.817723</v>
      </c>
      <c r="I102" s="2">
        <v>879.80778399999997</v>
      </c>
      <c r="J102" s="2">
        <v>4001.420631</v>
      </c>
      <c r="K102" s="2">
        <v>732.387158</v>
      </c>
      <c r="L102" s="2">
        <v>4139.6833660000002</v>
      </c>
      <c r="M102" s="2">
        <v>4133.7303469999997</v>
      </c>
      <c r="N102" s="2">
        <v>4147.3267480000004</v>
      </c>
      <c r="O102" s="2">
        <v>4016.64615</v>
      </c>
      <c r="P102" s="2">
        <v>4112.0128539999996</v>
      </c>
      <c r="Q102" s="2">
        <v>4071.8442690000002</v>
      </c>
      <c r="R102" s="2">
        <v>690.54384000000005</v>
      </c>
      <c r="S102" s="2">
        <v>0</v>
      </c>
      <c r="T102" s="2">
        <v>4218.3301719999999</v>
      </c>
      <c r="U102" s="2">
        <v>4049.6163999999999</v>
      </c>
      <c r="V102" s="2">
        <v>0</v>
      </c>
      <c r="W102" s="2">
        <v>13032.937626999999</v>
      </c>
      <c r="X102" s="2">
        <v>0</v>
      </c>
      <c r="Y102" s="2">
        <v>0</v>
      </c>
      <c r="Z102" s="2">
        <v>13002.607636999999</v>
      </c>
      <c r="AA102" s="2">
        <v>0</v>
      </c>
      <c r="AB102" s="2">
        <v>12961.976403000001</v>
      </c>
      <c r="AC102" s="2">
        <v>0</v>
      </c>
      <c r="AD102" s="2">
        <v>4069.4516290000001</v>
      </c>
      <c r="AE102" s="2">
        <v>0</v>
      </c>
      <c r="AF102" s="2">
        <v>12922.662163999999</v>
      </c>
      <c r="AG102" s="2">
        <v>12948.402233000001</v>
      </c>
      <c r="AH102" s="2">
        <v>0</v>
      </c>
      <c r="AI102" s="2">
        <v>4154.8435559999998</v>
      </c>
      <c r="AJ102" s="2">
        <v>12900.442773000001</v>
      </c>
      <c r="AK102" s="2">
        <v>12933.719701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12992.893173</v>
      </c>
      <c r="AR102" s="2">
        <v>8817.5578029999997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</row>
    <row r="103" spans="1:52" x14ac:dyDescent="0.25">
      <c r="A103" s="1"/>
      <c r="B103" s="2"/>
      <c r="C103" s="1">
        <v>45044</v>
      </c>
      <c r="D103" s="2">
        <v>0</v>
      </c>
      <c r="E103" s="2">
        <v>928.612979</v>
      </c>
      <c r="F103" s="2">
        <v>981.19104000000004</v>
      </c>
      <c r="G103" s="2">
        <v>4240.7188939999996</v>
      </c>
      <c r="H103" s="2">
        <v>950.21877300000006</v>
      </c>
      <c r="I103" s="2">
        <v>908.89079200000003</v>
      </c>
      <c r="J103" s="2">
        <v>4163.5799850000003</v>
      </c>
      <c r="K103" s="2">
        <v>741.05469600000004</v>
      </c>
      <c r="L103" s="2">
        <v>4217.5509499999998</v>
      </c>
      <c r="M103" s="2">
        <v>4204.5548989999998</v>
      </c>
      <c r="N103" s="2">
        <v>4199.448429</v>
      </c>
      <c r="O103" s="2">
        <v>4178.7639369999997</v>
      </c>
      <c r="P103" s="2">
        <v>4194.4651039999999</v>
      </c>
      <c r="Q103" s="2">
        <v>4224.3855759999997</v>
      </c>
      <c r="R103" s="2">
        <v>700.25102400000003</v>
      </c>
      <c r="S103" s="2">
        <v>0</v>
      </c>
      <c r="T103" s="2">
        <v>4274.7442460000002</v>
      </c>
      <c r="U103" s="2">
        <v>4174.0310099999997</v>
      </c>
      <c r="V103" s="2">
        <v>0</v>
      </c>
      <c r="W103" s="2">
        <v>13146.189836</v>
      </c>
      <c r="X103" s="2">
        <v>0</v>
      </c>
      <c r="Y103" s="2">
        <v>0</v>
      </c>
      <c r="Z103" s="2">
        <v>13113.423253000001</v>
      </c>
      <c r="AA103" s="2">
        <v>0</v>
      </c>
      <c r="AB103" s="2">
        <v>13075.682467000001</v>
      </c>
      <c r="AC103" s="2">
        <v>0</v>
      </c>
      <c r="AD103" s="2">
        <v>4231.7045770000004</v>
      </c>
      <c r="AE103" s="2">
        <v>0</v>
      </c>
      <c r="AF103" s="2">
        <v>13024.558702</v>
      </c>
      <c r="AG103" s="2">
        <v>13056.009357999999</v>
      </c>
      <c r="AH103" s="2">
        <v>0</v>
      </c>
      <c r="AI103" s="2">
        <v>4237.2584800000004</v>
      </c>
      <c r="AJ103" s="2">
        <v>12993.160683</v>
      </c>
      <c r="AK103" s="2">
        <v>13039.705022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13106.26461</v>
      </c>
      <c r="AR103" s="2">
        <v>8736.3552589999999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</row>
    <row r="104" spans="1:52" x14ac:dyDescent="0.25">
      <c r="A104" s="1"/>
      <c r="B104" s="2"/>
      <c r="C104" s="1">
        <v>45077</v>
      </c>
      <c r="D104" s="2">
        <v>0</v>
      </c>
      <c r="E104" s="2">
        <v>974.89491999999996</v>
      </c>
      <c r="F104" s="2">
        <v>1014.905843</v>
      </c>
      <c r="G104" s="2">
        <v>4306.8722699999998</v>
      </c>
      <c r="H104" s="2">
        <v>991.90320299999996</v>
      </c>
      <c r="I104" s="2">
        <v>958.43899599999997</v>
      </c>
      <c r="J104" s="2">
        <v>4370.1200099999996</v>
      </c>
      <c r="K104" s="2">
        <v>764.07146399999999</v>
      </c>
      <c r="L104" s="2">
        <v>4337.7655969999996</v>
      </c>
      <c r="M104" s="2">
        <v>4293.7596320000002</v>
      </c>
      <c r="N104" s="2">
        <v>4245.3827879999999</v>
      </c>
      <c r="O104" s="2">
        <v>4391.0952790000001</v>
      </c>
      <c r="P104" s="2">
        <v>4348.8310620000002</v>
      </c>
      <c r="Q104" s="2">
        <v>4290.5320330000004</v>
      </c>
      <c r="R104" s="2">
        <v>725.40302999999994</v>
      </c>
      <c r="S104" s="2">
        <v>0</v>
      </c>
      <c r="T104" s="2">
        <v>4218.9511430000002</v>
      </c>
      <c r="U104" s="2">
        <v>4355.8434550000002</v>
      </c>
      <c r="V104" s="2">
        <v>0</v>
      </c>
      <c r="W104" s="2">
        <v>13297.50906</v>
      </c>
      <c r="X104" s="2">
        <v>0</v>
      </c>
      <c r="Y104" s="2">
        <v>0</v>
      </c>
      <c r="Z104" s="2">
        <v>13278.546456</v>
      </c>
      <c r="AA104" s="2">
        <v>0</v>
      </c>
      <c r="AB104" s="2">
        <v>13237.627154</v>
      </c>
      <c r="AC104" s="2">
        <v>0</v>
      </c>
      <c r="AD104" s="2">
        <v>4323.8068489999996</v>
      </c>
      <c r="AE104" s="2">
        <v>0</v>
      </c>
      <c r="AF104" s="2">
        <v>13192.609268</v>
      </c>
      <c r="AG104" s="2">
        <v>13220.913449</v>
      </c>
      <c r="AH104" s="2">
        <v>0</v>
      </c>
      <c r="AI104" s="2">
        <v>4275.3433299999997</v>
      </c>
      <c r="AJ104" s="2">
        <v>13169.627923</v>
      </c>
      <c r="AK104" s="2">
        <v>13203.081947999999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13271.66669</v>
      </c>
      <c r="AR104" s="2">
        <v>8370.7032909999998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</row>
    <row r="105" spans="1:52" x14ac:dyDescent="0.25">
      <c r="A105" s="1"/>
      <c r="B105" s="2"/>
      <c r="C105" s="1">
        <v>45107</v>
      </c>
      <c r="D105" s="2">
        <v>0</v>
      </c>
      <c r="E105" s="2">
        <v>973.25929900000006</v>
      </c>
      <c r="F105" s="2">
        <v>995.13844300000005</v>
      </c>
      <c r="G105" s="2">
        <v>4439.4759620000004</v>
      </c>
      <c r="H105" s="2">
        <v>980.72188100000005</v>
      </c>
      <c r="I105" s="2">
        <v>964.68869199999995</v>
      </c>
      <c r="J105" s="2">
        <v>4544.5376429999997</v>
      </c>
      <c r="K105" s="2">
        <v>784.31379900000002</v>
      </c>
      <c r="L105" s="2">
        <v>4431.978924</v>
      </c>
      <c r="M105" s="2">
        <v>4362.9665660000001</v>
      </c>
      <c r="N105" s="2">
        <v>4286.3870269999998</v>
      </c>
      <c r="O105" s="2">
        <v>4592.6267879999996</v>
      </c>
      <c r="P105" s="2">
        <v>4463.9269510000004</v>
      </c>
      <c r="Q105" s="2">
        <v>4452.4193889999997</v>
      </c>
      <c r="R105" s="2">
        <v>747.82440199999996</v>
      </c>
      <c r="S105" s="2">
        <v>0</v>
      </c>
      <c r="T105" s="2">
        <v>4258.5031630000003</v>
      </c>
      <c r="U105" s="2">
        <v>4513.6458860000002</v>
      </c>
      <c r="V105" s="2">
        <v>0</v>
      </c>
      <c r="W105" s="2">
        <v>13446.310125</v>
      </c>
      <c r="X105" s="2">
        <v>0</v>
      </c>
      <c r="Y105" s="2">
        <v>0</v>
      </c>
      <c r="Z105" s="2">
        <v>13426.592806000001</v>
      </c>
      <c r="AA105" s="2">
        <v>0</v>
      </c>
      <c r="AB105" s="2">
        <v>13388.583842</v>
      </c>
      <c r="AC105" s="2">
        <v>0</v>
      </c>
      <c r="AD105" s="2">
        <v>4511.3311709999998</v>
      </c>
      <c r="AE105" s="2">
        <v>0</v>
      </c>
      <c r="AF105" s="2">
        <v>13349.418199</v>
      </c>
      <c r="AG105" s="2">
        <v>13375.322398</v>
      </c>
      <c r="AH105" s="2">
        <v>0</v>
      </c>
      <c r="AI105" s="2">
        <v>4399.0530230000004</v>
      </c>
      <c r="AJ105" s="2">
        <v>13330.561664000001</v>
      </c>
      <c r="AK105" s="2">
        <v>13359.747599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13416.411353</v>
      </c>
      <c r="AR105" s="2">
        <v>7965.5143740000003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</row>
    <row r="106" spans="1:52" x14ac:dyDescent="0.25">
      <c r="A106" s="1"/>
      <c r="B106" s="2"/>
      <c r="C106" s="1">
        <v>45138</v>
      </c>
      <c r="D106" s="2">
        <v>0</v>
      </c>
      <c r="E106" s="2">
        <v>975.06679799999995</v>
      </c>
      <c r="F106" s="2">
        <v>1002.088787</v>
      </c>
      <c r="G106" s="2">
        <v>4457.0523020000001</v>
      </c>
      <c r="H106" s="2">
        <v>987.06109600000002</v>
      </c>
      <c r="I106" s="2">
        <v>963.40662999999995</v>
      </c>
      <c r="J106" s="2">
        <v>4576.8819309999999</v>
      </c>
      <c r="K106" s="2">
        <v>791.42069200000003</v>
      </c>
      <c r="L106" s="2">
        <v>4464.3025749999997</v>
      </c>
      <c r="M106" s="2">
        <v>4398.9717199999996</v>
      </c>
      <c r="N106" s="2">
        <v>4326.9064070000004</v>
      </c>
      <c r="O106" s="2">
        <v>4628.2816990000001</v>
      </c>
      <c r="P106" s="2">
        <v>4481.4605899999997</v>
      </c>
      <c r="Q106" s="2">
        <v>4500.104147</v>
      </c>
      <c r="R106" s="2">
        <v>754.35320200000001</v>
      </c>
      <c r="S106" s="2">
        <v>0</v>
      </c>
      <c r="T106" s="2">
        <v>4294.5257080000001</v>
      </c>
      <c r="U106" s="2">
        <v>4547.1256910000002</v>
      </c>
      <c r="V106" s="2">
        <v>809.78713900000002</v>
      </c>
      <c r="W106" s="2">
        <v>13588.127623</v>
      </c>
      <c r="X106" s="2">
        <v>0</v>
      </c>
      <c r="Y106" s="2">
        <v>0</v>
      </c>
      <c r="Z106" s="2">
        <v>13567.560024</v>
      </c>
      <c r="AA106" s="2">
        <v>0</v>
      </c>
      <c r="AB106" s="2">
        <v>13532.270210999999</v>
      </c>
      <c r="AC106" s="2">
        <v>679.25674800000002</v>
      </c>
      <c r="AD106" s="2">
        <v>4548.611234</v>
      </c>
      <c r="AE106" s="2">
        <v>0</v>
      </c>
      <c r="AF106" s="2">
        <v>13492.344872</v>
      </c>
      <c r="AG106" s="2">
        <v>13517.847064</v>
      </c>
      <c r="AH106" s="2">
        <v>0</v>
      </c>
      <c r="AI106" s="2">
        <v>4416.4969940000001</v>
      </c>
      <c r="AJ106" s="2">
        <v>13470.839293000001</v>
      </c>
      <c r="AK106" s="2">
        <v>13504.307521000001</v>
      </c>
      <c r="AL106" s="2">
        <v>0</v>
      </c>
      <c r="AM106" s="2">
        <v>0</v>
      </c>
      <c r="AN106" s="2">
        <v>13454.961595999999</v>
      </c>
      <c r="AO106" s="2">
        <v>0</v>
      </c>
      <c r="AP106" s="2">
        <v>0</v>
      </c>
      <c r="AQ106" s="2">
        <v>13556.712077</v>
      </c>
      <c r="AR106" s="2">
        <v>8185.7432529999996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</row>
    <row r="107" spans="1:52" x14ac:dyDescent="0.25">
      <c r="A107" s="1"/>
      <c r="B107" s="2"/>
      <c r="C107" s="1">
        <v>45169</v>
      </c>
      <c r="D107" s="2">
        <v>0</v>
      </c>
      <c r="E107" s="2">
        <v>970.38456900000006</v>
      </c>
      <c r="F107" s="2">
        <v>1006.149422</v>
      </c>
      <c r="G107" s="2">
        <v>4429.051058</v>
      </c>
      <c r="H107" s="2">
        <v>985.875405</v>
      </c>
      <c r="I107" s="2">
        <v>956.65184799999997</v>
      </c>
      <c r="J107" s="2">
        <v>4371.2205489999997</v>
      </c>
      <c r="K107" s="2">
        <v>797.26504199999999</v>
      </c>
      <c r="L107" s="2">
        <v>4332.9660510000003</v>
      </c>
      <c r="M107" s="2">
        <v>4278.6801519999999</v>
      </c>
      <c r="N107" s="2">
        <v>4234.9246830000002</v>
      </c>
      <c r="O107" s="2">
        <v>4405.2479839999996</v>
      </c>
      <c r="P107" s="2">
        <v>4345.4942019999999</v>
      </c>
      <c r="Q107" s="2">
        <v>4431.1439090000003</v>
      </c>
      <c r="R107" s="2">
        <v>758.33879000000002</v>
      </c>
      <c r="S107" s="2">
        <v>0</v>
      </c>
      <c r="T107" s="2">
        <v>4312.9019829999997</v>
      </c>
      <c r="U107" s="2">
        <v>4386.8631599999999</v>
      </c>
      <c r="V107" s="2">
        <v>816.82086700000002</v>
      </c>
      <c r="W107" s="2">
        <v>13747.050273000001</v>
      </c>
      <c r="X107" s="2">
        <v>0</v>
      </c>
      <c r="Y107" s="2">
        <v>0</v>
      </c>
      <c r="Z107" s="2">
        <v>13734.250373999999</v>
      </c>
      <c r="AA107" s="2">
        <v>0</v>
      </c>
      <c r="AB107" s="2">
        <v>13695.424472000001</v>
      </c>
      <c r="AC107" s="2">
        <v>680.879144</v>
      </c>
      <c r="AD107" s="2">
        <v>4452.7838199999997</v>
      </c>
      <c r="AE107" s="2">
        <v>0</v>
      </c>
      <c r="AF107" s="2">
        <v>13648.926879000001</v>
      </c>
      <c r="AG107" s="2">
        <v>13679.476155</v>
      </c>
      <c r="AH107" s="2">
        <v>0</v>
      </c>
      <c r="AI107" s="2">
        <v>4404.338049</v>
      </c>
      <c r="AJ107" s="2">
        <v>13632.071158999999</v>
      </c>
      <c r="AK107" s="2">
        <v>13661.218081999999</v>
      </c>
      <c r="AL107" s="2">
        <v>0</v>
      </c>
      <c r="AM107" s="2">
        <v>0</v>
      </c>
      <c r="AN107" s="2">
        <v>13613.936823</v>
      </c>
      <c r="AO107" s="2">
        <v>0</v>
      </c>
      <c r="AP107" s="2">
        <v>0</v>
      </c>
      <c r="AQ107" s="2">
        <v>13720.900533</v>
      </c>
      <c r="AR107" s="2">
        <v>8321.1978519999993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</row>
    <row r="108" spans="1:52" x14ac:dyDescent="0.25">
      <c r="A108" s="1"/>
      <c r="B108" s="2"/>
      <c r="C108" s="1">
        <v>45198</v>
      </c>
      <c r="D108" s="2">
        <v>0</v>
      </c>
      <c r="E108" s="2">
        <v>956.00839099999996</v>
      </c>
      <c r="F108" s="2">
        <v>1002.730692</v>
      </c>
      <c r="G108" s="2">
        <v>4358.1495020000002</v>
      </c>
      <c r="H108" s="2">
        <v>977.57397900000001</v>
      </c>
      <c r="I108" s="2">
        <v>938.30355599999996</v>
      </c>
      <c r="J108" s="2">
        <v>4277.7196940000003</v>
      </c>
      <c r="K108" s="2">
        <v>797.06384600000001</v>
      </c>
      <c r="L108" s="2">
        <v>4280.3651659999996</v>
      </c>
      <c r="M108" s="2">
        <v>4247.5414119999996</v>
      </c>
      <c r="N108" s="2">
        <v>4222.6250479999999</v>
      </c>
      <c r="O108" s="2">
        <v>4274.5476159999998</v>
      </c>
      <c r="P108" s="2">
        <v>4296.4909340000004</v>
      </c>
      <c r="Q108" s="2">
        <v>4344.3126060000004</v>
      </c>
      <c r="R108" s="2">
        <v>756.30490099999997</v>
      </c>
      <c r="S108" s="2">
        <v>0</v>
      </c>
      <c r="T108" s="2">
        <v>4296.7604570000003</v>
      </c>
      <c r="U108" s="2">
        <v>4288.8696529999997</v>
      </c>
      <c r="V108" s="2">
        <v>817.60829200000001</v>
      </c>
      <c r="W108" s="2">
        <v>13881.434152</v>
      </c>
      <c r="X108" s="2">
        <v>0</v>
      </c>
      <c r="Y108" s="2">
        <v>0</v>
      </c>
      <c r="Z108" s="2">
        <v>13872.785474</v>
      </c>
      <c r="AA108" s="2">
        <v>0</v>
      </c>
      <c r="AB108" s="2">
        <v>13834.803476999999</v>
      </c>
      <c r="AC108" s="2">
        <v>676.86620900000003</v>
      </c>
      <c r="AD108" s="2">
        <v>4340.6844119999996</v>
      </c>
      <c r="AE108" s="2">
        <v>0</v>
      </c>
      <c r="AF108" s="2">
        <v>13785.396339999999</v>
      </c>
      <c r="AG108" s="2">
        <v>13816.853652</v>
      </c>
      <c r="AH108" s="2">
        <v>0</v>
      </c>
      <c r="AI108" s="2">
        <v>4341.2939489999999</v>
      </c>
      <c r="AJ108" s="2">
        <v>13773.096615</v>
      </c>
      <c r="AK108" s="2">
        <v>13800.986172999999</v>
      </c>
      <c r="AL108" s="2">
        <v>0</v>
      </c>
      <c r="AM108" s="2">
        <v>0</v>
      </c>
      <c r="AN108" s="2">
        <v>13752.786797000001</v>
      </c>
      <c r="AO108" s="2">
        <v>0</v>
      </c>
      <c r="AP108" s="2">
        <v>0</v>
      </c>
      <c r="AQ108" s="2">
        <v>13857.265052999999</v>
      </c>
      <c r="AR108" s="2">
        <v>8434.3528459999998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</row>
    <row r="109" spans="1:52" x14ac:dyDescent="0.25">
      <c r="A109" s="1"/>
      <c r="B109" s="2"/>
      <c r="C109" s="1">
        <v>45230</v>
      </c>
      <c r="D109" s="2">
        <v>0</v>
      </c>
      <c r="E109" s="2">
        <v>954.91389100000004</v>
      </c>
      <c r="F109" s="2">
        <v>1002.4541379999999</v>
      </c>
      <c r="G109" s="2">
        <v>4325.809749</v>
      </c>
      <c r="H109" s="2">
        <v>976.65937799999995</v>
      </c>
      <c r="I109" s="2">
        <v>938.99637199999995</v>
      </c>
      <c r="J109" s="2">
        <v>4223.6955319999997</v>
      </c>
      <c r="K109" s="2">
        <v>796.298588</v>
      </c>
      <c r="L109" s="2">
        <v>4245.6786849999999</v>
      </c>
      <c r="M109" s="2">
        <v>4217.0536190000003</v>
      </c>
      <c r="N109" s="2">
        <v>4193.3746590000001</v>
      </c>
      <c r="O109" s="2">
        <v>4224.464465</v>
      </c>
      <c r="P109" s="2">
        <v>4252.308129</v>
      </c>
      <c r="Q109" s="2">
        <v>4311.4577300000001</v>
      </c>
      <c r="R109" s="2">
        <v>754.38758099999995</v>
      </c>
      <c r="S109" s="2">
        <v>0</v>
      </c>
      <c r="T109" s="2">
        <v>4252.9689950000002</v>
      </c>
      <c r="U109" s="2">
        <v>4247.6321889999999</v>
      </c>
      <c r="V109" s="2">
        <v>818.18806300000006</v>
      </c>
      <c r="W109" s="2">
        <v>14019.714497999999</v>
      </c>
      <c r="X109" s="2">
        <v>0</v>
      </c>
      <c r="Y109" s="2">
        <v>0</v>
      </c>
      <c r="Z109" s="2">
        <v>14010.811293999999</v>
      </c>
      <c r="AA109" s="2">
        <v>0</v>
      </c>
      <c r="AB109" s="2">
        <v>13967.262708</v>
      </c>
      <c r="AC109" s="2">
        <v>674.29226400000005</v>
      </c>
      <c r="AD109" s="2">
        <v>4290.7090260000004</v>
      </c>
      <c r="AE109" s="2">
        <v>0</v>
      </c>
      <c r="AF109" s="2">
        <v>13912.273153</v>
      </c>
      <c r="AG109" s="2">
        <v>13946.231516</v>
      </c>
      <c r="AH109" s="2">
        <v>0</v>
      </c>
      <c r="AI109" s="2">
        <v>4308.6480099999999</v>
      </c>
      <c r="AJ109" s="2">
        <v>13898.490712999999</v>
      </c>
      <c r="AK109" s="2">
        <v>13933.290324</v>
      </c>
      <c r="AL109" s="2">
        <v>0</v>
      </c>
      <c r="AM109" s="2">
        <v>0</v>
      </c>
      <c r="AN109" s="2">
        <v>13880.403888000001</v>
      </c>
      <c r="AO109" s="2">
        <v>0</v>
      </c>
      <c r="AP109" s="2">
        <v>0</v>
      </c>
      <c r="AQ109" s="2">
        <v>13992.093534</v>
      </c>
      <c r="AR109" s="2">
        <v>8398.9107829999994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</row>
    <row r="110" spans="1:52" x14ac:dyDescent="0.25">
      <c r="A110" s="1"/>
      <c r="B110" s="2"/>
      <c r="C110" s="1">
        <v>45260</v>
      </c>
      <c r="D110" s="2">
        <v>0</v>
      </c>
      <c r="E110" s="2">
        <v>1008.385281</v>
      </c>
      <c r="F110" s="2">
        <v>1038.1301390000001</v>
      </c>
      <c r="G110" s="2">
        <v>4318.6016579999996</v>
      </c>
      <c r="H110" s="2">
        <v>1022.578212</v>
      </c>
      <c r="I110" s="2">
        <v>997.15126699999996</v>
      </c>
      <c r="J110" s="2">
        <v>4392.0484260000003</v>
      </c>
      <c r="K110" s="2">
        <v>819.49298399999998</v>
      </c>
      <c r="L110" s="2">
        <v>4361.199783</v>
      </c>
      <c r="M110" s="2">
        <v>4323.6972669999996</v>
      </c>
      <c r="N110" s="2">
        <v>4290.0154149999998</v>
      </c>
      <c r="O110" s="2">
        <v>4414.4641069999998</v>
      </c>
      <c r="P110" s="2">
        <v>4366.5745470000002</v>
      </c>
      <c r="Q110" s="2">
        <v>4336.8008570000002</v>
      </c>
      <c r="R110" s="2">
        <v>781.13734499999998</v>
      </c>
      <c r="S110" s="2">
        <v>0</v>
      </c>
      <c r="T110" s="2">
        <v>4238.6593419999999</v>
      </c>
      <c r="U110" s="2">
        <v>4383.1779829999996</v>
      </c>
      <c r="V110" s="2">
        <v>838.62260000000003</v>
      </c>
      <c r="W110" s="2">
        <v>14143.633922999999</v>
      </c>
      <c r="X110" s="2">
        <v>0</v>
      </c>
      <c r="Y110" s="2">
        <v>0</v>
      </c>
      <c r="Z110" s="2">
        <v>14135.101941999999</v>
      </c>
      <c r="AA110" s="2">
        <v>0</v>
      </c>
      <c r="AB110" s="2">
        <v>14092.923108999999</v>
      </c>
      <c r="AC110" s="2">
        <v>704.97314100000006</v>
      </c>
      <c r="AD110" s="2">
        <v>4345.083826</v>
      </c>
      <c r="AE110" s="2">
        <v>0</v>
      </c>
      <c r="AF110" s="2">
        <v>14044.023394</v>
      </c>
      <c r="AG110" s="2">
        <v>14075.208282</v>
      </c>
      <c r="AH110" s="2">
        <v>0</v>
      </c>
      <c r="AI110" s="2">
        <v>4297.7734069999997</v>
      </c>
      <c r="AJ110" s="2">
        <v>14026.26612</v>
      </c>
      <c r="AK110" s="2">
        <v>14062.573026</v>
      </c>
      <c r="AL110" s="2">
        <v>0</v>
      </c>
      <c r="AM110" s="2">
        <v>0</v>
      </c>
      <c r="AN110" s="2">
        <v>14010.518034999999</v>
      </c>
      <c r="AO110" s="2">
        <v>0</v>
      </c>
      <c r="AP110" s="2">
        <v>0</v>
      </c>
      <c r="AQ110" s="2">
        <v>14116.524012</v>
      </c>
      <c r="AR110" s="2">
        <v>8502.4015990000007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</row>
    <row r="111" spans="1:52" x14ac:dyDescent="0.25">
      <c r="A111" s="1"/>
      <c r="B111" s="2"/>
      <c r="C111" s="1">
        <v>45289</v>
      </c>
      <c r="D111" s="2">
        <v>0</v>
      </c>
      <c r="E111" s="2">
        <v>988.65443700000003</v>
      </c>
      <c r="F111" s="2">
        <v>1004.957453</v>
      </c>
      <c r="G111" s="2">
        <v>4452.1236680000002</v>
      </c>
      <c r="H111" s="2">
        <v>997.64217199999996</v>
      </c>
      <c r="I111" s="2">
        <v>982.99917100000005</v>
      </c>
      <c r="J111" s="2">
        <v>4594.3309010000003</v>
      </c>
      <c r="K111" s="2">
        <v>831.274002</v>
      </c>
      <c r="L111" s="2">
        <v>4459.196387</v>
      </c>
      <c r="M111" s="2">
        <v>4408.1230770000002</v>
      </c>
      <c r="N111" s="2">
        <v>4355.3056379999998</v>
      </c>
      <c r="O111" s="2">
        <v>4625.5119279999999</v>
      </c>
      <c r="P111" s="2">
        <v>4472.4969460000002</v>
      </c>
      <c r="Q111" s="2">
        <v>4497.9018500000002</v>
      </c>
      <c r="R111" s="2">
        <v>793.52706699999999</v>
      </c>
      <c r="S111" s="2">
        <v>0</v>
      </c>
      <c r="T111" s="2">
        <v>4309.0297309999996</v>
      </c>
      <c r="U111" s="2">
        <v>4563.4259229999998</v>
      </c>
      <c r="V111" s="2">
        <v>850.27231700000004</v>
      </c>
      <c r="W111" s="2">
        <v>14270.894576999999</v>
      </c>
      <c r="X111" s="2">
        <v>0</v>
      </c>
      <c r="Y111" s="2">
        <v>0</v>
      </c>
      <c r="Z111" s="2">
        <v>14262.214895999999</v>
      </c>
      <c r="AA111" s="2">
        <v>0</v>
      </c>
      <c r="AB111" s="2">
        <v>14220.986411</v>
      </c>
      <c r="AC111" s="2">
        <v>719.21854900000005</v>
      </c>
      <c r="AD111" s="2">
        <v>4556.3783000000003</v>
      </c>
      <c r="AE111" s="2">
        <v>0</v>
      </c>
      <c r="AF111" s="2">
        <v>14176.66008</v>
      </c>
      <c r="AG111" s="2">
        <v>14206.839102</v>
      </c>
      <c r="AH111" s="2">
        <v>0</v>
      </c>
      <c r="AI111" s="2">
        <v>4422.8875340000004</v>
      </c>
      <c r="AJ111" s="2">
        <v>14157.701829</v>
      </c>
      <c r="AK111" s="2">
        <v>14193.562615999999</v>
      </c>
      <c r="AL111" s="2">
        <v>0</v>
      </c>
      <c r="AM111" s="2">
        <v>0</v>
      </c>
      <c r="AN111" s="2">
        <v>14140.799292</v>
      </c>
      <c r="AO111" s="2">
        <v>0</v>
      </c>
      <c r="AP111" s="2">
        <v>0</v>
      </c>
      <c r="AQ111" s="2">
        <v>14247.296694000001</v>
      </c>
      <c r="AR111" s="2">
        <v>8311.5319459999992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</row>
    <row r="112" spans="1:52" x14ac:dyDescent="0.25">
      <c r="A112" s="1"/>
      <c r="B112" s="2"/>
      <c r="C112" s="1">
        <v>45322</v>
      </c>
      <c r="D112" s="2">
        <v>971.85190499999999</v>
      </c>
      <c r="E112" s="2">
        <v>986.23169199999995</v>
      </c>
      <c r="F112" s="2">
        <v>1012.164938</v>
      </c>
      <c r="G112" s="2">
        <v>4399.4771860000001</v>
      </c>
      <c r="H112" s="2">
        <v>1000.2930679999999</v>
      </c>
      <c r="I112" s="2">
        <v>979.27687700000001</v>
      </c>
      <c r="J112" s="2">
        <v>4506.9692880000002</v>
      </c>
      <c r="K112" s="2">
        <v>837.44641100000001</v>
      </c>
      <c r="L112" s="2">
        <v>4443.8212519999997</v>
      </c>
      <c r="M112" s="2">
        <v>4411.9528959999998</v>
      </c>
      <c r="N112" s="2">
        <v>4382.1617230000002</v>
      </c>
      <c r="O112" s="2">
        <v>4518.3349260000005</v>
      </c>
      <c r="P112" s="2">
        <v>4436.8706789999997</v>
      </c>
      <c r="Q112" s="2">
        <v>4427.5654050000003</v>
      </c>
      <c r="R112" s="2">
        <v>798.93025</v>
      </c>
      <c r="S112" s="2">
        <v>817.817182</v>
      </c>
      <c r="T112" s="2">
        <v>4333.4824840000001</v>
      </c>
      <c r="U112" s="2">
        <v>4489.4015369999997</v>
      </c>
      <c r="V112" s="2">
        <v>857.07112900000004</v>
      </c>
      <c r="W112" s="2">
        <v>14407.797705999999</v>
      </c>
      <c r="X112" s="2">
        <v>0</v>
      </c>
      <c r="Y112" s="2">
        <v>4354.5150100000001</v>
      </c>
      <c r="Z112" s="2">
        <v>14402.349292000001</v>
      </c>
      <c r="AA112" s="2">
        <v>554.86292800000001</v>
      </c>
      <c r="AB112" s="2">
        <v>14362.956394000001</v>
      </c>
      <c r="AC112" s="2">
        <v>722.989417</v>
      </c>
      <c r="AD112" s="2">
        <v>4464.7276339999999</v>
      </c>
      <c r="AE112" s="2">
        <v>0</v>
      </c>
      <c r="AF112" s="2">
        <v>14319.397908999999</v>
      </c>
      <c r="AG112" s="2">
        <v>14349.306531</v>
      </c>
      <c r="AH112" s="2">
        <v>0</v>
      </c>
      <c r="AI112" s="2">
        <v>4389.1459349999996</v>
      </c>
      <c r="AJ112" s="2">
        <v>14298.469080000001</v>
      </c>
      <c r="AK112" s="2">
        <v>14335.786392</v>
      </c>
      <c r="AL112" s="2">
        <v>0</v>
      </c>
      <c r="AM112" s="2">
        <v>684.83008099999995</v>
      </c>
      <c r="AN112" s="2">
        <v>14275.479079000001</v>
      </c>
      <c r="AO112" s="2">
        <v>14255.242112</v>
      </c>
      <c r="AP112" s="2">
        <v>0</v>
      </c>
      <c r="AQ112" s="2">
        <v>14390.025498000001</v>
      </c>
      <c r="AR112" s="2">
        <v>8378.8532610000002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</row>
    <row r="113" spans="1:52" x14ac:dyDescent="0.25">
      <c r="A113" s="1"/>
      <c r="B113" s="2"/>
      <c r="C113" s="1">
        <v>45351</v>
      </c>
      <c r="D113" s="2">
        <v>967.38329799999997</v>
      </c>
      <c r="E113" s="2">
        <v>986.05714</v>
      </c>
      <c r="F113" s="2">
        <v>1015.222065</v>
      </c>
      <c r="G113" s="2">
        <v>4426.267382</v>
      </c>
      <c r="H113" s="2">
        <v>1001.016161</v>
      </c>
      <c r="I113" s="2">
        <v>976.88533600000005</v>
      </c>
      <c r="J113" s="2">
        <v>4401.2965009999998</v>
      </c>
      <c r="K113" s="2">
        <v>841.36168199999997</v>
      </c>
      <c r="L113" s="2">
        <v>4347.3825790000001</v>
      </c>
      <c r="M113" s="2">
        <v>4316.8489829999999</v>
      </c>
      <c r="N113" s="2">
        <v>4274.4454409999998</v>
      </c>
      <c r="O113" s="2">
        <v>4401.9352609999996</v>
      </c>
      <c r="P113" s="2">
        <v>4346.8368829999999</v>
      </c>
      <c r="Q113" s="2">
        <v>4448.746674</v>
      </c>
      <c r="R113" s="2">
        <v>801.84407799999997</v>
      </c>
      <c r="S113" s="2">
        <v>821.326235</v>
      </c>
      <c r="T113" s="2">
        <v>4359.5782509999999</v>
      </c>
      <c r="U113" s="2">
        <v>4390.3360480000001</v>
      </c>
      <c r="V113" s="2">
        <v>861.57651299999998</v>
      </c>
      <c r="W113" s="2">
        <v>14525.864030999999</v>
      </c>
      <c r="X113" s="2">
        <v>0</v>
      </c>
      <c r="Y113" s="2">
        <v>4385.9154870000002</v>
      </c>
      <c r="Z113" s="2">
        <v>14519.180629</v>
      </c>
      <c r="AA113" s="2">
        <v>553.68990399999996</v>
      </c>
      <c r="AB113" s="2">
        <v>14483.482549</v>
      </c>
      <c r="AC113" s="2">
        <v>724.53002800000002</v>
      </c>
      <c r="AD113" s="2">
        <v>4481.4165220000004</v>
      </c>
      <c r="AE113" s="2">
        <v>0</v>
      </c>
      <c r="AF113" s="2">
        <v>14437.454256000001</v>
      </c>
      <c r="AG113" s="2">
        <v>14466.309114</v>
      </c>
      <c r="AH113" s="2">
        <v>0</v>
      </c>
      <c r="AI113" s="2">
        <v>4418.9872050000004</v>
      </c>
      <c r="AJ113" s="2">
        <v>14413.713652</v>
      </c>
      <c r="AK113" s="2">
        <v>14453.363656</v>
      </c>
      <c r="AL113" s="2">
        <v>0</v>
      </c>
      <c r="AM113" s="2">
        <v>685.88669200000004</v>
      </c>
      <c r="AN113" s="2">
        <v>14392.864346</v>
      </c>
      <c r="AO113" s="2">
        <v>14373.003021</v>
      </c>
      <c r="AP113" s="2">
        <v>0</v>
      </c>
      <c r="AQ113" s="2">
        <v>14509.170056999999</v>
      </c>
      <c r="AR113" s="2">
        <v>8368.4714729999996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</row>
    <row r="114" spans="1:52" x14ac:dyDescent="0.25">
      <c r="A114" s="1"/>
      <c r="B114" s="2"/>
      <c r="C114" s="1">
        <v>45380</v>
      </c>
      <c r="D114" s="2">
        <v>963.06210799999997</v>
      </c>
      <c r="E114" s="2">
        <v>984.30800499999998</v>
      </c>
      <c r="F114" s="2">
        <v>1020.251225</v>
      </c>
      <c r="G114" s="2">
        <v>4408.7496209999999</v>
      </c>
      <c r="H114" s="2">
        <v>1002.382853</v>
      </c>
      <c r="I114" s="2">
        <v>974.73122799999999</v>
      </c>
      <c r="J114" s="2">
        <v>4365.6300199999996</v>
      </c>
      <c r="K114" s="2">
        <v>846.24994700000002</v>
      </c>
      <c r="L114" s="2">
        <v>4347.3743539999996</v>
      </c>
      <c r="M114" s="2">
        <v>4329.3355620000002</v>
      </c>
      <c r="N114" s="2">
        <v>4311.8368289999999</v>
      </c>
      <c r="O114" s="2">
        <v>4372.5019410000004</v>
      </c>
      <c r="P114" s="2">
        <v>4338.6228609999998</v>
      </c>
      <c r="Q114" s="2">
        <v>4417.1311530000003</v>
      </c>
      <c r="R114" s="2">
        <v>805.75302299999998</v>
      </c>
      <c r="S114" s="2">
        <v>825.63130999999998</v>
      </c>
      <c r="T114" s="2">
        <v>4386.156481</v>
      </c>
      <c r="U114" s="2">
        <v>4357.2484880000002</v>
      </c>
      <c r="V114" s="2">
        <v>867.35553000000004</v>
      </c>
      <c r="W114" s="2">
        <v>14645.411934</v>
      </c>
      <c r="X114" s="2">
        <v>0</v>
      </c>
      <c r="Y114" s="2">
        <v>4396.6344589999999</v>
      </c>
      <c r="Z114" s="2">
        <v>14639.493347</v>
      </c>
      <c r="AA114" s="2">
        <v>551.26699799999994</v>
      </c>
      <c r="AB114" s="2">
        <v>14606.32582</v>
      </c>
      <c r="AC114" s="2">
        <v>726.16923299999996</v>
      </c>
      <c r="AD114" s="2">
        <v>4440.9872640000003</v>
      </c>
      <c r="AE114" s="2">
        <v>0</v>
      </c>
      <c r="AF114" s="2">
        <v>14565.511009</v>
      </c>
      <c r="AG114" s="2">
        <v>14591.338902</v>
      </c>
      <c r="AH114" s="2">
        <v>0</v>
      </c>
      <c r="AI114" s="2">
        <v>4406.7552340000002</v>
      </c>
      <c r="AJ114" s="2">
        <v>14545.088953</v>
      </c>
      <c r="AK114" s="2">
        <v>14580.351425999999</v>
      </c>
      <c r="AL114" s="2">
        <v>0</v>
      </c>
      <c r="AM114" s="2">
        <v>686.495544</v>
      </c>
      <c r="AN114" s="2">
        <v>14524.007648999999</v>
      </c>
      <c r="AO114" s="2">
        <v>14495.909009999999</v>
      </c>
      <c r="AP114" s="2">
        <v>0</v>
      </c>
      <c r="AQ114" s="2">
        <v>14631.802114</v>
      </c>
      <c r="AR114" s="2">
        <v>8319.0945499999998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</row>
    <row r="115" spans="1:52" x14ac:dyDescent="0.25">
      <c r="A115" s="1"/>
      <c r="B115" s="2"/>
      <c r="C115" s="1">
        <v>45412</v>
      </c>
      <c r="D115" s="2">
        <v>929.40831600000001</v>
      </c>
      <c r="E115" s="2">
        <v>958.24650299999996</v>
      </c>
      <c r="F115" s="2">
        <v>1012.399937</v>
      </c>
      <c r="G115" s="2">
        <v>4296.7244000000001</v>
      </c>
      <c r="H115" s="2">
        <v>984.31269599999996</v>
      </c>
      <c r="I115" s="2">
        <v>942.43939</v>
      </c>
      <c r="J115" s="2">
        <v>4208.053836</v>
      </c>
      <c r="K115" s="2">
        <v>843.87454600000001</v>
      </c>
      <c r="L115" s="2">
        <v>4272.6577719999996</v>
      </c>
      <c r="M115" s="2">
        <v>4274.7762830000001</v>
      </c>
      <c r="N115" s="2">
        <v>4292.3936009999998</v>
      </c>
      <c r="O115" s="2">
        <v>4202.4570450000001</v>
      </c>
      <c r="P115" s="2">
        <v>4244.2390310000001</v>
      </c>
      <c r="Q115" s="2">
        <v>4286.7072950000002</v>
      </c>
      <c r="R115" s="2">
        <v>800.06132400000001</v>
      </c>
      <c r="S115" s="2">
        <v>821.85635300000001</v>
      </c>
      <c r="T115" s="2">
        <v>4352.5132839999997</v>
      </c>
      <c r="U115" s="2">
        <v>4240.1554619999997</v>
      </c>
      <c r="V115" s="2">
        <v>867.18816400000003</v>
      </c>
      <c r="W115" s="2">
        <v>14776.311307</v>
      </c>
      <c r="X115" s="2">
        <v>0</v>
      </c>
      <c r="Y115" s="2">
        <v>4337.1594050000003</v>
      </c>
      <c r="Z115" s="2">
        <v>14770.295856999999</v>
      </c>
      <c r="AA115" s="2">
        <v>534.25592900000004</v>
      </c>
      <c r="AB115" s="2">
        <v>14740.913263</v>
      </c>
      <c r="AC115" s="2">
        <v>715.64094799999998</v>
      </c>
      <c r="AD115" s="2">
        <v>4276.0721130000002</v>
      </c>
      <c r="AE115" s="2">
        <v>0</v>
      </c>
      <c r="AF115" s="2">
        <v>14696.957612</v>
      </c>
      <c r="AG115" s="2">
        <v>14723.532010000001</v>
      </c>
      <c r="AH115" s="2">
        <v>0</v>
      </c>
      <c r="AI115" s="2">
        <v>4303.8472019999999</v>
      </c>
      <c r="AJ115" s="2">
        <v>14676.797724</v>
      </c>
      <c r="AK115" s="2">
        <v>14712.240108</v>
      </c>
      <c r="AL115" s="2">
        <v>0</v>
      </c>
      <c r="AM115" s="2">
        <v>674.33148300000005</v>
      </c>
      <c r="AN115" s="2">
        <v>14657.125575</v>
      </c>
      <c r="AO115" s="2">
        <v>14629.974758</v>
      </c>
      <c r="AP115" s="2">
        <v>0</v>
      </c>
      <c r="AQ115" s="2">
        <v>14763.260587999999</v>
      </c>
      <c r="AR115" s="2">
        <v>8214.4235169999993</v>
      </c>
      <c r="AS115" s="2">
        <v>0</v>
      </c>
      <c r="AT115" s="2">
        <v>0</v>
      </c>
      <c r="AU115" s="2">
        <v>0</v>
      </c>
      <c r="AV115" s="2">
        <v>14617.899517</v>
      </c>
      <c r="AW115" s="2">
        <v>0</v>
      </c>
      <c r="AX115" s="2">
        <v>0</v>
      </c>
      <c r="AY115" s="2">
        <v>0</v>
      </c>
      <c r="AZ115" s="2">
        <v>0</v>
      </c>
    </row>
    <row r="116" spans="1:52" x14ac:dyDescent="0.25">
      <c r="A116" s="1"/>
      <c r="B116" s="2"/>
      <c r="C116" s="1">
        <v>45443</v>
      </c>
      <c r="D116" s="2">
        <v>937.03406700000005</v>
      </c>
      <c r="E116" s="2">
        <v>964.93322999999998</v>
      </c>
      <c r="F116" s="2">
        <v>1018.1711319999999</v>
      </c>
      <c r="G116" s="2">
        <v>4243.1679260000001</v>
      </c>
      <c r="H116" s="2">
        <v>990.523056</v>
      </c>
      <c r="I116" s="2">
        <v>950.48927600000002</v>
      </c>
      <c r="J116" s="2">
        <v>4276.2740720000002</v>
      </c>
      <c r="K116" s="2">
        <v>849.222892</v>
      </c>
      <c r="L116" s="2">
        <v>4333.2842689999998</v>
      </c>
      <c r="M116" s="2">
        <v>4324.1677730000001</v>
      </c>
      <c r="N116" s="2">
        <v>4337.3331909999997</v>
      </c>
      <c r="O116" s="2">
        <v>4265.0346740000005</v>
      </c>
      <c r="P116" s="2">
        <v>4315.7703250000004</v>
      </c>
      <c r="Q116" s="2">
        <v>4226.4243900000001</v>
      </c>
      <c r="R116" s="2">
        <v>804.54360499999996</v>
      </c>
      <c r="S116" s="2">
        <v>826.649002</v>
      </c>
      <c r="T116" s="2">
        <v>4272.4477120000001</v>
      </c>
      <c r="U116" s="2">
        <v>4308.066245</v>
      </c>
      <c r="V116" s="2">
        <v>872.71859900000004</v>
      </c>
      <c r="W116" s="2">
        <v>14900.403452</v>
      </c>
      <c r="X116" s="2">
        <v>0</v>
      </c>
      <c r="Y116" s="2">
        <v>4264.8591930000002</v>
      </c>
      <c r="Z116" s="2">
        <v>14893.533164</v>
      </c>
      <c r="AA116" s="2">
        <v>536.120181</v>
      </c>
      <c r="AB116" s="2">
        <v>14863.280051</v>
      </c>
      <c r="AC116" s="2">
        <v>718.89381900000001</v>
      </c>
      <c r="AD116" s="2">
        <v>4218.1938639999998</v>
      </c>
      <c r="AE116" s="2">
        <v>0</v>
      </c>
      <c r="AF116" s="2">
        <v>14818.585918999999</v>
      </c>
      <c r="AG116" s="2">
        <v>14847.959755</v>
      </c>
      <c r="AH116" s="2">
        <v>0</v>
      </c>
      <c r="AI116" s="2">
        <v>4251.4027319999996</v>
      </c>
      <c r="AJ116" s="2">
        <v>14796.231401999999</v>
      </c>
      <c r="AK116" s="2">
        <v>14833.861505999999</v>
      </c>
      <c r="AL116" s="2">
        <v>0</v>
      </c>
      <c r="AM116" s="2">
        <v>676.75357799999995</v>
      </c>
      <c r="AN116" s="2">
        <v>14778.45211</v>
      </c>
      <c r="AO116" s="2">
        <v>14755.188509</v>
      </c>
      <c r="AP116" s="2">
        <v>0</v>
      </c>
      <c r="AQ116" s="2">
        <v>14887.884923</v>
      </c>
      <c r="AR116" s="2">
        <v>8319.4758419999998</v>
      </c>
      <c r="AS116" s="2">
        <v>0</v>
      </c>
      <c r="AT116" s="2">
        <v>0</v>
      </c>
      <c r="AU116" s="2">
        <v>0</v>
      </c>
      <c r="AV116" s="2">
        <v>14737.185670999999</v>
      </c>
      <c r="AW116" s="2">
        <v>0</v>
      </c>
      <c r="AX116" s="2">
        <v>0</v>
      </c>
      <c r="AY116" s="2">
        <v>0</v>
      </c>
      <c r="AZ116" s="2">
        <v>0</v>
      </c>
    </row>
    <row r="117" spans="1:52" x14ac:dyDescent="0.25">
      <c r="A117" s="1"/>
      <c r="B117" s="2"/>
      <c r="C117" s="1">
        <v>45471</v>
      </c>
      <c r="D117" s="2">
        <v>874.48154299999999</v>
      </c>
      <c r="E117" s="2">
        <v>900.65753299999994</v>
      </c>
      <c r="F117" s="2">
        <v>961.06592499999999</v>
      </c>
      <c r="G117" s="2">
        <v>4174.4771019999998</v>
      </c>
      <c r="H117" s="2">
        <v>928.64593500000001</v>
      </c>
      <c r="I117" s="2">
        <v>884.975593</v>
      </c>
      <c r="J117" s="2">
        <v>4145.2231529999999</v>
      </c>
      <c r="K117" s="2">
        <v>847.732393</v>
      </c>
      <c r="L117" s="2">
        <v>4302.5689279999997</v>
      </c>
      <c r="M117" s="2">
        <v>4312.1197469999997</v>
      </c>
      <c r="N117" s="2">
        <v>4346.3703679999999</v>
      </c>
      <c r="O117" s="2">
        <v>4119.6039289999999</v>
      </c>
      <c r="P117" s="2">
        <v>4261.6331620000001</v>
      </c>
      <c r="Q117" s="2">
        <v>4108.9575359999999</v>
      </c>
      <c r="R117" s="2">
        <v>800.18996200000004</v>
      </c>
      <c r="S117" s="2">
        <v>823.64123700000005</v>
      </c>
      <c r="T117" s="2">
        <v>4271.7596940000003</v>
      </c>
      <c r="U117" s="2">
        <v>4221.6597819999997</v>
      </c>
      <c r="V117" s="2">
        <v>873.06566399999997</v>
      </c>
      <c r="W117" s="2">
        <v>15021.383637999999</v>
      </c>
      <c r="X117" s="2">
        <v>0</v>
      </c>
      <c r="Y117" s="2">
        <v>4247.4938249999996</v>
      </c>
      <c r="Z117" s="2">
        <v>15015.240254</v>
      </c>
      <c r="AA117" s="2">
        <v>524.78456900000003</v>
      </c>
      <c r="AB117" s="2">
        <v>14988.924343000001</v>
      </c>
      <c r="AC117" s="2">
        <v>710.65357700000004</v>
      </c>
      <c r="AD117" s="2">
        <v>4082.5348920000001</v>
      </c>
      <c r="AE117" s="2">
        <v>0</v>
      </c>
      <c r="AF117" s="2">
        <v>14935.511454</v>
      </c>
      <c r="AG117" s="2">
        <v>14965.327141</v>
      </c>
      <c r="AH117" s="2">
        <v>0</v>
      </c>
      <c r="AI117" s="2">
        <v>4192.1824219999999</v>
      </c>
      <c r="AJ117" s="2">
        <v>14912.334827000001</v>
      </c>
      <c r="AK117" s="2">
        <v>14950.982566000001</v>
      </c>
      <c r="AL117" s="2">
        <v>0</v>
      </c>
      <c r="AM117" s="2">
        <v>667.98609099999999</v>
      </c>
      <c r="AN117" s="2">
        <v>14895.016192999999</v>
      </c>
      <c r="AO117" s="2">
        <v>14873.221450999999</v>
      </c>
      <c r="AP117" s="2">
        <v>0</v>
      </c>
      <c r="AQ117" s="2">
        <v>15009.968059999999</v>
      </c>
      <c r="AR117" s="2">
        <v>8023.5132469999999</v>
      </c>
      <c r="AS117" s="2">
        <v>0</v>
      </c>
      <c r="AT117" s="2">
        <v>0</v>
      </c>
      <c r="AU117" s="2">
        <v>0</v>
      </c>
      <c r="AV117" s="2">
        <v>14861.340238000001</v>
      </c>
      <c r="AW117" s="2">
        <v>0</v>
      </c>
      <c r="AX117" s="2">
        <v>0</v>
      </c>
      <c r="AY117" s="2">
        <v>0</v>
      </c>
      <c r="AZ117" s="2">
        <v>0</v>
      </c>
    </row>
    <row r="118" spans="1:52" x14ac:dyDescent="0.25">
      <c r="A118" s="1"/>
      <c r="B118" s="2"/>
      <c r="C118" s="1">
        <v>45504</v>
      </c>
      <c r="D118" s="2">
        <v>903.12455299999999</v>
      </c>
      <c r="E118" s="2">
        <v>926.16659200000004</v>
      </c>
      <c r="F118" s="2">
        <v>973.92715199999998</v>
      </c>
      <c r="G118" s="2">
        <v>4307.3556360000002</v>
      </c>
      <c r="H118" s="2">
        <v>948.17939200000001</v>
      </c>
      <c r="I118" s="2">
        <v>914.10292600000002</v>
      </c>
      <c r="J118" s="2">
        <v>4293.3263820000002</v>
      </c>
      <c r="K118" s="2">
        <v>855.53856399999995</v>
      </c>
      <c r="L118" s="2">
        <v>4379.1990260000002</v>
      </c>
      <c r="M118" s="2">
        <v>4358.6914189999998</v>
      </c>
      <c r="N118" s="2">
        <v>4377.4803670000001</v>
      </c>
      <c r="O118" s="2">
        <v>4290.9486880000004</v>
      </c>
      <c r="P118" s="2">
        <v>4367.8016040000002</v>
      </c>
      <c r="Q118" s="2">
        <v>4244.9497940000001</v>
      </c>
      <c r="R118" s="2">
        <v>808.405529</v>
      </c>
      <c r="S118" s="2">
        <v>831.50002500000005</v>
      </c>
      <c r="T118" s="2">
        <v>4311.0987800000003</v>
      </c>
      <c r="U118" s="2">
        <v>4375.0380619999996</v>
      </c>
      <c r="V118" s="2">
        <v>880.84984899999995</v>
      </c>
      <c r="W118" s="2">
        <v>15157.327673</v>
      </c>
      <c r="X118" s="2">
        <v>0</v>
      </c>
      <c r="Y118" s="2">
        <v>4306.4812300000003</v>
      </c>
      <c r="Z118" s="2">
        <v>15152.568453</v>
      </c>
      <c r="AA118" s="2">
        <v>539.50415699999996</v>
      </c>
      <c r="AB118" s="2">
        <v>15126.301802</v>
      </c>
      <c r="AC118" s="2">
        <v>721.19578000000001</v>
      </c>
      <c r="AD118" s="2">
        <v>4243.9892399999999</v>
      </c>
      <c r="AE118" s="2">
        <v>0</v>
      </c>
      <c r="AF118" s="2">
        <v>15076.239051</v>
      </c>
      <c r="AG118" s="2">
        <v>15106.385831</v>
      </c>
      <c r="AH118" s="2">
        <v>0</v>
      </c>
      <c r="AI118" s="2">
        <v>4303.3928130000004</v>
      </c>
      <c r="AJ118" s="2">
        <v>15054.883188</v>
      </c>
      <c r="AK118" s="2">
        <v>15093.775412999999</v>
      </c>
      <c r="AL118" s="2">
        <v>0</v>
      </c>
      <c r="AM118" s="2">
        <v>679.83454200000006</v>
      </c>
      <c r="AN118" s="2">
        <v>15037.377140000001</v>
      </c>
      <c r="AO118" s="2">
        <v>15020.431892000001</v>
      </c>
      <c r="AP118" s="2">
        <v>641.49586599999998</v>
      </c>
      <c r="AQ118" s="2">
        <v>15149.900865</v>
      </c>
      <c r="AR118" s="2">
        <v>8146.8447980000001</v>
      </c>
      <c r="AS118" s="2">
        <v>784.59174399999995</v>
      </c>
      <c r="AT118" s="2">
        <v>15001.228287</v>
      </c>
      <c r="AU118" s="2">
        <v>0</v>
      </c>
      <c r="AV118" s="2">
        <v>15010.337495</v>
      </c>
      <c r="AW118" s="2">
        <v>0</v>
      </c>
      <c r="AX118" s="2">
        <v>0</v>
      </c>
      <c r="AY118" s="2">
        <v>0</v>
      </c>
      <c r="AZ118" s="2">
        <v>0</v>
      </c>
    </row>
    <row r="119" spans="1:52" x14ac:dyDescent="0.25">
      <c r="A119" s="1"/>
      <c r="B119" s="2"/>
      <c r="C119" s="1">
        <v>45534</v>
      </c>
      <c r="D119" s="2">
        <v>901.41614600000003</v>
      </c>
      <c r="E119" s="2">
        <v>928.94543199999998</v>
      </c>
      <c r="F119" s="2">
        <v>980.16763500000002</v>
      </c>
      <c r="G119" s="2">
        <v>4326.1778430000004</v>
      </c>
      <c r="H119" s="2">
        <v>951.21070299999997</v>
      </c>
      <c r="I119" s="2">
        <v>914.07316800000001</v>
      </c>
      <c r="J119" s="2">
        <v>4210.5722830000004</v>
      </c>
      <c r="K119" s="2">
        <v>861.59815400000002</v>
      </c>
      <c r="L119" s="2">
        <v>4282.8651390000005</v>
      </c>
      <c r="M119" s="2">
        <v>4261.377101</v>
      </c>
      <c r="N119" s="2">
        <v>4276.050596</v>
      </c>
      <c r="O119" s="2">
        <v>4194.1811260000004</v>
      </c>
      <c r="P119" s="2">
        <v>4268.4031150000001</v>
      </c>
      <c r="Q119" s="2">
        <v>4291.4189230000002</v>
      </c>
      <c r="R119" s="2">
        <v>814.61843399999998</v>
      </c>
      <c r="S119" s="2">
        <v>837.79555300000004</v>
      </c>
      <c r="T119" s="2">
        <v>4340.9160739999998</v>
      </c>
      <c r="U119" s="2">
        <v>4285.6703660000003</v>
      </c>
      <c r="V119" s="2">
        <v>887.04389600000002</v>
      </c>
      <c r="W119" s="2">
        <v>15291.968637</v>
      </c>
      <c r="X119" s="2">
        <v>0</v>
      </c>
      <c r="Y119" s="2">
        <v>4332.5478659999999</v>
      </c>
      <c r="Z119" s="2">
        <v>15287.428029999999</v>
      </c>
      <c r="AA119" s="2">
        <v>542.55040799999995</v>
      </c>
      <c r="AB119" s="2">
        <v>15265.198931000001</v>
      </c>
      <c r="AC119" s="2">
        <v>726.99470399999996</v>
      </c>
      <c r="AD119" s="2">
        <v>4275.4507089999997</v>
      </c>
      <c r="AE119" s="2">
        <v>0</v>
      </c>
      <c r="AF119" s="2">
        <v>15210.574055999999</v>
      </c>
      <c r="AG119" s="2">
        <v>15248.978111</v>
      </c>
      <c r="AH119" s="2">
        <v>0</v>
      </c>
      <c r="AI119" s="2">
        <v>4331.9048220000004</v>
      </c>
      <c r="AJ119" s="2">
        <v>15187.993328</v>
      </c>
      <c r="AK119" s="2">
        <v>15230.020694999999</v>
      </c>
      <c r="AL119" s="2">
        <v>0</v>
      </c>
      <c r="AM119" s="2">
        <v>685.09618999999998</v>
      </c>
      <c r="AN119" s="2">
        <v>15168.990048</v>
      </c>
      <c r="AO119" s="2">
        <v>15155.536398</v>
      </c>
      <c r="AP119" s="2">
        <v>645.92523600000004</v>
      </c>
      <c r="AQ119" s="2">
        <v>15286.281412</v>
      </c>
      <c r="AR119" s="2">
        <v>8268.5376699999997</v>
      </c>
      <c r="AS119" s="2">
        <v>790.99882600000001</v>
      </c>
      <c r="AT119" s="2">
        <v>15135.508806</v>
      </c>
      <c r="AU119" s="2">
        <v>0</v>
      </c>
      <c r="AV119" s="2">
        <v>15146.302302</v>
      </c>
      <c r="AW119" s="2">
        <v>0</v>
      </c>
      <c r="AX119" s="2">
        <v>0</v>
      </c>
      <c r="AY119" s="2">
        <v>0</v>
      </c>
      <c r="AZ119" s="2">
        <v>0</v>
      </c>
    </row>
    <row r="120" spans="1:52" x14ac:dyDescent="0.25">
      <c r="A120" s="1"/>
      <c r="B120" s="2"/>
      <c r="C120" s="1">
        <v>45565</v>
      </c>
      <c r="D120" s="2">
        <v>897.36226499999998</v>
      </c>
      <c r="E120" s="2">
        <v>925.39968499999998</v>
      </c>
      <c r="F120" s="2">
        <v>982.28558699999996</v>
      </c>
      <c r="G120" s="2">
        <v>4276.435058</v>
      </c>
      <c r="H120" s="2">
        <v>952.27618299999995</v>
      </c>
      <c r="I120" s="2">
        <v>912.50060699999995</v>
      </c>
      <c r="J120" s="2">
        <v>4135.997257</v>
      </c>
      <c r="K120" s="2">
        <v>864.92589399999997</v>
      </c>
      <c r="L120" s="2">
        <v>4261.0250040000001</v>
      </c>
      <c r="M120" s="2">
        <v>4258.0364129999998</v>
      </c>
      <c r="N120" s="2">
        <v>4298.5445730000001</v>
      </c>
      <c r="O120" s="2">
        <v>4119.7784229999997</v>
      </c>
      <c r="P120" s="2">
        <v>4231.4634759999999</v>
      </c>
      <c r="Q120" s="2">
        <v>4231.0482739999998</v>
      </c>
      <c r="R120" s="2">
        <v>815.94704400000001</v>
      </c>
      <c r="S120" s="2">
        <v>840.00910899999997</v>
      </c>
      <c r="T120" s="2">
        <v>4355.6694680000001</v>
      </c>
      <c r="U120" s="2">
        <v>4198.44193</v>
      </c>
      <c r="V120" s="2">
        <v>892.14483900000005</v>
      </c>
      <c r="W120" s="2">
        <v>15416.273728</v>
      </c>
      <c r="X120" s="2">
        <v>0</v>
      </c>
      <c r="Y120" s="2">
        <v>4326.9642949999998</v>
      </c>
      <c r="Z120" s="2">
        <v>15413.098048</v>
      </c>
      <c r="AA120" s="2">
        <v>539.35406599999999</v>
      </c>
      <c r="AB120" s="2">
        <v>15393.720238</v>
      </c>
      <c r="AC120" s="2">
        <v>726.62909200000001</v>
      </c>
      <c r="AD120" s="2">
        <v>4198.4808549999998</v>
      </c>
      <c r="AE120" s="2">
        <v>0</v>
      </c>
      <c r="AF120" s="2">
        <v>15345.514659</v>
      </c>
      <c r="AG120" s="2">
        <v>15382.327874000001</v>
      </c>
      <c r="AH120" s="2">
        <v>0</v>
      </c>
      <c r="AI120" s="2">
        <v>4288.4932209999997</v>
      </c>
      <c r="AJ120" s="2">
        <v>15322.329116000001</v>
      </c>
      <c r="AK120" s="2">
        <v>15365.694097</v>
      </c>
      <c r="AL120" s="2">
        <v>0</v>
      </c>
      <c r="AM120" s="2">
        <v>683.96009800000002</v>
      </c>
      <c r="AN120" s="2">
        <v>15307.098188</v>
      </c>
      <c r="AO120" s="2">
        <v>15292.915542999999</v>
      </c>
      <c r="AP120" s="2">
        <v>644.18910200000005</v>
      </c>
      <c r="AQ120" s="2">
        <v>15412.435164</v>
      </c>
      <c r="AR120" s="2">
        <v>8290.71443</v>
      </c>
      <c r="AS120" s="2">
        <v>791.56166099999996</v>
      </c>
      <c r="AT120" s="2">
        <v>15279.010383000001</v>
      </c>
      <c r="AU120" s="2">
        <v>0</v>
      </c>
      <c r="AV120" s="2">
        <v>15284.729689</v>
      </c>
      <c r="AW120" s="2">
        <v>0</v>
      </c>
      <c r="AX120" s="2">
        <v>0</v>
      </c>
      <c r="AY120" s="2">
        <v>0</v>
      </c>
      <c r="AZ120" s="2">
        <v>0</v>
      </c>
    </row>
    <row r="121" spans="1:52" x14ac:dyDescent="0.25">
      <c r="A121" s="1"/>
      <c r="B121" s="2"/>
      <c r="C121" s="1">
        <v>45596</v>
      </c>
      <c r="D121" s="2">
        <v>887.63253099999997</v>
      </c>
      <c r="E121" s="2">
        <v>918.35540300000002</v>
      </c>
      <c r="F121" s="2">
        <v>982.56921999999997</v>
      </c>
      <c r="G121" s="2">
        <v>4235.0606770000004</v>
      </c>
      <c r="H121" s="2">
        <v>946.29006600000002</v>
      </c>
      <c r="I121" s="2">
        <v>901.72862999999995</v>
      </c>
      <c r="J121" s="2">
        <v>4042.9373000000001</v>
      </c>
      <c r="K121" s="2">
        <v>869.99333000000001</v>
      </c>
      <c r="L121" s="2">
        <v>4241.8421150000004</v>
      </c>
      <c r="M121" s="2">
        <v>4273.3888470000002</v>
      </c>
      <c r="N121" s="2">
        <v>4337.1430659999996</v>
      </c>
      <c r="O121" s="2">
        <v>4023.597158</v>
      </c>
      <c r="P121" s="2">
        <v>4198.7582439999996</v>
      </c>
      <c r="Q121" s="2">
        <v>4122.5713880000003</v>
      </c>
      <c r="R121" s="2">
        <v>818.54074900000001</v>
      </c>
      <c r="S121" s="2">
        <v>843.60728500000005</v>
      </c>
      <c r="T121" s="2">
        <v>4385.5912289999997</v>
      </c>
      <c r="U121" s="2">
        <v>4129.2398020000001</v>
      </c>
      <c r="V121" s="2">
        <v>898.52008699999999</v>
      </c>
      <c r="W121" s="2">
        <v>15559.236853</v>
      </c>
      <c r="X121" s="2">
        <v>0</v>
      </c>
      <c r="Y121" s="2">
        <v>4329.3270229999998</v>
      </c>
      <c r="Z121" s="2">
        <v>15558.723406999999</v>
      </c>
      <c r="AA121" s="2">
        <v>533.45323099999996</v>
      </c>
      <c r="AB121" s="2">
        <v>15539.539194000001</v>
      </c>
      <c r="AC121" s="2">
        <v>724.71427900000003</v>
      </c>
      <c r="AD121" s="2">
        <v>4096.1281230000004</v>
      </c>
      <c r="AE121" s="2">
        <v>0</v>
      </c>
      <c r="AF121" s="2">
        <v>15494.993855999999</v>
      </c>
      <c r="AG121" s="2">
        <v>15529.799277</v>
      </c>
      <c r="AH121" s="2">
        <v>0</v>
      </c>
      <c r="AI121" s="2">
        <v>4253.4140319999997</v>
      </c>
      <c r="AJ121" s="2">
        <v>15476.151941</v>
      </c>
      <c r="AK121" s="2">
        <v>15515.5317</v>
      </c>
      <c r="AL121" s="2">
        <v>0</v>
      </c>
      <c r="AM121" s="2">
        <v>680.47924399999999</v>
      </c>
      <c r="AN121" s="2">
        <v>15464.949481</v>
      </c>
      <c r="AO121" s="2">
        <v>15451.755472000001</v>
      </c>
      <c r="AP121" s="2">
        <v>639.92598299999997</v>
      </c>
      <c r="AQ121" s="2">
        <v>15558.256638000001</v>
      </c>
      <c r="AR121" s="2">
        <v>8347.0715479999999</v>
      </c>
      <c r="AS121" s="2">
        <v>792.85198300000002</v>
      </c>
      <c r="AT121" s="2">
        <v>15441.999996</v>
      </c>
      <c r="AU121" s="2">
        <v>0</v>
      </c>
      <c r="AV121" s="2">
        <v>15446.947749999999</v>
      </c>
      <c r="AW121" s="2">
        <v>0</v>
      </c>
      <c r="AX121" s="2">
        <v>0</v>
      </c>
      <c r="AY121" s="2">
        <v>15436.025351</v>
      </c>
      <c r="AZ121" s="2">
        <v>0</v>
      </c>
    </row>
    <row r="122" spans="1:52" x14ac:dyDescent="0.25">
      <c r="A122" s="1"/>
      <c r="B122" s="2"/>
      <c r="C122" s="1">
        <v>45625</v>
      </c>
      <c r="D122" s="2">
        <v>863.79572399999995</v>
      </c>
      <c r="E122" s="2">
        <v>900.27022799999997</v>
      </c>
      <c r="F122" s="2">
        <v>974.73086799999999</v>
      </c>
      <c r="G122" s="2">
        <v>4092.4401809999999</v>
      </c>
      <c r="H122" s="2">
        <v>931.87799099999995</v>
      </c>
      <c r="I122" s="2">
        <v>879.24258599999996</v>
      </c>
      <c r="J122" s="2">
        <v>4038.6584440000001</v>
      </c>
      <c r="K122" s="2">
        <v>868.56498399999998</v>
      </c>
      <c r="L122" s="2">
        <v>4230.6525250000004</v>
      </c>
      <c r="M122" s="2">
        <v>4270.9822809999996</v>
      </c>
      <c r="N122" s="2">
        <v>4354.6054199999999</v>
      </c>
      <c r="O122" s="2">
        <v>3992.1657420000001</v>
      </c>
      <c r="P122" s="2">
        <v>4184.3125879999998</v>
      </c>
      <c r="Q122" s="2">
        <v>4008.088139</v>
      </c>
      <c r="R122" s="2">
        <v>813.27617599999996</v>
      </c>
      <c r="S122" s="2">
        <v>840.06416100000001</v>
      </c>
      <c r="T122" s="2">
        <v>4262.6500839999999</v>
      </c>
      <c r="U122" s="2">
        <v>4118.8552989999998</v>
      </c>
      <c r="V122" s="2">
        <v>899.54446900000005</v>
      </c>
      <c r="W122" s="2">
        <v>15684.64313</v>
      </c>
      <c r="X122" s="2">
        <v>0</v>
      </c>
      <c r="Y122" s="2">
        <v>4200.3397379999997</v>
      </c>
      <c r="Z122" s="2">
        <v>15682.77693</v>
      </c>
      <c r="AA122" s="2">
        <v>521.20769199999995</v>
      </c>
      <c r="AB122" s="2">
        <v>15669.525341</v>
      </c>
      <c r="AC122" s="2">
        <v>714.73644999999999</v>
      </c>
      <c r="AD122" s="2">
        <v>3953.8786620000001</v>
      </c>
      <c r="AE122" s="2">
        <v>0</v>
      </c>
      <c r="AF122" s="2">
        <v>15626.728198999999</v>
      </c>
      <c r="AG122" s="2">
        <v>15663.581729</v>
      </c>
      <c r="AH122" s="2">
        <v>0</v>
      </c>
      <c r="AI122" s="2">
        <v>4103.989157</v>
      </c>
      <c r="AJ122" s="2">
        <v>15608.41121</v>
      </c>
      <c r="AK122" s="2">
        <v>15646.582058</v>
      </c>
      <c r="AL122" s="2">
        <v>0</v>
      </c>
      <c r="AM122" s="2">
        <v>669.593568</v>
      </c>
      <c r="AN122" s="2">
        <v>15592.603397000001</v>
      </c>
      <c r="AO122" s="2">
        <v>15582.456915000001</v>
      </c>
      <c r="AP122" s="2">
        <v>628.50859300000002</v>
      </c>
      <c r="AQ122" s="2">
        <v>15682.369188999999</v>
      </c>
      <c r="AR122" s="2">
        <v>8474.1584999999995</v>
      </c>
      <c r="AS122" s="2">
        <v>786.453033</v>
      </c>
      <c r="AT122" s="2">
        <v>15573.078867</v>
      </c>
      <c r="AU122" s="2">
        <v>0</v>
      </c>
      <c r="AV122" s="2">
        <v>15577.752209</v>
      </c>
      <c r="AW122" s="2">
        <v>0</v>
      </c>
      <c r="AX122" s="2">
        <v>0</v>
      </c>
      <c r="AY122" s="2">
        <v>15567.386173000001</v>
      </c>
      <c r="AZ122" s="2">
        <v>0</v>
      </c>
    </row>
    <row r="123" spans="1:52" x14ac:dyDescent="0.25">
      <c r="A123" s="1"/>
      <c r="B123" s="2"/>
      <c r="C123" s="1">
        <v>45657</v>
      </c>
      <c r="D123" s="2">
        <v>799.42379100000005</v>
      </c>
      <c r="E123" s="2">
        <v>846.127252</v>
      </c>
      <c r="F123" s="2">
        <v>956.53967999999998</v>
      </c>
      <c r="G123" s="2">
        <v>3936.8057709999998</v>
      </c>
      <c r="H123" s="2">
        <v>889.60750399999995</v>
      </c>
      <c r="I123" s="2">
        <v>817.78297399999997</v>
      </c>
      <c r="J123" s="2">
        <v>3793.800099</v>
      </c>
      <c r="K123" s="2">
        <v>865.69646299999999</v>
      </c>
      <c r="L123" s="2">
        <v>4160.1841400000003</v>
      </c>
      <c r="M123" s="2">
        <v>4211.9030620000003</v>
      </c>
      <c r="N123" s="2">
        <v>4357.9267680000003</v>
      </c>
      <c r="O123" s="2">
        <v>3736.1591629999998</v>
      </c>
      <c r="P123" s="2">
        <v>4074.6307780000002</v>
      </c>
      <c r="Q123" s="2">
        <v>3811.5310479999998</v>
      </c>
      <c r="R123" s="2">
        <v>802.45842600000003</v>
      </c>
      <c r="S123" s="2">
        <v>833.14014299999997</v>
      </c>
      <c r="T123" s="2">
        <v>4241.7412400000003</v>
      </c>
      <c r="U123" s="2">
        <v>3981.514784</v>
      </c>
      <c r="V123" s="2">
        <v>900.88777500000003</v>
      </c>
      <c r="W123" s="2">
        <v>15817.948113</v>
      </c>
      <c r="X123" s="2">
        <v>0</v>
      </c>
      <c r="Y123" s="2">
        <v>4137.566433</v>
      </c>
      <c r="Z123" s="2">
        <v>15814.688941</v>
      </c>
      <c r="AA123" s="2">
        <v>484.082517</v>
      </c>
      <c r="AB123" s="2">
        <v>15796.905887000001</v>
      </c>
      <c r="AC123" s="2">
        <v>692.39667399999996</v>
      </c>
      <c r="AD123" s="2">
        <v>3699.8023840000001</v>
      </c>
      <c r="AE123" s="2">
        <v>0</v>
      </c>
      <c r="AF123" s="2">
        <v>15756.514304</v>
      </c>
      <c r="AG123" s="2">
        <v>15786.748661</v>
      </c>
      <c r="AH123" s="2">
        <v>0</v>
      </c>
      <c r="AI123" s="2">
        <v>3986.6647429999998</v>
      </c>
      <c r="AJ123" s="2">
        <v>15730.567498</v>
      </c>
      <c r="AK123" s="2">
        <v>15771.734321</v>
      </c>
      <c r="AL123" s="2">
        <v>0</v>
      </c>
      <c r="AM123" s="2">
        <v>642.97250199999996</v>
      </c>
      <c r="AN123" s="2">
        <v>15717.040352</v>
      </c>
      <c r="AO123" s="2">
        <v>15707.341942999999</v>
      </c>
      <c r="AP123" s="2">
        <v>598.58459100000005</v>
      </c>
      <c r="AQ123" s="2">
        <v>15811.587981999999</v>
      </c>
      <c r="AR123" s="2">
        <v>8507.4957130000003</v>
      </c>
      <c r="AS123" s="2">
        <v>772.12517200000002</v>
      </c>
      <c r="AT123" s="2">
        <v>15698.039063</v>
      </c>
      <c r="AU123" s="2">
        <v>0</v>
      </c>
      <c r="AV123" s="2">
        <v>15701.045096</v>
      </c>
      <c r="AW123" s="2">
        <v>0</v>
      </c>
      <c r="AX123" s="2">
        <v>0</v>
      </c>
      <c r="AY123" s="2">
        <v>15695.808271</v>
      </c>
      <c r="AZ123" s="2">
        <v>0</v>
      </c>
    </row>
    <row r="124" spans="1:52" x14ac:dyDescent="0.25">
      <c r="A124" s="1"/>
      <c r="B124" s="2"/>
      <c r="C124" s="1">
        <v>45688</v>
      </c>
      <c r="D124" s="2">
        <v>777.74696900000004</v>
      </c>
      <c r="E124" s="2">
        <v>833.78742499999998</v>
      </c>
      <c r="F124" s="2">
        <v>934.57495800000004</v>
      </c>
      <c r="G124" s="2">
        <v>3967.980673</v>
      </c>
      <c r="H124" s="2">
        <v>878.74582699999996</v>
      </c>
      <c r="I124" s="2">
        <v>804.20379800000001</v>
      </c>
      <c r="J124" s="2">
        <v>3802.3834980000001</v>
      </c>
      <c r="K124" s="2">
        <v>881.21654000000001</v>
      </c>
      <c r="L124" s="2">
        <v>4213.031215</v>
      </c>
      <c r="M124" s="2">
        <v>4321.6496159999997</v>
      </c>
      <c r="N124" s="2">
        <v>4425.3294159999996</v>
      </c>
      <c r="O124" s="2">
        <v>3745.2550700000002</v>
      </c>
      <c r="P124" s="2">
        <v>4106.120637</v>
      </c>
      <c r="Q124" s="2">
        <v>3793.694731</v>
      </c>
      <c r="R124" s="2">
        <v>821.683896</v>
      </c>
      <c r="S124" s="2">
        <v>850.55549099999996</v>
      </c>
      <c r="T124" s="2">
        <v>4338.2656740000002</v>
      </c>
      <c r="U124" s="2">
        <v>3964.917156</v>
      </c>
      <c r="V124" s="2">
        <v>914.42510800000002</v>
      </c>
      <c r="W124" s="2">
        <v>15989.133390000001</v>
      </c>
      <c r="X124" s="2">
        <v>741.87783400000001</v>
      </c>
      <c r="Y124" s="2">
        <v>4227.9658600000002</v>
      </c>
      <c r="Z124" s="2">
        <v>15989.00548</v>
      </c>
      <c r="AA124" s="2">
        <v>510.28001599999999</v>
      </c>
      <c r="AB124" s="2">
        <v>15975.846699</v>
      </c>
      <c r="AC124" s="2">
        <v>717.28506600000003</v>
      </c>
      <c r="AD124" s="2">
        <v>3721.2003</v>
      </c>
      <c r="AE124" s="2">
        <v>584.58050200000002</v>
      </c>
      <c r="AF124" s="2">
        <v>15943.229552000001</v>
      </c>
      <c r="AG124" s="2">
        <v>15968.52383</v>
      </c>
      <c r="AH124" s="2">
        <v>386.98815300000001</v>
      </c>
      <c r="AI124" s="2">
        <v>4027.0898229999998</v>
      </c>
      <c r="AJ124" s="2">
        <v>15921.085068</v>
      </c>
      <c r="AK124" s="2">
        <v>15959.602081000001</v>
      </c>
      <c r="AL124" s="2">
        <v>0</v>
      </c>
      <c r="AM124" s="2">
        <v>669.73164499999996</v>
      </c>
      <c r="AN124" s="2">
        <v>15904.136941999999</v>
      </c>
      <c r="AO124" s="2">
        <v>15894.19191</v>
      </c>
      <c r="AP124" s="2">
        <v>626.53360699999996</v>
      </c>
      <c r="AQ124" s="2">
        <v>15988.717682</v>
      </c>
      <c r="AR124" s="2">
        <v>8205.0681960000002</v>
      </c>
      <c r="AS124" s="2">
        <v>793.29470100000003</v>
      </c>
      <c r="AT124" s="2">
        <v>15885.54197</v>
      </c>
      <c r="AU124" s="2">
        <v>0</v>
      </c>
      <c r="AV124" s="2">
        <v>15889.763013</v>
      </c>
      <c r="AW124" s="2">
        <v>15879.258373000001</v>
      </c>
      <c r="AX124" s="2">
        <v>0</v>
      </c>
      <c r="AY124" s="2">
        <v>15880.985162999999</v>
      </c>
      <c r="AZ124" s="2">
        <v>0</v>
      </c>
    </row>
    <row r="125" spans="1:52" x14ac:dyDescent="0.25">
      <c r="A125" s="1"/>
      <c r="B125" s="2"/>
      <c r="C125" s="1">
        <v>45716</v>
      </c>
      <c r="D125" s="2">
        <v>765.61369400000001</v>
      </c>
      <c r="E125" s="2">
        <v>826.97153500000002</v>
      </c>
      <c r="F125" s="2">
        <v>943.37356799999998</v>
      </c>
      <c r="G125" s="2">
        <v>3976.5707320000001</v>
      </c>
      <c r="H125" s="2">
        <v>879.75698299999999</v>
      </c>
      <c r="I125" s="2">
        <v>792.99332800000002</v>
      </c>
      <c r="J125" s="2">
        <v>3706.6270730000001</v>
      </c>
      <c r="K125" s="2">
        <v>890.57592099999999</v>
      </c>
      <c r="L125" s="2">
        <v>4103.1826529999998</v>
      </c>
      <c r="M125" s="2">
        <v>4220.30123</v>
      </c>
      <c r="N125" s="2">
        <v>4326.5335150000001</v>
      </c>
      <c r="O125" s="2">
        <v>3654.3072179999999</v>
      </c>
      <c r="P125" s="2">
        <v>3999.5987439999999</v>
      </c>
      <c r="Q125" s="2">
        <v>3799.8392829999998</v>
      </c>
      <c r="R125" s="2">
        <v>830.95488</v>
      </c>
      <c r="S125" s="2">
        <v>860.03760599999998</v>
      </c>
      <c r="T125" s="2">
        <v>4368.3663319999996</v>
      </c>
      <c r="U125" s="2">
        <v>3822.8983469999998</v>
      </c>
      <c r="V125" s="2">
        <v>923.654314</v>
      </c>
      <c r="W125" s="2">
        <v>16146.920076</v>
      </c>
      <c r="X125" s="2">
        <v>749.07280900000001</v>
      </c>
      <c r="Y125" s="2">
        <v>4250.0854849999996</v>
      </c>
      <c r="Z125" s="2">
        <v>16146.387247000001</v>
      </c>
      <c r="AA125" s="2">
        <v>506.85113699999999</v>
      </c>
      <c r="AB125" s="2">
        <v>16133.599346000001</v>
      </c>
      <c r="AC125" s="2">
        <v>723.55502899999999</v>
      </c>
      <c r="AD125" s="2">
        <v>3753.3618259999998</v>
      </c>
      <c r="AE125" s="2">
        <v>584.75454500000001</v>
      </c>
      <c r="AF125" s="2">
        <v>16103.534863000001</v>
      </c>
      <c r="AG125" s="2">
        <v>16127.302274</v>
      </c>
      <c r="AH125" s="2">
        <v>380.43948499999999</v>
      </c>
      <c r="AI125" s="2">
        <v>4044.9982180000002</v>
      </c>
      <c r="AJ125" s="2">
        <v>16082.350866999999</v>
      </c>
      <c r="AK125" s="2">
        <v>16120.504665</v>
      </c>
      <c r="AL125" s="2">
        <v>0</v>
      </c>
      <c r="AM125" s="2">
        <v>674.09040100000004</v>
      </c>
      <c r="AN125" s="2">
        <v>16062.329406999999</v>
      </c>
      <c r="AO125" s="2">
        <v>16051.123847999999</v>
      </c>
      <c r="AP125" s="2">
        <v>628.73015199999998</v>
      </c>
      <c r="AQ125" s="2">
        <v>16146.306515</v>
      </c>
      <c r="AR125" s="2">
        <v>8288.8200489999999</v>
      </c>
      <c r="AS125" s="2">
        <v>801.89053799999999</v>
      </c>
      <c r="AT125" s="2">
        <v>16041.452191</v>
      </c>
      <c r="AU125" s="2">
        <v>0</v>
      </c>
      <c r="AV125" s="2">
        <v>16045.908579999999</v>
      </c>
      <c r="AW125" s="2">
        <v>16033.653509</v>
      </c>
      <c r="AX125" s="2">
        <v>0</v>
      </c>
      <c r="AY125" s="2">
        <v>16037.302582</v>
      </c>
      <c r="AZ125" s="2">
        <v>0</v>
      </c>
    </row>
    <row r="126" spans="1:52" x14ac:dyDescent="0.25">
      <c r="A126" s="1"/>
      <c r="B126" s="2"/>
      <c r="C126" s="1">
        <v>45747</v>
      </c>
      <c r="D126" s="2">
        <v>782.46595500000001</v>
      </c>
      <c r="E126" s="2">
        <v>845.51966300000004</v>
      </c>
      <c r="F126" s="2">
        <v>954.94946600000003</v>
      </c>
      <c r="G126" s="2">
        <v>4101.6131020000003</v>
      </c>
      <c r="H126" s="2">
        <v>896.96324500000003</v>
      </c>
      <c r="I126" s="2">
        <v>810.95058900000004</v>
      </c>
      <c r="J126" s="2">
        <v>3832.7023319999998</v>
      </c>
      <c r="K126" s="2">
        <v>899.79301999999996</v>
      </c>
      <c r="L126" s="2">
        <v>4166.6781499999997</v>
      </c>
      <c r="M126" s="2">
        <v>4249.6574559999999</v>
      </c>
      <c r="N126" s="2">
        <v>4334.2120340000001</v>
      </c>
      <c r="O126" s="2">
        <v>3764.8223779999998</v>
      </c>
      <c r="P126" s="2">
        <v>4083.7749229999999</v>
      </c>
      <c r="Q126" s="2">
        <v>3922.9896520000002</v>
      </c>
      <c r="R126" s="2">
        <v>839.98191199999997</v>
      </c>
      <c r="S126" s="2">
        <v>869.31576099999995</v>
      </c>
      <c r="T126" s="2">
        <v>4387.3461779999998</v>
      </c>
      <c r="U126" s="2">
        <v>3923.1328589999998</v>
      </c>
      <c r="V126" s="2">
        <v>933.18840599999999</v>
      </c>
      <c r="W126" s="2">
        <v>16301.994287</v>
      </c>
      <c r="X126" s="2">
        <v>759.20428700000002</v>
      </c>
      <c r="Y126" s="2">
        <v>4288.0234129999999</v>
      </c>
      <c r="Z126" s="2">
        <v>16301.896475</v>
      </c>
      <c r="AA126" s="2">
        <v>519.66473499999995</v>
      </c>
      <c r="AB126" s="2">
        <v>16289.311335</v>
      </c>
      <c r="AC126" s="2">
        <v>734.105638</v>
      </c>
      <c r="AD126" s="2">
        <v>3868.110177</v>
      </c>
      <c r="AE126" s="2">
        <v>597.38163399999996</v>
      </c>
      <c r="AF126" s="2">
        <v>16258.321244000001</v>
      </c>
      <c r="AG126" s="2">
        <v>16282.562309000001</v>
      </c>
      <c r="AH126" s="2">
        <v>391.27783699999998</v>
      </c>
      <c r="AI126" s="2">
        <v>4144.3737140000003</v>
      </c>
      <c r="AJ126" s="2">
        <v>16237.112349000001</v>
      </c>
      <c r="AK126" s="2">
        <v>16274.215688</v>
      </c>
      <c r="AL126" s="2">
        <v>0</v>
      </c>
      <c r="AM126" s="2">
        <v>686.07607399999995</v>
      </c>
      <c r="AN126" s="2">
        <v>16219.457289</v>
      </c>
      <c r="AO126" s="2">
        <v>16206.676525999999</v>
      </c>
      <c r="AP126" s="2">
        <v>641.28471999999999</v>
      </c>
      <c r="AQ126" s="2">
        <v>16301.961683</v>
      </c>
      <c r="AR126" s="2">
        <v>8362.118622</v>
      </c>
      <c r="AS126" s="2">
        <v>811.30969800000003</v>
      </c>
      <c r="AT126" s="2">
        <v>16199.568856</v>
      </c>
      <c r="AU126" s="2">
        <v>0</v>
      </c>
      <c r="AV126" s="2">
        <v>16201.720719999999</v>
      </c>
      <c r="AW126" s="2">
        <v>16198.395113</v>
      </c>
      <c r="AX126" s="2">
        <v>0</v>
      </c>
      <c r="AY126" s="2">
        <v>16196.455174999999</v>
      </c>
      <c r="AZ126" s="2">
        <v>0</v>
      </c>
    </row>
    <row r="127" spans="1:52" x14ac:dyDescent="0.25">
      <c r="A127" s="1"/>
      <c r="B127" s="2"/>
      <c r="C127" s="1">
        <v>45777</v>
      </c>
      <c r="D127" s="2">
        <v>831.50534500000003</v>
      </c>
      <c r="E127" s="2">
        <v>888.27569400000004</v>
      </c>
      <c r="F127" s="2">
        <v>979.256754</v>
      </c>
      <c r="G127" s="2">
        <v>4185.7430199999999</v>
      </c>
      <c r="H127" s="2">
        <v>936.02231200000006</v>
      </c>
      <c r="I127" s="2">
        <v>859.28710799999999</v>
      </c>
      <c r="J127" s="2">
        <v>3919.5541750000002</v>
      </c>
      <c r="K127" s="2">
        <v>911.50335900000005</v>
      </c>
      <c r="L127" s="2">
        <v>4287.8490110000002</v>
      </c>
      <c r="M127" s="2">
        <v>4358.5820549999999</v>
      </c>
      <c r="N127" s="2">
        <v>4392.5544239999999</v>
      </c>
      <c r="O127" s="2">
        <v>3839.349882</v>
      </c>
      <c r="P127" s="2">
        <v>4203.790559</v>
      </c>
      <c r="Q127" s="2">
        <v>4006.6392879999999</v>
      </c>
      <c r="R127" s="2">
        <v>855.72619299999997</v>
      </c>
      <c r="S127" s="2">
        <v>882.616176</v>
      </c>
      <c r="T127" s="2">
        <v>4461.8393480000004</v>
      </c>
      <c r="U127" s="2">
        <v>4021.5612259999998</v>
      </c>
      <c r="V127" s="2">
        <v>943.78607099999999</v>
      </c>
      <c r="W127" s="2">
        <v>16473.794239999999</v>
      </c>
      <c r="X127" s="2">
        <v>781.96776499999999</v>
      </c>
      <c r="Y127" s="2">
        <v>4408.9199850000005</v>
      </c>
      <c r="Z127" s="2">
        <v>16473.415335000002</v>
      </c>
      <c r="AA127" s="2">
        <v>549.97197300000005</v>
      </c>
      <c r="AB127" s="2">
        <v>16458.621572</v>
      </c>
      <c r="AC127" s="2">
        <v>759.21510899999998</v>
      </c>
      <c r="AD127" s="2">
        <v>3948.2377550000001</v>
      </c>
      <c r="AE127" s="2">
        <v>627.518731</v>
      </c>
      <c r="AF127" s="2">
        <v>16426.381711999999</v>
      </c>
      <c r="AG127" s="2">
        <v>16451.043474999999</v>
      </c>
      <c r="AH127" s="2">
        <v>420.23773399999999</v>
      </c>
      <c r="AI127" s="2">
        <v>4245.3183399999998</v>
      </c>
      <c r="AJ127" s="2">
        <v>16406.019694999999</v>
      </c>
      <c r="AK127" s="2">
        <v>16441.620276000001</v>
      </c>
      <c r="AL127" s="2">
        <v>0</v>
      </c>
      <c r="AM127" s="2">
        <v>714.24449300000003</v>
      </c>
      <c r="AN127" s="2">
        <v>16391.440095999998</v>
      </c>
      <c r="AO127" s="2">
        <v>16377.008763</v>
      </c>
      <c r="AP127" s="2">
        <v>671.05340899999999</v>
      </c>
      <c r="AQ127" s="2">
        <v>16472.95406</v>
      </c>
      <c r="AR127" s="2">
        <v>8239.8257140000005</v>
      </c>
      <c r="AS127" s="2">
        <v>829.65622299999995</v>
      </c>
      <c r="AT127" s="2">
        <v>16371.605251000001</v>
      </c>
      <c r="AU127" s="2">
        <v>16360.551114</v>
      </c>
      <c r="AV127" s="2">
        <v>16371.720568999999</v>
      </c>
      <c r="AW127" s="2">
        <v>16364.208369</v>
      </c>
      <c r="AX127" s="2">
        <v>0</v>
      </c>
      <c r="AY127" s="2">
        <v>16369.068235999999</v>
      </c>
      <c r="AZ127" s="2">
        <v>0</v>
      </c>
    </row>
    <row r="128" spans="1:52" x14ac:dyDescent="0.25">
      <c r="A128" s="1"/>
      <c r="B128" s="2"/>
      <c r="C128" s="1">
        <v>45807</v>
      </c>
      <c r="D128" s="2">
        <v>844.39372300000002</v>
      </c>
      <c r="E128" s="2">
        <v>900.00554299999999</v>
      </c>
      <c r="F128" s="2">
        <v>986.84701199999995</v>
      </c>
      <c r="G128" s="2">
        <v>4147.4378470000001</v>
      </c>
      <c r="H128" s="2">
        <v>944.15125999999998</v>
      </c>
      <c r="I128" s="2">
        <v>871.03805299999999</v>
      </c>
      <c r="J128" s="2">
        <v>4040.9829589999999</v>
      </c>
      <c r="K128" s="2">
        <v>921.38668299999995</v>
      </c>
      <c r="L128" s="2">
        <v>4320.5839370000003</v>
      </c>
      <c r="M128" s="2">
        <v>4376.4481470000001</v>
      </c>
      <c r="N128" s="2">
        <v>4427.5896570000004</v>
      </c>
      <c r="O128" s="2">
        <v>3977.5741680000001</v>
      </c>
      <c r="P128" s="2">
        <v>4253.8430699999999</v>
      </c>
      <c r="Q128" s="2">
        <v>4001.3095720000001</v>
      </c>
      <c r="R128" s="2">
        <v>863.38908000000004</v>
      </c>
      <c r="S128" s="2">
        <v>891.58803799999998</v>
      </c>
      <c r="T128" s="2">
        <v>4348.7666250000002</v>
      </c>
      <c r="U128" s="2">
        <v>4137.9111780000003</v>
      </c>
      <c r="V128" s="2">
        <v>954.32845199999997</v>
      </c>
      <c r="W128" s="2">
        <v>16661.143906000001</v>
      </c>
      <c r="X128" s="2">
        <v>787.52518599999996</v>
      </c>
      <c r="Y128" s="2">
        <v>4305.5986220000004</v>
      </c>
      <c r="Z128" s="2">
        <v>16660.194188000001</v>
      </c>
      <c r="AA128" s="2">
        <v>555.76468399999999</v>
      </c>
      <c r="AB128" s="2">
        <v>16649.763945999999</v>
      </c>
      <c r="AC128" s="2">
        <v>764.22015299999998</v>
      </c>
      <c r="AD128" s="2">
        <v>3948.0640680000001</v>
      </c>
      <c r="AE128" s="2">
        <v>632.87969999999996</v>
      </c>
      <c r="AF128" s="2">
        <v>16619.389618000001</v>
      </c>
      <c r="AG128" s="2">
        <v>16643.315858000002</v>
      </c>
      <c r="AH128" s="2">
        <v>426.35348699999997</v>
      </c>
      <c r="AI128" s="2">
        <v>4178.2166649999999</v>
      </c>
      <c r="AJ128" s="2">
        <v>16600.778469000001</v>
      </c>
      <c r="AK128" s="2">
        <v>16633.868659</v>
      </c>
      <c r="AL128" s="2">
        <v>0</v>
      </c>
      <c r="AM128" s="2">
        <v>719.230681</v>
      </c>
      <c r="AN128" s="2">
        <v>16582.933759</v>
      </c>
      <c r="AO128" s="2">
        <v>16566.921838999999</v>
      </c>
      <c r="AP128" s="2">
        <v>676.27651900000001</v>
      </c>
      <c r="AQ128" s="2">
        <v>16659.627689000001</v>
      </c>
      <c r="AR128" s="2">
        <v>8229.8096719999994</v>
      </c>
      <c r="AS128" s="2">
        <v>835.98775499999999</v>
      </c>
      <c r="AT128" s="2">
        <v>16558.974195999999</v>
      </c>
      <c r="AU128" s="2">
        <v>16552.476122</v>
      </c>
      <c r="AV128" s="2">
        <v>16562.406511000001</v>
      </c>
      <c r="AW128" s="2">
        <v>16557.641258</v>
      </c>
      <c r="AX128" s="2">
        <v>0</v>
      </c>
      <c r="AY128" s="2">
        <v>16560.407104000002</v>
      </c>
      <c r="AZ128" s="2">
        <v>0</v>
      </c>
    </row>
    <row r="129" spans="1:52" x14ac:dyDescent="0.25">
      <c r="A129" s="1"/>
      <c r="B129" s="2"/>
      <c r="C129" s="1">
        <v>45838</v>
      </c>
      <c r="D129" s="2">
        <v>823.96575700000005</v>
      </c>
      <c r="E129" s="2">
        <v>877.24920099999997</v>
      </c>
      <c r="F129" s="2">
        <v>949.06446500000004</v>
      </c>
      <c r="G129" s="2">
        <v>4204.3745760000002</v>
      </c>
      <c r="H129" s="2">
        <v>917.48918600000002</v>
      </c>
      <c r="I129" s="2">
        <v>849.507025</v>
      </c>
      <c r="J129" s="2">
        <v>4140.5823689999997</v>
      </c>
      <c r="K129" s="2">
        <v>931.11694399999999</v>
      </c>
      <c r="L129" s="2">
        <v>4354.7396609999996</v>
      </c>
      <c r="M129" s="2">
        <v>4397.2165429999995</v>
      </c>
      <c r="N129" s="2">
        <v>4445.9618399999999</v>
      </c>
      <c r="O129" s="2">
        <v>4082.4073119999998</v>
      </c>
      <c r="P129" s="2">
        <v>4296.5917410000002</v>
      </c>
      <c r="Q129" s="2">
        <v>4087.3867679999998</v>
      </c>
      <c r="R129" s="2">
        <v>872.10037499999999</v>
      </c>
      <c r="S129" s="2">
        <v>900.78271400000006</v>
      </c>
      <c r="T129" s="2">
        <v>4355.4587650000003</v>
      </c>
      <c r="U129" s="2">
        <v>4211.9590870000002</v>
      </c>
      <c r="V129" s="2">
        <v>964.52418399999999</v>
      </c>
      <c r="W129" s="2">
        <v>16844.059953</v>
      </c>
      <c r="X129" s="2">
        <v>797.64525600000002</v>
      </c>
      <c r="Y129" s="2">
        <v>4334.4962070000001</v>
      </c>
      <c r="Z129" s="2">
        <v>16844.127331</v>
      </c>
      <c r="AA129" s="2">
        <v>573.95293600000002</v>
      </c>
      <c r="AB129" s="2">
        <v>16834.643869</v>
      </c>
      <c r="AC129" s="2">
        <v>775.58524699999998</v>
      </c>
      <c r="AD129" s="2">
        <v>4050.1833150000002</v>
      </c>
      <c r="AE129" s="2">
        <v>650.096452</v>
      </c>
      <c r="AF129" s="2">
        <v>16804.980678</v>
      </c>
      <c r="AG129" s="2">
        <v>16827.687084000001</v>
      </c>
      <c r="AH129" s="2">
        <v>443.38910099999998</v>
      </c>
      <c r="AI129" s="2">
        <v>4227.6979659999997</v>
      </c>
      <c r="AJ129" s="2">
        <v>16784.076636000002</v>
      </c>
      <c r="AK129" s="2">
        <v>16821.067190000002</v>
      </c>
      <c r="AL129" s="2">
        <v>0</v>
      </c>
      <c r="AM129" s="2">
        <v>732.54692299999999</v>
      </c>
      <c r="AN129" s="2">
        <v>16766.423584</v>
      </c>
      <c r="AO129" s="2">
        <v>16749.814892999999</v>
      </c>
      <c r="AP129" s="2">
        <v>691.80857300000002</v>
      </c>
      <c r="AQ129" s="2">
        <v>16843.807284999999</v>
      </c>
      <c r="AR129" s="2">
        <v>7774.5624600000001</v>
      </c>
      <c r="AS129" s="2">
        <v>844.42685100000006</v>
      </c>
      <c r="AT129" s="2">
        <v>16742.049571</v>
      </c>
      <c r="AU129" s="2">
        <v>16744.273046999999</v>
      </c>
      <c r="AV129" s="2">
        <v>16744.643627000001</v>
      </c>
      <c r="AW129" s="2">
        <v>16745.064739000001</v>
      </c>
      <c r="AX129" s="2">
        <v>0</v>
      </c>
      <c r="AY129" s="2">
        <v>16747.170303999999</v>
      </c>
      <c r="AZ129" s="2">
        <v>0</v>
      </c>
    </row>
    <row r="130" spans="1:52" x14ac:dyDescent="0.25">
      <c r="A130" s="1"/>
      <c r="B130" s="2"/>
      <c r="C130" s="1"/>
      <c r="D130" s="1"/>
      <c r="E130" s="1"/>
    </row>
    <row r="131" spans="1:52" x14ac:dyDescent="0.25">
      <c r="A131" s="1"/>
      <c r="B131" s="2"/>
      <c r="C131" s="1"/>
      <c r="D131" s="1"/>
      <c r="E131" s="1"/>
    </row>
    <row r="132" spans="1:52" x14ac:dyDescent="0.25">
      <c r="A132" s="1"/>
      <c r="B132" s="2"/>
      <c r="C132" s="1"/>
      <c r="D132" s="1"/>
      <c r="E132" s="1"/>
    </row>
    <row r="133" spans="1:52" x14ac:dyDescent="0.25">
      <c r="A133" s="1"/>
      <c r="B133" s="2"/>
      <c r="C133" s="1"/>
      <c r="D133" s="1"/>
      <c r="E133" s="1"/>
    </row>
    <row r="134" spans="1:52" x14ac:dyDescent="0.25">
      <c r="A134" s="1"/>
      <c r="B134" s="2"/>
      <c r="C134" s="1"/>
      <c r="D134" s="1"/>
      <c r="E134" s="1"/>
    </row>
    <row r="135" spans="1:52" x14ac:dyDescent="0.25">
      <c r="A135" s="1"/>
      <c r="B135" s="2"/>
      <c r="C135" s="1"/>
      <c r="D135" s="1"/>
      <c r="E135" s="1"/>
    </row>
    <row r="136" spans="1:52" x14ac:dyDescent="0.25">
      <c r="A136" s="1"/>
      <c r="B136" s="2"/>
      <c r="C136" s="1"/>
      <c r="D136" s="1"/>
      <c r="E136" s="1"/>
    </row>
    <row r="137" spans="1:52" x14ac:dyDescent="0.25">
      <c r="A137" s="1"/>
      <c r="B137" s="2"/>
      <c r="C137" s="1"/>
      <c r="D137" s="1"/>
      <c r="E137" s="1"/>
    </row>
    <row r="138" spans="1:52" x14ac:dyDescent="0.25">
      <c r="A138" s="1"/>
      <c r="B138" s="2"/>
      <c r="C138" s="1"/>
      <c r="D138" s="1"/>
      <c r="E138" s="1"/>
    </row>
    <row r="139" spans="1:52" x14ac:dyDescent="0.25">
      <c r="A139" s="1"/>
      <c r="B139" s="2"/>
      <c r="C139" s="1"/>
      <c r="D139" s="1"/>
      <c r="E139" s="1"/>
    </row>
    <row r="140" spans="1:52" x14ac:dyDescent="0.25">
      <c r="A140" s="1"/>
      <c r="B140" s="2"/>
      <c r="C140" s="1"/>
      <c r="D140" s="1"/>
      <c r="E140" s="1"/>
    </row>
    <row r="141" spans="1:52" x14ac:dyDescent="0.25">
      <c r="A141" s="1"/>
      <c r="B141" s="2"/>
      <c r="C141" s="1"/>
      <c r="D141" s="1"/>
      <c r="E141" s="1"/>
    </row>
    <row r="142" spans="1:52" x14ac:dyDescent="0.25">
      <c r="A142" s="1"/>
      <c r="B142" s="2"/>
      <c r="C142" s="1"/>
      <c r="D142" s="1"/>
      <c r="E142" s="1"/>
    </row>
    <row r="143" spans="1:52" x14ac:dyDescent="0.25">
      <c r="A143" s="1"/>
      <c r="B143" s="2"/>
      <c r="C143" s="1"/>
      <c r="D143" s="1"/>
      <c r="E143" s="1"/>
    </row>
    <row r="144" spans="1:52" x14ac:dyDescent="0.25">
      <c r="A144" s="1"/>
      <c r="B144" s="2"/>
      <c r="C144" s="1"/>
      <c r="D144" s="1"/>
      <c r="E144" s="1"/>
    </row>
    <row r="145" spans="1:5" x14ac:dyDescent="0.25">
      <c r="A145" s="1"/>
      <c r="B145" s="2"/>
      <c r="C145" s="1"/>
      <c r="D145" s="1"/>
      <c r="E145" s="1"/>
    </row>
    <row r="146" spans="1:5" x14ac:dyDescent="0.25">
      <c r="A146" s="1"/>
      <c r="B146" s="2"/>
      <c r="C146" s="1"/>
      <c r="D146" s="1"/>
      <c r="E146" s="1"/>
    </row>
    <row r="147" spans="1:5" x14ac:dyDescent="0.25">
      <c r="A147" s="1"/>
      <c r="B147" s="2"/>
      <c r="C147" s="1"/>
      <c r="D147" s="1"/>
      <c r="E147" s="1"/>
    </row>
    <row r="148" spans="1:5" x14ac:dyDescent="0.25">
      <c r="A148" s="1"/>
      <c r="B148" s="2"/>
      <c r="C148" s="1"/>
      <c r="D148" s="1"/>
      <c r="E148" s="1"/>
    </row>
    <row r="149" spans="1:5" x14ac:dyDescent="0.25">
      <c r="A149" s="1"/>
      <c r="B149" s="2"/>
      <c r="C149" s="1"/>
      <c r="D149" s="1"/>
      <c r="E149" s="1"/>
    </row>
    <row r="150" spans="1:5" x14ac:dyDescent="0.25">
      <c r="A150" s="1"/>
      <c r="B150" s="2"/>
      <c r="C150" s="1"/>
      <c r="D150" s="1"/>
      <c r="E150" s="1"/>
    </row>
    <row r="151" spans="1:5" x14ac:dyDescent="0.25">
      <c r="A151" s="1"/>
      <c r="B151" s="2"/>
      <c r="C151" s="1"/>
      <c r="D151" s="1"/>
      <c r="E151" s="1"/>
    </row>
    <row r="152" spans="1:5" x14ac:dyDescent="0.25">
      <c r="A152" s="1"/>
      <c r="B152" s="2"/>
      <c r="C152" s="1"/>
      <c r="D152" s="1"/>
      <c r="E152" s="1"/>
    </row>
    <row r="153" spans="1:5" x14ac:dyDescent="0.25">
      <c r="A153" s="1"/>
      <c r="B153" s="2"/>
      <c r="C153" s="1"/>
      <c r="D153" s="1"/>
      <c r="E153" s="1"/>
    </row>
    <row r="154" spans="1:5" x14ac:dyDescent="0.25">
      <c r="A154" s="1"/>
      <c r="B154" s="2"/>
      <c r="C154" s="1"/>
      <c r="D154" s="1"/>
      <c r="E154" s="1"/>
    </row>
    <row r="155" spans="1:5" x14ac:dyDescent="0.25">
      <c r="A155" s="1"/>
      <c r="B155" s="2"/>
      <c r="C155" s="1"/>
      <c r="D155" s="1"/>
      <c r="E155" s="1"/>
    </row>
    <row r="156" spans="1:5" x14ac:dyDescent="0.25">
      <c r="A156" s="1"/>
      <c r="B156" s="2"/>
      <c r="C156" s="1"/>
      <c r="D156" s="1"/>
      <c r="E156" s="1"/>
    </row>
    <row r="157" spans="1:5" x14ac:dyDescent="0.25">
      <c r="A157" s="1"/>
      <c r="B157" s="2"/>
      <c r="C157" s="1"/>
      <c r="D157" s="1"/>
      <c r="E157" s="1"/>
    </row>
    <row r="158" spans="1:5" x14ac:dyDescent="0.25">
      <c r="A158" s="1"/>
      <c r="B158" s="2"/>
      <c r="C158" s="1"/>
      <c r="D158" s="1"/>
      <c r="E158" s="1"/>
    </row>
    <row r="159" spans="1:5" x14ac:dyDescent="0.25">
      <c r="A159" s="1"/>
      <c r="B159" s="2"/>
      <c r="C159" s="1"/>
      <c r="D159" s="1"/>
      <c r="E159" s="1"/>
    </row>
    <row r="160" spans="1:5" x14ac:dyDescent="0.25">
      <c r="A160" s="1"/>
      <c r="B160" s="2"/>
      <c r="C160" s="1"/>
      <c r="D160" s="1"/>
      <c r="E160" s="1"/>
    </row>
    <row r="161" spans="1:5" x14ac:dyDescent="0.25">
      <c r="A161" s="1"/>
      <c r="B161" s="2"/>
      <c r="C161" s="1"/>
      <c r="D161" s="1"/>
      <c r="E161" s="1"/>
    </row>
    <row r="162" spans="1:5" x14ac:dyDescent="0.25">
      <c r="A162" s="1"/>
      <c r="B162" s="2"/>
      <c r="C162" s="1"/>
      <c r="D162" s="1"/>
      <c r="E162" s="1"/>
    </row>
    <row r="163" spans="1:5" x14ac:dyDescent="0.25">
      <c r="A163" s="1"/>
      <c r="B163" s="2"/>
      <c r="C163" s="1"/>
      <c r="D163" s="1"/>
      <c r="E163" s="1"/>
    </row>
    <row r="164" spans="1:5" x14ac:dyDescent="0.25">
      <c r="A164" s="1"/>
      <c r="B164" s="2"/>
      <c r="C164" s="1"/>
      <c r="D164" s="1"/>
      <c r="E164" s="1"/>
    </row>
    <row r="165" spans="1:5" x14ac:dyDescent="0.25">
      <c r="A165" s="1"/>
      <c r="B165" s="2"/>
      <c r="C165" s="1"/>
      <c r="D165" s="1"/>
      <c r="E165" s="1"/>
    </row>
    <row r="166" spans="1:5" x14ac:dyDescent="0.25">
      <c r="A166" s="1"/>
      <c r="B166" s="2"/>
      <c r="C166" s="1"/>
      <c r="D166" s="1"/>
      <c r="E166" s="1"/>
    </row>
    <row r="167" spans="1:5" x14ac:dyDescent="0.25">
      <c r="A167" s="1"/>
      <c r="B167" s="2"/>
      <c r="C167" s="1"/>
      <c r="D167" s="1"/>
      <c r="E167" s="1"/>
    </row>
    <row r="168" spans="1:5" x14ac:dyDescent="0.25">
      <c r="A168" s="1"/>
      <c r="B168" s="2"/>
      <c r="C168" s="1"/>
      <c r="D168" s="1"/>
      <c r="E168" s="1"/>
    </row>
    <row r="169" spans="1:5" x14ac:dyDescent="0.25">
      <c r="A169" s="1"/>
      <c r="B169" s="2"/>
      <c r="C169" s="1"/>
      <c r="D169" s="1"/>
      <c r="E169" s="1"/>
    </row>
    <row r="170" spans="1:5" x14ac:dyDescent="0.25">
      <c r="A170" s="1"/>
      <c r="B170" s="2"/>
      <c r="C170" s="1"/>
      <c r="D170" s="1"/>
      <c r="E170" s="1"/>
    </row>
    <row r="171" spans="1:5" x14ac:dyDescent="0.25">
      <c r="A171" s="1"/>
      <c r="B171" s="2"/>
      <c r="C171" s="1"/>
      <c r="D171" s="1"/>
      <c r="E171" s="1"/>
    </row>
    <row r="172" spans="1:5" x14ac:dyDescent="0.25">
      <c r="A172" s="1"/>
      <c r="B172" s="2"/>
      <c r="C172" s="1"/>
      <c r="D172" s="1"/>
      <c r="E172" s="1"/>
    </row>
    <row r="173" spans="1:5" x14ac:dyDescent="0.25">
      <c r="A173" s="1"/>
      <c r="B173" s="2"/>
      <c r="C173" s="1"/>
      <c r="D173" s="1"/>
      <c r="E173" s="1"/>
    </row>
    <row r="174" spans="1:5" x14ac:dyDescent="0.25">
      <c r="A174" s="1"/>
      <c r="B174" s="2"/>
      <c r="C174" s="1"/>
      <c r="D174" s="1"/>
      <c r="E174" s="1"/>
    </row>
    <row r="175" spans="1:5" x14ac:dyDescent="0.25">
      <c r="A175" s="1"/>
      <c r="B175" s="2"/>
      <c r="C175" s="1"/>
      <c r="D175" s="1"/>
      <c r="E175" s="1"/>
    </row>
    <row r="176" spans="1:5" x14ac:dyDescent="0.25">
      <c r="A176" s="1"/>
      <c r="B176" s="2"/>
      <c r="C176" s="1"/>
      <c r="D176" s="1"/>
      <c r="E176" s="1"/>
    </row>
    <row r="177" spans="1:5" x14ac:dyDescent="0.25">
      <c r="A177" s="1"/>
      <c r="B177" s="2"/>
      <c r="C177" s="1"/>
      <c r="D177" s="1"/>
      <c r="E177" s="1"/>
    </row>
    <row r="178" spans="1:5" x14ac:dyDescent="0.25">
      <c r="A178" s="1"/>
      <c r="B178" s="2"/>
      <c r="C178" s="1"/>
      <c r="D178" s="1"/>
      <c r="E178" s="1"/>
    </row>
    <row r="179" spans="1:5" x14ac:dyDescent="0.25">
      <c r="A179" s="1"/>
      <c r="B179" s="2"/>
      <c r="C179" s="1"/>
      <c r="D179" s="1"/>
      <c r="E179" s="1"/>
    </row>
    <row r="180" spans="1:5" x14ac:dyDescent="0.25">
      <c r="A180" s="1"/>
      <c r="B180" s="2"/>
      <c r="C180" s="1"/>
      <c r="D180" s="1"/>
      <c r="E180" s="1"/>
    </row>
    <row r="181" spans="1:5" x14ac:dyDescent="0.25">
      <c r="A181" s="1"/>
      <c r="B181" s="2"/>
      <c r="C181" s="1"/>
      <c r="D181" s="1"/>
      <c r="E181" s="1"/>
    </row>
    <row r="182" spans="1:5" x14ac:dyDescent="0.25">
      <c r="A182" s="1"/>
      <c r="B182" s="2"/>
      <c r="C182" s="1"/>
      <c r="D182" s="1"/>
      <c r="E182" s="1"/>
    </row>
    <row r="183" spans="1:5" x14ac:dyDescent="0.25">
      <c r="A183" s="1"/>
      <c r="B183" s="2"/>
      <c r="C183" s="1"/>
      <c r="D183" s="1"/>
      <c r="E183" s="1"/>
    </row>
    <row r="184" spans="1:5" x14ac:dyDescent="0.25">
      <c r="A184" s="1"/>
      <c r="B184" s="2"/>
      <c r="C184" s="1"/>
      <c r="D184" s="1"/>
      <c r="E184" s="1"/>
    </row>
    <row r="185" spans="1:5" x14ac:dyDescent="0.25">
      <c r="A185" s="1"/>
      <c r="B185" s="2"/>
      <c r="C185" s="1"/>
      <c r="D185" s="1"/>
      <c r="E185" s="1"/>
    </row>
    <row r="186" spans="1:5" x14ac:dyDescent="0.25">
      <c r="A186" s="1"/>
      <c r="B186" s="2"/>
      <c r="C186" s="1"/>
      <c r="D186" s="1"/>
      <c r="E186" s="1"/>
    </row>
    <row r="187" spans="1:5" x14ac:dyDescent="0.25">
      <c r="A187" s="1"/>
      <c r="B187" s="2"/>
      <c r="C187" s="1"/>
      <c r="D187" s="1"/>
      <c r="E187" s="1"/>
    </row>
    <row r="188" spans="1:5" x14ac:dyDescent="0.25">
      <c r="A188" s="1"/>
      <c r="B188" s="2"/>
      <c r="C188" s="1"/>
      <c r="D188" s="1"/>
      <c r="E188" s="1"/>
    </row>
    <row r="189" spans="1:5" x14ac:dyDescent="0.25">
      <c r="A189" s="1"/>
      <c r="B189" s="2"/>
      <c r="C189" s="1"/>
      <c r="D189" s="1"/>
      <c r="E189" s="1"/>
    </row>
    <row r="190" spans="1:5" x14ac:dyDescent="0.25">
      <c r="A190" s="1"/>
      <c r="B190" s="2"/>
      <c r="C190" s="1"/>
      <c r="D190" s="1"/>
      <c r="E190" s="1"/>
    </row>
    <row r="191" spans="1:5" x14ac:dyDescent="0.25">
      <c r="A191" s="1"/>
      <c r="B191" s="2"/>
      <c r="C191" s="1"/>
      <c r="D191" s="1"/>
      <c r="E191" s="1"/>
    </row>
    <row r="192" spans="1:5" x14ac:dyDescent="0.25">
      <c r="A192" s="1"/>
      <c r="B192" s="2"/>
      <c r="C192" s="1"/>
      <c r="D192" s="1"/>
      <c r="E192" s="1"/>
    </row>
    <row r="193" spans="1:5" x14ac:dyDescent="0.25">
      <c r="A193" s="1"/>
      <c r="B193" s="2"/>
      <c r="C193" s="1"/>
      <c r="D193" s="1"/>
      <c r="E193" s="1"/>
    </row>
    <row r="194" spans="1:5" x14ac:dyDescent="0.25">
      <c r="A194" s="1"/>
      <c r="B194" s="2"/>
      <c r="C194" s="1"/>
      <c r="D194" s="1"/>
      <c r="E194" s="1"/>
    </row>
    <row r="195" spans="1:5" x14ac:dyDescent="0.25">
      <c r="A195" s="1"/>
      <c r="B195" s="2"/>
      <c r="C195" s="1"/>
      <c r="D195" s="1"/>
      <c r="E195" s="1"/>
    </row>
    <row r="196" spans="1:5" x14ac:dyDescent="0.25">
      <c r="A196" s="1"/>
      <c r="B196" s="2"/>
      <c r="C196" s="1"/>
      <c r="D196" s="1"/>
      <c r="E196" s="1"/>
    </row>
    <row r="197" spans="1:5" x14ac:dyDescent="0.25">
      <c r="A197" s="1"/>
      <c r="B197" s="2"/>
      <c r="C197" s="1"/>
      <c r="D197" s="1"/>
      <c r="E197" s="1"/>
    </row>
    <row r="198" spans="1:5" x14ac:dyDescent="0.25">
      <c r="A198" s="1"/>
      <c r="B198" s="2"/>
      <c r="C198" s="1"/>
      <c r="D198" s="1"/>
      <c r="E198" s="1"/>
    </row>
    <row r="199" spans="1:5" x14ac:dyDescent="0.25">
      <c r="A199" s="1"/>
      <c r="B199" s="2"/>
      <c r="C199" s="1"/>
      <c r="D199" s="1"/>
      <c r="E199" s="1"/>
    </row>
    <row r="200" spans="1:5" x14ac:dyDescent="0.25">
      <c r="A200" s="1"/>
      <c r="B200" s="2"/>
      <c r="C200" s="1"/>
      <c r="D200" s="1"/>
      <c r="E200" s="1"/>
    </row>
    <row r="201" spans="1:5" x14ac:dyDescent="0.25">
      <c r="A201" s="1"/>
      <c r="B201" s="2"/>
      <c r="C201" s="1"/>
      <c r="D201" s="1"/>
      <c r="E201" s="1"/>
    </row>
    <row r="202" spans="1:5" x14ac:dyDescent="0.25">
      <c r="A202" s="1"/>
      <c r="B202" s="2"/>
      <c r="C202" s="1"/>
      <c r="D202" s="1"/>
      <c r="E202" s="1"/>
    </row>
    <row r="203" spans="1:5" x14ac:dyDescent="0.25">
      <c r="A203" s="1"/>
      <c r="B203" s="2"/>
      <c r="C203" s="1"/>
      <c r="D203" s="1"/>
      <c r="E203" s="1"/>
    </row>
    <row r="204" spans="1:5" x14ac:dyDescent="0.25">
      <c r="A204" s="1"/>
      <c r="B204" s="2"/>
      <c r="C204" s="1"/>
      <c r="D204" s="1"/>
      <c r="E204" s="1"/>
    </row>
    <row r="205" spans="1:5" x14ac:dyDescent="0.25">
      <c r="A205" s="1"/>
      <c r="B205" s="2"/>
      <c r="C205" s="1"/>
      <c r="D205" s="1"/>
      <c r="E205" s="1"/>
    </row>
    <row r="206" spans="1:5" x14ac:dyDescent="0.25">
      <c r="A206" s="1"/>
      <c r="B206" s="2"/>
      <c r="C206" s="1"/>
      <c r="D206" s="1"/>
      <c r="E206" s="1"/>
    </row>
    <row r="207" spans="1:5" x14ac:dyDescent="0.25">
      <c r="A207" s="1"/>
      <c r="B207" s="2"/>
      <c r="C207" s="1"/>
      <c r="D207" s="1"/>
      <c r="E207" s="1"/>
    </row>
    <row r="208" spans="1:5" x14ac:dyDescent="0.25">
      <c r="A208" s="1"/>
      <c r="B208" s="2"/>
      <c r="C208" s="1"/>
      <c r="D208" s="1"/>
      <c r="E208" s="1"/>
    </row>
    <row r="209" spans="1:5" x14ac:dyDescent="0.25">
      <c r="A209" s="1"/>
      <c r="B209" s="2"/>
      <c r="C209" s="1"/>
      <c r="D209" s="1"/>
      <c r="E209" s="1"/>
    </row>
    <row r="210" spans="1:5" x14ac:dyDescent="0.25">
      <c r="A210" s="1"/>
      <c r="B210" s="2"/>
      <c r="C210" s="1"/>
      <c r="D210" s="1"/>
      <c r="E210" s="1"/>
    </row>
    <row r="211" spans="1:5" x14ac:dyDescent="0.25">
      <c r="A211" s="1"/>
      <c r="B211" s="2"/>
      <c r="C211" s="1"/>
      <c r="D211" s="1"/>
      <c r="E211" s="1"/>
    </row>
    <row r="212" spans="1:5" x14ac:dyDescent="0.25">
      <c r="A212" s="1"/>
      <c r="B212" s="2"/>
      <c r="C212" s="1"/>
      <c r="D212" s="1"/>
      <c r="E212" s="1"/>
    </row>
    <row r="213" spans="1:5" x14ac:dyDescent="0.25">
      <c r="A213" s="1"/>
      <c r="B213" s="2"/>
      <c r="C213" s="1"/>
      <c r="D213" s="1"/>
      <c r="E213" s="1"/>
    </row>
    <row r="214" spans="1:5" x14ac:dyDescent="0.25">
      <c r="A214" s="1"/>
      <c r="B214" s="2"/>
      <c r="C214" s="1"/>
      <c r="D214" s="1"/>
      <c r="E214" s="1"/>
    </row>
    <row r="215" spans="1:5" x14ac:dyDescent="0.25">
      <c r="A215" s="1"/>
      <c r="B215" s="2"/>
      <c r="C215" s="1"/>
      <c r="D215" s="1"/>
      <c r="E215" s="1"/>
    </row>
    <row r="216" spans="1:5" x14ac:dyDescent="0.25">
      <c r="A216" s="1"/>
      <c r="B216" s="2"/>
      <c r="C216" s="1"/>
      <c r="D216" s="1"/>
      <c r="E216" s="1"/>
    </row>
    <row r="217" spans="1:5" x14ac:dyDescent="0.25">
      <c r="A217" s="1"/>
      <c r="B217" s="2"/>
      <c r="C217" s="1"/>
      <c r="D217" s="1"/>
      <c r="E217" s="1"/>
    </row>
    <row r="218" spans="1:5" x14ac:dyDescent="0.25">
      <c r="A218" s="1"/>
      <c r="B218" s="2"/>
      <c r="C218" s="1"/>
      <c r="D218" s="1"/>
      <c r="E218" s="1"/>
    </row>
    <row r="219" spans="1:5" x14ac:dyDescent="0.25">
      <c r="A219" s="1"/>
      <c r="B219" s="2"/>
      <c r="C219" s="1"/>
      <c r="D219" s="1"/>
      <c r="E219" s="1"/>
    </row>
    <row r="220" spans="1:5" x14ac:dyDescent="0.25">
      <c r="A220" s="1"/>
      <c r="B220" s="2"/>
      <c r="C220" s="1"/>
      <c r="D220" s="1"/>
      <c r="E220" s="1"/>
    </row>
    <row r="221" spans="1:5" x14ac:dyDescent="0.25">
      <c r="A221" s="1"/>
      <c r="B221" s="2"/>
      <c r="C221" s="1"/>
      <c r="D221" s="1"/>
      <c r="E221" s="1"/>
    </row>
    <row r="222" spans="1:5" x14ac:dyDescent="0.25">
      <c r="A222" s="1"/>
      <c r="B222" s="2"/>
      <c r="C222" s="1"/>
      <c r="D222" s="1"/>
      <c r="E222" s="1"/>
    </row>
    <row r="223" spans="1:5" x14ac:dyDescent="0.25">
      <c r="A223" s="1"/>
      <c r="B223" s="2"/>
      <c r="C223" s="1"/>
      <c r="D223" s="1"/>
      <c r="E223" s="1"/>
    </row>
    <row r="224" spans="1:5" x14ac:dyDescent="0.25">
      <c r="A224" s="1"/>
      <c r="B224" s="2"/>
      <c r="C224" s="1"/>
      <c r="D224" s="1"/>
      <c r="E224" s="1"/>
    </row>
    <row r="225" spans="1:5" x14ac:dyDescent="0.25">
      <c r="A225" s="1"/>
      <c r="B225" s="2"/>
      <c r="C225" s="1"/>
      <c r="D225" s="1"/>
      <c r="E225" s="1"/>
    </row>
    <row r="226" spans="1:5" x14ac:dyDescent="0.25">
      <c r="A226" s="1"/>
      <c r="B226" s="2"/>
      <c r="C226" s="1"/>
      <c r="D226" s="1"/>
      <c r="E226" s="1"/>
    </row>
    <row r="227" spans="1:5" x14ac:dyDescent="0.25">
      <c r="A227" s="1"/>
      <c r="B227" s="2"/>
      <c r="C227" s="1"/>
      <c r="D227" s="1"/>
      <c r="E227" s="1"/>
    </row>
    <row r="228" spans="1:5" x14ac:dyDescent="0.25">
      <c r="A228" s="1"/>
      <c r="B228" s="2"/>
      <c r="C228" s="1"/>
      <c r="D228" s="1"/>
      <c r="E228" s="1"/>
    </row>
    <row r="229" spans="1:5" x14ac:dyDescent="0.25">
      <c r="A229" s="1"/>
      <c r="B229" s="2"/>
      <c r="C229" s="1"/>
      <c r="D229" s="1"/>
      <c r="E229" s="1"/>
    </row>
    <row r="230" spans="1:5" x14ac:dyDescent="0.25">
      <c r="A230" s="1"/>
      <c r="B230" s="2"/>
      <c r="C230" s="1"/>
      <c r="D230" s="1"/>
      <c r="E230" s="1"/>
    </row>
    <row r="231" spans="1:5" x14ac:dyDescent="0.25">
      <c r="A231" s="1"/>
      <c r="B231" s="2"/>
      <c r="C231" s="1"/>
      <c r="D231" s="1"/>
      <c r="E231" s="1"/>
    </row>
    <row r="232" spans="1:5" x14ac:dyDescent="0.25">
      <c r="A232" s="1"/>
      <c r="B232" s="2"/>
      <c r="C232" s="1"/>
      <c r="D232" s="1"/>
      <c r="E232" s="1"/>
    </row>
    <row r="233" spans="1:5" x14ac:dyDescent="0.25">
      <c r="A233" s="1"/>
      <c r="B233" s="2"/>
      <c r="C233" s="1"/>
      <c r="D233" s="1"/>
      <c r="E233" s="1"/>
    </row>
    <row r="234" spans="1:5" x14ac:dyDescent="0.25">
      <c r="A234" s="1"/>
      <c r="B234" s="2"/>
      <c r="C234" s="1"/>
      <c r="D234" s="1"/>
      <c r="E234" s="1"/>
    </row>
    <row r="235" spans="1:5" x14ac:dyDescent="0.25">
      <c r="A235" s="1"/>
      <c r="B235" s="2"/>
      <c r="C235" s="1"/>
      <c r="D235" s="1"/>
      <c r="E235" s="1"/>
    </row>
    <row r="236" spans="1:5" x14ac:dyDescent="0.25">
      <c r="A236" s="1"/>
      <c r="B236" s="2"/>
      <c r="C236" s="1"/>
      <c r="D236" s="1"/>
      <c r="E236" s="1"/>
    </row>
    <row r="237" spans="1:5" x14ac:dyDescent="0.25">
      <c r="A237" s="1"/>
      <c r="B237" s="2"/>
      <c r="C237" s="1"/>
      <c r="D237" s="1"/>
      <c r="E237" s="1"/>
    </row>
    <row r="238" spans="1:5" x14ac:dyDescent="0.25">
      <c r="A238" s="1"/>
      <c r="B238" s="2"/>
      <c r="C238" s="1"/>
      <c r="D238" s="1"/>
      <c r="E238" s="1"/>
    </row>
    <row r="239" spans="1:5" x14ac:dyDescent="0.25">
      <c r="A239" s="1"/>
      <c r="B239" s="2"/>
      <c r="C239" s="1"/>
      <c r="D239" s="1"/>
      <c r="E239" s="1"/>
    </row>
    <row r="240" spans="1:5" x14ac:dyDescent="0.25">
      <c r="A240" s="1"/>
      <c r="B240" s="2"/>
      <c r="C240" s="1"/>
      <c r="D240" s="1"/>
      <c r="E240" s="1"/>
    </row>
    <row r="241" spans="1:5" x14ac:dyDescent="0.25">
      <c r="A241" s="1"/>
      <c r="B241" s="2"/>
      <c r="C241" s="1"/>
      <c r="D241" s="1"/>
      <c r="E241" s="1"/>
    </row>
    <row r="242" spans="1:5" x14ac:dyDescent="0.25">
      <c r="A242" s="1"/>
      <c r="B242" s="2"/>
      <c r="C242" s="1"/>
      <c r="D242" s="1"/>
      <c r="E242" s="1"/>
    </row>
    <row r="243" spans="1:5" x14ac:dyDescent="0.25">
      <c r="A243" s="1"/>
      <c r="B243" s="2"/>
      <c r="C243" s="1"/>
      <c r="D243" s="1"/>
      <c r="E243" s="1"/>
    </row>
    <row r="244" spans="1:5" x14ac:dyDescent="0.25">
      <c r="A244" s="1"/>
      <c r="B244" s="2"/>
      <c r="C244" s="1"/>
      <c r="D244" s="1"/>
      <c r="E244" s="1"/>
    </row>
    <row r="245" spans="1:5" x14ac:dyDescent="0.25">
      <c r="A245" s="1"/>
      <c r="B245" s="2"/>
      <c r="C245" s="1"/>
      <c r="D245" s="1"/>
      <c r="E245" s="1"/>
    </row>
    <row r="246" spans="1:5" x14ac:dyDescent="0.25">
      <c r="A246" s="1"/>
      <c r="B246" s="2"/>
      <c r="C246" s="1"/>
      <c r="D246" s="1"/>
      <c r="E246" s="1"/>
    </row>
    <row r="247" spans="1:5" x14ac:dyDescent="0.25">
      <c r="A247" s="1"/>
      <c r="B247" s="2"/>
      <c r="C247" s="1"/>
      <c r="D247" s="1"/>
      <c r="E247" s="1"/>
    </row>
    <row r="248" spans="1:5" x14ac:dyDescent="0.25">
      <c r="A248" s="1"/>
      <c r="B248" s="2"/>
      <c r="C248" s="1"/>
      <c r="D248" s="1"/>
      <c r="E248" s="1"/>
    </row>
    <row r="249" spans="1:5" x14ac:dyDescent="0.25">
      <c r="A249" s="1"/>
      <c r="B249" s="2"/>
      <c r="C249" s="1"/>
      <c r="D249" s="1"/>
      <c r="E249" s="1"/>
    </row>
    <row r="250" spans="1:5" x14ac:dyDescent="0.25">
      <c r="A250" s="1"/>
      <c r="B250" s="2"/>
      <c r="C250" s="1"/>
      <c r="D250" s="1"/>
      <c r="E250" s="1"/>
    </row>
    <row r="251" spans="1:5" x14ac:dyDescent="0.25">
      <c r="A251" s="1"/>
      <c r="B251" s="2"/>
      <c r="C251" s="1"/>
      <c r="D251" s="1"/>
      <c r="E251" s="1"/>
    </row>
    <row r="252" spans="1:5" x14ac:dyDescent="0.25">
      <c r="A252" s="1"/>
      <c r="B252" s="2"/>
      <c r="C252" s="1"/>
      <c r="D252" s="1"/>
      <c r="E252" s="1"/>
    </row>
    <row r="253" spans="1:5" x14ac:dyDescent="0.25">
      <c r="A253" s="1"/>
      <c r="B253" s="2"/>
      <c r="C253" s="1"/>
      <c r="D253" s="1"/>
      <c r="E253" s="1"/>
    </row>
    <row r="254" spans="1:5" x14ac:dyDescent="0.25">
      <c r="A254" s="1"/>
      <c r="B254" s="2"/>
      <c r="C254" s="1"/>
      <c r="D254" s="1"/>
      <c r="E254" s="1"/>
    </row>
    <row r="255" spans="1:5" x14ac:dyDescent="0.25">
      <c r="A255" s="1"/>
      <c r="B255" s="2"/>
      <c r="C255" s="1"/>
      <c r="D255" s="1"/>
      <c r="E255" s="1"/>
    </row>
    <row r="256" spans="1:5" x14ac:dyDescent="0.25">
      <c r="A256" s="1"/>
      <c r="B256" s="2"/>
      <c r="C256" s="1"/>
      <c r="D256" s="1"/>
      <c r="E256" s="1"/>
    </row>
    <row r="257" spans="1:5" x14ac:dyDescent="0.25">
      <c r="A257" s="1"/>
      <c r="B257" s="2"/>
      <c r="C257" s="1"/>
      <c r="D257" s="1"/>
      <c r="E257" s="1"/>
    </row>
    <row r="258" spans="1:5" x14ac:dyDescent="0.25">
      <c r="A258" s="1"/>
      <c r="B258" s="2"/>
      <c r="C258" s="1"/>
      <c r="D258" s="1"/>
      <c r="E258" s="1"/>
    </row>
    <row r="259" spans="1:5" x14ac:dyDescent="0.25">
      <c r="A259" s="1"/>
      <c r="B259" s="2"/>
      <c r="C259" s="1"/>
      <c r="D259" s="1"/>
      <c r="E259" s="1"/>
    </row>
    <row r="260" spans="1:5" x14ac:dyDescent="0.25">
      <c r="A260" s="1"/>
      <c r="B260" s="2"/>
      <c r="C260" s="1"/>
      <c r="D260" s="1"/>
      <c r="E260" s="1"/>
    </row>
    <row r="261" spans="1:5" x14ac:dyDescent="0.25">
      <c r="A261" s="1"/>
      <c r="B261" s="2"/>
      <c r="C261" s="1"/>
      <c r="D261" s="1"/>
      <c r="E261" s="1"/>
    </row>
    <row r="262" spans="1:5" x14ac:dyDescent="0.25">
      <c r="A262" s="1"/>
      <c r="B262" s="2"/>
      <c r="C262" s="1"/>
      <c r="D262" s="1"/>
      <c r="E262" s="1"/>
    </row>
    <row r="263" spans="1:5" x14ac:dyDescent="0.25">
      <c r="A263" s="1"/>
      <c r="B263" s="2"/>
      <c r="C263" s="1"/>
      <c r="D263" s="1"/>
      <c r="E263" s="1"/>
    </row>
    <row r="264" spans="1:5" x14ac:dyDescent="0.25">
      <c r="A264" s="1"/>
      <c r="B264" s="2"/>
      <c r="C264" s="1"/>
      <c r="D264" s="1"/>
      <c r="E264" s="1"/>
    </row>
    <row r="265" spans="1:5" x14ac:dyDescent="0.25">
      <c r="A265" s="1"/>
      <c r="B265" s="2"/>
      <c r="C265" s="1"/>
      <c r="D265" s="1"/>
      <c r="E265" s="1"/>
    </row>
    <row r="266" spans="1:5" x14ac:dyDescent="0.25">
      <c r="A266" s="1"/>
      <c r="B266" s="2"/>
      <c r="C266" s="1"/>
      <c r="D266" s="1"/>
      <c r="E266" s="1"/>
    </row>
    <row r="267" spans="1:5" x14ac:dyDescent="0.25">
      <c r="A267" s="1"/>
      <c r="B267" s="2"/>
      <c r="C267" s="1"/>
      <c r="D267" s="1"/>
      <c r="E267" s="1"/>
    </row>
    <row r="268" spans="1:5" x14ac:dyDescent="0.25">
      <c r="A268" s="1"/>
      <c r="B268" s="2"/>
      <c r="C268" s="1"/>
      <c r="D268" s="1"/>
      <c r="E268" s="1"/>
    </row>
    <row r="269" spans="1:5" x14ac:dyDescent="0.25">
      <c r="A269" s="1"/>
      <c r="B269" s="2"/>
      <c r="C269" s="1"/>
      <c r="D269" s="1"/>
      <c r="E269" s="1"/>
    </row>
    <row r="270" spans="1:5" x14ac:dyDescent="0.25">
      <c r="A270" s="1"/>
      <c r="B270" s="2"/>
      <c r="C270" s="1"/>
      <c r="D270" s="1"/>
      <c r="E270" s="1"/>
    </row>
    <row r="271" spans="1:5" x14ac:dyDescent="0.25">
      <c r="A271" s="1"/>
      <c r="B271" s="2"/>
      <c r="C271" s="1"/>
      <c r="D271" s="1"/>
      <c r="E271" s="1"/>
    </row>
    <row r="272" spans="1:5" x14ac:dyDescent="0.25">
      <c r="A272" s="1"/>
      <c r="B272" s="2"/>
      <c r="C272" s="1"/>
      <c r="D272" s="1"/>
      <c r="E272" s="1"/>
    </row>
    <row r="273" spans="1:5" x14ac:dyDescent="0.25">
      <c r="A273" s="1"/>
      <c r="B273" s="2"/>
      <c r="C273" s="1"/>
      <c r="D273" s="1"/>
      <c r="E273" s="1"/>
    </row>
    <row r="274" spans="1:5" x14ac:dyDescent="0.25">
      <c r="A274" s="1"/>
      <c r="B274" s="2"/>
      <c r="C274" s="1"/>
      <c r="D274" s="1"/>
      <c r="E274" s="1"/>
    </row>
    <row r="275" spans="1:5" x14ac:dyDescent="0.25">
      <c r="A275" s="1"/>
      <c r="B275" s="2"/>
      <c r="C275" s="1"/>
      <c r="D275" s="1"/>
      <c r="E275" s="1"/>
    </row>
    <row r="276" spans="1:5" x14ac:dyDescent="0.25">
      <c r="A276" s="1"/>
      <c r="B276" s="2"/>
      <c r="C276" s="1"/>
      <c r="D276" s="1"/>
      <c r="E276" s="1"/>
    </row>
    <row r="277" spans="1:5" x14ac:dyDescent="0.25">
      <c r="A277" s="1"/>
      <c r="B277" s="2"/>
      <c r="C277" s="1"/>
      <c r="D277" s="1"/>
      <c r="E277" s="1"/>
    </row>
    <row r="278" spans="1:5" x14ac:dyDescent="0.25">
      <c r="A278" s="1"/>
      <c r="B278" s="2"/>
      <c r="C278" s="1"/>
      <c r="D278" s="1"/>
      <c r="E278" s="1"/>
    </row>
    <row r="279" spans="1:5" x14ac:dyDescent="0.25">
      <c r="A279" s="1"/>
      <c r="B279" s="2"/>
      <c r="C279" s="1"/>
      <c r="D279" s="1"/>
      <c r="E279" s="1"/>
    </row>
    <row r="280" spans="1:5" x14ac:dyDescent="0.25">
      <c r="A280" s="1"/>
      <c r="B280" s="2"/>
      <c r="C280" s="1"/>
      <c r="D280" s="1"/>
      <c r="E280" s="1"/>
    </row>
    <row r="281" spans="1:5" x14ac:dyDescent="0.25">
      <c r="A281" s="1"/>
      <c r="B281" s="2"/>
      <c r="C281" s="1"/>
      <c r="D281" s="1"/>
      <c r="E281" s="1"/>
    </row>
    <row r="282" spans="1:5" x14ac:dyDescent="0.25">
      <c r="A282" s="1"/>
      <c r="B282" s="2"/>
      <c r="C282" s="1"/>
      <c r="D282" s="1"/>
      <c r="E282" s="1"/>
    </row>
    <row r="283" spans="1:5" x14ac:dyDescent="0.25">
      <c r="A283" s="1"/>
      <c r="B283" s="2"/>
      <c r="C283" s="1"/>
      <c r="D283" s="1"/>
      <c r="E283" s="1"/>
    </row>
    <row r="284" spans="1:5" x14ac:dyDescent="0.25">
      <c r="A284" s="1"/>
      <c r="B284" s="2"/>
      <c r="C284" s="1"/>
      <c r="D284" s="1"/>
      <c r="E284" s="1"/>
    </row>
    <row r="285" spans="1:5" x14ac:dyDescent="0.25">
      <c r="A285" s="1"/>
      <c r="B285" s="2"/>
      <c r="C285" s="1"/>
      <c r="D285" s="1"/>
      <c r="E285" s="1"/>
    </row>
    <row r="286" spans="1:5" x14ac:dyDescent="0.25">
      <c r="A286" s="1"/>
      <c r="B286" s="2"/>
      <c r="C286" s="1"/>
      <c r="D286" s="1"/>
      <c r="E286" s="1"/>
    </row>
    <row r="287" spans="1:5" x14ac:dyDescent="0.25">
      <c r="A287" s="1"/>
      <c r="B287" s="2"/>
      <c r="C287" s="1"/>
      <c r="D287" s="1"/>
      <c r="E287" s="1"/>
    </row>
    <row r="288" spans="1:5" x14ac:dyDescent="0.25">
      <c r="A288" s="1"/>
      <c r="B288" s="2"/>
      <c r="C288" s="1"/>
      <c r="D288" s="1"/>
      <c r="E288" s="1"/>
    </row>
    <row r="289" spans="1:5" x14ac:dyDescent="0.25">
      <c r="A289" s="1"/>
      <c r="B289" s="2"/>
      <c r="C289" s="1"/>
      <c r="D289" s="1"/>
      <c r="E289" s="1"/>
    </row>
    <row r="290" spans="1:5" x14ac:dyDescent="0.25">
      <c r="A290" s="1"/>
      <c r="B290" s="2"/>
      <c r="C290" s="1"/>
      <c r="D290" s="1"/>
      <c r="E290" s="1"/>
    </row>
    <row r="291" spans="1:5" x14ac:dyDescent="0.25">
      <c r="A291" s="1"/>
      <c r="B291" s="2"/>
      <c r="C291" s="1"/>
      <c r="D291" s="1"/>
      <c r="E291" s="1"/>
    </row>
    <row r="292" spans="1:5" x14ac:dyDescent="0.25">
      <c r="A292" s="1"/>
      <c r="B292" s="2"/>
      <c r="C292" s="1"/>
      <c r="D292" s="1"/>
      <c r="E292" s="1"/>
    </row>
    <row r="293" spans="1:5" x14ac:dyDescent="0.25">
      <c r="A293" s="1"/>
      <c r="B293" s="2"/>
      <c r="C293" s="1"/>
      <c r="D293" s="1"/>
      <c r="E293" s="1"/>
    </row>
    <row r="294" spans="1:5" x14ac:dyDescent="0.25">
      <c r="A294" s="1"/>
      <c r="B294" s="2"/>
      <c r="C294" s="1"/>
      <c r="D294" s="1"/>
      <c r="E294" s="1"/>
    </row>
    <row r="295" spans="1:5" x14ac:dyDescent="0.25">
      <c r="A295" s="1"/>
      <c r="B295" s="2"/>
      <c r="C295" s="1"/>
      <c r="D295" s="1"/>
      <c r="E295" s="1"/>
    </row>
    <row r="296" spans="1:5" x14ac:dyDescent="0.25">
      <c r="A296" s="1"/>
      <c r="B296" s="2"/>
      <c r="C296" s="1"/>
      <c r="D296" s="1"/>
      <c r="E296" s="1"/>
    </row>
    <row r="297" spans="1:5" x14ac:dyDescent="0.25">
      <c r="A297" s="1"/>
      <c r="B297" s="2"/>
      <c r="C297" s="1"/>
      <c r="D297" s="1"/>
      <c r="E297" s="1"/>
    </row>
    <row r="298" spans="1:5" x14ac:dyDescent="0.25">
      <c r="A298" s="1"/>
      <c r="B298" s="2"/>
      <c r="C298" s="1"/>
      <c r="D298" s="1"/>
      <c r="E298" s="1"/>
    </row>
    <row r="299" spans="1:5" x14ac:dyDescent="0.25">
      <c r="A299" s="1"/>
      <c r="B299" s="2"/>
      <c r="C299" s="1"/>
      <c r="D299" s="1"/>
      <c r="E299" s="1"/>
    </row>
    <row r="300" spans="1:5" x14ac:dyDescent="0.25">
      <c r="A300" s="1"/>
      <c r="B300" s="2"/>
      <c r="C300" s="1"/>
      <c r="D300" s="1"/>
      <c r="E300" s="1"/>
    </row>
    <row r="301" spans="1:5" x14ac:dyDescent="0.25">
      <c r="A301" s="1"/>
      <c r="B301" s="2"/>
      <c r="C301" s="1"/>
      <c r="D301" s="1"/>
      <c r="E301" s="1"/>
    </row>
    <row r="302" spans="1:5" x14ac:dyDescent="0.25">
      <c r="A302" s="1"/>
      <c r="B302" s="2"/>
      <c r="C302" s="1"/>
      <c r="D302" s="1"/>
      <c r="E302" s="1"/>
    </row>
    <row r="303" spans="1:5" x14ac:dyDescent="0.25">
      <c r="A303" s="1"/>
      <c r="B303" s="2"/>
      <c r="C303" s="1"/>
      <c r="D303" s="1"/>
      <c r="E303" s="1"/>
    </row>
    <row r="304" spans="1:5" x14ac:dyDescent="0.25">
      <c r="A304" s="1"/>
      <c r="B304" s="2"/>
      <c r="C304" s="1"/>
      <c r="D304" s="1"/>
      <c r="E304" s="1"/>
    </row>
    <row r="305" spans="1:5" x14ac:dyDescent="0.25">
      <c r="A305" s="1"/>
      <c r="B305" s="2"/>
      <c r="C305" s="1"/>
      <c r="D305" s="1"/>
      <c r="E305" s="1"/>
    </row>
    <row r="306" spans="1:5" x14ac:dyDescent="0.25">
      <c r="A306" s="1"/>
      <c r="B306" s="2"/>
      <c r="C306" s="1"/>
      <c r="D306" s="1"/>
      <c r="E306" s="1"/>
    </row>
    <row r="307" spans="1:5" x14ac:dyDescent="0.25">
      <c r="A307" s="1"/>
      <c r="B307" s="2"/>
      <c r="C307" s="1"/>
      <c r="D307" s="1"/>
      <c r="E307" s="1"/>
    </row>
    <row r="308" spans="1:5" x14ac:dyDescent="0.25">
      <c r="A308" s="1"/>
      <c r="B308" s="2"/>
      <c r="C308" s="1"/>
      <c r="D308" s="1"/>
      <c r="E308" s="1"/>
    </row>
    <row r="309" spans="1:5" x14ac:dyDescent="0.25">
      <c r="A309" s="1"/>
      <c r="B309" s="2"/>
      <c r="C309" s="1"/>
      <c r="D309" s="1"/>
      <c r="E309" s="1"/>
    </row>
    <row r="310" spans="1:5" x14ac:dyDescent="0.25">
      <c r="A310" s="1"/>
      <c r="B310" s="2"/>
      <c r="C310" s="1"/>
      <c r="D310" s="1"/>
      <c r="E310" s="1"/>
    </row>
    <row r="311" spans="1:5" x14ac:dyDescent="0.25">
      <c r="A311" s="1"/>
      <c r="B311" s="2"/>
      <c r="C311" s="1"/>
      <c r="D311" s="1"/>
      <c r="E311" s="1"/>
    </row>
    <row r="312" spans="1:5" x14ac:dyDescent="0.25">
      <c r="A312" s="1"/>
      <c r="B312" s="2"/>
      <c r="C312" s="1"/>
      <c r="D312" s="1"/>
      <c r="E312" s="1"/>
    </row>
    <row r="313" spans="1:5" x14ac:dyDescent="0.25">
      <c r="A313" s="1"/>
      <c r="B313" s="2"/>
      <c r="C313" s="1"/>
      <c r="D313" s="1"/>
      <c r="E313" s="1"/>
    </row>
    <row r="314" spans="1:5" x14ac:dyDescent="0.25">
      <c r="A314" s="1"/>
      <c r="B314" s="2"/>
      <c r="C314" s="1"/>
      <c r="D314" s="1"/>
      <c r="E314" s="1"/>
    </row>
    <row r="315" spans="1:5" x14ac:dyDescent="0.25">
      <c r="A315" s="1"/>
      <c r="B315" s="2"/>
      <c r="C315" s="1"/>
      <c r="D315" s="1"/>
      <c r="E315" s="1"/>
    </row>
    <row r="316" spans="1:5" x14ac:dyDescent="0.25">
      <c r="A316" s="1"/>
      <c r="B316" s="2"/>
      <c r="C316" s="1"/>
      <c r="D316" s="1"/>
      <c r="E316" s="1"/>
    </row>
    <row r="317" spans="1:5" x14ac:dyDescent="0.25">
      <c r="A317" s="1"/>
      <c r="B317" s="2"/>
      <c r="C317" s="1"/>
      <c r="D317" s="1"/>
      <c r="E317" s="1"/>
    </row>
    <row r="318" spans="1:5" x14ac:dyDescent="0.25">
      <c r="A318" s="1"/>
      <c r="B318" s="2"/>
      <c r="C318" s="1"/>
      <c r="D318" s="1"/>
      <c r="E318" s="1"/>
    </row>
    <row r="319" spans="1:5" x14ac:dyDescent="0.25">
      <c r="A319" s="1"/>
      <c r="B319" s="2"/>
      <c r="C319" s="1"/>
      <c r="D319" s="1"/>
      <c r="E319" s="1"/>
    </row>
    <row r="320" spans="1:5" x14ac:dyDescent="0.25">
      <c r="A320" s="1"/>
      <c r="B320" s="2"/>
      <c r="C320" s="1"/>
      <c r="D320" s="1"/>
      <c r="E320" s="1"/>
    </row>
    <row r="321" spans="1:5" x14ac:dyDescent="0.25">
      <c r="A321" s="1"/>
      <c r="B321" s="2"/>
      <c r="C321" s="1"/>
      <c r="D321" s="1"/>
      <c r="E321" s="1"/>
    </row>
    <row r="322" spans="1:5" x14ac:dyDescent="0.25">
      <c r="A322" s="1"/>
      <c r="B322" s="2"/>
      <c r="C322" s="1"/>
      <c r="D322" s="1"/>
      <c r="E322" s="1"/>
    </row>
    <row r="323" spans="1:5" x14ac:dyDescent="0.25">
      <c r="A323" s="1"/>
      <c r="B323" s="2"/>
      <c r="C323" s="1"/>
      <c r="D323" s="1"/>
      <c r="E323" s="1"/>
    </row>
    <row r="324" spans="1:5" x14ac:dyDescent="0.25">
      <c r="A324" s="1"/>
      <c r="B324" s="2"/>
      <c r="C324" s="1"/>
      <c r="D324" s="1"/>
      <c r="E324" s="1"/>
    </row>
    <row r="325" spans="1:5" x14ac:dyDescent="0.25">
      <c r="A325" s="1"/>
      <c r="B325" s="2"/>
      <c r="C325" s="1"/>
      <c r="D325" s="1"/>
      <c r="E325" s="1"/>
    </row>
    <row r="326" spans="1:5" x14ac:dyDescent="0.25">
      <c r="A326" s="1"/>
      <c r="B326" s="2"/>
      <c r="C326" s="1"/>
      <c r="D326" s="1"/>
      <c r="E326" s="1"/>
    </row>
    <row r="327" spans="1:5" x14ac:dyDescent="0.25">
      <c r="A327" s="1"/>
      <c r="B327" s="2"/>
      <c r="C327" s="1"/>
      <c r="D327" s="1"/>
      <c r="E327" s="1"/>
    </row>
    <row r="328" spans="1:5" x14ac:dyDescent="0.25">
      <c r="A328" s="1"/>
      <c r="B328" s="2"/>
      <c r="C328" s="1"/>
      <c r="D328" s="1"/>
      <c r="E328" s="1"/>
    </row>
    <row r="329" spans="1:5" x14ac:dyDescent="0.25">
      <c r="A329" s="1"/>
      <c r="B329" s="2"/>
      <c r="C329" s="1"/>
      <c r="D329" s="1"/>
      <c r="E329" s="1"/>
    </row>
    <row r="330" spans="1:5" x14ac:dyDescent="0.25">
      <c r="A330" s="1"/>
      <c r="B330" s="2"/>
      <c r="C330" s="1"/>
      <c r="D330" s="1"/>
      <c r="E330" s="1"/>
    </row>
    <row r="331" spans="1:5" x14ac:dyDescent="0.25">
      <c r="A331" s="1"/>
      <c r="B331" s="2"/>
      <c r="C331" s="1"/>
      <c r="D331" s="1"/>
      <c r="E331" s="1"/>
    </row>
    <row r="332" spans="1:5" x14ac:dyDescent="0.25">
      <c r="A332" s="1"/>
      <c r="B332" s="2"/>
      <c r="C332" s="1"/>
      <c r="D332" s="1"/>
      <c r="E332" s="1"/>
    </row>
    <row r="333" spans="1:5" x14ac:dyDescent="0.25">
      <c r="A333" s="1"/>
      <c r="B333" s="2"/>
      <c r="C333" s="1"/>
      <c r="D333" s="1"/>
      <c r="E333" s="1"/>
    </row>
    <row r="334" spans="1:5" x14ac:dyDescent="0.25">
      <c r="A334" s="1"/>
      <c r="B334" s="2"/>
      <c r="C334" s="1"/>
      <c r="D334" s="1"/>
      <c r="E334" s="1"/>
    </row>
    <row r="335" spans="1:5" x14ac:dyDescent="0.25">
      <c r="A335" s="1"/>
      <c r="B335" s="2"/>
      <c r="C335" s="1"/>
      <c r="D335" s="1"/>
      <c r="E335" s="1"/>
    </row>
    <row r="336" spans="1:5" x14ac:dyDescent="0.25">
      <c r="A336" s="1"/>
      <c r="B336" s="2"/>
      <c r="C336" s="1"/>
      <c r="D336" s="1"/>
      <c r="E336" s="1"/>
    </row>
    <row r="337" spans="1:5" x14ac:dyDescent="0.25">
      <c r="A337" s="1"/>
      <c r="B337" s="2"/>
      <c r="C337" s="1"/>
      <c r="D337" s="1"/>
      <c r="E337" s="1"/>
    </row>
    <row r="338" spans="1:5" x14ac:dyDescent="0.25">
      <c r="A338" s="1"/>
      <c r="B338" s="2"/>
      <c r="C338" s="1"/>
      <c r="D338" s="1"/>
      <c r="E338" s="1"/>
    </row>
    <row r="339" spans="1:5" x14ac:dyDescent="0.25">
      <c r="A339" s="1"/>
      <c r="B339" s="2"/>
      <c r="C339" s="1"/>
      <c r="D339" s="1"/>
      <c r="E339" s="1"/>
    </row>
    <row r="340" spans="1:5" x14ac:dyDescent="0.25">
      <c r="A340" s="1"/>
      <c r="B340" s="2"/>
      <c r="C340" s="1"/>
      <c r="D340" s="1"/>
      <c r="E340" s="1"/>
    </row>
    <row r="341" spans="1:5" x14ac:dyDescent="0.25">
      <c r="A341" s="1"/>
      <c r="B341" s="2"/>
      <c r="C341" s="1"/>
      <c r="D341" s="1"/>
      <c r="E341" s="1"/>
    </row>
    <row r="342" spans="1:5" x14ac:dyDescent="0.25">
      <c r="A342" s="1"/>
      <c r="B342" s="2"/>
      <c r="C342" s="1"/>
      <c r="D342" s="1"/>
      <c r="E342" s="1"/>
    </row>
    <row r="343" spans="1:5" x14ac:dyDescent="0.25">
      <c r="A343" s="1"/>
      <c r="B343" s="2"/>
      <c r="C343" s="1"/>
      <c r="D343" s="1"/>
      <c r="E343" s="1"/>
    </row>
    <row r="344" spans="1:5" x14ac:dyDescent="0.25">
      <c r="A344" s="1"/>
      <c r="B344" s="2"/>
      <c r="C344" s="1"/>
      <c r="D344" s="1"/>
      <c r="E344" s="1"/>
    </row>
    <row r="345" spans="1:5" x14ac:dyDescent="0.25">
      <c r="A345" s="1"/>
      <c r="B345" s="2"/>
      <c r="C345" s="1"/>
      <c r="D345" s="1"/>
      <c r="E345" s="1"/>
    </row>
    <row r="346" spans="1:5" x14ac:dyDescent="0.25">
      <c r="A346" s="1"/>
      <c r="B346" s="2"/>
      <c r="C346" s="1"/>
      <c r="D346" s="1"/>
      <c r="E346" s="1"/>
    </row>
    <row r="347" spans="1:5" x14ac:dyDescent="0.25">
      <c r="A347" s="1"/>
      <c r="B347" s="2"/>
      <c r="C347" s="1"/>
      <c r="D347" s="1"/>
      <c r="E347" s="1"/>
    </row>
    <row r="348" spans="1:5" x14ac:dyDescent="0.25">
      <c r="A348" s="1"/>
      <c r="B348" s="2"/>
      <c r="C348" s="1"/>
      <c r="D348" s="1"/>
      <c r="E348" s="1"/>
    </row>
    <row r="349" spans="1:5" x14ac:dyDescent="0.25">
      <c r="A349" s="1"/>
      <c r="B349" s="2"/>
      <c r="C349" s="1"/>
      <c r="D349" s="1"/>
      <c r="E349" s="1"/>
    </row>
    <row r="350" spans="1:5" x14ac:dyDescent="0.25">
      <c r="A350" s="1"/>
      <c r="B350" s="2"/>
      <c r="C350" s="1"/>
      <c r="D350" s="1"/>
      <c r="E350" s="1"/>
    </row>
    <row r="351" spans="1:5" x14ac:dyDescent="0.25">
      <c r="A351" s="1"/>
      <c r="B351" s="2"/>
      <c r="C351" s="1"/>
      <c r="D351" s="1"/>
      <c r="E351" s="1"/>
    </row>
    <row r="352" spans="1:5" x14ac:dyDescent="0.25">
      <c r="A352" s="1"/>
      <c r="B352" s="2"/>
      <c r="C352" s="1"/>
      <c r="D352" s="1"/>
      <c r="E352" s="1"/>
    </row>
    <row r="353" spans="1:5" x14ac:dyDescent="0.25">
      <c r="A353" s="1"/>
      <c r="B353" s="2"/>
      <c r="C353" s="1"/>
      <c r="D353" s="1"/>
      <c r="E353" s="1"/>
    </row>
    <row r="354" spans="1:5" x14ac:dyDescent="0.25">
      <c r="A354" s="1"/>
      <c r="B354" s="2"/>
      <c r="C354" s="1"/>
      <c r="D354" s="1"/>
      <c r="E354" s="1"/>
    </row>
    <row r="355" spans="1:5" x14ac:dyDescent="0.25">
      <c r="A355" s="1"/>
      <c r="B355" s="2"/>
      <c r="C355" s="1"/>
      <c r="D355" s="1"/>
      <c r="E355" s="1"/>
    </row>
    <row r="356" spans="1:5" x14ac:dyDescent="0.25">
      <c r="A356" s="1"/>
      <c r="B356" s="2"/>
      <c r="C356" s="1"/>
      <c r="D356" s="1"/>
      <c r="E356" s="1"/>
    </row>
    <row r="357" spans="1:5" x14ac:dyDescent="0.25">
      <c r="A357" s="1"/>
      <c r="B357" s="2"/>
      <c r="C357" s="1"/>
      <c r="D357" s="1"/>
      <c r="E357" s="1"/>
    </row>
    <row r="358" spans="1:5" x14ac:dyDescent="0.25">
      <c r="A358" s="1"/>
      <c r="B358" s="2"/>
      <c r="C358" s="1"/>
      <c r="D358" s="1"/>
      <c r="E358" s="1"/>
    </row>
    <row r="359" spans="1:5" x14ac:dyDescent="0.25">
      <c r="A359" s="1"/>
      <c r="B359" s="2"/>
      <c r="C359" s="1"/>
      <c r="D359" s="1"/>
      <c r="E359" s="1"/>
    </row>
    <row r="360" spans="1:5" x14ac:dyDescent="0.25">
      <c r="A360" s="1"/>
      <c r="B360" s="2"/>
      <c r="C360" s="1"/>
      <c r="D360" s="1"/>
      <c r="E360" s="1"/>
    </row>
    <row r="361" spans="1:5" x14ac:dyDescent="0.25">
      <c r="A361" s="1"/>
      <c r="B361" s="2"/>
      <c r="C361" s="1"/>
      <c r="D361" s="1"/>
      <c r="E361" s="1"/>
    </row>
    <row r="362" spans="1:5" x14ac:dyDescent="0.25">
      <c r="A362" s="1"/>
      <c r="B362" s="2"/>
      <c r="C362" s="1"/>
      <c r="D362" s="1"/>
      <c r="E362" s="1"/>
    </row>
    <row r="363" spans="1:5" x14ac:dyDescent="0.25">
      <c r="A363" s="1"/>
      <c r="B363" s="2"/>
      <c r="C363" s="1"/>
      <c r="D363" s="1"/>
      <c r="E363" s="1"/>
    </row>
    <row r="364" spans="1:5" x14ac:dyDescent="0.25">
      <c r="A364" s="1"/>
      <c r="B364" s="2"/>
      <c r="C364" s="1"/>
      <c r="D364" s="1"/>
      <c r="E364" s="1"/>
    </row>
    <row r="365" spans="1:5" x14ac:dyDescent="0.25">
      <c r="A365" s="1"/>
      <c r="B365" s="2"/>
      <c r="C365" s="1"/>
      <c r="D365" s="1"/>
      <c r="E365" s="1"/>
    </row>
    <row r="366" spans="1:5" x14ac:dyDescent="0.25">
      <c r="A366" s="1"/>
      <c r="B366" s="2"/>
      <c r="C366" s="1"/>
      <c r="D366" s="1"/>
      <c r="E366" s="1"/>
    </row>
    <row r="367" spans="1:5" x14ac:dyDescent="0.25">
      <c r="A367" s="1"/>
      <c r="B367" s="2"/>
      <c r="C367" s="1"/>
      <c r="D367" s="1"/>
      <c r="E367" s="1"/>
    </row>
    <row r="368" spans="1:5" x14ac:dyDescent="0.25">
      <c r="A368" s="1"/>
      <c r="B368" s="2"/>
      <c r="C368" s="1"/>
      <c r="D368" s="1"/>
      <c r="E368" s="1"/>
    </row>
    <row r="369" spans="1:5" x14ac:dyDescent="0.25">
      <c r="A369" s="1"/>
      <c r="B369" s="2"/>
      <c r="C369" s="1"/>
      <c r="D369" s="1"/>
      <c r="E369" s="1"/>
    </row>
    <row r="370" spans="1:5" x14ac:dyDescent="0.25">
      <c r="A370" s="1"/>
      <c r="B370" s="2"/>
      <c r="C370" s="1"/>
      <c r="D370" s="1"/>
      <c r="E370" s="1"/>
    </row>
    <row r="371" spans="1:5" x14ac:dyDescent="0.25">
      <c r="A371" s="1"/>
      <c r="B371" s="2"/>
      <c r="C371" s="1"/>
      <c r="D371" s="1"/>
      <c r="E371" s="1"/>
    </row>
    <row r="372" spans="1:5" x14ac:dyDescent="0.25">
      <c r="A372" s="1"/>
      <c r="B372" s="2"/>
      <c r="C372" s="1"/>
      <c r="D372" s="1"/>
      <c r="E372" s="1"/>
    </row>
    <row r="373" spans="1:5" x14ac:dyDescent="0.25">
      <c r="A373" s="1"/>
      <c r="B373" s="2"/>
      <c r="C373" s="1"/>
      <c r="D373" s="1"/>
      <c r="E373" s="1"/>
    </row>
    <row r="374" spans="1:5" x14ac:dyDescent="0.25">
      <c r="A374" s="1"/>
      <c r="B374" s="2"/>
      <c r="C374" s="1"/>
      <c r="D374" s="1"/>
      <c r="E374" s="1"/>
    </row>
    <row r="375" spans="1:5" x14ac:dyDescent="0.25">
      <c r="A375" s="1"/>
      <c r="B375" s="2"/>
      <c r="C375" s="1"/>
      <c r="D375" s="1"/>
      <c r="E375" s="1"/>
    </row>
    <row r="376" spans="1:5" x14ac:dyDescent="0.25">
      <c r="A376" s="1"/>
      <c r="B376" s="2"/>
      <c r="C376" s="1"/>
      <c r="D376" s="1"/>
      <c r="E376" s="1"/>
    </row>
    <row r="377" spans="1:5" x14ac:dyDescent="0.25">
      <c r="A377" s="1"/>
      <c r="B377" s="2"/>
      <c r="C377" s="1"/>
      <c r="D377" s="1"/>
      <c r="E377" s="1"/>
    </row>
    <row r="378" spans="1:5" x14ac:dyDescent="0.25">
      <c r="A378" s="1"/>
      <c r="B378" s="2"/>
      <c r="C378" s="1"/>
      <c r="D378" s="1"/>
      <c r="E378" s="1"/>
    </row>
    <row r="379" spans="1:5" x14ac:dyDescent="0.25">
      <c r="A379" s="1"/>
      <c r="B379" s="2"/>
      <c r="C379" s="1"/>
      <c r="D379" s="1"/>
      <c r="E379" s="1"/>
    </row>
    <row r="380" spans="1:5" x14ac:dyDescent="0.25">
      <c r="A380" s="1"/>
      <c r="B380" s="2"/>
      <c r="C380" s="1"/>
      <c r="D380" s="1"/>
      <c r="E380" s="1"/>
    </row>
    <row r="381" spans="1:5" x14ac:dyDescent="0.25">
      <c r="A381" s="1"/>
      <c r="B381" s="2"/>
      <c r="C381" s="1"/>
      <c r="D381" s="1"/>
      <c r="E381" s="1"/>
    </row>
    <row r="382" spans="1:5" x14ac:dyDescent="0.25">
      <c r="A382" s="1"/>
      <c r="B382" s="2"/>
      <c r="C382" s="1"/>
      <c r="D382" s="1"/>
      <c r="E382" s="1"/>
    </row>
    <row r="383" spans="1:5" x14ac:dyDescent="0.25">
      <c r="A383" s="1"/>
      <c r="B383" s="2"/>
      <c r="C383" s="1"/>
      <c r="D383" s="1"/>
      <c r="E383" s="1"/>
    </row>
    <row r="384" spans="1:5" x14ac:dyDescent="0.25">
      <c r="A384" s="1"/>
      <c r="B384" s="2"/>
      <c r="C384" s="1"/>
      <c r="D384" s="1"/>
      <c r="E384" s="1"/>
    </row>
    <row r="385" spans="1:5" x14ac:dyDescent="0.25">
      <c r="A385" s="1"/>
      <c r="B385" s="2"/>
      <c r="C385" s="1"/>
      <c r="D385" s="1"/>
      <c r="E385" s="1"/>
    </row>
    <row r="386" spans="1:5" x14ac:dyDescent="0.25">
      <c r="A386" s="1"/>
      <c r="B386" s="2"/>
      <c r="C386" s="1"/>
      <c r="D386" s="1"/>
      <c r="E386" s="1"/>
    </row>
    <row r="387" spans="1:5" x14ac:dyDescent="0.25">
      <c r="A387" s="1"/>
      <c r="B387" s="2"/>
      <c r="C387" s="1"/>
      <c r="D387" s="1"/>
      <c r="E387" s="1"/>
    </row>
    <row r="388" spans="1:5" x14ac:dyDescent="0.25">
      <c r="A388" s="1"/>
      <c r="B388" s="2"/>
      <c r="C388" s="1"/>
      <c r="D388" s="1"/>
      <c r="E388" s="1"/>
    </row>
    <row r="389" spans="1:5" x14ac:dyDescent="0.25">
      <c r="A389" s="1"/>
      <c r="B389" s="2"/>
      <c r="C389" s="1"/>
      <c r="D389" s="1"/>
      <c r="E389" s="1"/>
    </row>
    <row r="390" spans="1:5" x14ac:dyDescent="0.25">
      <c r="A390" s="1"/>
      <c r="B390" s="2"/>
      <c r="C390" s="1"/>
      <c r="D390" s="1"/>
      <c r="E390" s="1"/>
    </row>
    <row r="391" spans="1:5" x14ac:dyDescent="0.25">
      <c r="A391" s="1"/>
      <c r="B391" s="2"/>
      <c r="C391" s="1"/>
      <c r="D391" s="1"/>
      <c r="E391" s="1"/>
    </row>
    <row r="392" spans="1:5" x14ac:dyDescent="0.25">
      <c r="A392" s="1"/>
      <c r="B392" s="2"/>
      <c r="C392" s="1"/>
      <c r="D392" s="1"/>
      <c r="E392" s="1"/>
    </row>
    <row r="393" spans="1:5" x14ac:dyDescent="0.25">
      <c r="A393" s="1"/>
      <c r="B393" s="2"/>
      <c r="C393" s="1"/>
      <c r="D393" s="1"/>
      <c r="E393" s="1"/>
    </row>
    <row r="394" spans="1:5" x14ac:dyDescent="0.25">
      <c r="A394" s="1"/>
      <c r="B394" s="2"/>
      <c r="C394" s="1"/>
      <c r="D394" s="1"/>
      <c r="E394" s="1"/>
    </row>
    <row r="395" spans="1:5" x14ac:dyDescent="0.25">
      <c r="A395" s="1"/>
      <c r="B395" s="2"/>
      <c r="C395" s="1"/>
      <c r="D395" s="1"/>
      <c r="E395" s="1"/>
    </row>
    <row r="396" spans="1:5" x14ac:dyDescent="0.25">
      <c r="A396" s="1"/>
      <c r="B396" s="2"/>
      <c r="C396" s="1"/>
      <c r="D396" s="1"/>
      <c r="E396" s="1"/>
    </row>
    <row r="397" spans="1:5" x14ac:dyDescent="0.25">
      <c r="A397" s="1"/>
      <c r="B397" s="2"/>
      <c r="C397" s="1"/>
      <c r="D397" s="1"/>
      <c r="E397" s="1"/>
    </row>
    <row r="398" spans="1:5" x14ac:dyDescent="0.25">
      <c r="A398" s="1"/>
      <c r="B398" s="2"/>
      <c r="C398" s="1"/>
      <c r="D398" s="1"/>
      <c r="E398" s="1"/>
    </row>
    <row r="399" spans="1:5" x14ac:dyDescent="0.25">
      <c r="A399" s="1"/>
      <c r="B399" s="2"/>
      <c r="C399" s="1"/>
      <c r="D399" s="1"/>
      <c r="E399" s="1"/>
    </row>
    <row r="400" spans="1:5" x14ac:dyDescent="0.25">
      <c r="A400" s="1"/>
      <c r="B400" s="2"/>
      <c r="C400" s="1"/>
      <c r="D400" s="1"/>
      <c r="E400" s="1"/>
    </row>
    <row r="401" spans="1:5" x14ac:dyDescent="0.25">
      <c r="A401" s="1"/>
      <c r="B401" s="2"/>
      <c r="C401" s="1"/>
      <c r="D401" s="1"/>
      <c r="E401" s="1"/>
    </row>
    <row r="402" spans="1:5" x14ac:dyDescent="0.25">
      <c r="A402" s="1"/>
      <c r="B402" s="2"/>
      <c r="C402" s="1"/>
      <c r="D402" s="1"/>
      <c r="E402" s="1"/>
    </row>
    <row r="403" spans="1:5" x14ac:dyDescent="0.25">
      <c r="A403" s="1"/>
      <c r="B403" s="2"/>
      <c r="C403" s="1"/>
      <c r="D403" s="1"/>
      <c r="E403" s="1"/>
    </row>
    <row r="404" spans="1:5" x14ac:dyDescent="0.25">
      <c r="A404" s="1"/>
      <c r="B404" s="2"/>
      <c r="C404" s="1"/>
      <c r="D404" s="1"/>
      <c r="E404" s="1"/>
    </row>
    <row r="405" spans="1:5" x14ac:dyDescent="0.25">
      <c r="A405" s="1"/>
      <c r="B405" s="1"/>
      <c r="C405" s="1"/>
      <c r="D405" s="1"/>
      <c r="E405" s="1"/>
    </row>
    <row r="406" spans="1:5" x14ac:dyDescent="0.25">
      <c r="A406" s="1"/>
      <c r="B406" s="1"/>
      <c r="C406" s="1"/>
      <c r="D406" s="1"/>
      <c r="E406" s="1"/>
    </row>
    <row r="407" spans="1:5" x14ac:dyDescent="0.25">
      <c r="A407" s="1"/>
      <c r="B407" s="1"/>
      <c r="C407" s="1"/>
      <c r="D407" s="1"/>
      <c r="E407" s="1"/>
    </row>
    <row r="408" spans="1:5" x14ac:dyDescent="0.25">
      <c r="A408" s="1"/>
      <c r="B408" s="1"/>
      <c r="C408" s="1"/>
      <c r="D408" s="1"/>
      <c r="E408" s="1"/>
    </row>
    <row r="409" spans="1:5" x14ac:dyDescent="0.25">
      <c r="A409" s="1"/>
      <c r="B409" s="1"/>
      <c r="C409" s="1"/>
      <c r="D409" s="1"/>
      <c r="E409" s="1"/>
    </row>
    <row r="410" spans="1:5" x14ac:dyDescent="0.25">
      <c r="A410" s="1"/>
      <c r="B410" s="1"/>
      <c r="C410" s="1"/>
      <c r="D410" s="1"/>
      <c r="E410" s="1"/>
    </row>
    <row r="411" spans="1:5" x14ac:dyDescent="0.25">
      <c r="A411" s="1"/>
      <c r="B411" s="1"/>
      <c r="C411" s="1"/>
      <c r="D411" s="1"/>
      <c r="E411" s="1"/>
    </row>
    <row r="412" spans="1:5" x14ac:dyDescent="0.25">
      <c r="A412" s="1"/>
      <c r="B412" s="1"/>
      <c r="C412" s="1"/>
      <c r="D412" s="1"/>
      <c r="E412" s="1"/>
    </row>
    <row r="413" spans="1:5" x14ac:dyDescent="0.25">
      <c r="A413" s="1"/>
      <c r="B413" s="1"/>
      <c r="C413" s="1"/>
      <c r="D413" s="1"/>
      <c r="E413" s="1"/>
    </row>
    <row r="414" spans="1:5" x14ac:dyDescent="0.25">
      <c r="A414" s="1"/>
      <c r="B414" s="1"/>
      <c r="C414" s="1"/>
      <c r="D414" s="1"/>
      <c r="E414" s="1"/>
    </row>
    <row r="415" spans="1:5" x14ac:dyDescent="0.25">
      <c r="A415" s="1"/>
      <c r="B415" s="1"/>
      <c r="C415" s="1"/>
      <c r="D415" s="1"/>
      <c r="E415" s="1"/>
    </row>
    <row r="416" spans="1:5" x14ac:dyDescent="0.25">
      <c r="A416" s="1"/>
      <c r="B416" s="1"/>
      <c r="C416" s="1"/>
      <c r="D416" s="1"/>
      <c r="E416" s="1"/>
    </row>
    <row r="417" spans="1:5" x14ac:dyDescent="0.25">
      <c r="A417" s="1"/>
      <c r="B417" s="1"/>
      <c r="C417" s="1"/>
      <c r="D417" s="1"/>
      <c r="E417" s="1"/>
    </row>
    <row r="418" spans="1:5" x14ac:dyDescent="0.25">
      <c r="A418" s="1"/>
      <c r="B418" s="1"/>
      <c r="C418" s="1"/>
      <c r="D418" s="1"/>
      <c r="E418" s="1"/>
    </row>
    <row r="419" spans="1:5" x14ac:dyDescent="0.25">
      <c r="A419" s="1"/>
      <c r="B419" s="1"/>
      <c r="C419" s="1"/>
      <c r="D419" s="1"/>
      <c r="E419" s="1"/>
    </row>
    <row r="420" spans="1:5" x14ac:dyDescent="0.25">
      <c r="A420" s="1"/>
      <c r="B420" s="1"/>
      <c r="C420" s="1"/>
      <c r="D420" s="1"/>
      <c r="E420" s="1"/>
    </row>
    <row r="421" spans="1:5" x14ac:dyDescent="0.25">
      <c r="A421" s="1"/>
      <c r="B421" s="1"/>
      <c r="C421" s="1"/>
      <c r="D421" s="1"/>
      <c r="E421" s="1"/>
    </row>
    <row r="422" spans="1:5" x14ac:dyDescent="0.25">
      <c r="A422" s="1"/>
      <c r="B422" s="1"/>
      <c r="C422" s="1"/>
      <c r="D422" s="1"/>
      <c r="E422" s="1"/>
    </row>
    <row r="423" spans="1:5" x14ac:dyDescent="0.25">
      <c r="A423" s="1"/>
      <c r="B423" s="1"/>
      <c r="C423" s="1"/>
      <c r="D423" s="1"/>
      <c r="E423" s="1"/>
    </row>
    <row r="424" spans="1:5" x14ac:dyDescent="0.25">
      <c r="A424" s="1"/>
      <c r="B424" s="1"/>
      <c r="C424" s="1"/>
      <c r="D424" s="1"/>
      <c r="E424" s="1"/>
    </row>
    <row r="425" spans="1:5" x14ac:dyDescent="0.25">
      <c r="A425" s="1"/>
      <c r="B425" s="1"/>
      <c r="C425" s="1"/>
      <c r="D425" s="1"/>
      <c r="E425" s="1"/>
    </row>
    <row r="426" spans="1:5" x14ac:dyDescent="0.25">
      <c r="A426" s="1"/>
      <c r="B426" s="1"/>
      <c r="C426" s="1"/>
      <c r="D426" s="1"/>
      <c r="E426" s="1"/>
    </row>
    <row r="427" spans="1:5" x14ac:dyDescent="0.25">
      <c r="A427" s="1"/>
      <c r="B427" s="1"/>
      <c r="C427" s="1"/>
      <c r="D427" s="1"/>
      <c r="E427" s="1"/>
    </row>
    <row r="428" spans="1:5" x14ac:dyDescent="0.25">
      <c r="A428" s="1"/>
      <c r="B428" s="1"/>
      <c r="C428" s="1"/>
      <c r="D428" s="1"/>
      <c r="E428" s="1"/>
    </row>
    <row r="429" spans="1:5" x14ac:dyDescent="0.25">
      <c r="A429" s="1"/>
      <c r="B429" s="1"/>
      <c r="C429" s="1"/>
      <c r="D429" s="1"/>
      <c r="E429" s="1"/>
    </row>
    <row r="430" spans="1:5" x14ac:dyDescent="0.25">
      <c r="A430" s="1"/>
      <c r="B430" s="1"/>
      <c r="C430" s="1"/>
      <c r="D430" s="1"/>
      <c r="E430" s="1"/>
    </row>
    <row r="431" spans="1:5" x14ac:dyDescent="0.25">
      <c r="A431" s="1"/>
      <c r="B431" s="1"/>
      <c r="C431" s="1"/>
      <c r="D431" s="1"/>
      <c r="E431" s="1"/>
    </row>
    <row r="432" spans="1:5" x14ac:dyDescent="0.25">
      <c r="A432" s="1"/>
      <c r="B432" s="1"/>
      <c r="C432" s="1"/>
      <c r="D432" s="1"/>
      <c r="E432" s="1"/>
    </row>
    <row r="433" spans="1:5" x14ac:dyDescent="0.25">
      <c r="A433" s="1"/>
      <c r="B433" s="1"/>
      <c r="C433" s="1"/>
      <c r="D433" s="1"/>
      <c r="E433" s="1"/>
    </row>
    <row r="434" spans="1:5" x14ac:dyDescent="0.25">
      <c r="A434" s="1"/>
      <c r="B434" s="1"/>
      <c r="C434" s="1"/>
      <c r="D434" s="1"/>
      <c r="E434" s="1"/>
    </row>
    <row r="435" spans="1:5" x14ac:dyDescent="0.25">
      <c r="A435" s="1"/>
      <c r="B435" s="1"/>
      <c r="C435" s="1"/>
      <c r="D435" s="1"/>
      <c r="E435" s="1"/>
    </row>
    <row r="436" spans="1:5" x14ac:dyDescent="0.25">
      <c r="A436" s="1"/>
      <c r="B436" s="1"/>
      <c r="C436" s="1"/>
      <c r="D436" s="1"/>
      <c r="E436" s="1"/>
    </row>
    <row r="437" spans="1:5" x14ac:dyDescent="0.25">
      <c r="A437" s="1"/>
      <c r="B437" s="1"/>
      <c r="C437" s="1"/>
      <c r="D437" s="1"/>
      <c r="E437" s="1"/>
    </row>
    <row r="438" spans="1:5" x14ac:dyDescent="0.25">
      <c r="A438" s="1"/>
      <c r="B438" s="1"/>
      <c r="C438" s="1"/>
      <c r="D438" s="1"/>
      <c r="E438" s="1"/>
    </row>
    <row r="439" spans="1:5" x14ac:dyDescent="0.25">
      <c r="A439" s="1"/>
      <c r="B439" s="1"/>
      <c r="C439" s="1"/>
      <c r="D439" s="1"/>
      <c r="E439" s="1"/>
    </row>
    <row r="440" spans="1:5" x14ac:dyDescent="0.25">
      <c r="A440" s="1"/>
      <c r="B440" s="1"/>
      <c r="C440" s="1"/>
      <c r="D440" s="1"/>
      <c r="E440" s="1"/>
    </row>
    <row r="441" spans="1:5" x14ac:dyDescent="0.25">
      <c r="A441" s="1"/>
      <c r="B441" s="1"/>
      <c r="C441" s="1"/>
      <c r="D441" s="1"/>
      <c r="E441" s="1"/>
    </row>
    <row r="442" spans="1:5" x14ac:dyDescent="0.25">
      <c r="A442" s="1"/>
      <c r="B442" s="1"/>
      <c r="C442" s="1"/>
      <c r="D442" s="1"/>
      <c r="E442" s="1"/>
    </row>
    <row r="443" spans="1:5" x14ac:dyDescent="0.25">
      <c r="A443" s="1"/>
      <c r="B443" s="1"/>
      <c r="C443" s="1"/>
      <c r="D443" s="1"/>
      <c r="E443" s="1"/>
    </row>
    <row r="444" spans="1:5" x14ac:dyDescent="0.25">
      <c r="A444" s="1"/>
      <c r="B444" s="1"/>
      <c r="C444" s="1"/>
      <c r="D444" s="1"/>
      <c r="E444" s="1"/>
    </row>
    <row r="445" spans="1:5" x14ac:dyDescent="0.25">
      <c r="A445" s="1"/>
      <c r="B445" s="1"/>
      <c r="C445" s="1"/>
      <c r="D445" s="1"/>
      <c r="E445" s="1"/>
    </row>
    <row r="446" spans="1:5" x14ac:dyDescent="0.25">
      <c r="A446" s="1"/>
      <c r="B446" s="1"/>
      <c r="C446" s="1"/>
      <c r="D446" s="1"/>
      <c r="E446" s="1"/>
    </row>
    <row r="447" spans="1:5" x14ac:dyDescent="0.25">
      <c r="A447" s="1"/>
      <c r="B447" s="1"/>
      <c r="C447" s="1"/>
      <c r="D447" s="1"/>
      <c r="E447" s="1"/>
    </row>
    <row r="448" spans="1:5" x14ac:dyDescent="0.25">
      <c r="A448" s="1"/>
      <c r="B448" s="1"/>
      <c r="C448" s="1"/>
      <c r="D448" s="1"/>
      <c r="E448" s="1"/>
    </row>
    <row r="449" spans="1:5" x14ac:dyDescent="0.25">
      <c r="A449" s="1"/>
      <c r="B449" s="1"/>
      <c r="C449" s="1"/>
      <c r="D449" s="1"/>
      <c r="E449" s="1"/>
    </row>
    <row r="450" spans="1:5" x14ac:dyDescent="0.25">
      <c r="A450" s="1"/>
      <c r="B450" s="1"/>
      <c r="C450" s="1"/>
      <c r="D450" s="1"/>
      <c r="E450" s="1"/>
    </row>
    <row r="451" spans="1:5" x14ac:dyDescent="0.25">
      <c r="A451" s="1"/>
      <c r="B451" s="1"/>
      <c r="C451" s="1"/>
      <c r="D451" s="1"/>
      <c r="E451" s="1"/>
    </row>
    <row r="452" spans="1:5" x14ac:dyDescent="0.25">
      <c r="A452" s="1"/>
      <c r="B452" s="1"/>
      <c r="C452" s="1"/>
      <c r="D452" s="1"/>
      <c r="E452" s="1"/>
    </row>
    <row r="453" spans="1:5" x14ac:dyDescent="0.25">
      <c r="A453" s="1"/>
      <c r="B453" s="1"/>
      <c r="C453" s="1"/>
      <c r="D453" s="1"/>
      <c r="E453" s="1"/>
    </row>
    <row r="454" spans="1:5" x14ac:dyDescent="0.25">
      <c r="A454" s="1"/>
      <c r="B454" s="1"/>
      <c r="C454" s="1"/>
      <c r="D454" s="1"/>
      <c r="E454" s="1"/>
    </row>
    <row r="455" spans="1:5" x14ac:dyDescent="0.25">
      <c r="A455" s="1"/>
      <c r="B455" s="1"/>
      <c r="C455" s="1"/>
      <c r="D455" s="1"/>
      <c r="E455" s="1"/>
    </row>
    <row r="456" spans="1:5" x14ac:dyDescent="0.25">
      <c r="A456" s="1"/>
      <c r="B456" s="1"/>
      <c r="C456" s="1"/>
      <c r="D456" s="1"/>
      <c r="E456" s="1"/>
    </row>
    <row r="457" spans="1:5" x14ac:dyDescent="0.25">
      <c r="A457" s="1"/>
      <c r="B457" s="1"/>
      <c r="C457" s="1"/>
      <c r="D457" s="1"/>
      <c r="E457" s="1"/>
    </row>
    <row r="458" spans="1:5" x14ac:dyDescent="0.25">
      <c r="A458" s="1"/>
      <c r="B458" s="1"/>
      <c r="C458" s="1"/>
      <c r="D458" s="1"/>
      <c r="E458" s="1"/>
    </row>
    <row r="459" spans="1:5" x14ac:dyDescent="0.25">
      <c r="A459" s="1"/>
      <c r="B459" s="1"/>
      <c r="C459" s="1"/>
      <c r="D459" s="1"/>
      <c r="E459" s="1"/>
    </row>
    <row r="460" spans="1:5" x14ac:dyDescent="0.25">
      <c r="A460" s="1"/>
      <c r="B460" s="1"/>
      <c r="C460" s="1"/>
      <c r="D460" s="1"/>
      <c r="E460" s="1"/>
    </row>
    <row r="461" spans="1:5" x14ac:dyDescent="0.25">
      <c r="A461" s="1"/>
      <c r="B461" s="1"/>
      <c r="C461" s="1"/>
      <c r="D461" s="1"/>
      <c r="E461" s="1"/>
    </row>
    <row r="462" spans="1:5" x14ac:dyDescent="0.25">
      <c r="A462" s="1"/>
      <c r="B462" s="1"/>
      <c r="C462" s="1"/>
      <c r="D462" s="1"/>
      <c r="E462" s="1"/>
    </row>
    <row r="463" spans="1:5" x14ac:dyDescent="0.25">
      <c r="A463" s="1"/>
      <c r="B463" s="1"/>
      <c r="C463" s="1"/>
      <c r="D463" s="1"/>
      <c r="E463" s="1"/>
    </row>
    <row r="464" spans="1:5" x14ac:dyDescent="0.25">
      <c r="A464" s="1"/>
      <c r="B464" s="1"/>
      <c r="C464" s="1"/>
      <c r="D464" s="1"/>
      <c r="E464" s="1"/>
    </row>
    <row r="465" spans="1:5" x14ac:dyDescent="0.25">
      <c r="A465" s="1"/>
      <c r="B465" s="1"/>
      <c r="C465" s="1"/>
      <c r="D465" s="1"/>
      <c r="E465" s="1"/>
    </row>
    <row r="466" spans="1:5" x14ac:dyDescent="0.25">
      <c r="A466" s="1"/>
      <c r="B466" s="1"/>
      <c r="C466" s="1"/>
      <c r="D466" s="1"/>
      <c r="E466" s="1"/>
    </row>
    <row r="467" spans="1:5" x14ac:dyDescent="0.25">
      <c r="A467" s="1"/>
      <c r="B467" s="1"/>
      <c r="C467" s="1"/>
      <c r="D467" s="1"/>
      <c r="E467" s="1"/>
    </row>
    <row r="468" spans="1:5" x14ac:dyDescent="0.25">
      <c r="A468" s="1"/>
      <c r="B468" s="1"/>
      <c r="C468" s="1"/>
      <c r="D468" s="1"/>
      <c r="E468" s="1"/>
    </row>
    <row r="469" spans="1:5" x14ac:dyDescent="0.25">
      <c r="A469" s="1"/>
      <c r="B469" s="1"/>
      <c r="C469" s="1"/>
      <c r="D469" s="1"/>
      <c r="E469" s="1"/>
    </row>
    <row r="470" spans="1:5" x14ac:dyDescent="0.25">
      <c r="A470" s="1"/>
      <c r="B470" s="1"/>
      <c r="C470" s="1"/>
      <c r="D470" s="1"/>
      <c r="E470" s="1"/>
    </row>
    <row r="471" spans="1:5" x14ac:dyDescent="0.25">
      <c r="A471" s="1"/>
      <c r="B471" s="1"/>
      <c r="C471" s="1"/>
      <c r="D471" s="1"/>
      <c r="E471" s="1"/>
    </row>
    <row r="472" spans="1:5" x14ac:dyDescent="0.25">
      <c r="A472" s="1"/>
      <c r="B472" s="1"/>
      <c r="C472" s="1"/>
      <c r="D472" s="1"/>
      <c r="E472" s="1"/>
    </row>
    <row r="473" spans="1:5" x14ac:dyDescent="0.25">
      <c r="A473" s="1"/>
      <c r="B473" s="1"/>
      <c r="C473" s="1"/>
      <c r="D473" s="1"/>
      <c r="E473" s="1"/>
    </row>
    <row r="474" spans="1:5" x14ac:dyDescent="0.25">
      <c r="A474" s="1"/>
      <c r="B474" s="1"/>
      <c r="C474" s="1"/>
      <c r="D474" s="1"/>
      <c r="E474" s="1"/>
    </row>
    <row r="475" spans="1:5" x14ac:dyDescent="0.25">
      <c r="A475" s="1"/>
      <c r="B475" s="1"/>
      <c r="C475" s="1"/>
      <c r="D475" s="1"/>
      <c r="E475" s="1"/>
    </row>
    <row r="476" spans="1:5" x14ac:dyDescent="0.25">
      <c r="A476" s="1"/>
      <c r="B476" s="1"/>
      <c r="C476" s="1"/>
      <c r="D476" s="1"/>
      <c r="E476" s="1"/>
    </row>
    <row r="477" spans="1:5" x14ac:dyDescent="0.25">
      <c r="A477" s="1"/>
      <c r="B477" s="1"/>
      <c r="C477" s="1"/>
      <c r="D477" s="1"/>
      <c r="E477" s="1"/>
    </row>
    <row r="478" spans="1:5" x14ac:dyDescent="0.25">
      <c r="A478" s="1"/>
      <c r="B478" s="1"/>
      <c r="C478" s="1"/>
      <c r="D478" s="1"/>
      <c r="E478" s="1"/>
    </row>
    <row r="479" spans="1:5" x14ac:dyDescent="0.25">
      <c r="A479" s="1"/>
      <c r="B479" s="1"/>
      <c r="C479" s="1"/>
      <c r="D479" s="1"/>
      <c r="E479" s="1"/>
    </row>
    <row r="480" spans="1:5" x14ac:dyDescent="0.25">
      <c r="A480" s="1"/>
      <c r="B480" s="1"/>
      <c r="C480" s="1"/>
      <c r="D480" s="1"/>
      <c r="E480" s="1"/>
    </row>
    <row r="481" spans="1:5" x14ac:dyDescent="0.25">
      <c r="A481" s="1"/>
      <c r="B481" s="1"/>
      <c r="C481" s="1"/>
      <c r="D481" s="1"/>
      <c r="E481" s="1"/>
    </row>
    <row r="482" spans="1:5" x14ac:dyDescent="0.25">
      <c r="A482" s="1"/>
      <c r="B482" s="1"/>
      <c r="C482" s="1"/>
      <c r="D482" s="1"/>
      <c r="E482" s="1"/>
    </row>
    <row r="483" spans="1:5" x14ac:dyDescent="0.25">
      <c r="A483" s="1"/>
      <c r="B483" s="1"/>
      <c r="C483" s="1"/>
      <c r="D483" s="1"/>
      <c r="E483" s="1"/>
    </row>
    <row r="484" spans="1:5" x14ac:dyDescent="0.25">
      <c r="A484" s="1"/>
      <c r="B484" s="1"/>
      <c r="C484" s="1"/>
      <c r="D484" s="1"/>
      <c r="E484" s="1"/>
    </row>
    <row r="485" spans="1:5" x14ac:dyDescent="0.25">
      <c r="A485" s="1"/>
      <c r="B485" s="1"/>
      <c r="C485" s="1"/>
      <c r="D485" s="1"/>
      <c r="E485" s="1"/>
    </row>
    <row r="486" spans="1:5" x14ac:dyDescent="0.25">
      <c r="A486" s="1"/>
      <c r="B486" s="1"/>
      <c r="C486" s="1"/>
      <c r="D486" s="1"/>
      <c r="E486" s="1"/>
    </row>
    <row r="487" spans="1:5" x14ac:dyDescent="0.25">
      <c r="A487" s="1"/>
      <c r="B487" s="1"/>
      <c r="C487" s="1"/>
      <c r="D487" s="1"/>
      <c r="E487" s="1"/>
    </row>
    <row r="488" spans="1:5" x14ac:dyDescent="0.25">
      <c r="A488" s="1"/>
      <c r="B488" s="1"/>
      <c r="C488" s="1"/>
      <c r="D488" s="1"/>
      <c r="E488" s="1"/>
    </row>
    <row r="489" spans="1:5" x14ac:dyDescent="0.25">
      <c r="A489" s="1"/>
      <c r="B489" s="1"/>
      <c r="C489" s="1"/>
      <c r="D489" s="1"/>
      <c r="E489" s="1"/>
    </row>
    <row r="490" spans="1:5" x14ac:dyDescent="0.25">
      <c r="A490" s="1"/>
      <c r="B490" s="1"/>
      <c r="C490" s="1"/>
      <c r="D490" s="1"/>
      <c r="E490" s="1"/>
    </row>
    <row r="491" spans="1:5" x14ac:dyDescent="0.25">
      <c r="A491" s="1"/>
      <c r="B491" s="1"/>
      <c r="C491" s="1"/>
      <c r="D491" s="1"/>
      <c r="E491" s="1"/>
    </row>
    <row r="492" spans="1:5" x14ac:dyDescent="0.25">
      <c r="A492" s="1"/>
      <c r="B492" s="1"/>
      <c r="C492" s="1"/>
      <c r="D492" s="1"/>
      <c r="E492" s="1"/>
    </row>
    <row r="493" spans="1:5" x14ac:dyDescent="0.25">
      <c r="A493" s="1"/>
      <c r="B493" s="1"/>
      <c r="C493" s="1"/>
      <c r="D493" s="1"/>
      <c r="E493" s="1"/>
    </row>
    <row r="494" spans="1:5" x14ac:dyDescent="0.25">
      <c r="A494" s="1"/>
      <c r="B494" s="1"/>
      <c r="C494" s="1"/>
      <c r="D494" s="1"/>
      <c r="E494" s="1"/>
    </row>
    <row r="495" spans="1:5" x14ac:dyDescent="0.25">
      <c r="A495" s="1"/>
      <c r="B495" s="1"/>
      <c r="C495" s="1"/>
      <c r="D495" s="1"/>
      <c r="E495" s="1"/>
    </row>
    <row r="496" spans="1:5" x14ac:dyDescent="0.25">
      <c r="A496" s="1"/>
      <c r="B496" s="1"/>
      <c r="C496" s="1"/>
      <c r="D496" s="1"/>
      <c r="E496" s="1"/>
    </row>
    <row r="497" spans="1:5" x14ac:dyDescent="0.25">
      <c r="A497" s="1"/>
      <c r="B497" s="1"/>
      <c r="C497" s="1"/>
      <c r="D497" s="1"/>
      <c r="E497" s="1"/>
    </row>
    <row r="498" spans="1:5" x14ac:dyDescent="0.25">
      <c r="A498" s="1"/>
      <c r="B498" s="1"/>
      <c r="C498" s="1"/>
      <c r="D498" s="1"/>
      <c r="E498" s="1"/>
    </row>
    <row r="499" spans="1:5" x14ac:dyDescent="0.25">
      <c r="A499" s="1"/>
      <c r="B499" s="1"/>
      <c r="C499" s="1"/>
      <c r="D499" s="1"/>
      <c r="E499" s="1"/>
    </row>
    <row r="500" spans="1:5" x14ac:dyDescent="0.25">
      <c r="A500" s="1"/>
      <c r="B500" s="1"/>
      <c r="C500" s="1"/>
      <c r="D500" s="1"/>
      <c r="E500" s="1"/>
    </row>
    <row r="501" spans="1:5" x14ac:dyDescent="0.25">
      <c r="A501" s="1"/>
      <c r="B501" s="1"/>
      <c r="C501" s="1"/>
      <c r="D501" s="1"/>
      <c r="E501" s="1"/>
    </row>
    <row r="502" spans="1:5" x14ac:dyDescent="0.25">
      <c r="A502" s="1"/>
      <c r="B502" s="1"/>
      <c r="C502" s="1"/>
      <c r="D502" s="1"/>
      <c r="E502" s="1"/>
    </row>
    <row r="503" spans="1:5" x14ac:dyDescent="0.25">
      <c r="A503" s="1"/>
      <c r="B503" s="1"/>
      <c r="C503" s="1"/>
      <c r="D503" s="1"/>
      <c r="E503" s="1"/>
    </row>
    <row r="504" spans="1:5" x14ac:dyDescent="0.25">
      <c r="A504" s="1"/>
      <c r="B504" s="1"/>
      <c r="C504" s="1"/>
      <c r="D504" s="1"/>
      <c r="E504" s="1"/>
    </row>
    <row r="505" spans="1:5" x14ac:dyDescent="0.25">
      <c r="A505" s="1"/>
      <c r="B505" s="1"/>
      <c r="C505" s="1"/>
      <c r="D505" s="1"/>
      <c r="E505" s="1"/>
    </row>
    <row r="506" spans="1:5" x14ac:dyDescent="0.25">
      <c r="A506" s="1"/>
      <c r="B506" s="1"/>
      <c r="C506" s="1"/>
      <c r="D506" s="1"/>
      <c r="E506" s="1"/>
    </row>
    <row r="507" spans="1:5" x14ac:dyDescent="0.25">
      <c r="A507" s="1"/>
      <c r="B507" s="1"/>
      <c r="C507" s="1"/>
      <c r="D507" s="1"/>
      <c r="E507" s="1"/>
    </row>
    <row r="508" spans="1:5" x14ac:dyDescent="0.25">
      <c r="A508" s="1"/>
      <c r="B508" s="1"/>
      <c r="C508" s="1"/>
      <c r="D508" s="1"/>
      <c r="E508" s="1"/>
    </row>
    <row r="509" spans="1:5" x14ac:dyDescent="0.25">
      <c r="A509" s="1"/>
      <c r="B509" s="1"/>
      <c r="C509" s="1"/>
      <c r="D509" s="1"/>
      <c r="E509" s="1"/>
    </row>
    <row r="510" spans="1:5" x14ac:dyDescent="0.25">
      <c r="A510" s="1"/>
      <c r="B510" s="1"/>
      <c r="C510" s="1"/>
      <c r="D510" s="1"/>
      <c r="E510" s="1"/>
    </row>
    <row r="511" spans="1:5" x14ac:dyDescent="0.25">
      <c r="A511" s="1"/>
      <c r="B511" s="1"/>
      <c r="C511" s="1"/>
      <c r="D511" s="1"/>
      <c r="E511" s="1"/>
    </row>
    <row r="512" spans="1:5" x14ac:dyDescent="0.25">
      <c r="A512" s="1"/>
      <c r="B512" s="1"/>
      <c r="C512" s="1"/>
      <c r="D512" s="1"/>
      <c r="E512" s="1"/>
    </row>
    <row r="513" spans="1:5" x14ac:dyDescent="0.25">
      <c r="A513" s="1"/>
      <c r="B513" s="1"/>
      <c r="C513" s="1"/>
      <c r="D513" s="1"/>
      <c r="E513" s="1"/>
    </row>
    <row r="514" spans="1:5" x14ac:dyDescent="0.25">
      <c r="A514" s="1"/>
      <c r="B514" s="1"/>
      <c r="C514" s="1"/>
      <c r="D514" s="1"/>
      <c r="E514" s="1"/>
    </row>
    <row r="515" spans="1:5" x14ac:dyDescent="0.25">
      <c r="A515" s="1"/>
      <c r="B515" s="1"/>
      <c r="C515" s="1"/>
      <c r="D515" s="1"/>
      <c r="E515" s="1"/>
    </row>
    <row r="516" spans="1:5" x14ac:dyDescent="0.25">
      <c r="A516" s="1"/>
      <c r="B516" s="1"/>
      <c r="C516" s="1"/>
      <c r="D516" s="1"/>
      <c r="E516" s="1"/>
    </row>
    <row r="517" spans="1:5" x14ac:dyDescent="0.25">
      <c r="A517" s="1"/>
      <c r="B517" s="1"/>
      <c r="C517" s="1"/>
      <c r="D517" s="1"/>
      <c r="E517" s="1"/>
    </row>
    <row r="518" spans="1:5" x14ac:dyDescent="0.25">
      <c r="A518" s="1"/>
      <c r="B518" s="1"/>
      <c r="C518" s="1"/>
      <c r="D518" s="1"/>
      <c r="E518" s="1"/>
    </row>
    <row r="519" spans="1:5" x14ac:dyDescent="0.25">
      <c r="A519" s="1"/>
      <c r="B519" s="1"/>
      <c r="C519" s="1"/>
      <c r="D519" s="1"/>
      <c r="E519" s="1"/>
    </row>
    <row r="520" spans="1:5" x14ac:dyDescent="0.25">
      <c r="A520" s="1"/>
      <c r="B520" s="1"/>
      <c r="C520" s="1"/>
      <c r="D520" s="1"/>
      <c r="E520" s="1"/>
    </row>
    <row r="521" spans="1:5" x14ac:dyDescent="0.25">
      <c r="A521" s="1"/>
      <c r="B521" s="1"/>
      <c r="C521" s="1"/>
      <c r="D521" s="1"/>
      <c r="E521" s="1"/>
    </row>
    <row r="522" spans="1:5" x14ac:dyDescent="0.25">
      <c r="A522" s="1"/>
      <c r="B522" s="1"/>
      <c r="C522" s="1"/>
      <c r="D522" s="1"/>
      <c r="E522" s="1"/>
    </row>
    <row r="523" spans="1:5" x14ac:dyDescent="0.25">
      <c r="A523" s="1"/>
      <c r="B523" s="1"/>
      <c r="C523" s="1"/>
      <c r="D523" s="1"/>
      <c r="E523" s="1"/>
    </row>
    <row r="524" spans="1:5" x14ac:dyDescent="0.25">
      <c r="A524" s="1"/>
      <c r="B524" s="1"/>
      <c r="C524" s="1"/>
      <c r="D524" s="1"/>
      <c r="E524" s="1"/>
    </row>
    <row r="525" spans="1:5" x14ac:dyDescent="0.25">
      <c r="A525" s="1"/>
      <c r="B525" s="1"/>
      <c r="C525" s="1"/>
      <c r="D525" s="1"/>
      <c r="E525" s="1"/>
    </row>
    <row r="526" spans="1:5" x14ac:dyDescent="0.25">
      <c r="A526" s="1"/>
      <c r="B526" s="1"/>
      <c r="C526" s="1"/>
      <c r="D526" s="1"/>
      <c r="E526" s="1"/>
    </row>
    <row r="527" spans="1:5" x14ac:dyDescent="0.25">
      <c r="A527" s="1"/>
      <c r="B527" s="1"/>
      <c r="C527" s="1"/>
      <c r="D527" s="1"/>
      <c r="E527" s="1"/>
    </row>
    <row r="528" spans="1:5" x14ac:dyDescent="0.25">
      <c r="A528" s="1"/>
      <c r="B528" s="1"/>
      <c r="C528" s="1"/>
      <c r="D528" s="1"/>
      <c r="E528" s="1"/>
    </row>
    <row r="529" spans="1:5" x14ac:dyDescent="0.25">
      <c r="A529" s="1"/>
      <c r="B529" s="1"/>
      <c r="C529" s="1"/>
      <c r="D529" s="1"/>
      <c r="E529" s="1"/>
    </row>
    <row r="530" spans="1:5" x14ac:dyDescent="0.25">
      <c r="A530" s="1"/>
      <c r="B530" s="1"/>
      <c r="C530" s="1"/>
      <c r="D530" s="1"/>
      <c r="E530" s="1"/>
    </row>
    <row r="531" spans="1:5" x14ac:dyDescent="0.25">
      <c r="A531" s="1"/>
      <c r="B531" s="1"/>
      <c r="C531" s="1"/>
      <c r="D531" s="1"/>
      <c r="E531" s="1"/>
    </row>
    <row r="532" spans="1:5" x14ac:dyDescent="0.25">
      <c r="A532" s="1"/>
      <c r="B532" s="1"/>
      <c r="C532" s="1"/>
      <c r="D532" s="1"/>
      <c r="E532" s="1"/>
    </row>
    <row r="533" spans="1:5" x14ac:dyDescent="0.25">
      <c r="A533" s="1"/>
      <c r="B533" s="1"/>
      <c r="C533" s="1"/>
      <c r="D533" s="1"/>
      <c r="E533" s="1"/>
    </row>
    <row r="534" spans="1:5" x14ac:dyDescent="0.25">
      <c r="A534" s="1"/>
      <c r="B534" s="1"/>
      <c r="C534" s="1"/>
      <c r="D534" s="1"/>
      <c r="E534" s="1"/>
    </row>
    <row r="535" spans="1:5" x14ac:dyDescent="0.25">
      <c r="A535" s="1"/>
      <c r="B535" s="1"/>
      <c r="C535" s="1"/>
      <c r="D535" s="1"/>
      <c r="E535" s="1"/>
    </row>
    <row r="536" spans="1:5" x14ac:dyDescent="0.25">
      <c r="A536" s="1"/>
      <c r="B536" s="1"/>
      <c r="C536" s="1"/>
      <c r="D536" s="1"/>
      <c r="E536" s="1"/>
    </row>
    <row r="537" spans="1:5" x14ac:dyDescent="0.25">
      <c r="A537" s="1"/>
      <c r="B537" s="1"/>
      <c r="C537" s="1"/>
      <c r="D537" s="1"/>
      <c r="E537" s="1"/>
    </row>
    <row r="538" spans="1:5" x14ac:dyDescent="0.25">
      <c r="A538" s="1"/>
      <c r="B538" s="1"/>
      <c r="C538" s="1"/>
      <c r="D538" s="1"/>
      <c r="E538" s="1"/>
    </row>
    <row r="539" spans="1:5" x14ac:dyDescent="0.25">
      <c r="A539" s="1"/>
      <c r="B539" s="1"/>
      <c r="C539" s="1"/>
      <c r="D539" s="1"/>
      <c r="E539" s="1"/>
    </row>
    <row r="540" spans="1:5" x14ac:dyDescent="0.25">
      <c r="A540" s="1"/>
      <c r="B540" s="1"/>
      <c r="C540" s="1"/>
      <c r="D540" s="1"/>
      <c r="E540" s="1"/>
    </row>
    <row r="541" spans="1:5" x14ac:dyDescent="0.25">
      <c r="A541" s="1"/>
      <c r="B541" s="1"/>
      <c r="C541" s="1"/>
      <c r="D541" s="1"/>
      <c r="E541" s="1"/>
    </row>
    <row r="542" spans="1:5" x14ac:dyDescent="0.25">
      <c r="A542" s="1"/>
      <c r="B542" s="1"/>
      <c r="C542" s="1"/>
      <c r="D542" s="1"/>
      <c r="E542" s="1"/>
    </row>
    <row r="543" spans="1:5" x14ac:dyDescent="0.25">
      <c r="A543" s="1"/>
      <c r="B543" s="1"/>
      <c r="C543" s="1"/>
      <c r="D543" s="1"/>
      <c r="E543" s="1"/>
    </row>
    <row r="544" spans="1:5" x14ac:dyDescent="0.25">
      <c r="A544" s="1"/>
      <c r="B544" s="1"/>
      <c r="C544" s="1"/>
      <c r="D544" s="1"/>
      <c r="E544" s="1"/>
    </row>
    <row r="545" spans="1:5" x14ac:dyDescent="0.25">
      <c r="A545" s="1"/>
      <c r="B545" s="1"/>
      <c r="C545" s="1"/>
      <c r="D545" s="1"/>
      <c r="E545" s="1"/>
    </row>
    <row r="546" spans="1:5" x14ac:dyDescent="0.25">
      <c r="A546" s="1"/>
      <c r="B546" s="1"/>
      <c r="C546" s="1"/>
      <c r="D546" s="1"/>
      <c r="E546" s="1"/>
    </row>
    <row r="547" spans="1:5" x14ac:dyDescent="0.25">
      <c r="A547" s="1"/>
      <c r="B547" s="1"/>
      <c r="C547" s="1"/>
      <c r="D547" s="1"/>
      <c r="E547" s="1"/>
    </row>
    <row r="548" spans="1:5" x14ac:dyDescent="0.25">
      <c r="A548" s="1"/>
      <c r="B548" s="1"/>
      <c r="C548" s="1"/>
      <c r="D548" s="1"/>
      <c r="E548" s="1"/>
    </row>
    <row r="549" spans="1:5" x14ac:dyDescent="0.25">
      <c r="A549" s="1"/>
      <c r="B549" s="1"/>
      <c r="C549" s="1"/>
      <c r="D549" s="1"/>
      <c r="E549" s="1"/>
    </row>
    <row r="550" spans="1:5" x14ac:dyDescent="0.25">
      <c r="A550" s="1"/>
      <c r="B550" s="1"/>
      <c r="C550" s="1"/>
      <c r="D550" s="1"/>
      <c r="E550" s="1"/>
    </row>
    <row r="551" spans="1:5" x14ac:dyDescent="0.25">
      <c r="A551" s="1"/>
      <c r="B551" s="1"/>
      <c r="C551" s="1"/>
      <c r="D551" s="1"/>
      <c r="E551" s="1"/>
    </row>
    <row r="552" spans="1:5" x14ac:dyDescent="0.25">
      <c r="A552" s="1"/>
      <c r="B552" s="1"/>
      <c r="C552" s="1"/>
      <c r="D552" s="1"/>
      <c r="E552" s="1"/>
    </row>
    <row r="553" spans="1:5" x14ac:dyDescent="0.25">
      <c r="A553" s="1"/>
      <c r="B553" s="1"/>
      <c r="C553" s="1"/>
      <c r="D553" s="1"/>
      <c r="E553" s="1"/>
    </row>
    <row r="554" spans="1:5" x14ac:dyDescent="0.25">
      <c r="A554" s="1"/>
      <c r="B554" s="1"/>
      <c r="C554" s="1"/>
      <c r="D554" s="1"/>
      <c r="E554" s="1"/>
    </row>
    <row r="555" spans="1:5" x14ac:dyDescent="0.25">
      <c r="A555" s="1"/>
      <c r="B555" s="1"/>
      <c r="C555" s="1"/>
      <c r="D555" s="1"/>
      <c r="E555" s="1"/>
    </row>
    <row r="556" spans="1:5" x14ac:dyDescent="0.25">
      <c r="A556" s="1"/>
      <c r="B556" s="1"/>
      <c r="C556" s="1"/>
      <c r="D556" s="1"/>
      <c r="E556" s="1"/>
    </row>
    <row r="557" spans="1:5" x14ac:dyDescent="0.25">
      <c r="A557" s="1"/>
      <c r="B557" s="1"/>
      <c r="C557" s="1"/>
      <c r="D557" s="1"/>
      <c r="E557" s="1"/>
    </row>
    <row r="558" spans="1:5" x14ac:dyDescent="0.25">
      <c r="A558" s="1"/>
      <c r="B558" s="1"/>
      <c r="C558" s="1"/>
      <c r="D558" s="1"/>
      <c r="E558" s="1"/>
    </row>
    <row r="559" spans="1:5" x14ac:dyDescent="0.25">
      <c r="A559" s="1"/>
      <c r="B559" s="1"/>
      <c r="C559" s="1"/>
      <c r="D559" s="1"/>
      <c r="E559" s="1"/>
    </row>
    <row r="560" spans="1:5" x14ac:dyDescent="0.25">
      <c r="A560" s="1"/>
      <c r="B560" s="1"/>
      <c r="C560" s="1"/>
      <c r="D560" s="1"/>
      <c r="E560" s="1"/>
    </row>
    <row r="561" spans="1:5" x14ac:dyDescent="0.25">
      <c r="A561" s="1"/>
      <c r="B561" s="1"/>
      <c r="C561" s="1"/>
      <c r="D561" s="1"/>
      <c r="E561" s="1"/>
    </row>
    <row r="562" spans="1:5" x14ac:dyDescent="0.25">
      <c r="A562" s="1"/>
      <c r="B562" s="1"/>
      <c r="C562" s="1"/>
      <c r="D562" s="1"/>
      <c r="E562" s="1"/>
    </row>
    <row r="563" spans="1:5" x14ac:dyDescent="0.25">
      <c r="A563" s="1"/>
      <c r="B563" s="1"/>
      <c r="C563" s="1"/>
      <c r="D563" s="1"/>
      <c r="E563" s="1"/>
    </row>
    <row r="564" spans="1:5" x14ac:dyDescent="0.25">
      <c r="A564" s="1"/>
      <c r="B564" s="1"/>
      <c r="C564" s="1"/>
      <c r="D564" s="1"/>
      <c r="E564" s="1"/>
    </row>
    <row r="565" spans="1:5" x14ac:dyDescent="0.25">
      <c r="A565" s="1"/>
      <c r="B565" s="1"/>
      <c r="C565" s="1"/>
      <c r="D565" s="1"/>
      <c r="E565" s="1"/>
    </row>
    <row r="566" spans="1:5" x14ac:dyDescent="0.25">
      <c r="A566" s="1"/>
      <c r="B566" s="1"/>
      <c r="C566" s="1"/>
      <c r="D566" s="1"/>
      <c r="E566" s="1"/>
    </row>
    <row r="567" spans="1:5" x14ac:dyDescent="0.25">
      <c r="A567" s="1"/>
      <c r="B567" s="1"/>
      <c r="C567" s="1"/>
      <c r="D567" s="1"/>
      <c r="E567" s="1"/>
    </row>
    <row r="568" spans="1:5" x14ac:dyDescent="0.25">
      <c r="A568" s="1"/>
      <c r="B568" s="1"/>
      <c r="C568" s="1"/>
      <c r="D568" s="1"/>
      <c r="E568" s="1"/>
    </row>
    <row r="569" spans="1:5" x14ac:dyDescent="0.25">
      <c r="A569" s="1"/>
      <c r="B569" s="1"/>
      <c r="C569" s="1"/>
      <c r="D569" s="1"/>
      <c r="E569" s="1"/>
    </row>
    <row r="570" spans="1:5" x14ac:dyDescent="0.25">
      <c r="A570" s="1"/>
      <c r="B570" s="1"/>
      <c r="C570" s="1"/>
      <c r="D570" s="1"/>
      <c r="E570" s="1"/>
    </row>
    <row r="571" spans="1:5" x14ac:dyDescent="0.25">
      <c r="A571" s="1"/>
      <c r="B571" s="1"/>
      <c r="C571" s="1"/>
      <c r="D571" s="1"/>
      <c r="E571" s="1"/>
    </row>
    <row r="572" spans="1:5" x14ac:dyDescent="0.25">
      <c r="A572" s="1"/>
      <c r="B572" s="1"/>
      <c r="C572" s="1"/>
      <c r="D572" s="1"/>
      <c r="E572" s="1"/>
    </row>
    <row r="573" spans="1:5" x14ac:dyDescent="0.25">
      <c r="A573" s="1"/>
      <c r="B573" s="1"/>
      <c r="C573" s="1"/>
      <c r="D573" s="1"/>
      <c r="E573" s="1"/>
    </row>
    <row r="574" spans="1:5" x14ac:dyDescent="0.25">
      <c r="A574" s="1"/>
      <c r="B574" s="1"/>
      <c r="C574" s="1"/>
      <c r="D574" s="1"/>
      <c r="E574" s="1"/>
    </row>
    <row r="575" spans="1:5" x14ac:dyDescent="0.25">
      <c r="A575" s="1"/>
      <c r="B575" s="1"/>
      <c r="C575" s="1"/>
      <c r="D575" s="1"/>
      <c r="E575" s="1"/>
    </row>
    <row r="576" spans="1:5" x14ac:dyDescent="0.25">
      <c r="A576" s="1"/>
      <c r="B576" s="1"/>
      <c r="C576" s="1"/>
      <c r="D576" s="1"/>
      <c r="E576" s="1"/>
    </row>
    <row r="577" spans="1:5" x14ac:dyDescent="0.25">
      <c r="A577" s="1"/>
      <c r="B577" s="1"/>
      <c r="C577" s="1"/>
      <c r="D577" s="1"/>
      <c r="E577" s="1"/>
    </row>
    <row r="578" spans="1:5" x14ac:dyDescent="0.25">
      <c r="A578" s="1"/>
      <c r="B578" s="1"/>
      <c r="C578" s="1"/>
      <c r="D578" s="1"/>
      <c r="E578" s="1"/>
    </row>
    <row r="579" spans="1:5" x14ac:dyDescent="0.25">
      <c r="A579" s="1"/>
      <c r="B579" s="1"/>
      <c r="C579" s="1"/>
      <c r="D579" s="1"/>
      <c r="E579" s="1"/>
    </row>
    <row r="580" spans="1:5" x14ac:dyDescent="0.25">
      <c r="A580" s="1"/>
      <c r="B580" s="1"/>
      <c r="C580" s="1"/>
      <c r="D580" s="1"/>
      <c r="E580" s="1"/>
    </row>
    <row r="581" spans="1:5" x14ac:dyDescent="0.25">
      <c r="A581" s="1"/>
      <c r="B581" s="1"/>
      <c r="C581" s="1"/>
      <c r="D581" s="1"/>
      <c r="E581" s="1"/>
    </row>
    <row r="582" spans="1:5" x14ac:dyDescent="0.25">
      <c r="A582" s="1"/>
      <c r="B582" s="1"/>
      <c r="C582" s="1"/>
      <c r="D582" s="1"/>
      <c r="E582" s="1"/>
    </row>
    <row r="583" spans="1:5" x14ac:dyDescent="0.25">
      <c r="A583" s="1"/>
      <c r="B583" s="1"/>
      <c r="C583" s="1"/>
      <c r="D583" s="1"/>
      <c r="E583" s="1"/>
    </row>
    <row r="584" spans="1:5" x14ac:dyDescent="0.25">
      <c r="A584" s="1"/>
      <c r="B584" s="1"/>
      <c r="C584" s="1"/>
      <c r="D584" s="1"/>
      <c r="E584" s="1"/>
    </row>
    <row r="585" spans="1:5" x14ac:dyDescent="0.25">
      <c r="A585" s="1"/>
      <c r="B585" s="1"/>
      <c r="C585" s="1"/>
      <c r="D585" s="1"/>
      <c r="E585" s="1"/>
    </row>
    <row r="586" spans="1:5" x14ac:dyDescent="0.25">
      <c r="A586" s="1"/>
      <c r="B586" s="1"/>
      <c r="C586" s="1"/>
      <c r="D586" s="1"/>
      <c r="E586" s="1"/>
    </row>
    <row r="587" spans="1:5" x14ac:dyDescent="0.25">
      <c r="A587" s="1"/>
      <c r="B587" s="1"/>
      <c r="C587" s="1"/>
      <c r="D587" s="1"/>
      <c r="E587" s="1"/>
    </row>
    <row r="588" spans="1:5" x14ac:dyDescent="0.25">
      <c r="A588" s="1"/>
      <c r="B588" s="1"/>
      <c r="C588" s="1"/>
      <c r="D588" s="1"/>
      <c r="E588" s="1"/>
    </row>
    <row r="589" spans="1:5" x14ac:dyDescent="0.25">
      <c r="A589" s="1"/>
      <c r="B589" s="1"/>
      <c r="C589" s="1"/>
      <c r="D589" s="1"/>
      <c r="E589" s="1"/>
    </row>
    <row r="590" spans="1:5" x14ac:dyDescent="0.25">
      <c r="A590" s="1"/>
      <c r="B590" s="1"/>
      <c r="C590" s="1"/>
      <c r="D590" s="1"/>
      <c r="E590" s="1"/>
    </row>
    <row r="591" spans="1:5" x14ac:dyDescent="0.25">
      <c r="A591" s="1"/>
      <c r="B591" s="1"/>
      <c r="C591" s="1"/>
      <c r="D591" s="1"/>
      <c r="E591" s="1"/>
    </row>
    <row r="592" spans="1:5" x14ac:dyDescent="0.25">
      <c r="A592" s="1"/>
      <c r="B592" s="1"/>
      <c r="C592" s="1"/>
      <c r="D592" s="1"/>
      <c r="E592" s="1"/>
    </row>
    <row r="593" spans="1:5" x14ac:dyDescent="0.25">
      <c r="A593" s="1"/>
      <c r="B593" s="1"/>
      <c r="C593" s="1"/>
      <c r="D593" s="1"/>
      <c r="E593" s="1"/>
    </row>
    <row r="594" spans="1:5" x14ac:dyDescent="0.25">
      <c r="A594" s="1"/>
      <c r="B594" s="1"/>
      <c r="C594" s="1"/>
      <c r="D594" s="1"/>
      <c r="E594" s="1"/>
    </row>
    <row r="595" spans="1:5" x14ac:dyDescent="0.25">
      <c r="A595" s="1"/>
      <c r="B595" s="1"/>
      <c r="C595" s="1"/>
      <c r="D595" s="1"/>
      <c r="E595" s="1"/>
    </row>
    <row r="596" spans="1:5" x14ac:dyDescent="0.25">
      <c r="A596" s="1"/>
      <c r="B596" s="1"/>
      <c r="C596" s="1"/>
      <c r="D596" s="1"/>
      <c r="E59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BB0C3-589C-457F-BB72-A7EC6B4687FA}">
  <dimension ref="A1:AZ596"/>
  <sheetViews>
    <sheetView workbookViewId="0"/>
  </sheetViews>
  <sheetFormatPr defaultRowHeight="15" x14ac:dyDescent="0.25"/>
  <cols>
    <col min="1" max="1" width="9.5703125" bestFit="1" customWidth="1"/>
    <col min="2" max="2" width="9.7109375" bestFit="1" customWidth="1"/>
    <col min="3" max="3" width="10.7109375" customWidth="1"/>
    <col min="4" max="4" width="13.7109375" bestFit="1" customWidth="1"/>
    <col min="5" max="5" width="13.85546875" bestFit="1" customWidth="1"/>
    <col min="6" max="7" width="13.7109375" bestFit="1" customWidth="1"/>
    <col min="8" max="8" width="14.42578125" bestFit="1" customWidth="1"/>
    <col min="9" max="9" width="13.85546875" bestFit="1" customWidth="1"/>
    <col min="10" max="10" width="13.28515625" bestFit="1" customWidth="1"/>
    <col min="11" max="11" width="14" bestFit="1" customWidth="1"/>
    <col min="12" max="12" width="13.28515625" bestFit="1" customWidth="1"/>
    <col min="13" max="13" width="14.42578125" bestFit="1" customWidth="1"/>
    <col min="14" max="14" width="13.7109375" bestFit="1" customWidth="1"/>
    <col min="15" max="16" width="13.85546875" bestFit="1" customWidth="1"/>
    <col min="17" max="17" width="14" bestFit="1" customWidth="1"/>
    <col min="18" max="18" width="14.42578125" bestFit="1" customWidth="1"/>
    <col min="19" max="19" width="13.7109375" bestFit="1" customWidth="1"/>
    <col min="20" max="20" width="13.85546875" bestFit="1" customWidth="1"/>
    <col min="21" max="21" width="13.28515625" bestFit="1" customWidth="1"/>
    <col min="22" max="22" width="13.42578125" bestFit="1" customWidth="1"/>
    <col min="23" max="23" width="14.85546875" bestFit="1" customWidth="1"/>
    <col min="24" max="25" width="13.7109375" bestFit="1" customWidth="1"/>
    <col min="26" max="26" width="14.85546875" bestFit="1" customWidth="1"/>
    <col min="27" max="27" width="13.7109375" bestFit="1" customWidth="1"/>
    <col min="28" max="28" width="14.140625" bestFit="1" customWidth="1"/>
    <col min="29" max="29" width="13.42578125" bestFit="1" customWidth="1"/>
    <col min="30" max="30" width="13.85546875" bestFit="1" customWidth="1"/>
    <col min="31" max="31" width="13.7109375" bestFit="1" customWidth="1"/>
    <col min="32" max="32" width="14.140625" bestFit="1" customWidth="1"/>
    <col min="33" max="33" width="14.28515625" bestFit="1" customWidth="1"/>
    <col min="34" max="34" width="13.7109375" bestFit="1" customWidth="1"/>
    <col min="35" max="35" width="14.42578125" bestFit="1" customWidth="1"/>
    <col min="36" max="37" width="13.85546875" bestFit="1" customWidth="1"/>
    <col min="38" max="38" width="14.140625" bestFit="1" customWidth="1"/>
    <col min="39" max="39" width="13.7109375" bestFit="1" customWidth="1"/>
    <col min="40" max="40" width="13.42578125" bestFit="1" customWidth="1"/>
    <col min="41" max="41" width="13.7109375" bestFit="1" customWidth="1"/>
    <col min="42" max="42" width="14.5703125" bestFit="1" customWidth="1"/>
    <col min="43" max="44" width="13.85546875" bestFit="1" customWidth="1"/>
    <col min="45" max="45" width="14.5703125" bestFit="1" customWidth="1"/>
    <col min="46" max="46" width="13.7109375" bestFit="1" customWidth="1"/>
    <col min="47" max="47" width="14.140625" bestFit="1" customWidth="1"/>
    <col min="48" max="49" width="13.7109375" bestFit="1" customWidth="1"/>
    <col min="50" max="50" width="14.140625" bestFit="1" customWidth="1"/>
    <col min="51" max="51" width="13.7109375" bestFit="1" customWidth="1"/>
    <col min="52" max="52" width="14.140625" bestFit="1" customWidth="1"/>
  </cols>
  <sheetData>
    <row r="1" spans="1:52" x14ac:dyDescent="0.25">
      <c r="A1" t="s">
        <v>0</v>
      </c>
      <c r="B1" s="6">
        <v>42057</v>
      </c>
    </row>
    <row r="2" spans="1:52" x14ac:dyDescent="0.25">
      <c r="A2" t="s">
        <v>1</v>
      </c>
      <c r="B2" s="6">
        <f ca="1">TODAY()</f>
        <v>45843</v>
      </c>
    </row>
    <row r="4" spans="1:52" x14ac:dyDescent="0.25">
      <c r="C4" s="3" t="str">
        <f>_xll.BSRCH("fi:bra_sovereign_local_bonds","dir=h","cols=50;rows=1")</f>
        <v>id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  <c r="AB4" t="s">
        <v>27</v>
      </c>
      <c r="AC4" t="s">
        <v>28</v>
      </c>
      <c r="AD4" t="s">
        <v>29</v>
      </c>
      <c r="AE4" t="s">
        <v>30</v>
      </c>
      <c r="AF4" t="s">
        <v>31</v>
      </c>
      <c r="AG4" t="s">
        <v>32</v>
      </c>
      <c r="AH4" t="s">
        <v>33</v>
      </c>
      <c r="AI4" t="s">
        <v>34</v>
      </c>
      <c r="AJ4" t="s">
        <v>35</v>
      </c>
      <c r="AK4" t="s">
        <v>36</v>
      </c>
      <c r="AL4" t="s">
        <v>37</v>
      </c>
      <c r="AM4" t="s">
        <v>38</v>
      </c>
      <c r="AN4" t="s">
        <v>39</v>
      </c>
      <c r="AO4" t="s">
        <v>40</v>
      </c>
      <c r="AP4" t="s">
        <v>41</v>
      </c>
      <c r="AQ4" t="s">
        <v>42</v>
      </c>
      <c r="AR4" t="s">
        <v>43</v>
      </c>
      <c r="AS4" t="s">
        <v>44</v>
      </c>
      <c r="AT4" t="s">
        <v>45</v>
      </c>
      <c r="AU4" t="s">
        <v>46</v>
      </c>
      <c r="AV4" t="s">
        <v>47</v>
      </c>
      <c r="AW4" t="s">
        <v>48</v>
      </c>
      <c r="AX4" t="s">
        <v>49</v>
      </c>
      <c r="AY4" t="s">
        <v>50</v>
      </c>
      <c r="AZ4" t="s">
        <v>51</v>
      </c>
    </row>
    <row r="5" spans="1:52" x14ac:dyDescent="0.25">
      <c r="A5" s="1"/>
      <c r="B5" s="2"/>
      <c r="C5" s="4" cm="1">
        <f t="array" ref="C5:C129">_xll.BDH(D$4 &amp; " Corp","PX_LAST",$B$1,"","per=m","days=all","fill=0","dts=o")</f>
        <v>42062</v>
      </c>
      <c r="D5" s="2" cm="1">
        <f t="array" ref="D5">IF(hp!D5=0,0,_xll.BDP(D$4,"YAS_BOND_YLD", "YAS_BOND_PX",hp!D5, "SETTLE_DT", TEXT(ya!$C5,"YYYYMMDD")))</f>
        <v>0</v>
      </c>
      <c r="E5" s="2" cm="1">
        <f t="array" ref="E5">IF(hp!E5=0,0,_xll.BDP(E$4,"YAS_BOND_YLD", "YAS_BOND_PX",hp!E5, "SETTLE_DT", TEXT(ya!$C5,"YYYYMMDD")))</f>
        <v>0</v>
      </c>
      <c r="F5" s="2" cm="1">
        <f t="array" ref="F5">IF(hp!F5=0,0,_xll.BDP(F$4,"YAS_BOND_YLD", "YAS_BOND_PX",hp!F5, "SETTLE_DT", TEXT(ya!$C5,"YYYYMMDD")))</f>
        <v>0</v>
      </c>
      <c r="G5" s="2" cm="1">
        <f t="array" ref="G5">IF(hp!G5=0,0,_xll.BDP(G$4,"YAS_BOND_YLD", "YAS_BOND_PX",hp!G5, "SETTLE_DT", TEXT(ya!$C5,"YYYYMMDD")))</f>
        <v>6.34</v>
      </c>
      <c r="H5" s="2" cm="1">
        <f t="array" ref="H5">IF(hp!H5=0,0,_xll.BDP(H$4,"YAS_BOND_YLD", "YAS_BOND_PX",hp!H5, "SETTLE_DT", TEXT(ya!$C5,"YYYYMMDD")))</f>
        <v>0</v>
      </c>
      <c r="I5" s="2" cm="1">
        <f t="array" ref="I5">IF(hp!I5=0,0,_xll.BDP(I$4,"YAS_BOND_YLD", "YAS_BOND_PX",hp!I5, "SETTLE_DT", TEXT(ya!$C5,"YYYYMMDD")))</f>
        <v>0</v>
      </c>
      <c r="J5" s="2" cm="1">
        <f t="array" ref="J5">IF(hp!J5=0,0,_xll.BDP(J$4,"YAS_BOND_YLD", "YAS_BOND_PX",hp!J5, "SETTLE_DT", TEXT(ya!$C5,"YYYYMMDD")))</f>
        <v>6.2439999999999998</v>
      </c>
      <c r="K5" s="2" cm="1">
        <f t="array" ref="K5">IF(hp!K5=0,0,_xll.BDP(K$4,"YAS_BOND_YLD", "YAS_BOND_PX",hp!K5, "SETTLE_DT", TEXT(ya!$C5,"YYYYMMDD")))</f>
        <v>0</v>
      </c>
      <c r="L5" s="2" cm="1">
        <f t="array" ref="L5">IF(hp!L5=0,0,_xll.BDP(L$4,"YAS_BOND_YLD", "YAS_BOND_PX",hp!L5, "SETTLE_DT", TEXT(ya!$C5,"YYYYMMDD")))</f>
        <v>6.3324999999999996</v>
      </c>
      <c r="M5" s="2" cm="1">
        <f t="array" ref="M5">IF(hp!M5=0,0,_xll.BDP(M$4,"YAS_BOND_YLD", "YAS_BOND_PX",hp!M5, "SETTLE_DT", TEXT(ya!$C5,"YYYYMMDD")))</f>
        <v>0</v>
      </c>
      <c r="N5" s="2" cm="1">
        <f t="array" ref="N5">IF(hp!N5=0,0,_xll.BDP(N$4,"YAS_BOND_YLD", "YAS_BOND_PX",hp!N5, "SETTLE_DT", TEXT(ya!$C5,"YYYYMMDD")))</f>
        <v>0</v>
      </c>
      <c r="O5" s="2" cm="1">
        <f t="array" ref="O5">IF(hp!O5=0,0,_xll.BDP(O$4,"YAS_BOND_YLD", "YAS_BOND_PX",hp!O5, "SETTLE_DT", TEXT(ya!$C5,"YYYYMMDD")))</f>
        <v>0</v>
      </c>
      <c r="P5" s="2" cm="1">
        <f t="array" ref="P5">IF(hp!P5=0,0,_xll.BDP(P$4,"YAS_BOND_YLD", "YAS_BOND_PX",hp!P5, "SETTLE_DT", TEXT(ya!$C5,"YYYYMMDD")))</f>
        <v>0</v>
      </c>
      <c r="Q5" s="2" cm="1">
        <f t="array" ref="Q5">IF(hp!Q5=0,0,_xll.BDP(Q$4,"YAS_BOND_YLD", "YAS_BOND_PX",hp!Q5, "SETTLE_DT", TEXT(ya!$C5,"YYYYMMDD")))</f>
        <v>6.2336</v>
      </c>
      <c r="R5" s="2" cm="1">
        <f t="array" ref="R5">IF(hp!R5=0,0,_xll.BDP(R$4,"YAS_BOND_YLD", "YAS_BOND_PX",hp!R5, "SETTLE_DT", TEXT(ya!$C5,"YYYYMMDD")))</f>
        <v>0</v>
      </c>
      <c r="S5" s="2" cm="1">
        <f t="array" ref="S5">IF(hp!S5=0,0,_xll.BDP(S$4,"YAS_BOND_YLD", "YAS_BOND_PX",hp!S5, "SETTLE_DT", TEXT(ya!$C5,"YYYYMMDD")))</f>
        <v>0</v>
      </c>
      <c r="T5" s="2" cm="1">
        <f t="array" ref="T5">IF(hp!T5=0,0,_xll.BDP(T$4,"YAS_BOND_YLD", "YAS_BOND_PX",hp!T5, "SETTLE_DT", TEXT(ya!$C5,"YYYYMMDD")))</f>
        <v>0</v>
      </c>
      <c r="U5" s="2" cm="1">
        <f t="array" ref="U5">IF(hp!U5=0,0,_xll.BDP(U$4,"YAS_BOND_YLD", "YAS_BOND_PX",hp!U5, "SETTLE_DT", TEXT(ya!$C5,"YYYYMMDD")))</f>
        <v>6.2232000000000003</v>
      </c>
      <c r="V5" s="2" cm="1">
        <f t="array" ref="V5">IF(hp!V5=0,0,_xll.BDP(V$4,"YAS_BOND_YLD", "YAS_BOND_PX",hp!V5, "SETTLE_DT", TEXT(ya!$C5,"YYYYMMDD")))</f>
        <v>0</v>
      </c>
      <c r="W5" s="2" cm="1">
        <f t="array" ref="W5">IF(hp!W5=0,0,_xll.BDP(W$4,"YAS_BOND_YLD", "YAS_BOND_PX",hp!W5, "SETTLE_DT", TEXT(ya!$C5,"YYYYMMDD")))</f>
        <v>0</v>
      </c>
      <c r="X5" s="2" cm="1">
        <f t="array" ref="X5">IF(hp!X5=0,0,_xll.BDP(X$4,"YAS_BOND_YLD", "YAS_BOND_PX",hp!X5, "SETTLE_DT", TEXT(ya!$C5,"YYYYMMDD")))</f>
        <v>0</v>
      </c>
      <c r="Y5" s="2" cm="1">
        <f t="array" ref="Y5">IF(hp!Y5=0,0,_xll.BDP(Y$4,"YAS_BOND_YLD", "YAS_BOND_PX",hp!Y5, "SETTLE_DT", TEXT(ya!$C5,"YYYYMMDD")))</f>
        <v>0</v>
      </c>
      <c r="Z5" s="2" cm="1">
        <f t="array" ref="Z5">IF(hp!Z5=0,0,_xll.BDP(Z$4,"YAS_BOND_YLD", "YAS_BOND_PX",hp!Z5, "SETTLE_DT", TEXT(ya!$C5,"YYYYMMDD")))</f>
        <v>0</v>
      </c>
      <c r="AA5" s="2" cm="1">
        <f t="array" ref="AA5">IF(hp!AA5=0,0,_xll.BDP(AA$4,"YAS_BOND_YLD", "YAS_BOND_PX",hp!AA5, "SETTLE_DT", TEXT(ya!$C5,"YYYYMMDD")))</f>
        <v>0</v>
      </c>
      <c r="AB5" s="2" cm="1">
        <f t="array" ref="AB5">IF(hp!AB5=0,0,_xll.BDP(AB$4,"YAS_BOND_YLD", "YAS_BOND_PX",hp!AB5, "SETTLE_DT", TEXT(ya!$C5,"YYYYMMDD")))</f>
        <v>0</v>
      </c>
      <c r="AC5" s="2" cm="1">
        <f t="array" ref="AC5">IF(hp!AC5=0,0,_xll.BDP(AC$4,"YAS_BOND_YLD", "YAS_BOND_PX",hp!AC5, "SETTLE_DT", TEXT(ya!$C5,"YYYYMMDD")))</f>
        <v>0</v>
      </c>
      <c r="AD5" s="2" cm="1">
        <f t="array" ref="AD5">IF(hp!AD5=0,0,_xll.BDP(AD$4,"YAS_BOND_YLD", "YAS_BOND_PX",hp!AD5, "SETTLE_DT", TEXT(ya!$C5,"YYYYMMDD")))</f>
        <v>6.2340999999999998</v>
      </c>
      <c r="AE5" s="2" cm="1">
        <f t="array" ref="AE5">IF(hp!AE5=0,0,_xll.BDP(AE$4,"YAS_BOND_YLD", "YAS_BOND_PX",hp!AE5, "SETTLE_DT", TEXT(ya!$C5,"YYYYMMDD")))</f>
        <v>0</v>
      </c>
      <c r="AF5" s="2" cm="1">
        <f t="array" ref="AF5">IF(hp!AF5=0,0,_xll.BDP(AF$4,"YAS_BOND_YLD", "YAS_BOND_PX",hp!AF5, "SETTLE_DT", TEXT(ya!$C5,"YYYYMMDD")))</f>
        <v>0</v>
      </c>
      <c r="AG5" s="2" cm="1">
        <f t="array" ref="AG5">IF(hp!AG5=0,0,_xll.BDP(AG$4,"YAS_BOND_YLD", "YAS_BOND_PX",hp!AG5, "SETTLE_DT", TEXT(ya!$C5,"YYYYMMDD")))</f>
        <v>0</v>
      </c>
      <c r="AH5" s="2" cm="1">
        <f t="array" ref="AH5">IF(hp!AH5=0,0,_xll.BDP(AH$4,"YAS_BOND_YLD", "YAS_BOND_PX",hp!AH5, "SETTLE_DT", TEXT(ya!$C5,"YYYYMMDD")))</f>
        <v>0</v>
      </c>
      <c r="AI5" s="2" cm="1">
        <f t="array" ref="AI5">IF(hp!AI5=0,0,_xll.BDP(AI$4,"YAS_BOND_YLD", "YAS_BOND_PX",hp!AI5, "SETTLE_DT", TEXT(ya!$C5,"YYYYMMDD")))</f>
        <v>0</v>
      </c>
      <c r="AJ5" s="2" cm="1">
        <f t="array" ref="AJ5">IF(hp!AJ5=0,0,_xll.BDP(AJ$4,"YAS_BOND_YLD", "YAS_BOND_PX",hp!AJ5, "SETTLE_DT", TEXT(ya!$C5,"YYYYMMDD")))</f>
        <v>0</v>
      </c>
      <c r="AK5" s="2" cm="1">
        <f t="array" ref="AK5">IF(hp!AK5=0,0,_xll.BDP(AK$4,"YAS_BOND_YLD", "YAS_BOND_PX",hp!AK5, "SETTLE_DT", TEXT(ya!$C5,"YYYYMMDD")))</f>
        <v>0</v>
      </c>
      <c r="AL5" s="2" cm="1">
        <f t="array" ref="AL5">IF(hp!AL5=0,0,_xll.BDP(AL$4,"YAS_BOND_YLD", "YAS_BOND_PX",hp!AL5, "SETTLE_DT", TEXT(ya!$C5,"YYYYMMDD")))</f>
        <v>0</v>
      </c>
      <c r="AM5" s="2" cm="1">
        <f t="array" ref="AM5">IF(hp!AM5=0,0,_xll.BDP(AM$4,"YAS_BOND_YLD", "YAS_BOND_PX",hp!AM5, "SETTLE_DT", TEXT(ya!$C5,"YYYYMMDD")))</f>
        <v>0</v>
      </c>
      <c r="AN5" s="2" cm="1">
        <f t="array" ref="AN5">IF(hp!AN5=0,0,_xll.BDP(AN$4,"YAS_BOND_YLD", "YAS_BOND_PX",hp!AN5, "SETTLE_DT", TEXT(ya!$C5,"YYYYMMDD")))</f>
        <v>0</v>
      </c>
      <c r="AO5" s="2" cm="1">
        <f t="array" ref="AO5">IF(hp!AO5=0,0,_xll.BDP(AO$4,"YAS_BOND_YLD", "YAS_BOND_PX",hp!AO5, "SETTLE_DT", TEXT(ya!$C5,"YYYYMMDD")))</f>
        <v>0</v>
      </c>
      <c r="AP5" s="2" cm="1">
        <f t="array" ref="AP5">IF(hp!AP5=0,0,_xll.BDP(AP$4,"YAS_BOND_YLD", "YAS_BOND_PX",hp!AP5, "SETTLE_DT", TEXT(ya!$C5,"YYYYMMDD")))</f>
        <v>0</v>
      </c>
      <c r="AQ5" s="2" cm="1">
        <f t="array" ref="AQ5">IF(hp!AQ5=0,0,_xll.BDP(AQ$4,"YAS_BOND_YLD", "YAS_BOND_PX",hp!AQ5, "SETTLE_DT", TEXT(ya!$C5,"YYYYMMDD")))</f>
        <v>0</v>
      </c>
      <c r="AR5" s="2" cm="1">
        <f t="array" ref="AR5">IF(hp!AR5=0,0,_xll.BDP(AR$4,"YAS_BOND_YLD", "YAS_BOND_PX",hp!AR5, "SETTLE_DT", TEXT(ya!$C5,"YYYYMMDD")))</f>
        <v>6.2153</v>
      </c>
      <c r="AS5" s="2" cm="1">
        <f t="array" ref="AS5">IF(hp!AS5=0,0,_xll.BDP(AS$4,"YAS_BOND_YLD", "YAS_BOND_PX",hp!AS5, "SETTLE_DT", TEXT(ya!$C5,"YYYYMMDD")))</f>
        <v>0</v>
      </c>
      <c r="AT5" s="2" cm="1">
        <f t="array" ref="AT5">IF(hp!AT5=0,0,_xll.BDP(AT$4,"YAS_BOND_YLD", "YAS_BOND_PX",hp!AT5, "SETTLE_DT", TEXT(ya!$C5,"YYYYMMDD")))</f>
        <v>0</v>
      </c>
      <c r="AU5" s="2" cm="1">
        <f t="array" ref="AU5">IF(hp!AU5=0,0,_xll.BDP(AU$4,"YAS_BOND_YLD", "YAS_BOND_PX",hp!AU5, "SETTLE_DT", TEXT(ya!$C5,"YYYYMMDD")))</f>
        <v>0</v>
      </c>
      <c r="AV5" s="2" cm="1">
        <f t="array" ref="AV5">IF(hp!AV5=0,0,_xll.BDP(AV$4,"YAS_BOND_YLD", "YAS_BOND_PX",hp!AV5, "SETTLE_DT", TEXT(ya!$C5,"YYYYMMDD")))</f>
        <v>0</v>
      </c>
      <c r="AW5" s="2" cm="1">
        <f t="array" ref="AW5">IF(hp!AW5=0,0,_xll.BDP(AW$4,"YAS_BOND_YLD", "YAS_BOND_PX",hp!AW5, "SETTLE_DT", TEXT(ya!$C5,"YYYYMMDD")))</f>
        <v>0</v>
      </c>
      <c r="AX5" s="2" cm="1">
        <f t="array" ref="AX5">IF(hp!AX5=0,0,_xll.BDP(AX$4,"YAS_BOND_YLD", "YAS_BOND_PX",hp!AX5, "SETTLE_DT", TEXT(ya!$C5,"YYYYMMDD")))</f>
        <v>0</v>
      </c>
      <c r="AY5" s="2" cm="1">
        <f t="array" ref="AY5">IF(hp!AY5=0,0,_xll.BDP(AY$4,"YAS_BOND_YLD", "YAS_BOND_PX",hp!AY5, "SETTLE_DT", TEXT(ya!$C5,"YYYYMMDD")))</f>
        <v>0</v>
      </c>
      <c r="AZ5" s="2" cm="1">
        <f t="array" ref="AZ5">IF(hp!AZ5=0,0,_xll.BDP(AZ$4,"YAS_BOND_YLD", "YAS_BOND_PX",hp!AZ5, "SETTLE_DT", TEXT(ya!$C5,"YYYYMMDD")))</f>
        <v>0</v>
      </c>
    </row>
    <row r="6" spans="1:52" x14ac:dyDescent="0.25">
      <c r="A6" s="1"/>
      <c r="B6" s="2"/>
      <c r="C6" s="1">
        <v>42094</v>
      </c>
      <c r="D6" s="2" cm="1">
        <f t="array" ref="D6">IF(hp!D6=0,0,_xll.BDP(D$4,"YAS_BOND_YLD", "YAS_BOND_PX",hp!D6, "SETTLE_DT", TEXT(ya!$C6,"YYYYMMDD")))</f>
        <v>0</v>
      </c>
      <c r="E6" s="2" cm="1">
        <f t="array" ref="E6">IF(hp!E6=0,0,_xll.BDP(E$4,"YAS_BOND_YLD", "YAS_BOND_PX",hp!E6, "SETTLE_DT", TEXT(ya!$C6,"YYYYMMDD")))</f>
        <v>0</v>
      </c>
      <c r="F6" s="2" cm="1">
        <f t="array" ref="F6">IF(hp!F6=0,0,_xll.BDP(F$4,"YAS_BOND_YLD", "YAS_BOND_PX",hp!F6, "SETTLE_DT", TEXT(ya!$C6,"YYYYMMDD")))</f>
        <v>0</v>
      </c>
      <c r="G6" s="2" cm="1">
        <f t="array" ref="G6">IF(hp!G6=0,0,_xll.BDP(G$4,"YAS_BOND_YLD", "YAS_BOND_PX",hp!G6, "SETTLE_DT", TEXT(ya!$C6,"YYYYMMDD")))</f>
        <v>6.5685000000000002</v>
      </c>
      <c r="H6" s="2" cm="1">
        <f t="array" ref="H6">IF(hp!H6=0,0,_xll.BDP(H$4,"YAS_BOND_YLD", "YAS_BOND_PX",hp!H6, "SETTLE_DT", TEXT(ya!$C6,"YYYYMMDD")))</f>
        <v>0</v>
      </c>
      <c r="I6" s="2" cm="1">
        <f t="array" ref="I6">IF(hp!I6=0,0,_xll.BDP(I$4,"YAS_BOND_YLD", "YAS_BOND_PX",hp!I6, "SETTLE_DT", TEXT(ya!$C6,"YYYYMMDD")))</f>
        <v>0</v>
      </c>
      <c r="J6" s="2" cm="1">
        <f t="array" ref="J6">IF(hp!J6=0,0,_xll.BDP(J$4,"YAS_BOND_YLD", "YAS_BOND_PX",hp!J6, "SETTLE_DT", TEXT(ya!$C6,"YYYYMMDD")))</f>
        <v>6.4931999999999999</v>
      </c>
      <c r="K6" s="2" cm="1">
        <f t="array" ref="K6">IF(hp!K6=0,0,_xll.BDP(K$4,"YAS_BOND_YLD", "YAS_BOND_PX",hp!K6, "SETTLE_DT", TEXT(ya!$C6,"YYYYMMDD")))</f>
        <v>0</v>
      </c>
      <c r="L6" s="2" cm="1">
        <f t="array" ref="L6">IF(hp!L6=0,0,_xll.BDP(L$4,"YAS_BOND_YLD", "YAS_BOND_PX",hp!L6, "SETTLE_DT", TEXT(ya!$C6,"YYYYMMDD")))</f>
        <v>6.4702999999999999</v>
      </c>
      <c r="M6" s="2" cm="1">
        <f t="array" ref="M6">IF(hp!M6=0,0,_xll.BDP(M$4,"YAS_BOND_YLD", "YAS_BOND_PX",hp!M6, "SETTLE_DT", TEXT(ya!$C6,"YYYYMMDD")))</f>
        <v>0</v>
      </c>
      <c r="N6" s="2" cm="1">
        <f t="array" ref="N6">IF(hp!N6=0,0,_xll.BDP(N$4,"YAS_BOND_YLD", "YAS_BOND_PX",hp!N6, "SETTLE_DT", TEXT(ya!$C6,"YYYYMMDD")))</f>
        <v>0</v>
      </c>
      <c r="O6" s="2" cm="1">
        <f t="array" ref="O6">IF(hp!O6=0,0,_xll.BDP(O$4,"YAS_BOND_YLD", "YAS_BOND_PX",hp!O6, "SETTLE_DT", TEXT(ya!$C6,"YYYYMMDD")))</f>
        <v>0</v>
      </c>
      <c r="P6" s="2" cm="1">
        <f t="array" ref="P6">IF(hp!P6=0,0,_xll.BDP(P$4,"YAS_BOND_YLD", "YAS_BOND_PX",hp!P6, "SETTLE_DT", TEXT(ya!$C6,"YYYYMMDD")))</f>
        <v>0</v>
      </c>
      <c r="Q6" s="2" cm="1">
        <f t="array" ref="Q6">IF(hp!Q6=0,0,_xll.BDP(Q$4,"YAS_BOND_YLD", "YAS_BOND_PX",hp!Q6, "SETTLE_DT", TEXT(ya!$C6,"YYYYMMDD")))</f>
        <v>6.59</v>
      </c>
      <c r="R6" s="2" cm="1">
        <f t="array" ref="R6">IF(hp!R6=0,0,_xll.BDP(R$4,"YAS_BOND_YLD", "YAS_BOND_PX",hp!R6, "SETTLE_DT", TEXT(ya!$C6,"YYYYMMDD")))</f>
        <v>0</v>
      </c>
      <c r="S6" s="2" cm="1">
        <f t="array" ref="S6">IF(hp!S6=0,0,_xll.BDP(S$4,"YAS_BOND_YLD", "YAS_BOND_PX",hp!S6, "SETTLE_DT", TEXT(ya!$C6,"YYYYMMDD")))</f>
        <v>0</v>
      </c>
      <c r="T6" s="2" cm="1">
        <f t="array" ref="T6">IF(hp!T6=0,0,_xll.BDP(T$4,"YAS_BOND_YLD", "YAS_BOND_PX",hp!T6, "SETTLE_DT", TEXT(ya!$C6,"YYYYMMDD")))</f>
        <v>0</v>
      </c>
      <c r="U6" s="2" cm="1">
        <f t="array" ref="U6">IF(hp!U6=0,0,_xll.BDP(U$4,"YAS_BOND_YLD", "YAS_BOND_PX",hp!U6, "SETTLE_DT", TEXT(ya!$C6,"YYYYMMDD")))</f>
        <v>6.6</v>
      </c>
      <c r="V6" s="2" cm="1">
        <f t="array" ref="V6">IF(hp!V6=0,0,_xll.BDP(V$4,"YAS_BOND_YLD", "YAS_BOND_PX",hp!V6, "SETTLE_DT", TEXT(ya!$C6,"YYYYMMDD")))</f>
        <v>0</v>
      </c>
      <c r="W6" s="2" cm="1">
        <f t="array" ref="W6">IF(hp!W6=0,0,_xll.BDP(W$4,"YAS_BOND_YLD", "YAS_BOND_PX",hp!W6, "SETTLE_DT", TEXT(ya!$C6,"YYYYMMDD")))</f>
        <v>0</v>
      </c>
      <c r="X6" s="2" cm="1">
        <f t="array" ref="X6">IF(hp!X6=0,0,_xll.BDP(X$4,"YAS_BOND_YLD", "YAS_BOND_PX",hp!X6, "SETTLE_DT", TEXT(ya!$C6,"YYYYMMDD")))</f>
        <v>0</v>
      </c>
      <c r="Y6" s="2" cm="1">
        <f t="array" ref="Y6">IF(hp!Y6=0,0,_xll.BDP(Y$4,"YAS_BOND_YLD", "YAS_BOND_PX",hp!Y6, "SETTLE_DT", TEXT(ya!$C6,"YYYYMMDD")))</f>
        <v>0</v>
      </c>
      <c r="Z6" s="2" cm="1">
        <f t="array" ref="Z6">IF(hp!Z6=0,0,_xll.BDP(Z$4,"YAS_BOND_YLD", "YAS_BOND_PX",hp!Z6, "SETTLE_DT", TEXT(ya!$C6,"YYYYMMDD")))</f>
        <v>0</v>
      </c>
      <c r="AA6" s="2" cm="1">
        <f t="array" ref="AA6">IF(hp!AA6=0,0,_xll.BDP(AA$4,"YAS_BOND_YLD", "YAS_BOND_PX",hp!AA6, "SETTLE_DT", TEXT(ya!$C6,"YYYYMMDD")))</f>
        <v>0</v>
      </c>
      <c r="AB6" s="2" cm="1">
        <f t="array" ref="AB6">IF(hp!AB6=0,0,_xll.BDP(AB$4,"YAS_BOND_YLD", "YAS_BOND_PX",hp!AB6, "SETTLE_DT", TEXT(ya!$C6,"YYYYMMDD")))</f>
        <v>0</v>
      </c>
      <c r="AC6" s="2" cm="1">
        <f t="array" ref="AC6">IF(hp!AC6=0,0,_xll.BDP(AC$4,"YAS_BOND_YLD", "YAS_BOND_PX",hp!AC6, "SETTLE_DT", TEXT(ya!$C6,"YYYYMMDD")))</f>
        <v>0</v>
      </c>
      <c r="AD6" s="2" cm="1">
        <f t="array" ref="AD6">IF(hp!AD6=0,0,_xll.BDP(AD$4,"YAS_BOND_YLD", "YAS_BOND_PX",hp!AD6, "SETTLE_DT", TEXT(ya!$C6,"YYYYMMDD")))</f>
        <v>6.4733000000000001</v>
      </c>
      <c r="AE6" s="2" cm="1">
        <f t="array" ref="AE6">IF(hp!AE6=0,0,_xll.BDP(AE$4,"YAS_BOND_YLD", "YAS_BOND_PX",hp!AE6, "SETTLE_DT", TEXT(ya!$C6,"YYYYMMDD")))</f>
        <v>0</v>
      </c>
      <c r="AF6" s="2" cm="1">
        <f t="array" ref="AF6">IF(hp!AF6=0,0,_xll.BDP(AF$4,"YAS_BOND_YLD", "YAS_BOND_PX",hp!AF6, "SETTLE_DT", TEXT(ya!$C6,"YYYYMMDD")))</f>
        <v>0</v>
      </c>
      <c r="AG6" s="2" cm="1">
        <f t="array" ref="AG6">IF(hp!AG6=0,0,_xll.BDP(AG$4,"YAS_BOND_YLD", "YAS_BOND_PX",hp!AG6, "SETTLE_DT", TEXT(ya!$C6,"YYYYMMDD")))</f>
        <v>0</v>
      </c>
      <c r="AH6" s="2" cm="1">
        <f t="array" ref="AH6">IF(hp!AH6=0,0,_xll.BDP(AH$4,"YAS_BOND_YLD", "YAS_BOND_PX",hp!AH6, "SETTLE_DT", TEXT(ya!$C6,"YYYYMMDD")))</f>
        <v>0</v>
      </c>
      <c r="AI6" s="2" cm="1">
        <f t="array" ref="AI6">IF(hp!AI6=0,0,_xll.BDP(AI$4,"YAS_BOND_YLD", "YAS_BOND_PX",hp!AI6, "SETTLE_DT", TEXT(ya!$C6,"YYYYMMDD")))</f>
        <v>0</v>
      </c>
      <c r="AJ6" s="2" cm="1">
        <f t="array" ref="AJ6">IF(hp!AJ6=0,0,_xll.BDP(AJ$4,"YAS_BOND_YLD", "YAS_BOND_PX",hp!AJ6, "SETTLE_DT", TEXT(ya!$C6,"YYYYMMDD")))</f>
        <v>0</v>
      </c>
      <c r="AK6" s="2" cm="1">
        <f t="array" ref="AK6">IF(hp!AK6=0,0,_xll.BDP(AK$4,"YAS_BOND_YLD", "YAS_BOND_PX",hp!AK6, "SETTLE_DT", TEXT(ya!$C6,"YYYYMMDD")))</f>
        <v>0</v>
      </c>
      <c r="AL6" s="2" cm="1">
        <f t="array" ref="AL6">IF(hp!AL6=0,0,_xll.BDP(AL$4,"YAS_BOND_YLD", "YAS_BOND_PX",hp!AL6, "SETTLE_DT", TEXT(ya!$C6,"YYYYMMDD")))</f>
        <v>0</v>
      </c>
      <c r="AM6" s="2" cm="1">
        <f t="array" ref="AM6">IF(hp!AM6=0,0,_xll.BDP(AM$4,"YAS_BOND_YLD", "YAS_BOND_PX",hp!AM6, "SETTLE_DT", TEXT(ya!$C6,"YYYYMMDD")))</f>
        <v>0</v>
      </c>
      <c r="AN6" s="2" cm="1">
        <f t="array" ref="AN6">IF(hp!AN6=0,0,_xll.BDP(AN$4,"YAS_BOND_YLD", "YAS_BOND_PX",hp!AN6, "SETTLE_DT", TEXT(ya!$C6,"YYYYMMDD")))</f>
        <v>0</v>
      </c>
      <c r="AO6" s="2" cm="1">
        <f t="array" ref="AO6">IF(hp!AO6=0,0,_xll.BDP(AO$4,"YAS_BOND_YLD", "YAS_BOND_PX",hp!AO6, "SETTLE_DT", TEXT(ya!$C6,"YYYYMMDD")))</f>
        <v>0</v>
      </c>
      <c r="AP6" s="2" cm="1">
        <f t="array" ref="AP6">IF(hp!AP6=0,0,_xll.BDP(AP$4,"YAS_BOND_YLD", "YAS_BOND_PX",hp!AP6, "SETTLE_DT", TEXT(ya!$C6,"YYYYMMDD")))</f>
        <v>0</v>
      </c>
      <c r="AQ6" s="2" cm="1">
        <f t="array" ref="AQ6">IF(hp!AQ6=0,0,_xll.BDP(AQ$4,"YAS_BOND_YLD", "YAS_BOND_PX",hp!AQ6, "SETTLE_DT", TEXT(ya!$C6,"YYYYMMDD")))</f>
        <v>0</v>
      </c>
      <c r="AR6" s="2" cm="1">
        <f t="array" ref="AR6">IF(hp!AR6=0,0,_xll.BDP(AR$4,"YAS_BOND_YLD", "YAS_BOND_PX",hp!AR6, "SETTLE_DT", TEXT(ya!$C6,"YYYYMMDD")))</f>
        <v>6.5438999999999998</v>
      </c>
      <c r="AS6" s="2" cm="1">
        <f t="array" ref="AS6">IF(hp!AS6=0,0,_xll.BDP(AS$4,"YAS_BOND_YLD", "YAS_BOND_PX",hp!AS6, "SETTLE_DT", TEXT(ya!$C6,"YYYYMMDD")))</f>
        <v>0</v>
      </c>
      <c r="AT6" s="2" cm="1">
        <f t="array" ref="AT6">IF(hp!AT6=0,0,_xll.BDP(AT$4,"YAS_BOND_YLD", "YAS_BOND_PX",hp!AT6, "SETTLE_DT", TEXT(ya!$C6,"YYYYMMDD")))</f>
        <v>0</v>
      </c>
      <c r="AU6" s="2" cm="1">
        <f t="array" ref="AU6">IF(hp!AU6=0,0,_xll.BDP(AU$4,"YAS_BOND_YLD", "YAS_BOND_PX",hp!AU6, "SETTLE_DT", TEXT(ya!$C6,"YYYYMMDD")))</f>
        <v>0</v>
      </c>
      <c r="AV6" s="2" cm="1">
        <f t="array" ref="AV6">IF(hp!AV6=0,0,_xll.BDP(AV$4,"YAS_BOND_YLD", "YAS_BOND_PX",hp!AV6, "SETTLE_DT", TEXT(ya!$C6,"YYYYMMDD")))</f>
        <v>0</v>
      </c>
      <c r="AW6" s="2" cm="1">
        <f t="array" ref="AW6">IF(hp!AW6=0,0,_xll.BDP(AW$4,"YAS_BOND_YLD", "YAS_BOND_PX",hp!AW6, "SETTLE_DT", TEXT(ya!$C6,"YYYYMMDD")))</f>
        <v>0</v>
      </c>
      <c r="AX6" s="2" cm="1">
        <f t="array" ref="AX6">IF(hp!AX6=0,0,_xll.BDP(AX$4,"YAS_BOND_YLD", "YAS_BOND_PX",hp!AX6, "SETTLE_DT", TEXT(ya!$C6,"YYYYMMDD")))</f>
        <v>0</v>
      </c>
      <c r="AY6" s="2" cm="1">
        <f t="array" ref="AY6">IF(hp!AY6=0,0,_xll.BDP(AY$4,"YAS_BOND_YLD", "YAS_BOND_PX",hp!AY6, "SETTLE_DT", TEXT(ya!$C6,"YYYYMMDD")))</f>
        <v>0</v>
      </c>
      <c r="AZ6" s="2" cm="1">
        <f t="array" ref="AZ6">IF(hp!AZ6=0,0,_xll.BDP(AZ$4,"YAS_BOND_YLD", "YAS_BOND_PX",hp!AZ6, "SETTLE_DT", TEXT(ya!$C6,"YYYYMMDD")))</f>
        <v>0</v>
      </c>
    </row>
    <row r="7" spans="1:52" x14ac:dyDescent="0.25">
      <c r="A7" s="1"/>
      <c r="B7" s="2"/>
      <c r="C7" s="1">
        <v>42124</v>
      </c>
      <c r="D7" s="2" cm="1">
        <f t="array" ref="D7">IF(hp!D7=0,0,_xll.BDP(D$4,"YAS_BOND_YLD", "YAS_BOND_PX",hp!D7, "SETTLE_DT", TEXT(ya!$C7,"YYYYMMDD")))</f>
        <v>0</v>
      </c>
      <c r="E7" s="2" cm="1">
        <f t="array" ref="E7">IF(hp!E7=0,0,_xll.BDP(E$4,"YAS_BOND_YLD", "YAS_BOND_PX",hp!E7, "SETTLE_DT", TEXT(ya!$C7,"YYYYMMDD")))</f>
        <v>0</v>
      </c>
      <c r="F7" s="2" cm="1">
        <f t="array" ref="F7">IF(hp!F7=0,0,_xll.BDP(F$4,"YAS_BOND_YLD", "YAS_BOND_PX",hp!F7, "SETTLE_DT", TEXT(ya!$C7,"YYYYMMDD")))</f>
        <v>0</v>
      </c>
      <c r="G7" s="2" cm="1">
        <f t="array" ref="G7">IF(hp!G7=0,0,_xll.BDP(G$4,"YAS_BOND_YLD", "YAS_BOND_PX",hp!G7, "SETTLE_DT", TEXT(ya!$C7,"YYYYMMDD")))</f>
        <v>6.2043999999999997</v>
      </c>
      <c r="H7" s="2" cm="1">
        <f t="array" ref="H7">IF(hp!H7=0,0,_xll.BDP(H$4,"YAS_BOND_YLD", "YAS_BOND_PX",hp!H7, "SETTLE_DT", TEXT(ya!$C7,"YYYYMMDD")))</f>
        <v>0</v>
      </c>
      <c r="I7" s="2" cm="1">
        <f t="array" ref="I7">IF(hp!I7=0,0,_xll.BDP(I$4,"YAS_BOND_YLD", "YAS_BOND_PX",hp!I7, "SETTLE_DT", TEXT(ya!$C7,"YYYYMMDD")))</f>
        <v>0</v>
      </c>
      <c r="J7" s="2" cm="1">
        <f t="array" ref="J7">IF(hp!J7=0,0,_xll.BDP(J$4,"YAS_BOND_YLD", "YAS_BOND_PX",hp!J7, "SETTLE_DT", TEXT(ya!$C7,"YYYYMMDD")))</f>
        <v>6.1955999999999998</v>
      </c>
      <c r="K7" s="2" cm="1">
        <f t="array" ref="K7">IF(hp!K7=0,0,_xll.BDP(K$4,"YAS_BOND_YLD", "YAS_BOND_PX",hp!K7, "SETTLE_DT", TEXT(ya!$C7,"YYYYMMDD")))</f>
        <v>0</v>
      </c>
      <c r="L7" s="2" cm="1">
        <f t="array" ref="L7">IF(hp!L7=0,0,_xll.BDP(L$4,"YAS_BOND_YLD", "YAS_BOND_PX",hp!L7, "SETTLE_DT", TEXT(ya!$C7,"YYYYMMDD")))</f>
        <v>6.1055999999999999</v>
      </c>
      <c r="M7" s="2" cm="1">
        <f t="array" ref="M7">IF(hp!M7=0,0,_xll.BDP(M$4,"YAS_BOND_YLD", "YAS_BOND_PX",hp!M7, "SETTLE_DT", TEXT(ya!$C7,"YYYYMMDD")))</f>
        <v>0</v>
      </c>
      <c r="N7" s="2" cm="1">
        <f t="array" ref="N7">IF(hp!N7=0,0,_xll.BDP(N$4,"YAS_BOND_YLD", "YAS_BOND_PX",hp!N7, "SETTLE_DT", TEXT(ya!$C7,"YYYYMMDD")))</f>
        <v>0</v>
      </c>
      <c r="O7" s="2" cm="1">
        <f t="array" ref="O7">IF(hp!O7=0,0,_xll.BDP(O$4,"YAS_BOND_YLD", "YAS_BOND_PX",hp!O7, "SETTLE_DT", TEXT(ya!$C7,"YYYYMMDD")))</f>
        <v>0</v>
      </c>
      <c r="P7" s="2" cm="1">
        <f t="array" ref="P7">IF(hp!P7=0,0,_xll.BDP(P$4,"YAS_BOND_YLD", "YAS_BOND_PX",hp!P7, "SETTLE_DT", TEXT(ya!$C7,"YYYYMMDD")))</f>
        <v>0</v>
      </c>
      <c r="Q7" s="2" cm="1">
        <f t="array" ref="Q7">IF(hp!Q7=0,0,_xll.BDP(Q$4,"YAS_BOND_YLD", "YAS_BOND_PX",hp!Q7, "SETTLE_DT", TEXT(ya!$C7,"YYYYMMDD")))</f>
        <v>6.1052999999999997</v>
      </c>
      <c r="R7" s="2" cm="1">
        <f t="array" ref="R7">IF(hp!R7=0,0,_xll.BDP(R$4,"YAS_BOND_YLD", "YAS_BOND_PX",hp!R7, "SETTLE_DT", TEXT(ya!$C7,"YYYYMMDD")))</f>
        <v>0</v>
      </c>
      <c r="S7" s="2" cm="1">
        <f t="array" ref="S7">IF(hp!S7=0,0,_xll.BDP(S$4,"YAS_BOND_YLD", "YAS_BOND_PX",hp!S7, "SETTLE_DT", TEXT(ya!$C7,"YYYYMMDD")))</f>
        <v>0</v>
      </c>
      <c r="T7" s="2" cm="1">
        <f t="array" ref="T7">IF(hp!T7=0,0,_xll.BDP(T$4,"YAS_BOND_YLD", "YAS_BOND_PX",hp!T7, "SETTLE_DT", TEXT(ya!$C7,"YYYYMMDD")))</f>
        <v>0</v>
      </c>
      <c r="U7" s="2" cm="1">
        <f t="array" ref="U7">IF(hp!U7=0,0,_xll.BDP(U$4,"YAS_BOND_YLD", "YAS_BOND_PX",hp!U7, "SETTLE_DT", TEXT(ya!$C7,"YYYYMMDD")))</f>
        <v>6.0951000000000004</v>
      </c>
      <c r="V7" s="2" cm="1">
        <f t="array" ref="V7">IF(hp!V7=0,0,_xll.BDP(V$4,"YAS_BOND_YLD", "YAS_BOND_PX",hp!V7, "SETTLE_DT", TEXT(ya!$C7,"YYYYMMDD")))</f>
        <v>0</v>
      </c>
      <c r="W7" s="2" cm="1">
        <f t="array" ref="W7">IF(hp!W7=0,0,_xll.BDP(W$4,"YAS_BOND_YLD", "YAS_BOND_PX",hp!W7, "SETTLE_DT", TEXT(ya!$C7,"YYYYMMDD")))</f>
        <v>0</v>
      </c>
      <c r="X7" s="2" cm="1">
        <f t="array" ref="X7">IF(hp!X7=0,0,_xll.BDP(X$4,"YAS_BOND_YLD", "YAS_BOND_PX",hp!X7, "SETTLE_DT", TEXT(ya!$C7,"YYYYMMDD")))</f>
        <v>0</v>
      </c>
      <c r="Y7" s="2" cm="1">
        <f t="array" ref="Y7">IF(hp!Y7=0,0,_xll.BDP(Y$4,"YAS_BOND_YLD", "YAS_BOND_PX",hp!Y7, "SETTLE_DT", TEXT(ya!$C7,"YYYYMMDD")))</f>
        <v>0</v>
      </c>
      <c r="Z7" s="2" cm="1">
        <f t="array" ref="Z7">IF(hp!Z7=0,0,_xll.BDP(Z$4,"YAS_BOND_YLD", "YAS_BOND_PX",hp!Z7, "SETTLE_DT", TEXT(ya!$C7,"YYYYMMDD")))</f>
        <v>0</v>
      </c>
      <c r="AA7" s="2" cm="1">
        <f t="array" ref="AA7">IF(hp!AA7=0,0,_xll.BDP(AA$4,"YAS_BOND_YLD", "YAS_BOND_PX",hp!AA7, "SETTLE_DT", TEXT(ya!$C7,"YYYYMMDD")))</f>
        <v>0</v>
      </c>
      <c r="AB7" s="2" cm="1">
        <f t="array" ref="AB7">IF(hp!AB7=0,0,_xll.BDP(AB$4,"YAS_BOND_YLD", "YAS_BOND_PX",hp!AB7, "SETTLE_DT", TEXT(ya!$C7,"YYYYMMDD")))</f>
        <v>0</v>
      </c>
      <c r="AC7" s="2" cm="1">
        <f t="array" ref="AC7">IF(hp!AC7=0,0,_xll.BDP(AC$4,"YAS_BOND_YLD", "YAS_BOND_PX",hp!AC7, "SETTLE_DT", TEXT(ya!$C7,"YYYYMMDD")))</f>
        <v>0</v>
      </c>
      <c r="AD7" s="2" cm="1">
        <f t="array" ref="AD7">IF(hp!AD7=0,0,_xll.BDP(AD$4,"YAS_BOND_YLD", "YAS_BOND_PX",hp!AD7, "SETTLE_DT", TEXT(ya!$C7,"YYYYMMDD")))</f>
        <v>6.1790000000000003</v>
      </c>
      <c r="AE7" s="2" cm="1">
        <f t="array" ref="AE7">IF(hp!AE7=0,0,_xll.BDP(AE$4,"YAS_BOND_YLD", "YAS_BOND_PX",hp!AE7, "SETTLE_DT", TEXT(ya!$C7,"YYYYMMDD")))</f>
        <v>0</v>
      </c>
      <c r="AF7" s="2" cm="1">
        <f t="array" ref="AF7">IF(hp!AF7=0,0,_xll.BDP(AF$4,"YAS_BOND_YLD", "YAS_BOND_PX",hp!AF7, "SETTLE_DT", TEXT(ya!$C7,"YYYYMMDD")))</f>
        <v>0</v>
      </c>
      <c r="AG7" s="2" cm="1">
        <f t="array" ref="AG7">IF(hp!AG7=0,0,_xll.BDP(AG$4,"YAS_BOND_YLD", "YAS_BOND_PX",hp!AG7, "SETTLE_DT", TEXT(ya!$C7,"YYYYMMDD")))</f>
        <v>0</v>
      </c>
      <c r="AH7" s="2" cm="1">
        <f t="array" ref="AH7">IF(hp!AH7=0,0,_xll.BDP(AH$4,"YAS_BOND_YLD", "YAS_BOND_PX",hp!AH7, "SETTLE_DT", TEXT(ya!$C7,"YYYYMMDD")))</f>
        <v>0</v>
      </c>
      <c r="AI7" s="2" cm="1">
        <f t="array" ref="AI7">IF(hp!AI7=0,0,_xll.BDP(AI$4,"YAS_BOND_YLD", "YAS_BOND_PX",hp!AI7, "SETTLE_DT", TEXT(ya!$C7,"YYYYMMDD")))</f>
        <v>0</v>
      </c>
      <c r="AJ7" s="2" cm="1">
        <f t="array" ref="AJ7">IF(hp!AJ7=0,0,_xll.BDP(AJ$4,"YAS_BOND_YLD", "YAS_BOND_PX",hp!AJ7, "SETTLE_DT", TEXT(ya!$C7,"YYYYMMDD")))</f>
        <v>0</v>
      </c>
      <c r="AK7" s="2" cm="1">
        <f t="array" ref="AK7">IF(hp!AK7=0,0,_xll.BDP(AK$4,"YAS_BOND_YLD", "YAS_BOND_PX",hp!AK7, "SETTLE_DT", TEXT(ya!$C7,"YYYYMMDD")))</f>
        <v>0</v>
      </c>
      <c r="AL7" s="2" cm="1">
        <f t="array" ref="AL7">IF(hp!AL7=0,0,_xll.BDP(AL$4,"YAS_BOND_YLD", "YAS_BOND_PX",hp!AL7, "SETTLE_DT", TEXT(ya!$C7,"YYYYMMDD")))</f>
        <v>0</v>
      </c>
      <c r="AM7" s="2" cm="1">
        <f t="array" ref="AM7">IF(hp!AM7=0,0,_xll.BDP(AM$4,"YAS_BOND_YLD", "YAS_BOND_PX",hp!AM7, "SETTLE_DT", TEXT(ya!$C7,"YYYYMMDD")))</f>
        <v>0</v>
      </c>
      <c r="AN7" s="2" cm="1">
        <f t="array" ref="AN7">IF(hp!AN7=0,0,_xll.BDP(AN$4,"YAS_BOND_YLD", "YAS_BOND_PX",hp!AN7, "SETTLE_DT", TEXT(ya!$C7,"YYYYMMDD")))</f>
        <v>0</v>
      </c>
      <c r="AO7" s="2" cm="1">
        <f t="array" ref="AO7">IF(hp!AO7=0,0,_xll.BDP(AO$4,"YAS_BOND_YLD", "YAS_BOND_PX",hp!AO7, "SETTLE_DT", TEXT(ya!$C7,"YYYYMMDD")))</f>
        <v>0</v>
      </c>
      <c r="AP7" s="2" cm="1">
        <f t="array" ref="AP7">IF(hp!AP7=0,0,_xll.BDP(AP$4,"YAS_BOND_YLD", "YAS_BOND_PX",hp!AP7, "SETTLE_DT", TEXT(ya!$C7,"YYYYMMDD")))</f>
        <v>0</v>
      </c>
      <c r="AQ7" s="2" cm="1">
        <f t="array" ref="AQ7">IF(hp!AQ7=0,0,_xll.BDP(AQ$4,"YAS_BOND_YLD", "YAS_BOND_PX",hp!AQ7, "SETTLE_DT", TEXT(ya!$C7,"YYYYMMDD")))</f>
        <v>0</v>
      </c>
      <c r="AR7" s="2" cm="1">
        <f t="array" ref="AR7">IF(hp!AR7=0,0,_xll.BDP(AR$4,"YAS_BOND_YLD", "YAS_BOND_PX",hp!AR7, "SETTLE_DT", TEXT(ya!$C7,"YYYYMMDD")))</f>
        <v>6.1997999999999998</v>
      </c>
      <c r="AS7" s="2" cm="1">
        <f t="array" ref="AS7">IF(hp!AS7=0,0,_xll.BDP(AS$4,"YAS_BOND_YLD", "YAS_BOND_PX",hp!AS7, "SETTLE_DT", TEXT(ya!$C7,"YYYYMMDD")))</f>
        <v>0</v>
      </c>
      <c r="AT7" s="2" cm="1">
        <f t="array" ref="AT7">IF(hp!AT7=0,0,_xll.BDP(AT$4,"YAS_BOND_YLD", "YAS_BOND_PX",hp!AT7, "SETTLE_DT", TEXT(ya!$C7,"YYYYMMDD")))</f>
        <v>0</v>
      </c>
      <c r="AU7" s="2" cm="1">
        <f t="array" ref="AU7">IF(hp!AU7=0,0,_xll.BDP(AU$4,"YAS_BOND_YLD", "YAS_BOND_PX",hp!AU7, "SETTLE_DT", TEXT(ya!$C7,"YYYYMMDD")))</f>
        <v>0</v>
      </c>
      <c r="AV7" s="2" cm="1">
        <f t="array" ref="AV7">IF(hp!AV7=0,0,_xll.BDP(AV$4,"YAS_BOND_YLD", "YAS_BOND_PX",hp!AV7, "SETTLE_DT", TEXT(ya!$C7,"YYYYMMDD")))</f>
        <v>0</v>
      </c>
      <c r="AW7" s="2" cm="1">
        <f t="array" ref="AW7">IF(hp!AW7=0,0,_xll.BDP(AW$4,"YAS_BOND_YLD", "YAS_BOND_PX",hp!AW7, "SETTLE_DT", TEXT(ya!$C7,"YYYYMMDD")))</f>
        <v>0</v>
      </c>
      <c r="AX7" s="2" cm="1">
        <f t="array" ref="AX7">IF(hp!AX7=0,0,_xll.BDP(AX$4,"YAS_BOND_YLD", "YAS_BOND_PX",hp!AX7, "SETTLE_DT", TEXT(ya!$C7,"YYYYMMDD")))</f>
        <v>0</v>
      </c>
      <c r="AY7" s="2" cm="1">
        <f t="array" ref="AY7">IF(hp!AY7=0,0,_xll.BDP(AY$4,"YAS_BOND_YLD", "YAS_BOND_PX",hp!AY7, "SETTLE_DT", TEXT(ya!$C7,"YYYYMMDD")))</f>
        <v>0</v>
      </c>
      <c r="AZ7" s="2" cm="1">
        <f t="array" ref="AZ7">IF(hp!AZ7=0,0,_xll.BDP(AZ$4,"YAS_BOND_YLD", "YAS_BOND_PX",hp!AZ7, "SETTLE_DT", TEXT(ya!$C7,"YYYYMMDD")))</f>
        <v>0</v>
      </c>
    </row>
    <row r="8" spans="1:52" x14ac:dyDescent="0.25">
      <c r="A8" s="1"/>
      <c r="B8" s="2"/>
      <c r="C8" s="1">
        <v>42153</v>
      </c>
      <c r="D8" s="2" cm="1">
        <f t="array" ref="D8">IF(hp!D8=0,0,_xll.BDP(D$4,"YAS_BOND_YLD", "YAS_BOND_PX",hp!D8, "SETTLE_DT", TEXT(ya!$C8,"YYYYMMDD")))</f>
        <v>0</v>
      </c>
      <c r="E8" s="2" cm="1">
        <f t="array" ref="E8">IF(hp!E8=0,0,_xll.BDP(E$4,"YAS_BOND_YLD", "YAS_BOND_PX",hp!E8, "SETTLE_DT", TEXT(ya!$C8,"YYYYMMDD")))</f>
        <v>0</v>
      </c>
      <c r="F8" s="2" cm="1">
        <f t="array" ref="F8">IF(hp!F8=0,0,_xll.BDP(F$4,"YAS_BOND_YLD", "YAS_BOND_PX",hp!F8, "SETTLE_DT", TEXT(ya!$C8,"YYYYMMDD")))</f>
        <v>0</v>
      </c>
      <c r="G8" s="2" cm="1">
        <f t="array" ref="G8">IF(hp!G8=0,0,_xll.BDP(G$4,"YAS_BOND_YLD", "YAS_BOND_PX",hp!G8, "SETTLE_DT", TEXT(ya!$C8,"YYYYMMDD")))</f>
        <v>6.0153999999999996</v>
      </c>
      <c r="H8" s="2" cm="1">
        <f t="array" ref="H8">IF(hp!H8=0,0,_xll.BDP(H$4,"YAS_BOND_YLD", "YAS_BOND_PX",hp!H8, "SETTLE_DT", TEXT(ya!$C8,"YYYYMMDD")))</f>
        <v>0</v>
      </c>
      <c r="I8" s="2" cm="1">
        <f t="array" ref="I8">IF(hp!I8=0,0,_xll.BDP(I$4,"YAS_BOND_YLD", "YAS_BOND_PX",hp!I8, "SETTLE_DT", TEXT(ya!$C8,"YYYYMMDD")))</f>
        <v>0</v>
      </c>
      <c r="J8" s="2" cm="1">
        <f t="array" ref="J8">IF(hp!J8=0,0,_xll.BDP(J$4,"YAS_BOND_YLD", "YAS_BOND_PX",hp!J8, "SETTLE_DT", TEXT(ya!$C8,"YYYYMMDD")))</f>
        <v>5.9288999999999996</v>
      </c>
      <c r="K8" s="2" cm="1">
        <f t="array" ref="K8">IF(hp!K8=0,0,_xll.BDP(K$4,"YAS_BOND_YLD", "YAS_BOND_PX",hp!K8, "SETTLE_DT", TEXT(ya!$C8,"YYYYMMDD")))</f>
        <v>0</v>
      </c>
      <c r="L8" s="2" cm="1">
        <f t="array" ref="L8">IF(hp!L8=0,0,_xll.BDP(L$4,"YAS_BOND_YLD", "YAS_BOND_PX",hp!L8, "SETTLE_DT", TEXT(ya!$C8,"YYYYMMDD")))</f>
        <v>6.8940000000000001</v>
      </c>
      <c r="M8" s="2" cm="1">
        <f t="array" ref="M8">IF(hp!M8=0,0,_xll.BDP(M$4,"YAS_BOND_YLD", "YAS_BOND_PX",hp!M8, "SETTLE_DT", TEXT(ya!$C8,"YYYYMMDD")))</f>
        <v>0</v>
      </c>
      <c r="N8" s="2" cm="1">
        <f t="array" ref="N8">IF(hp!N8=0,0,_xll.BDP(N$4,"YAS_BOND_YLD", "YAS_BOND_PX",hp!N8, "SETTLE_DT", TEXT(ya!$C8,"YYYYMMDD")))</f>
        <v>0</v>
      </c>
      <c r="O8" s="2" cm="1">
        <f t="array" ref="O8">IF(hp!O8=0,0,_xll.BDP(O$4,"YAS_BOND_YLD", "YAS_BOND_PX",hp!O8, "SETTLE_DT", TEXT(ya!$C8,"YYYYMMDD")))</f>
        <v>0</v>
      </c>
      <c r="P8" s="2" cm="1">
        <f t="array" ref="P8">IF(hp!P8=0,0,_xll.BDP(P$4,"YAS_BOND_YLD", "YAS_BOND_PX",hp!P8, "SETTLE_DT", TEXT(ya!$C8,"YYYYMMDD")))</f>
        <v>0</v>
      </c>
      <c r="Q8" s="2" cm="1">
        <f t="array" ref="Q8">IF(hp!Q8=0,0,_xll.BDP(Q$4,"YAS_BOND_YLD", "YAS_BOND_PX",hp!Q8, "SETTLE_DT", TEXT(ya!$C8,"YYYYMMDD")))</f>
        <v>5.9587000000000003</v>
      </c>
      <c r="R8" s="2" cm="1">
        <f t="array" ref="R8">IF(hp!R8=0,0,_xll.BDP(R$4,"YAS_BOND_YLD", "YAS_BOND_PX",hp!R8, "SETTLE_DT", TEXT(ya!$C8,"YYYYMMDD")))</f>
        <v>0</v>
      </c>
      <c r="S8" s="2" cm="1">
        <f t="array" ref="S8">IF(hp!S8=0,0,_xll.BDP(S$4,"YAS_BOND_YLD", "YAS_BOND_PX",hp!S8, "SETTLE_DT", TEXT(ya!$C8,"YYYYMMDD")))</f>
        <v>0</v>
      </c>
      <c r="T8" s="2" cm="1">
        <f t="array" ref="T8">IF(hp!T8=0,0,_xll.BDP(T$4,"YAS_BOND_YLD", "YAS_BOND_PX",hp!T8, "SETTLE_DT", TEXT(ya!$C8,"YYYYMMDD")))</f>
        <v>0</v>
      </c>
      <c r="U8" s="2" cm="1">
        <f t="array" ref="U8">IF(hp!U8=0,0,_xll.BDP(U$4,"YAS_BOND_YLD", "YAS_BOND_PX",hp!U8, "SETTLE_DT", TEXT(ya!$C8,"YYYYMMDD")))</f>
        <v>5.9739000000000004</v>
      </c>
      <c r="V8" s="2" cm="1">
        <f t="array" ref="V8">IF(hp!V8=0,0,_xll.BDP(V$4,"YAS_BOND_YLD", "YAS_BOND_PX",hp!V8, "SETTLE_DT", TEXT(ya!$C8,"YYYYMMDD")))</f>
        <v>0</v>
      </c>
      <c r="W8" s="2" cm="1">
        <f t="array" ref="W8">IF(hp!W8=0,0,_xll.BDP(W$4,"YAS_BOND_YLD", "YAS_BOND_PX",hp!W8, "SETTLE_DT", TEXT(ya!$C8,"YYYYMMDD")))</f>
        <v>0</v>
      </c>
      <c r="X8" s="2" cm="1">
        <f t="array" ref="X8">IF(hp!X8=0,0,_xll.BDP(X$4,"YAS_BOND_YLD", "YAS_BOND_PX",hp!X8, "SETTLE_DT", TEXT(ya!$C8,"YYYYMMDD")))</f>
        <v>0</v>
      </c>
      <c r="Y8" s="2" cm="1">
        <f t="array" ref="Y8">IF(hp!Y8=0,0,_xll.BDP(Y$4,"YAS_BOND_YLD", "YAS_BOND_PX",hp!Y8, "SETTLE_DT", TEXT(ya!$C8,"YYYYMMDD")))</f>
        <v>0</v>
      </c>
      <c r="Z8" s="2" cm="1">
        <f t="array" ref="Z8">IF(hp!Z8=0,0,_xll.BDP(Z$4,"YAS_BOND_YLD", "YAS_BOND_PX",hp!Z8, "SETTLE_DT", TEXT(ya!$C8,"YYYYMMDD")))</f>
        <v>0</v>
      </c>
      <c r="AA8" s="2" cm="1">
        <f t="array" ref="AA8">IF(hp!AA8=0,0,_xll.BDP(AA$4,"YAS_BOND_YLD", "YAS_BOND_PX",hp!AA8, "SETTLE_DT", TEXT(ya!$C8,"YYYYMMDD")))</f>
        <v>0</v>
      </c>
      <c r="AB8" s="2" cm="1">
        <f t="array" ref="AB8">IF(hp!AB8=0,0,_xll.BDP(AB$4,"YAS_BOND_YLD", "YAS_BOND_PX",hp!AB8, "SETTLE_DT", TEXT(ya!$C8,"YYYYMMDD")))</f>
        <v>0</v>
      </c>
      <c r="AC8" s="2" cm="1">
        <f t="array" ref="AC8">IF(hp!AC8=0,0,_xll.BDP(AC$4,"YAS_BOND_YLD", "YAS_BOND_PX",hp!AC8, "SETTLE_DT", TEXT(ya!$C8,"YYYYMMDD")))</f>
        <v>0</v>
      </c>
      <c r="AD8" s="2" cm="1">
        <f t="array" ref="AD8">IF(hp!AD8=0,0,_xll.BDP(AD$4,"YAS_BOND_YLD", "YAS_BOND_PX",hp!AD8, "SETTLE_DT", TEXT(ya!$C8,"YYYYMMDD")))</f>
        <v>5.9690000000000003</v>
      </c>
      <c r="AE8" s="2" cm="1">
        <f t="array" ref="AE8">IF(hp!AE8=0,0,_xll.BDP(AE$4,"YAS_BOND_YLD", "YAS_BOND_PX",hp!AE8, "SETTLE_DT", TEXT(ya!$C8,"YYYYMMDD")))</f>
        <v>0</v>
      </c>
      <c r="AF8" s="2" cm="1">
        <f t="array" ref="AF8">IF(hp!AF8=0,0,_xll.BDP(AF$4,"YAS_BOND_YLD", "YAS_BOND_PX",hp!AF8, "SETTLE_DT", TEXT(ya!$C8,"YYYYMMDD")))</f>
        <v>0</v>
      </c>
      <c r="AG8" s="2" cm="1">
        <f t="array" ref="AG8">IF(hp!AG8=0,0,_xll.BDP(AG$4,"YAS_BOND_YLD", "YAS_BOND_PX",hp!AG8, "SETTLE_DT", TEXT(ya!$C8,"YYYYMMDD")))</f>
        <v>0</v>
      </c>
      <c r="AH8" s="2" cm="1">
        <f t="array" ref="AH8">IF(hp!AH8=0,0,_xll.BDP(AH$4,"YAS_BOND_YLD", "YAS_BOND_PX",hp!AH8, "SETTLE_DT", TEXT(ya!$C8,"YYYYMMDD")))</f>
        <v>0</v>
      </c>
      <c r="AI8" s="2" cm="1">
        <f t="array" ref="AI8">IF(hp!AI8=0,0,_xll.BDP(AI$4,"YAS_BOND_YLD", "YAS_BOND_PX",hp!AI8, "SETTLE_DT", TEXT(ya!$C8,"YYYYMMDD")))</f>
        <v>0</v>
      </c>
      <c r="AJ8" s="2" cm="1">
        <f t="array" ref="AJ8">IF(hp!AJ8=0,0,_xll.BDP(AJ$4,"YAS_BOND_YLD", "YAS_BOND_PX",hp!AJ8, "SETTLE_DT", TEXT(ya!$C8,"YYYYMMDD")))</f>
        <v>0</v>
      </c>
      <c r="AK8" s="2" cm="1">
        <f t="array" ref="AK8">IF(hp!AK8=0,0,_xll.BDP(AK$4,"YAS_BOND_YLD", "YAS_BOND_PX",hp!AK8, "SETTLE_DT", TEXT(ya!$C8,"YYYYMMDD")))</f>
        <v>0</v>
      </c>
      <c r="AL8" s="2" cm="1">
        <f t="array" ref="AL8">IF(hp!AL8=0,0,_xll.BDP(AL$4,"YAS_BOND_YLD", "YAS_BOND_PX",hp!AL8, "SETTLE_DT", TEXT(ya!$C8,"YYYYMMDD")))</f>
        <v>0</v>
      </c>
      <c r="AM8" s="2" cm="1">
        <f t="array" ref="AM8">IF(hp!AM8=0,0,_xll.BDP(AM$4,"YAS_BOND_YLD", "YAS_BOND_PX",hp!AM8, "SETTLE_DT", TEXT(ya!$C8,"YYYYMMDD")))</f>
        <v>0</v>
      </c>
      <c r="AN8" s="2" cm="1">
        <f t="array" ref="AN8">IF(hp!AN8=0,0,_xll.BDP(AN$4,"YAS_BOND_YLD", "YAS_BOND_PX",hp!AN8, "SETTLE_DT", TEXT(ya!$C8,"YYYYMMDD")))</f>
        <v>0</v>
      </c>
      <c r="AO8" s="2" cm="1">
        <f t="array" ref="AO8">IF(hp!AO8=0,0,_xll.BDP(AO$4,"YAS_BOND_YLD", "YAS_BOND_PX",hp!AO8, "SETTLE_DT", TEXT(ya!$C8,"YYYYMMDD")))</f>
        <v>0</v>
      </c>
      <c r="AP8" s="2" cm="1">
        <f t="array" ref="AP8">IF(hp!AP8=0,0,_xll.BDP(AP$4,"YAS_BOND_YLD", "YAS_BOND_PX",hp!AP8, "SETTLE_DT", TEXT(ya!$C8,"YYYYMMDD")))</f>
        <v>0</v>
      </c>
      <c r="AQ8" s="2" cm="1">
        <f t="array" ref="AQ8">IF(hp!AQ8=0,0,_xll.BDP(AQ$4,"YAS_BOND_YLD", "YAS_BOND_PX",hp!AQ8, "SETTLE_DT", TEXT(ya!$C8,"YYYYMMDD")))</f>
        <v>0</v>
      </c>
      <c r="AR8" s="2" cm="1">
        <f t="array" ref="AR8">IF(hp!AR8=0,0,_xll.BDP(AR$4,"YAS_BOND_YLD", "YAS_BOND_PX",hp!AR8, "SETTLE_DT", TEXT(ya!$C8,"YYYYMMDD")))</f>
        <v>5.9272</v>
      </c>
      <c r="AS8" s="2" cm="1">
        <f t="array" ref="AS8">IF(hp!AS8=0,0,_xll.BDP(AS$4,"YAS_BOND_YLD", "YAS_BOND_PX",hp!AS8, "SETTLE_DT", TEXT(ya!$C8,"YYYYMMDD")))</f>
        <v>0</v>
      </c>
      <c r="AT8" s="2" cm="1">
        <f t="array" ref="AT8">IF(hp!AT8=0,0,_xll.BDP(AT$4,"YAS_BOND_YLD", "YAS_BOND_PX",hp!AT8, "SETTLE_DT", TEXT(ya!$C8,"YYYYMMDD")))</f>
        <v>0</v>
      </c>
      <c r="AU8" s="2" cm="1">
        <f t="array" ref="AU8">IF(hp!AU8=0,0,_xll.BDP(AU$4,"YAS_BOND_YLD", "YAS_BOND_PX",hp!AU8, "SETTLE_DT", TEXT(ya!$C8,"YYYYMMDD")))</f>
        <v>0</v>
      </c>
      <c r="AV8" s="2" cm="1">
        <f t="array" ref="AV8">IF(hp!AV8=0,0,_xll.BDP(AV$4,"YAS_BOND_YLD", "YAS_BOND_PX",hp!AV8, "SETTLE_DT", TEXT(ya!$C8,"YYYYMMDD")))</f>
        <v>0</v>
      </c>
      <c r="AW8" s="2" cm="1">
        <f t="array" ref="AW8">IF(hp!AW8=0,0,_xll.BDP(AW$4,"YAS_BOND_YLD", "YAS_BOND_PX",hp!AW8, "SETTLE_DT", TEXT(ya!$C8,"YYYYMMDD")))</f>
        <v>0</v>
      </c>
      <c r="AX8" s="2" cm="1">
        <f t="array" ref="AX8">IF(hp!AX8=0,0,_xll.BDP(AX$4,"YAS_BOND_YLD", "YAS_BOND_PX",hp!AX8, "SETTLE_DT", TEXT(ya!$C8,"YYYYMMDD")))</f>
        <v>0</v>
      </c>
      <c r="AY8" s="2" cm="1">
        <f t="array" ref="AY8">IF(hp!AY8=0,0,_xll.BDP(AY$4,"YAS_BOND_YLD", "YAS_BOND_PX",hp!AY8, "SETTLE_DT", TEXT(ya!$C8,"YYYYMMDD")))</f>
        <v>0</v>
      </c>
      <c r="AZ8" s="2" cm="1">
        <f t="array" ref="AZ8">IF(hp!AZ8=0,0,_xll.BDP(AZ$4,"YAS_BOND_YLD", "YAS_BOND_PX",hp!AZ8, "SETTLE_DT", TEXT(ya!$C8,"YYYYMMDD")))</f>
        <v>0</v>
      </c>
    </row>
    <row r="9" spans="1:52" x14ac:dyDescent="0.25">
      <c r="A9" s="1"/>
      <c r="B9" s="2"/>
      <c r="C9" s="1">
        <v>42185</v>
      </c>
      <c r="D9" s="2" cm="1">
        <f t="array" ref="D9">IF(hp!D9=0,0,_xll.BDP(D$4,"YAS_BOND_YLD", "YAS_BOND_PX",hp!D9, "SETTLE_DT", TEXT(ya!$C9,"YYYYMMDD")))</f>
        <v>0</v>
      </c>
      <c r="E9" s="2" cm="1">
        <f t="array" ref="E9">IF(hp!E9=0,0,_xll.BDP(E$4,"YAS_BOND_YLD", "YAS_BOND_PX",hp!E9, "SETTLE_DT", TEXT(ya!$C9,"YYYYMMDD")))</f>
        <v>0</v>
      </c>
      <c r="F9" s="2" cm="1">
        <f t="array" ref="F9">IF(hp!F9=0,0,_xll.BDP(F$4,"YAS_BOND_YLD", "YAS_BOND_PX",hp!F9, "SETTLE_DT", TEXT(ya!$C9,"YYYYMMDD")))</f>
        <v>0</v>
      </c>
      <c r="G9" s="2" cm="1">
        <f t="array" ref="G9">IF(hp!G9=0,0,_xll.BDP(G$4,"YAS_BOND_YLD", "YAS_BOND_PX",hp!G9, "SETTLE_DT", TEXT(ya!$C9,"YYYYMMDD")))</f>
        <v>6.2244999999999999</v>
      </c>
      <c r="H9" s="2" cm="1">
        <f t="array" ref="H9">IF(hp!H9=0,0,_xll.BDP(H$4,"YAS_BOND_YLD", "YAS_BOND_PX",hp!H9, "SETTLE_DT", TEXT(ya!$C9,"YYYYMMDD")))</f>
        <v>0</v>
      </c>
      <c r="I9" s="2" cm="1">
        <f t="array" ref="I9">IF(hp!I9=0,0,_xll.BDP(I$4,"YAS_BOND_YLD", "YAS_BOND_PX",hp!I9, "SETTLE_DT", TEXT(ya!$C9,"YYYYMMDD")))</f>
        <v>0</v>
      </c>
      <c r="J9" s="2" cm="1">
        <f t="array" ref="J9">IF(hp!J9=0,0,_xll.BDP(J$4,"YAS_BOND_YLD", "YAS_BOND_PX",hp!J9, "SETTLE_DT", TEXT(ya!$C9,"YYYYMMDD")))</f>
        <v>6.1256000000000004</v>
      </c>
      <c r="K9" s="2" cm="1">
        <f t="array" ref="K9">IF(hp!K9=0,0,_xll.BDP(K$4,"YAS_BOND_YLD", "YAS_BOND_PX",hp!K9, "SETTLE_DT", TEXT(ya!$C9,"YYYYMMDD")))</f>
        <v>0</v>
      </c>
      <c r="L9" s="2" cm="1">
        <f t="array" ref="L9">IF(hp!L9=0,0,_xll.BDP(L$4,"YAS_BOND_YLD", "YAS_BOND_PX",hp!L9, "SETTLE_DT", TEXT(ya!$C9,"YYYYMMDD")))</f>
        <v>6.2134999999999998</v>
      </c>
      <c r="M9" s="2" cm="1">
        <f t="array" ref="M9">IF(hp!M9=0,0,_xll.BDP(M$4,"YAS_BOND_YLD", "YAS_BOND_PX",hp!M9, "SETTLE_DT", TEXT(ya!$C9,"YYYYMMDD")))</f>
        <v>0</v>
      </c>
      <c r="N9" s="2" cm="1">
        <f t="array" ref="N9">IF(hp!N9=0,0,_xll.BDP(N$4,"YAS_BOND_YLD", "YAS_BOND_PX",hp!N9, "SETTLE_DT", TEXT(ya!$C9,"YYYYMMDD")))</f>
        <v>0</v>
      </c>
      <c r="O9" s="2" cm="1">
        <f t="array" ref="O9">IF(hp!O9=0,0,_xll.BDP(O$4,"YAS_BOND_YLD", "YAS_BOND_PX",hp!O9, "SETTLE_DT", TEXT(ya!$C9,"YYYYMMDD")))</f>
        <v>0</v>
      </c>
      <c r="P9" s="2" cm="1">
        <f t="array" ref="P9">IF(hp!P9=0,0,_xll.BDP(P$4,"YAS_BOND_YLD", "YAS_BOND_PX",hp!P9, "SETTLE_DT", TEXT(ya!$C9,"YYYYMMDD")))</f>
        <v>0</v>
      </c>
      <c r="Q9" s="2" cm="1">
        <f t="array" ref="Q9">IF(hp!Q9=0,0,_xll.BDP(Q$4,"YAS_BOND_YLD", "YAS_BOND_PX",hp!Q9, "SETTLE_DT", TEXT(ya!$C9,"YYYYMMDD")))</f>
        <v>6.1954000000000002</v>
      </c>
      <c r="R9" s="2" cm="1">
        <f t="array" ref="R9">IF(hp!R9=0,0,_xll.BDP(R$4,"YAS_BOND_YLD", "YAS_BOND_PX",hp!R9, "SETTLE_DT", TEXT(ya!$C9,"YYYYMMDD")))</f>
        <v>0</v>
      </c>
      <c r="S9" s="2" cm="1">
        <f t="array" ref="S9">IF(hp!S9=0,0,_xll.BDP(S$4,"YAS_BOND_YLD", "YAS_BOND_PX",hp!S9, "SETTLE_DT", TEXT(ya!$C9,"YYYYMMDD")))</f>
        <v>0</v>
      </c>
      <c r="T9" s="2" cm="1">
        <f t="array" ref="T9">IF(hp!T9=0,0,_xll.BDP(T$4,"YAS_BOND_YLD", "YAS_BOND_PX",hp!T9, "SETTLE_DT", TEXT(ya!$C9,"YYYYMMDD")))</f>
        <v>0</v>
      </c>
      <c r="U9" s="2" cm="1">
        <f t="array" ref="U9">IF(hp!U9=0,0,_xll.BDP(U$4,"YAS_BOND_YLD", "YAS_BOND_PX",hp!U9, "SETTLE_DT", TEXT(ya!$C9,"YYYYMMDD")))</f>
        <v>6.165</v>
      </c>
      <c r="V9" s="2" cm="1">
        <f t="array" ref="V9">IF(hp!V9=0,0,_xll.BDP(V$4,"YAS_BOND_YLD", "YAS_BOND_PX",hp!V9, "SETTLE_DT", TEXT(ya!$C9,"YYYYMMDD")))</f>
        <v>0</v>
      </c>
      <c r="W9" s="2" cm="1">
        <f t="array" ref="W9">IF(hp!W9=0,0,_xll.BDP(W$4,"YAS_BOND_YLD", "YAS_BOND_PX",hp!W9, "SETTLE_DT", TEXT(ya!$C9,"YYYYMMDD")))</f>
        <v>0</v>
      </c>
      <c r="X9" s="2" cm="1">
        <f t="array" ref="X9">IF(hp!X9=0,0,_xll.BDP(X$4,"YAS_BOND_YLD", "YAS_BOND_PX",hp!X9, "SETTLE_DT", TEXT(ya!$C9,"YYYYMMDD")))</f>
        <v>0</v>
      </c>
      <c r="Y9" s="2" cm="1">
        <f t="array" ref="Y9">IF(hp!Y9=0,0,_xll.BDP(Y$4,"YAS_BOND_YLD", "YAS_BOND_PX",hp!Y9, "SETTLE_DT", TEXT(ya!$C9,"YYYYMMDD")))</f>
        <v>0</v>
      </c>
      <c r="Z9" s="2" cm="1">
        <f t="array" ref="Z9">IF(hp!Z9=0,0,_xll.BDP(Z$4,"YAS_BOND_YLD", "YAS_BOND_PX",hp!Z9, "SETTLE_DT", TEXT(ya!$C9,"YYYYMMDD")))</f>
        <v>0</v>
      </c>
      <c r="AA9" s="2" cm="1">
        <f t="array" ref="AA9">IF(hp!AA9=0,0,_xll.BDP(AA$4,"YAS_BOND_YLD", "YAS_BOND_PX",hp!AA9, "SETTLE_DT", TEXT(ya!$C9,"YYYYMMDD")))</f>
        <v>0</v>
      </c>
      <c r="AB9" s="2" cm="1">
        <f t="array" ref="AB9">IF(hp!AB9=0,0,_xll.BDP(AB$4,"YAS_BOND_YLD", "YAS_BOND_PX",hp!AB9, "SETTLE_DT", TEXT(ya!$C9,"YYYYMMDD")))</f>
        <v>0</v>
      </c>
      <c r="AC9" s="2" cm="1">
        <f t="array" ref="AC9">IF(hp!AC9=0,0,_xll.BDP(AC$4,"YAS_BOND_YLD", "YAS_BOND_PX",hp!AC9, "SETTLE_DT", TEXT(ya!$C9,"YYYYMMDD")))</f>
        <v>0</v>
      </c>
      <c r="AD9" s="2" cm="1">
        <f t="array" ref="AD9">IF(hp!AD9=0,0,_xll.BDP(AD$4,"YAS_BOND_YLD", "YAS_BOND_PX",hp!AD9, "SETTLE_DT", TEXT(ya!$C9,"YYYYMMDD")))</f>
        <v>6.1458000000000004</v>
      </c>
      <c r="AE9" s="2" cm="1">
        <f t="array" ref="AE9">IF(hp!AE9=0,0,_xll.BDP(AE$4,"YAS_BOND_YLD", "YAS_BOND_PX",hp!AE9, "SETTLE_DT", TEXT(ya!$C9,"YYYYMMDD")))</f>
        <v>0</v>
      </c>
      <c r="AF9" s="2" cm="1">
        <f t="array" ref="AF9">IF(hp!AF9=0,0,_xll.BDP(AF$4,"YAS_BOND_YLD", "YAS_BOND_PX",hp!AF9, "SETTLE_DT", TEXT(ya!$C9,"YYYYMMDD")))</f>
        <v>0</v>
      </c>
      <c r="AG9" s="2" cm="1">
        <f t="array" ref="AG9">IF(hp!AG9=0,0,_xll.BDP(AG$4,"YAS_BOND_YLD", "YAS_BOND_PX",hp!AG9, "SETTLE_DT", TEXT(ya!$C9,"YYYYMMDD")))</f>
        <v>0</v>
      </c>
      <c r="AH9" s="2" cm="1">
        <f t="array" ref="AH9">IF(hp!AH9=0,0,_xll.BDP(AH$4,"YAS_BOND_YLD", "YAS_BOND_PX",hp!AH9, "SETTLE_DT", TEXT(ya!$C9,"YYYYMMDD")))</f>
        <v>0</v>
      </c>
      <c r="AI9" s="2" cm="1">
        <f t="array" ref="AI9">IF(hp!AI9=0,0,_xll.BDP(AI$4,"YAS_BOND_YLD", "YAS_BOND_PX",hp!AI9, "SETTLE_DT", TEXT(ya!$C9,"YYYYMMDD")))</f>
        <v>0</v>
      </c>
      <c r="AJ9" s="2" cm="1">
        <f t="array" ref="AJ9">IF(hp!AJ9=0,0,_xll.BDP(AJ$4,"YAS_BOND_YLD", "YAS_BOND_PX",hp!AJ9, "SETTLE_DT", TEXT(ya!$C9,"YYYYMMDD")))</f>
        <v>0</v>
      </c>
      <c r="AK9" s="2" cm="1">
        <f t="array" ref="AK9">IF(hp!AK9=0,0,_xll.BDP(AK$4,"YAS_BOND_YLD", "YAS_BOND_PX",hp!AK9, "SETTLE_DT", TEXT(ya!$C9,"YYYYMMDD")))</f>
        <v>0</v>
      </c>
      <c r="AL9" s="2" cm="1">
        <f t="array" ref="AL9">IF(hp!AL9=0,0,_xll.BDP(AL$4,"YAS_BOND_YLD", "YAS_BOND_PX",hp!AL9, "SETTLE_DT", TEXT(ya!$C9,"YYYYMMDD")))</f>
        <v>0</v>
      </c>
      <c r="AM9" s="2" cm="1">
        <f t="array" ref="AM9">IF(hp!AM9=0,0,_xll.BDP(AM$4,"YAS_BOND_YLD", "YAS_BOND_PX",hp!AM9, "SETTLE_DT", TEXT(ya!$C9,"YYYYMMDD")))</f>
        <v>0</v>
      </c>
      <c r="AN9" s="2" cm="1">
        <f t="array" ref="AN9">IF(hp!AN9=0,0,_xll.BDP(AN$4,"YAS_BOND_YLD", "YAS_BOND_PX",hp!AN9, "SETTLE_DT", TEXT(ya!$C9,"YYYYMMDD")))</f>
        <v>0</v>
      </c>
      <c r="AO9" s="2" cm="1">
        <f t="array" ref="AO9">IF(hp!AO9=0,0,_xll.BDP(AO$4,"YAS_BOND_YLD", "YAS_BOND_PX",hp!AO9, "SETTLE_DT", TEXT(ya!$C9,"YYYYMMDD")))</f>
        <v>0</v>
      </c>
      <c r="AP9" s="2" cm="1">
        <f t="array" ref="AP9">IF(hp!AP9=0,0,_xll.BDP(AP$4,"YAS_BOND_YLD", "YAS_BOND_PX",hp!AP9, "SETTLE_DT", TEXT(ya!$C9,"YYYYMMDD")))</f>
        <v>0</v>
      </c>
      <c r="AQ9" s="2" cm="1">
        <f t="array" ref="AQ9">IF(hp!AQ9=0,0,_xll.BDP(AQ$4,"YAS_BOND_YLD", "YAS_BOND_PX",hp!AQ9, "SETTLE_DT", TEXT(ya!$C9,"YYYYMMDD")))</f>
        <v>0</v>
      </c>
      <c r="AR9" s="2" cm="1">
        <f t="array" ref="AR9">IF(hp!AR9=0,0,_xll.BDP(AR$4,"YAS_BOND_YLD", "YAS_BOND_PX",hp!AR9, "SETTLE_DT", TEXT(ya!$C9,"YYYYMMDD")))</f>
        <v>6.7432999999999996</v>
      </c>
      <c r="AS9" s="2" cm="1">
        <f t="array" ref="AS9">IF(hp!AS9=0,0,_xll.BDP(AS$4,"YAS_BOND_YLD", "YAS_BOND_PX",hp!AS9, "SETTLE_DT", TEXT(ya!$C9,"YYYYMMDD")))</f>
        <v>0</v>
      </c>
      <c r="AT9" s="2" cm="1">
        <f t="array" ref="AT9">IF(hp!AT9=0,0,_xll.BDP(AT$4,"YAS_BOND_YLD", "YAS_BOND_PX",hp!AT9, "SETTLE_DT", TEXT(ya!$C9,"YYYYMMDD")))</f>
        <v>0</v>
      </c>
      <c r="AU9" s="2" cm="1">
        <f t="array" ref="AU9">IF(hp!AU9=0,0,_xll.BDP(AU$4,"YAS_BOND_YLD", "YAS_BOND_PX",hp!AU9, "SETTLE_DT", TEXT(ya!$C9,"YYYYMMDD")))</f>
        <v>0</v>
      </c>
      <c r="AV9" s="2" cm="1">
        <f t="array" ref="AV9">IF(hp!AV9=0,0,_xll.BDP(AV$4,"YAS_BOND_YLD", "YAS_BOND_PX",hp!AV9, "SETTLE_DT", TEXT(ya!$C9,"YYYYMMDD")))</f>
        <v>0</v>
      </c>
      <c r="AW9" s="2" cm="1">
        <f t="array" ref="AW9">IF(hp!AW9=0,0,_xll.BDP(AW$4,"YAS_BOND_YLD", "YAS_BOND_PX",hp!AW9, "SETTLE_DT", TEXT(ya!$C9,"YYYYMMDD")))</f>
        <v>0</v>
      </c>
      <c r="AX9" s="2" cm="1">
        <f t="array" ref="AX9">IF(hp!AX9=0,0,_xll.BDP(AX$4,"YAS_BOND_YLD", "YAS_BOND_PX",hp!AX9, "SETTLE_DT", TEXT(ya!$C9,"YYYYMMDD")))</f>
        <v>0</v>
      </c>
      <c r="AY9" s="2" cm="1">
        <f t="array" ref="AY9">IF(hp!AY9=0,0,_xll.BDP(AY$4,"YAS_BOND_YLD", "YAS_BOND_PX",hp!AY9, "SETTLE_DT", TEXT(ya!$C9,"YYYYMMDD")))</f>
        <v>0</v>
      </c>
      <c r="AZ9" s="2" cm="1">
        <f t="array" ref="AZ9">IF(hp!AZ9=0,0,_xll.BDP(AZ$4,"YAS_BOND_YLD", "YAS_BOND_PX",hp!AZ9, "SETTLE_DT", TEXT(ya!$C9,"YYYYMMDD")))</f>
        <v>0</v>
      </c>
    </row>
    <row r="10" spans="1:52" x14ac:dyDescent="0.25">
      <c r="A10" s="1"/>
      <c r="B10" s="2"/>
      <c r="C10" s="1">
        <v>42216</v>
      </c>
      <c r="D10" s="2" cm="1">
        <f t="array" ref="D10">IF(hp!D10=0,0,_xll.BDP(D$4,"YAS_BOND_YLD", "YAS_BOND_PX",hp!D10, "SETTLE_DT", TEXT(ya!$C10,"YYYYMMDD")))</f>
        <v>0</v>
      </c>
      <c r="E10" s="2" cm="1">
        <f t="array" ref="E10">IF(hp!E10=0,0,_xll.BDP(E$4,"YAS_BOND_YLD", "YAS_BOND_PX",hp!E10, "SETTLE_DT", TEXT(ya!$C10,"YYYYMMDD")))</f>
        <v>0</v>
      </c>
      <c r="F10" s="2" cm="1">
        <f t="array" ref="F10">IF(hp!F10=0,0,_xll.BDP(F$4,"YAS_BOND_YLD", "YAS_BOND_PX",hp!F10, "SETTLE_DT", TEXT(ya!$C10,"YYYYMMDD")))</f>
        <v>0</v>
      </c>
      <c r="G10" s="2" cm="1">
        <f t="array" ref="G10">IF(hp!G10=0,0,_xll.BDP(G$4,"YAS_BOND_YLD", "YAS_BOND_PX",hp!G10, "SETTLE_DT", TEXT(ya!$C10,"YYYYMMDD")))</f>
        <v>6.6151999999999997</v>
      </c>
      <c r="H10" s="2" cm="1">
        <f t="array" ref="H10">IF(hp!H10=0,0,_xll.BDP(H$4,"YAS_BOND_YLD", "YAS_BOND_PX",hp!H10, "SETTLE_DT", TEXT(ya!$C10,"YYYYMMDD")))</f>
        <v>0</v>
      </c>
      <c r="I10" s="2" cm="1">
        <f t="array" ref="I10">IF(hp!I10=0,0,_xll.BDP(I$4,"YAS_BOND_YLD", "YAS_BOND_PX",hp!I10, "SETTLE_DT", TEXT(ya!$C10,"YYYYMMDD")))</f>
        <v>0</v>
      </c>
      <c r="J10" s="2" cm="1">
        <f t="array" ref="J10">IF(hp!J10=0,0,_xll.BDP(J$4,"YAS_BOND_YLD", "YAS_BOND_PX",hp!J10, "SETTLE_DT", TEXT(ya!$C10,"YYYYMMDD")))</f>
        <v>6.5260999999999996</v>
      </c>
      <c r="K10" s="2" cm="1">
        <f t="array" ref="K10">IF(hp!K10=0,0,_xll.BDP(K$4,"YAS_BOND_YLD", "YAS_BOND_PX",hp!K10, "SETTLE_DT", TEXT(ya!$C10,"YYYYMMDD")))</f>
        <v>0</v>
      </c>
      <c r="L10" s="2" cm="1">
        <f t="array" ref="L10">IF(hp!L10=0,0,_xll.BDP(L$4,"YAS_BOND_YLD", "YAS_BOND_PX",hp!L10, "SETTLE_DT", TEXT(ya!$C10,"YYYYMMDD")))</f>
        <v>6.5943000000000005</v>
      </c>
      <c r="M10" s="2" cm="1">
        <f t="array" ref="M10">IF(hp!M10=0,0,_xll.BDP(M$4,"YAS_BOND_YLD", "YAS_BOND_PX",hp!M10, "SETTLE_DT", TEXT(ya!$C10,"YYYYMMDD")))</f>
        <v>0</v>
      </c>
      <c r="N10" s="2" cm="1">
        <f t="array" ref="N10">IF(hp!N10=0,0,_xll.BDP(N$4,"YAS_BOND_YLD", "YAS_BOND_PX",hp!N10, "SETTLE_DT", TEXT(ya!$C10,"YYYYMMDD")))</f>
        <v>0</v>
      </c>
      <c r="O10" s="2" cm="1">
        <f t="array" ref="O10">IF(hp!O10=0,0,_xll.BDP(O$4,"YAS_BOND_YLD", "YAS_BOND_PX",hp!O10, "SETTLE_DT", TEXT(ya!$C10,"YYYYMMDD")))</f>
        <v>0</v>
      </c>
      <c r="P10" s="2" cm="1">
        <f t="array" ref="P10">IF(hp!P10=0,0,_xll.BDP(P$4,"YAS_BOND_YLD", "YAS_BOND_PX",hp!P10, "SETTLE_DT", TEXT(ya!$C10,"YYYYMMDD")))</f>
        <v>0</v>
      </c>
      <c r="Q10" s="2" cm="1">
        <f t="array" ref="Q10">IF(hp!Q10=0,0,_xll.BDP(Q$4,"YAS_BOND_YLD", "YAS_BOND_PX",hp!Q10, "SETTLE_DT", TEXT(ya!$C10,"YYYYMMDD")))</f>
        <v>6.5458999999999996</v>
      </c>
      <c r="R10" s="2" cm="1">
        <f t="array" ref="R10">IF(hp!R10=0,0,_xll.BDP(R$4,"YAS_BOND_YLD", "YAS_BOND_PX",hp!R10, "SETTLE_DT", TEXT(ya!$C10,"YYYYMMDD")))</f>
        <v>0</v>
      </c>
      <c r="S10" s="2" cm="1">
        <f t="array" ref="S10">IF(hp!S10=0,0,_xll.BDP(S$4,"YAS_BOND_YLD", "YAS_BOND_PX",hp!S10, "SETTLE_DT", TEXT(ya!$C10,"YYYYMMDD")))</f>
        <v>0</v>
      </c>
      <c r="T10" s="2" cm="1">
        <f t="array" ref="T10">IF(hp!T10=0,0,_xll.BDP(T$4,"YAS_BOND_YLD", "YAS_BOND_PX",hp!T10, "SETTLE_DT", TEXT(ya!$C10,"YYYYMMDD")))</f>
        <v>0</v>
      </c>
      <c r="U10" s="2" cm="1">
        <f t="array" ref="U10">IF(hp!U10=0,0,_xll.BDP(U$4,"YAS_BOND_YLD", "YAS_BOND_PX",hp!U10, "SETTLE_DT", TEXT(ya!$C10,"YYYYMMDD")))</f>
        <v>6.5130999999999997</v>
      </c>
      <c r="V10" s="2" cm="1">
        <f t="array" ref="V10">IF(hp!V10=0,0,_xll.BDP(V$4,"YAS_BOND_YLD", "YAS_BOND_PX",hp!V10, "SETTLE_DT", TEXT(ya!$C10,"YYYYMMDD")))</f>
        <v>0</v>
      </c>
      <c r="W10" s="2" cm="1">
        <f t="array" ref="W10">IF(hp!W10=0,0,_xll.BDP(W$4,"YAS_BOND_YLD", "YAS_BOND_PX",hp!W10, "SETTLE_DT", TEXT(ya!$C10,"YYYYMMDD")))</f>
        <v>0</v>
      </c>
      <c r="X10" s="2" cm="1">
        <f t="array" ref="X10">IF(hp!X10=0,0,_xll.BDP(X$4,"YAS_BOND_YLD", "YAS_BOND_PX",hp!X10, "SETTLE_DT", TEXT(ya!$C10,"YYYYMMDD")))</f>
        <v>0</v>
      </c>
      <c r="Y10" s="2" cm="1">
        <f t="array" ref="Y10">IF(hp!Y10=0,0,_xll.BDP(Y$4,"YAS_BOND_YLD", "YAS_BOND_PX",hp!Y10, "SETTLE_DT", TEXT(ya!$C10,"YYYYMMDD")))</f>
        <v>0</v>
      </c>
      <c r="Z10" s="2" cm="1">
        <f t="array" ref="Z10">IF(hp!Z10=0,0,_xll.BDP(Z$4,"YAS_BOND_YLD", "YAS_BOND_PX",hp!Z10, "SETTLE_DT", TEXT(ya!$C10,"YYYYMMDD")))</f>
        <v>0</v>
      </c>
      <c r="AA10" s="2" cm="1">
        <f t="array" ref="AA10">IF(hp!AA10=0,0,_xll.BDP(AA$4,"YAS_BOND_YLD", "YAS_BOND_PX",hp!AA10, "SETTLE_DT", TEXT(ya!$C10,"YYYYMMDD")))</f>
        <v>0</v>
      </c>
      <c r="AB10" s="2" cm="1">
        <f t="array" ref="AB10">IF(hp!AB10=0,0,_xll.BDP(AB$4,"YAS_BOND_YLD", "YAS_BOND_PX",hp!AB10, "SETTLE_DT", TEXT(ya!$C10,"YYYYMMDD")))</f>
        <v>0</v>
      </c>
      <c r="AC10" s="2" cm="1">
        <f t="array" ref="AC10">IF(hp!AC10=0,0,_xll.BDP(AC$4,"YAS_BOND_YLD", "YAS_BOND_PX",hp!AC10, "SETTLE_DT", TEXT(ya!$C10,"YYYYMMDD")))</f>
        <v>0</v>
      </c>
      <c r="AD10" s="2" cm="1">
        <f t="array" ref="AD10">IF(hp!AD10=0,0,_xll.BDP(AD$4,"YAS_BOND_YLD", "YAS_BOND_PX",hp!AD10, "SETTLE_DT", TEXT(ya!$C10,"YYYYMMDD")))</f>
        <v>6.5362</v>
      </c>
      <c r="AE10" s="2" cm="1">
        <f t="array" ref="AE10">IF(hp!AE10=0,0,_xll.BDP(AE$4,"YAS_BOND_YLD", "YAS_BOND_PX",hp!AE10, "SETTLE_DT", TEXT(ya!$C10,"YYYYMMDD")))</f>
        <v>0</v>
      </c>
      <c r="AF10" s="2" cm="1">
        <f t="array" ref="AF10">IF(hp!AF10=0,0,_xll.BDP(AF$4,"YAS_BOND_YLD", "YAS_BOND_PX",hp!AF10, "SETTLE_DT", TEXT(ya!$C10,"YYYYMMDD")))</f>
        <v>0</v>
      </c>
      <c r="AG10" s="2" cm="1">
        <f t="array" ref="AG10">IF(hp!AG10=0,0,_xll.BDP(AG$4,"YAS_BOND_YLD", "YAS_BOND_PX",hp!AG10, "SETTLE_DT", TEXT(ya!$C10,"YYYYMMDD")))</f>
        <v>0</v>
      </c>
      <c r="AH10" s="2" cm="1">
        <f t="array" ref="AH10">IF(hp!AH10=0,0,_xll.BDP(AH$4,"YAS_BOND_YLD", "YAS_BOND_PX",hp!AH10, "SETTLE_DT", TEXT(ya!$C10,"YYYYMMDD")))</f>
        <v>0</v>
      </c>
      <c r="AI10" s="2" cm="1">
        <f t="array" ref="AI10">IF(hp!AI10=0,0,_xll.BDP(AI$4,"YAS_BOND_YLD", "YAS_BOND_PX",hp!AI10, "SETTLE_DT", TEXT(ya!$C10,"YYYYMMDD")))</f>
        <v>0</v>
      </c>
      <c r="AJ10" s="2" cm="1">
        <f t="array" ref="AJ10">IF(hp!AJ10=0,0,_xll.BDP(AJ$4,"YAS_BOND_YLD", "YAS_BOND_PX",hp!AJ10, "SETTLE_DT", TEXT(ya!$C10,"YYYYMMDD")))</f>
        <v>0</v>
      </c>
      <c r="AK10" s="2" cm="1">
        <f t="array" ref="AK10">IF(hp!AK10=0,0,_xll.BDP(AK$4,"YAS_BOND_YLD", "YAS_BOND_PX",hp!AK10, "SETTLE_DT", TEXT(ya!$C10,"YYYYMMDD")))</f>
        <v>0</v>
      </c>
      <c r="AL10" s="2" cm="1">
        <f t="array" ref="AL10">IF(hp!AL10=0,0,_xll.BDP(AL$4,"YAS_BOND_YLD", "YAS_BOND_PX",hp!AL10, "SETTLE_DT", TEXT(ya!$C10,"YYYYMMDD")))</f>
        <v>0</v>
      </c>
      <c r="AM10" s="2" cm="1">
        <f t="array" ref="AM10">IF(hp!AM10=0,0,_xll.BDP(AM$4,"YAS_BOND_YLD", "YAS_BOND_PX",hp!AM10, "SETTLE_DT", TEXT(ya!$C10,"YYYYMMDD")))</f>
        <v>0</v>
      </c>
      <c r="AN10" s="2" cm="1">
        <f t="array" ref="AN10">IF(hp!AN10=0,0,_xll.BDP(AN$4,"YAS_BOND_YLD", "YAS_BOND_PX",hp!AN10, "SETTLE_DT", TEXT(ya!$C10,"YYYYMMDD")))</f>
        <v>0</v>
      </c>
      <c r="AO10" s="2" cm="1">
        <f t="array" ref="AO10">IF(hp!AO10=0,0,_xll.BDP(AO$4,"YAS_BOND_YLD", "YAS_BOND_PX",hp!AO10, "SETTLE_DT", TEXT(ya!$C10,"YYYYMMDD")))</f>
        <v>0</v>
      </c>
      <c r="AP10" s="2" cm="1">
        <f t="array" ref="AP10">IF(hp!AP10=0,0,_xll.BDP(AP$4,"YAS_BOND_YLD", "YAS_BOND_PX",hp!AP10, "SETTLE_DT", TEXT(ya!$C10,"YYYYMMDD")))</f>
        <v>0</v>
      </c>
      <c r="AQ10" s="2" cm="1">
        <f t="array" ref="AQ10">IF(hp!AQ10=0,0,_xll.BDP(AQ$4,"YAS_BOND_YLD", "YAS_BOND_PX",hp!AQ10, "SETTLE_DT", TEXT(ya!$C10,"YYYYMMDD")))</f>
        <v>0</v>
      </c>
      <c r="AR10" s="2" cm="1">
        <f t="array" ref="AR10">IF(hp!AR10=0,0,_xll.BDP(AR$4,"YAS_BOND_YLD", "YAS_BOND_PX",hp!AR10, "SETTLE_DT", TEXT(ya!$C10,"YYYYMMDD")))</f>
        <v>6.4492000000000003</v>
      </c>
      <c r="AS10" s="2" cm="1">
        <f t="array" ref="AS10">IF(hp!AS10=0,0,_xll.BDP(AS$4,"YAS_BOND_YLD", "YAS_BOND_PX",hp!AS10, "SETTLE_DT", TEXT(ya!$C10,"YYYYMMDD")))</f>
        <v>0</v>
      </c>
      <c r="AT10" s="2" cm="1">
        <f t="array" ref="AT10">IF(hp!AT10=0,0,_xll.BDP(AT$4,"YAS_BOND_YLD", "YAS_BOND_PX",hp!AT10, "SETTLE_DT", TEXT(ya!$C10,"YYYYMMDD")))</f>
        <v>0</v>
      </c>
      <c r="AU10" s="2" cm="1">
        <f t="array" ref="AU10">IF(hp!AU10=0,0,_xll.BDP(AU$4,"YAS_BOND_YLD", "YAS_BOND_PX",hp!AU10, "SETTLE_DT", TEXT(ya!$C10,"YYYYMMDD")))</f>
        <v>0</v>
      </c>
      <c r="AV10" s="2" cm="1">
        <f t="array" ref="AV10">IF(hp!AV10=0,0,_xll.BDP(AV$4,"YAS_BOND_YLD", "YAS_BOND_PX",hp!AV10, "SETTLE_DT", TEXT(ya!$C10,"YYYYMMDD")))</f>
        <v>0</v>
      </c>
      <c r="AW10" s="2" cm="1">
        <f t="array" ref="AW10">IF(hp!AW10=0,0,_xll.BDP(AW$4,"YAS_BOND_YLD", "YAS_BOND_PX",hp!AW10, "SETTLE_DT", TEXT(ya!$C10,"YYYYMMDD")))</f>
        <v>0</v>
      </c>
      <c r="AX10" s="2" cm="1">
        <f t="array" ref="AX10">IF(hp!AX10=0,0,_xll.BDP(AX$4,"YAS_BOND_YLD", "YAS_BOND_PX",hp!AX10, "SETTLE_DT", TEXT(ya!$C10,"YYYYMMDD")))</f>
        <v>0</v>
      </c>
      <c r="AY10" s="2" cm="1">
        <f t="array" ref="AY10">IF(hp!AY10=0,0,_xll.BDP(AY$4,"YAS_BOND_YLD", "YAS_BOND_PX",hp!AY10, "SETTLE_DT", TEXT(ya!$C10,"YYYYMMDD")))</f>
        <v>0</v>
      </c>
      <c r="AZ10" s="2" cm="1">
        <f t="array" ref="AZ10">IF(hp!AZ10=0,0,_xll.BDP(AZ$4,"YAS_BOND_YLD", "YAS_BOND_PX",hp!AZ10, "SETTLE_DT", TEXT(ya!$C10,"YYYYMMDD")))</f>
        <v>0</v>
      </c>
    </row>
    <row r="11" spans="1:52" x14ac:dyDescent="0.25">
      <c r="A11" s="1"/>
      <c r="B11" s="2"/>
      <c r="C11" s="1">
        <v>42247</v>
      </c>
      <c r="D11" s="2" cm="1">
        <f t="array" ref="D11">IF(hp!D11=0,0,_xll.BDP(D$4,"YAS_BOND_YLD", "YAS_BOND_PX",hp!D11, "SETTLE_DT", TEXT(ya!$C11,"YYYYMMDD")))</f>
        <v>0</v>
      </c>
      <c r="E11" s="2" cm="1">
        <f t="array" ref="E11">IF(hp!E11=0,0,_xll.BDP(E$4,"YAS_BOND_YLD", "YAS_BOND_PX",hp!E11, "SETTLE_DT", TEXT(ya!$C11,"YYYYMMDD")))</f>
        <v>0</v>
      </c>
      <c r="F11" s="2" cm="1">
        <f t="array" ref="F11">IF(hp!F11=0,0,_xll.BDP(F$4,"YAS_BOND_YLD", "YAS_BOND_PX",hp!F11, "SETTLE_DT", TEXT(ya!$C11,"YYYYMMDD")))</f>
        <v>0</v>
      </c>
      <c r="G11" s="2" cm="1">
        <f t="array" ref="G11">IF(hp!G11=0,0,_xll.BDP(G$4,"YAS_BOND_YLD", "YAS_BOND_PX",hp!G11, "SETTLE_DT", TEXT(ya!$C11,"YYYYMMDD")))</f>
        <v>7.2461000000000002</v>
      </c>
      <c r="H11" s="2" cm="1">
        <f t="array" ref="H11">IF(hp!H11=0,0,_xll.BDP(H$4,"YAS_BOND_YLD", "YAS_BOND_PX",hp!H11, "SETTLE_DT", TEXT(ya!$C11,"YYYYMMDD")))</f>
        <v>0</v>
      </c>
      <c r="I11" s="2" cm="1">
        <f t="array" ref="I11">IF(hp!I11=0,0,_xll.BDP(I$4,"YAS_BOND_YLD", "YAS_BOND_PX",hp!I11, "SETTLE_DT", TEXT(ya!$C11,"YYYYMMDD")))</f>
        <v>0</v>
      </c>
      <c r="J11" s="2" cm="1">
        <f t="array" ref="J11">IF(hp!J11=0,0,_xll.BDP(J$4,"YAS_BOND_YLD", "YAS_BOND_PX",hp!J11, "SETTLE_DT", TEXT(ya!$C11,"YYYYMMDD")))</f>
        <v>7.1119000000000003</v>
      </c>
      <c r="K11" s="2" cm="1">
        <f t="array" ref="K11">IF(hp!K11=0,0,_xll.BDP(K$4,"YAS_BOND_YLD", "YAS_BOND_PX",hp!K11, "SETTLE_DT", TEXT(ya!$C11,"YYYYMMDD")))</f>
        <v>0</v>
      </c>
      <c r="L11" s="2" cm="1">
        <f t="array" ref="L11">IF(hp!L11=0,0,_xll.BDP(L$4,"YAS_BOND_YLD", "YAS_BOND_PX",hp!L11, "SETTLE_DT", TEXT(ya!$C11,"YYYYMMDD")))</f>
        <v>7.2256</v>
      </c>
      <c r="M11" s="2" cm="1">
        <f t="array" ref="M11">IF(hp!M11=0,0,_xll.BDP(M$4,"YAS_BOND_YLD", "YAS_BOND_PX",hp!M11, "SETTLE_DT", TEXT(ya!$C11,"YYYYMMDD")))</f>
        <v>0</v>
      </c>
      <c r="N11" s="2" cm="1">
        <f t="array" ref="N11">IF(hp!N11=0,0,_xll.BDP(N$4,"YAS_BOND_YLD", "YAS_BOND_PX",hp!N11, "SETTLE_DT", TEXT(ya!$C11,"YYYYMMDD")))</f>
        <v>0</v>
      </c>
      <c r="O11" s="2" cm="1">
        <f t="array" ref="O11">IF(hp!O11=0,0,_xll.BDP(O$4,"YAS_BOND_YLD", "YAS_BOND_PX",hp!O11, "SETTLE_DT", TEXT(ya!$C11,"YYYYMMDD")))</f>
        <v>0</v>
      </c>
      <c r="P11" s="2" cm="1">
        <f t="array" ref="P11">IF(hp!P11=0,0,_xll.BDP(P$4,"YAS_BOND_YLD", "YAS_BOND_PX",hp!P11, "SETTLE_DT", TEXT(ya!$C11,"YYYYMMDD")))</f>
        <v>0</v>
      </c>
      <c r="Q11" s="2" cm="1">
        <f t="array" ref="Q11">IF(hp!Q11=0,0,_xll.BDP(Q$4,"YAS_BOND_YLD", "YAS_BOND_PX",hp!Q11, "SETTLE_DT", TEXT(ya!$C11,"YYYYMMDD")))</f>
        <v>7.1467000000000001</v>
      </c>
      <c r="R11" s="2" cm="1">
        <f t="array" ref="R11">IF(hp!R11=0,0,_xll.BDP(R$4,"YAS_BOND_YLD", "YAS_BOND_PX",hp!R11, "SETTLE_DT", TEXT(ya!$C11,"YYYYMMDD")))</f>
        <v>0</v>
      </c>
      <c r="S11" s="2" cm="1">
        <f t="array" ref="S11">IF(hp!S11=0,0,_xll.BDP(S$4,"YAS_BOND_YLD", "YAS_BOND_PX",hp!S11, "SETTLE_DT", TEXT(ya!$C11,"YYYYMMDD")))</f>
        <v>0</v>
      </c>
      <c r="T11" s="2" cm="1">
        <f t="array" ref="T11">IF(hp!T11=0,0,_xll.BDP(T$4,"YAS_BOND_YLD", "YAS_BOND_PX",hp!T11, "SETTLE_DT", TEXT(ya!$C11,"YYYYMMDD")))</f>
        <v>0</v>
      </c>
      <c r="U11" s="2" cm="1">
        <f t="array" ref="U11">IF(hp!U11=0,0,_xll.BDP(U$4,"YAS_BOND_YLD", "YAS_BOND_PX",hp!U11, "SETTLE_DT", TEXT(ya!$C11,"YYYYMMDD")))</f>
        <v>7.1231999999999998</v>
      </c>
      <c r="V11" s="2" cm="1">
        <f t="array" ref="V11">IF(hp!V11=0,0,_xll.BDP(V$4,"YAS_BOND_YLD", "YAS_BOND_PX",hp!V11, "SETTLE_DT", TEXT(ya!$C11,"YYYYMMDD")))</f>
        <v>0</v>
      </c>
      <c r="W11" s="2" cm="1">
        <f t="array" ref="W11">IF(hp!W11=0,0,_xll.BDP(W$4,"YAS_BOND_YLD", "YAS_BOND_PX",hp!W11, "SETTLE_DT", TEXT(ya!$C11,"YYYYMMDD")))</f>
        <v>0</v>
      </c>
      <c r="X11" s="2" cm="1">
        <f t="array" ref="X11">IF(hp!X11=0,0,_xll.BDP(X$4,"YAS_BOND_YLD", "YAS_BOND_PX",hp!X11, "SETTLE_DT", TEXT(ya!$C11,"YYYYMMDD")))</f>
        <v>0</v>
      </c>
      <c r="Y11" s="2" cm="1">
        <f t="array" ref="Y11">IF(hp!Y11=0,0,_xll.BDP(Y$4,"YAS_BOND_YLD", "YAS_BOND_PX",hp!Y11, "SETTLE_DT", TEXT(ya!$C11,"YYYYMMDD")))</f>
        <v>0</v>
      </c>
      <c r="Z11" s="2" cm="1">
        <f t="array" ref="Z11">IF(hp!Z11=0,0,_xll.BDP(Z$4,"YAS_BOND_YLD", "YAS_BOND_PX",hp!Z11, "SETTLE_DT", TEXT(ya!$C11,"YYYYMMDD")))</f>
        <v>0</v>
      </c>
      <c r="AA11" s="2" cm="1">
        <f t="array" ref="AA11">IF(hp!AA11=0,0,_xll.BDP(AA$4,"YAS_BOND_YLD", "YAS_BOND_PX",hp!AA11, "SETTLE_DT", TEXT(ya!$C11,"YYYYMMDD")))</f>
        <v>0</v>
      </c>
      <c r="AB11" s="2" cm="1">
        <f t="array" ref="AB11">IF(hp!AB11=0,0,_xll.BDP(AB$4,"YAS_BOND_YLD", "YAS_BOND_PX",hp!AB11, "SETTLE_DT", TEXT(ya!$C11,"YYYYMMDD")))</f>
        <v>0</v>
      </c>
      <c r="AC11" s="2" cm="1">
        <f t="array" ref="AC11">IF(hp!AC11=0,0,_xll.BDP(AC$4,"YAS_BOND_YLD", "YAS_BOND_PX",hp!AC11, "SETTLE_DT", TEXT(ya!$C11,"YYYYMMDD")))</f>
        <v>0</v>
      </c>
      <c r="AD11" s="2" cm="1">
        <f t="array" ref="AD11">IF(hp!AD11=0,0,_xll.BDP(AD$4,"YAS_BOND_YLD", "YAS_BOND_PX",hp!AD11, "SETTLE_DT", TEXT(ya!$C11,"YYYYMMDD")))</f>
        <v>7.1135999999999999</v>
      </c>
      <c r="AE11" s="2" cm="1">
        <f t="array" ref="AE11">IF(hp!AE11=0,0,_xll.BDP(AE$4,"YAS_BOND_YLD", "YAS_BOND_PX",hp!AE11, "SETTLE_DT", TEXT(ya!$C11,"YYYYMMDD")))</f>
        <v>0</v>
      </c>
      <c r="AF11" s="2" cm="1">
        <f t="array" ref="AF11">IF(hp!AF11=0,0,_xll.BDP(AF$4,"YAS_BOND_YLD", "YAS_BOND_PX",hp!AF11, "SETTLE_DT", TEXT(ya!$C11,"YYYYMMDD")))</f>
        <v>0</v>
      </c>
      <c r="AG11" s="2" cm="1">
        <f t="array" ref="AG11">IF(hp!AG11=0,0,_xll.BDP(AG$4,"YAS_BOND_YLD", "YAS_BOND_PX",hp!AG11, "SETTLE_DT", TEXT(ya!$C11,"YYYYMMDD")))</f>
        <v>0</v>
      </c>
      <c r="AH11" s="2" cm="1">
        <f t="array" ref="AH11">IF(hp!AH11=0,0,_xll.BDP(AH$4,"YAS_BOND_YLD", "YAS_BOND_PX",hp!AH11, "SETTLE_DT", TEXT(ya!$C11,"YYYYMMDD")))</f>
        <v>0</v>
      </c>
      <c r="AI11" s="2" cm="1">
        <f t="array" ref="AI11">IF(hp!AI11=0,0,_xll.BDP(AI$4,"YAS_BOND_YLD", "YAS_BOND_PX",hp!AI11, "SETTLE_DT", TEXT(ya!$C11,"YYYYMMDD")))</f>
        <v>0</v>
      </c>
      <c r="AJ11" s="2" cm="1">
        <f t="array" ref="AJ11">IF(hp!AJ11=0,0,_xll.BDP(AJ$4,"YAS_BOND_YLD", "YAS_BOND_PX",hp!AJ11, "SETTLE_DT", TEXT(ya!$C11,"YYYYMMDD")))</f>
        <v>0</v>
      </c>
      <c r="AK11" s="2" cm="1">
        <f t="array" ref="AK11">IF(hp!AK11=0,0,_xll.BDP(AK$4,"YAS_BOND_YLD", "YAS_BOND_PX",hp!AK11, "SETTLE_DT", TEXT(ya!$C11,"YYYYMMDD")))</f>
        <v>0</v>
      </c>
      <c r="AL11" s="2" cm="1">
        <f t="array" ref="AL11">IF(hp!AL11=0,0,_xll.BDP(AL$4,"YAS_BOND_YLD", "YAS_BOND_PX",hp!AL11, "SETTLE_DT", TEXT(ya!$C11,"YYYYMMDD")))</f>
        <v>0</v>
      </c>
      <c r="AM11" s="2" cm="1">
        <f t="array" ref="AM11">IF(hp!AM11=0,0,_xll.BDP(AM$4,"YAS_BOND_YLD", "YAS_BOND_PX",hp!AM11, "SETTLE_DT", TEXT(ya!$C11,"YYYYMMDD")))</f>
        <v>0</v>
      </c>
      <c r="AN11" s="2" cm="1">
        <f t="array" ref="AN11">IF(hp!AN11=0,0,_xll.BDP(AN$4,"YAS_BOND_YLD", "YAS_BOND_PX",hp!AN11, "SETTLE_DT", TEXT(ya!$C11,"YYYYMMDD")))</f>
        <v>0</v>
      </c>
      <c r="AO11" s="2" cm="1">
        <f t="array" ref="AO11">IF(hp!AO11=0,0,_xll.BDP(AO$4,"YAS_BOND_YLD", "YAS_BOND_PX",hp!AO11, "SETTLE_DT", TEXT(ya!$C11,"YYYYMMDD")))</f>
        <v>0</v>
      </c>
      <c r="AP11" s="2" cm="1">
        <f t="array" ref="AP11">IF(hp!AP11=0,0,_xll.BDP(AP$4,"YAS_BOND_YLD", "YAS_BOND_PX",hp!AP11, "SETTLE_DT", TEXT(ya!$C11,"YYYYMMDD")))</f>
        <v>0</v>
      </c>
      <c r="AQ11" s="2" cm="1">
        <f t="array" ref="AQ11">IF(hp!AQ11=0,0,_xll.BDP(AQ$4,"YAS_BOND_YLD", "YAS_BOND_PX",hp!AQ11, "SETTLE_DT", TEXT(ya!$C11,"YYYYMMDD")))</f>
        <v>0</v>
      </c>
      <c r="AR11" s="2" cm="1">
        <f t="array" ref="AR11">IF(hp!AR11=0,0,_xll.BDP(AR$4,"YAS_BOND_YLD", "YAS_BOND_PX",hp!AR11, "SETTLE_DT", TEXT(ya!$C11,"YYYYMMDD")))</f>
        <v>6.9495000000000005</v>
      </c>
      <c r="AS11" s="2" cm="1">
        <f t="array" ref="AS11">IF(hp!AS11=0,0,_xll.BDP(AS$4,"YAS_BOND_YLD", "YAS_BOND_PX",hp!AS11, "SETTLE_DT", TEXT(ya!$C11,"YYYYMMDD")))</f>
        <v>0</v>
      </c>
      <c r="AT11" s="2" cm="1">
        <f t="array" ref="AT11">IF(hp!AT11=0,0,_xll.BDP(AT$4,"YAS_BOND_YLD", "YAS_BOND_PX",hp!AT11, "SETTLE_DT", TEXT(ya!$C11,"YYYYMMDD")))</f>
        <v>0</v>
      </c>
      <c r="AU11" s="2" cm="1">
        <f t="array" ref="AU11">IF(hp!AU11=0,0,_xll.BDP(AU$4,"YAS_BOND_YLD", "YAS_BOND_PX",hp!AU11, "SETTLE_DT", TEXT(ya!$C11,"YYYYMMDD")))</f>
        <v>0</v>
      </c>
      <c r="AV11" s="2" cm="1">
        <f t="array" ref="AV11">IF(hp!AV11=0,0,_xll.BDP(AV$4,"YAS_BOND_YLD", "YAS_BOND_PX",hp!AV11, "SETTLE_DT", TEXT(ya!$C11,"YYYYMMDD")))</f>
        <v>0</v>
      </c>
      <c r="AW11" s="2" cm="1">
        <f t="array" ref="AW11">IF(hp!AW11=0,0,_xll.BDP(AW$4,"YAS_BOND_YLD", "YAS_BOND_PX",hp!AW11, "SETTLE_DT", TEXT(ya!$C11,"YYYYMMDD")))</f>
        <v>0</v>
      </c>
      <c r="AX11" s="2" cm="1">
        <f t="array" ref="AX11">IF(hp!AX11=0,0,_xll.BDP(AX$4,"YAS_BOND_YLD", "YAS_BOND_PX",hp!AX11, "SETTLE_DT", TEXT(ya!$C11,"YYYYMMDD")))</f>
        <v>0</v>
      </c>
      <c r="AY11" s="2" cm="1">
        <f t="array" ref="AY11">IF(hp!AY11=0,0,_xll.BDP(AY$4,"YAS_BOND_YLD", "YAS_BOND_PX",hp!AY11, "SETTLE_DT", TEXT(ya!$C11,"YYYYMMDD")))</f>
        <v>0</v>
      </c>
      <c r="AZ11" s="2" cm="1">
        <f t="array" ref="AZ11">IF(hp!AZ11=0,0,_xll.BDP(AZ$4,"YAS_BOND_YLD", "YAS_BOND_PX",hp!AZ11, "SETTLE_DT", TEXT(ya!$C11,"YYYYMMDD")))</f>
        <v>0</v>
      </c>
    </row>
    <row r="12" spans="1:52" x14ac:dyDescent="0.25">
      <c r="A12" s="1"/>
      <c r="B12" s="2"/>
      <c r="C12" s="1">
        <v>42277</v>
      </c>
      <c r="D12" s="2" cm="1">
        <f t="array" ref="D12">IF(hp!D12=0,0,_xll.BDP(D$4,"YAS_BOND_YLD", "YAS_BOND_PX",hp!D12, "SETTLE_DT", TEXT(ya!$C12,"YYYYMMDD")))</f>
        <v>0</v>
      </c>
      <c r="E12" s="2" cm="1">
        <f t="array" ref="E12">IF(hp!E12=0,0,_xll.BDP(E$4,"YAS_BOND_YLD", "YAS_BOND_PX",hp!E12, "SETTLE_DT", TEXT(ya!$C12,"YYYYMMDD")))</f>
        <v>0</v>
      </c>
      <c r="F12" s="2" cm="1">
        <f t="array" ref="F12">IF(hp!F12=0,0,_xll.BDP(F$4,"YAS_BOND_YLD", "YAS_BOND_PX",hp!F12, "SETTLE_DT", TEXT(ya!$C12,"YYYYMMDD")))</f>
        <v>0</v>
      </c>
      <c r="G12" s="2" cm="1">
        <f t="array" ref="G12">IF(hp!G12=0,0,_xll.BDP(G$4,"YAS_BOND_YLD", "YAS_BOND_PX",hp!G12, "SETTLE_DT", TEXT(ya!$C12,"YYYYMMDD")))</f>
        <v>7.4646999999999997</v>
      </c>
      <c r="H12" s="2" cm="1">
        <f t="array" ref="H12">IF(hp!H12=0,0,_xll.BDP(H$4,"YAS_BOND_YLD", "YAS_BOND_PX",hp!H12, "SETTLE_DT", TEXT(ya!$C12,"YYYYMMDD")))</f>
        <v>0</v>
      </c>
      <c r="I12" s="2" cm="1">
        <f t="array" ref="I12">IF(hp!I12=0,0,_xll.BDP(I$4,"YAS_BOND_YLD", "YAS_BOND_PX",hp!I12, "SETTLE_DT", TEXT(ya!$C12,"YYYYMMDD")))</f>
        <v>0</v>
      </c>
      <c r="J12" s="2" cm="1">
        <f t="array" ref="J12">IF(hp!J12=0,0,_xll.BDP(J$4,"YAS_BOND_YLD", "YAS_BOND_PX",hp!J12, "SETTLE_DT", TEXT(ya!$C12,"YYYYMMDD")))</f>
        <v>7.4457000000000004</v>
      </c>
      <c r="K12" s="2" cm="1">
        <f t="array" ref="K12">IF(hp!K12=0,0,_xll.BDP(K$4,"YAS_BOND_YLD", "YAS_BOND_PX",hp!K12, "SETTLE_DT", TEXT(ya!$C12,"YYYYMMDD")))</f>
        <v>0</v>
      </c>
      <c r="L12" s="2" cm="1">
        <f t="array" ref="L12">IF(hp!L12=0,0,_xll.BDP(L$4,"YAS_BOND_YLD", "YAS_BOND_PX",hp!L12, "SETTLE_DT", TEXT(ya!$C12,"YYYYMMDD")))</f>
        <v>7.4939999999999998</v>
      </c>
      <c r="M12" s="2" cm="1">
        <f t="array" ref="M12">IF(hp!M12=0,0,_xll.BDP(M$4,"YAS_BOND_YLD", "YAS_BOND_PX",hp!M12, "SETTLE_DT", TEXT(ya!$C12,"YYYYMMDD")))</f>
        <v>0</v>
      </c>
      <c r="N12" s="2" cm="1">
        <f t="array" ref="N12">IF(hp!N12=0,0,_xll.BDP(N$4,"YAS_BOND_YLD", "YAS_BOND_PX",hp!N12, "SETTLE_DT", TEXT(ya!$C12,"YYYYMMDD")))</f>
        <v>0</v>
      </c>
      <c r="O12" s="2" cm="1">
        <f t="array" ref="O12">IF(hp!O12=0,0,_xll.BDP(O$4,"YAS_BOND_YLD", "YAS_BOND_PX",hp!O12, "SETTLE_DT", TEXT(ya!$C12,"YYYYMMDD")))</f>
        <v>0</v>
      </c>
      <c r="P12" s="2" cm="1">
        <f t="array" ref="P12">IF(hp!P12=0,0,_xll.BDP(P$4,"YAS_BOND_YLD", "YAS_BOND_PX",hp!P12, "SETTLE_DT", TEXT(ya!$C12,"YYYYMMDD")))</f>
        <v>0</v>
      </c>
      <c r="Q12" s="2" cm="1">
        <f t="array" ref="Q12">IF(hp!Q12=0,0,_xll.BDP(Q$4,"YAS_BOND_YLD", "YAS_BOND_PX",hp!Q12, "SETTLE_DT", TEXT(ya!$C12,"YYYYMMDD")))</f>
        <v>7.4088000000000003</v>
      </c>
      <c r="R12" s="2" cm="1">
        <f t="array" ref="R12">IF(hp!R12=0,0,_xll.BDP(R$4,"YAS_BOND_YLD", "YAS_BOND_PX",hp!R12, "SETTLE_DT", TEXT(ya!$C12,"YYYYMMDD")))</f>
        <v>0</v>
      </c>
      <c r="S12" s="2" cm="1">
        <f t="array" ref="S12">IF(hp!S12=0,0,_xll.BDP(S$4,"YAS_BOND_YLD", "YAS_BOND_PX",hp!S12, "SETTLE_DT", TEXT(ya!$C12,"YYYYMMDD")))</f>
        <v>0</v>
      </c>
      <c r="T12" s="2" cm="1">
        <f t="array" ref="T12">IF(hp!T12=0,0,_xll.BDP(T$4,"YAS_BOND_YLD", "YAS_BOND_PX",hp!T12, "SETTLE_DT", TEXT(ya!$C12,"YYYYMMDD")))</f>
        <v>0</v>
      </c>
      <c r="U12" s="2" cm="1">
        <f t="array" ref="U12">IF(hp!U12=0,0,_xll.BDP(U$4,"YAS_BOND_YLD", "YAS_BOND_PX",hp!U12, "SETTLE_DT", TEXT(ya!$C12,"YYYYMMDD")))</f>
        <v>7.4032999999999998</v>
      </c>
      <c r="V12" s="2" cm="1">
        <f t="array" ref="V12">IF(hp!V12=0,0,_xll.BDP(V$4,"YAS_BOND_YLD", "YAS_BOND_PX",hp!V12, "SETTLE_DT", TEXT(ya!$C12,"YYYYMMDD")))</f>
        <v>0</v>
      </c>
      <c r="W12" s="2" cm="1">
        <f t="array" ref="W12">IF(hp!W12=0,0,_xll.BDP(W$4,"YAS_BOND_YLD", "YAS_BOND_PX",hp!W12, "SETTLE_DT", TEXT(ya!$C12,"YYYYMMDD")))</f>
        <v>0</v>
      </c>
      <c r="X12" s="2" cm="1">
        <f t="array" ref="X12">IF(hp!X12=0,0,_xll.BDP(X$4,"YAS_BOND_YLD", "YAS_BOND_PX",hp!X12, "SETTLE_DT", TEXT(ya!$C12,"YYYYMMDD")))</f>
        <v>0</v>
      </c>
      <c r="Y12" s="2" cm="1">
        <f t="array" ref="Y12">IF(hp!Y12=0,0,_xll.BDP(Y$4,"YAS_BOND_YLD", "YAS_BOND_PX",hp!Y12, "SETTLE_DT", TEXT(ya!$C12,"YYYYMMDD")))</f>
        <v>0</v>
      </c>
      <c r="Z12" s="2" cm="1">
        <f t="array" ref="Z12">IF(hp!Z12=0,0,_xll.BDP(Z$4,"YAS_BOND_YLD", "YAS_BOND_PX",hp!Z12, "SETTLE_DT", TEXT(ya!$C12,"YYYYMMDD")))</f>
        <v>0</v>
      </c>
      <c r="AA12" s="2" cm="1">
        <f t="array" ref="AA12">IF(hp!AA12=0,0,_xll.BDP(AA$4,"YAS_BOND_YLD", "YAS_BOND_PX",hp!AA12, "SETTLE_DT", TEXT(ya!$C12,"YYYYMMDD")))</f>
        <v>0</v>
      </c>
      <c r="AB12" s="2" cm="1">
        <f t="array" ref="AB12">IF(hp!AB12=0,0,_xll.BDP(AB$4,"YAS_BOND_YLD", "YAS_BOND_PX",hp!AB12, "SETTLE_DT", TEXT(ya!$C12,"YYYYMMDD")))</f>
        <v>0</v>
      </c>
      <c r="AC12" s="2" cm="1">
        <f t="array" ref="AC12">IF(hp!AC12=0,0,_xll.BDP(AC$4,"YAS_BOND_YLD", "YAS_BOND_PX",hp!AC12, "SETTLE_DT", TEXT(ya!$C12,"YYYYMMDD")))</f>
        <v>0</v>
      </c>
      <c r="AD12" s="2" cm="1">
        <f t="array" ref="AD12">IF(hp!AD12=0,0,_xll.BDP(AD$4,"YAS_BOND_YLD", "YAS_BOND_PX",hp!AD12, "SETTLE_DT", TEXT(ya!$C12,"YYYYMMDD")))</f>
        <v>7.3856999999999999</v>
      </c>
      <c r="AE12" s="2" cm="1">
        <f t="array" ref="AE12">IF(hp!AE12=0,0,_xll.BDP(AE$4,"YAS_BOND_YLD", "YAS_BOND_PX",hp!AE12, "SETTLE_DT", TEXT(ya!$C12,"YYYYMMDD")))</f>
        <v>0</v>
      </c>
      <c r="AF12" s="2" cm="1">
        <f t="array" ref="AF12">IF(hp!AF12=0,0,_xll.BDP(AF$4,"YAS_BOND_YLD", "YAS_BOND_PX",hp!AF12, "SETTLE_DT", TEXT(ya!$C12,"YYYYMMDD")))</f>
        <v>0</v>
      </c>
      <c r="AG12" s="2" cm="1">
        <f t="array" ref="AG12">IF(hp!AG12=0,0,_xll.BDP(AG$4,"YAS_BOND_YLD", "YAS_BOND_PX",hp!AG12, "SETTLE_DT", TEXT(ya!$C12,"YYYYMMDD")))</f>
        <v>0</v>
      </c>
      <c r="AH12" s="2" cm="1">
        <f t="array" ref="AH12">IF(hp!AH12=0,0,_xll.BDP(AH$4,"YAS_BOND_YLD", "YAS_BOND_PX",hp!AH12, "SETTLE_DT", TEXT(ya!$C12,"YYYYMMDD")))</f>
        <v>0</v>
      </c>
      <c r="AI12" s="2" cm="1">
        <f t="array" ref="AI12">IF(hp!AI12=0,0,_xll.BDP(AI$4,"YAS_BOND_YLD", "YAS_BOND_PX",hp!AI12, "SETTLE_DT", TEXT(ya!$C12,"YYYYMMDD")))</f>
        <v>0</v>
      </c>
      <c r="AJ12" s="2" cm="1">
        <f t="array" ref="AJ12">IF(hp!AJ12=0,0,_xll.BDP(AJ$4,"YAS_BOND_YLD", "YAS_BOND_PX",hp!AJ12, "SETTLE_DT", TEXT(ya!$C12,"YYYYMMDD")))</f>
        <v>0</v>
      </c>
      <c r="AK12" s="2" cm="1">
        <f t="array" ref="AK12">IF(hp!AK12=0,0,_xll.BDP(AK$4,"YAS_BOND_YLD", "YAS_BOND_PX",hp!AK12, "SETTLE_DT", TEXT(ya!$C12,"YYYYMMDD")))</f>
        <v>0</v>
      </c>
      <c r="AL12" s="2" cm="1">
        <f t="array" ref="AL12">IF(hp!AL12=0,0,_xll.BDP(AL$4,"YAS_BOND_YLD", "YAS_BOND_PX",hp!AL12, "SETTLE_DT", TEXT(ya!$C12,"YYYYMMDD")))</f>
        <v>0</v>
      </c>
      <c r="AM12" s="2" cm="1">
        <f t="array" ref="AM12">IF(hp!AM12=0,0,_xll.BDP(AM$4,"YAS_BOND_YLD", "YAS_BOND_PX",hp!AM12, "SETTLE_DT", TEXT(ya!$C12,"YYYYMMDD")))</f>
        <v>0</v>
      </c>
      <c r="AN12" s="2" cm="1">
        <f t="array" ref="AN12">IF(hp!AN12=0,0,_xll.BDP(AN$4,"YAS_BOND_YLD", "YAS_BOND_PX",hp!AN12, "SETTLE_DT", TEXT(ya!$C12,"YYYYMMDD")))</f>
        <v>0</v>
      </c>
      <c r="AO12" s="2" cm="1">
        <f t="array" ref="AO12">IF(hp!AO12=0,0,_xll.BDP(AO$4,"YAS_BOND_YLD", "YAS_BOND_PX",hp!AO12, "SETTLE_DT", TEXT(ya!$C12,"YYYYMMDD")))</f>
        <v>0</v>
      </c>
      <c r="AP12" s="2" cm="1">
        <f t="array" ref="AP12">IF(hp!AP12=0,0,_xll.BDP(AP$4,"YAS_BOND_YLD", "YAS_BOND_PX",hp!AP12, "SETTLE_DT", TEXT(ya!$C12,"YYYYMMDD")))</f>
        <v>0</v>
      </c>
      <c r="AQ12" s="2" cm="1">
        <f t="array" ref="AQ12">IF(hp!AQ12=0,0,_xll.BDP(AQ$4,"YAS_BOND_YLD", "YAS_BOND_PX",hp!AQ12, "SETTLE_DT", TEXT(ya!$C12,"YYYYMMDD")))</f>
        <v>0</v>
      </c>
      <c r="AR12" s="2" cm="1">
        <f t="array" ref="AR12">IF(hp!AR12=0,0,_xll.BDP(AR$4,"YAS_BOND_YLD", "YAS_BOND_PX",hp!AR12, "SETTLE_DT", TEXT(ya!$C12,"YYYYMMDD")))</f>
        <v>7.4610000000000003</v>
      </c>
      <c r="AS12" s="2" cm="1">
        <f t="array" ref="AS12">IF(hp!AS12=0,0,_xll.BDP(AS$4,"YAS_BOND_YLD", "YAS_BOND_PX",hp!AS12, "SETTLE_DT", TEXT(ya!$C12,"YYYYMMDD")))</f>
        <v>0</v>
      </c>
      <c r="AT12" s="2" cm="1">
        <f t="array" ref="AT12">IF(hp!AT12=0,0,_xll.BDP(AT$4,"YAS_BOND_YLD", "YAS_BOND_PX",hp!AT12, "SETTLE_DT", TEXT(ya!$C12,"YYYYMMDD")))</f>
        <v>0</v>
      </c>
      <c r="AU12" s="2" cm="1">
        <f t="array" ref="AU12">IF(hp!AU12=0,0,_xll.BDP(AU$4,"YAS_BOND_YLD", "YAS_BOND_PX",hp!AU12, "SETTLE_DT", TEXT(ya!$C12,"YYYYMMDD")))</f>
        <v>0</v>
      </c>
      <c r="AV12" s="2" cm="1">
        <f t="array" ref="AV12">IF(hp!AV12=0,0,_xll.BDP(AV$4,"YAS_BOND_YLD", "YAS_BOND_PX",hp!AV12, "SETTLE_DT", TEXT(ya!$C12,"YYYYMMDD")))</f>
        <v>0</v>
      </c>
      <c r="AW12" s="2" cm="1">
        <f t="array" ref="AW12">IF(hp!AW12=0,0,_xll.BDP(AW$4,"YAS_BOND_YLD", "YAS_BOND_PX",hp!AW12, "SETTLE_DT", TEXT(ya!$C12,"YYYYMMDD")))</f>
        <v>0</v>
      </c>
      <c r="AX12" s="2" cm="1">
        <f t="array" ref="AX12">IF(hp!AX12=0,0,_xll.BDP(AX$4,"YAS_BOND_YLD", "YAS_BOND_PX",hp!AX12, "SETTLE_DT", TEXT(ya!$C12,"YYYYMMDD")))</f>
        <v>0</v>
      </c>
      <c r="AY12" s="2" cm="1">
        <f t="array" ref="AY12">IF(hp!AY12=0,0,_xll.BDP(AY$4,"YAS_BOND_YLD", "YAS_BOND_PX",hp!AY12, "SETTLE_DT", TEXT(ya!$C12,"YYYYMMDD")))</f>
        <v>0</v>
      </c>
      <c r="AZ12" s="2" cm="1">
        <f t="array" ref="AZ12">IF(hp!AZ12=0,0,_xll.BDP(AZ$4,"YAS_BOND_YLD", "YAS_BOND_PX",hp!AZ12, "SETTLE_DT", TEXT(ya!$C12,"YYYYMMDD")))</f>
        <v>0</v>
      </c>
    </row>
    <row r="13" spans="1:52" x14ac:dyDescent="0.25">
      <c r="A13" s="1"/>
      <c r="B13" s="2"/>
      <c r="C13" s="1">
        <v>42307</v>
      </c>
      <c r="D13" s="2" cm="1">
        <f t="array" ref="D13">IF(hp!D13=0,0,_xll.BDP(D$4,"YAS_BOND_YLD", "YAS_BOND_PX",hp!D13, "SETTLE_DT", TEXT(ya!$C13,"YYYYMMDD")))</f>
        <v>0</v>
      </c>
      <c r="E13" s="2" cm="1">
        <f t="array" ref="E13">IF(hp!E13=0,0,_xll.BDP(E$4,"YAS_BOND_YLD", "YAS_BOND_PX",hp!E13, "SETTLE_DT", TEXT(ya!$C13,"YYYYMMDD")))</f>
        <v>0</v>
      </c>
      <c r="F13" s="2" cm="1">
        <f t="array" ref="F13">IF(hp!F13=0,0,_xll.BDP(F$4,"YAS_BOND_YLD", "YAS_BOND_PX",hp!F13, "SETTLE_DT", TEXT(ya!$C13,"YYYYMMDD")))</f>
        <v>0</v>
      </c>
      <c r="G13" s="2" cm="1">
        <f t="array" ref="G13">IF(hp!G13=0,0,_xll.BDP(G$4,"YAS_BOND_YLD", "YAS_BOND_PX",hp!G13, "SETTLE_DT", TEXT(ya!$C13,"YYYYMMDD")))</f>
        <v>7.2934999999999999</v>
      </c>
      <c r="H13" s="2" cm="1">
        <f t="array" ref="H13">IF(hp!H13=0,0,_xll.BDP(H$4,"YAS_BOND_YLD", "YAS_BOND_PX",hp!H13, "SETTLE_DT", TEXT(ya!$C13,"YYYYMMDD")))</f>
        <v>0</v>
      </c>
      <c r="I13" s="2" cm="1">
        <f t="array" ref="I13">IF(hp!I13=0,0,_xll.BDP(I$4,"YAS_BOND_YLD", "YAS_BOND_PX",hp!I13, "SETTLE_DT", TEXT(ya!$C13,"YYYYMMDD")))</f>
        <v>0</v>
      </c>
      <c r="J13" s="2" cm="1">
        <f t="array" ref="J13">IF(hp!J13=0,0,_xll.BDP(J$4,"YAS_BOND_YLD", "YAS_BOND_PX",hp!J13, "SETTLE_DT", TEXT(ya!$C13,"YYYYMMDD")))</f>
        <v>7.2114000000000003</v>
      </c>
      <c r="K13" s="2" cm="1">
        <f t="array" ref="K13">IF(hp!K13=0,0,_xll.BDP(K$4,"YAS_BOND_YLD", "YAS_BOND_PX",hp!K13, "SETTLE_DT", TEXT(ya!$C13,"YYYYMMDD")))</f>
        <v>0</v>
      </c>
      <c r="L13" s="2" cm="1">
        <f t="array" ref="L13">IF(hp!L13=0,0,_xll.BDP(L$4,"YAS_BOND_YLD", "YAS_BOND_PX",hp!L13, "SETTLE_DT", TEXT(ya!$C13,"YYYYMMDD")))</f>
        <v>7.2626999999999997</v>
      </c>
      <c r="M13" s="2" cm="1">
        <f t="array" ref="M13">IF(hp!M13=0,0,_xll.BDP(M$4,"YAS_BOND_YLD", "YAS_BOND_PX",hp!M13, "SETTLE_DT", TEXT(ya!$C13,"YYYYMMDD")))</f>
        <v>0</v>
      </c>
      <c r="N13" s="2" cm="1">
        <f t="array" ref="N13">IF(hp!N13=0,0,_xll.BDP(N$4,"YAS_BOND_YLD", "YAS_BOND_PX",hp!N13, "SETTLE_DT", TEXT(ya!$C13,"YYYYMMDD")))</f>
        <v>0</v>
      </c>
      <c r="O13" s="2" cm="1">
        <f t="array" ref="O13">IF(hp!O13=0,0,_xll.BDP(O$4,"YAS_BOND_YLD", "YAS_BOND_PX",hp!O13, "SETTLE_DT", TEXT(ya!$C13,"YYYYMMDD")))</f>
        <v>0</v>
      </c>
      <c r="P13" s="2" cm="1">
        <f t="array" ref="P13">IF(hp!P13=0,0,_xll.BDP(P$4,"YAS_BOND_YLD", "YAS_BOND_PX",hp!P13, "SETTLE_DT", TEXT(ya!$C13,"YYYYMMDD")))</f>
        <v>0</v>
      </c>
      <c r="Q13" s="2" cm="1">
        <f t="array" ref="Q13">IF(hp!Q13=0,0,_xll.BDP(Q$4,"YAS_BOND_YLD", "YAS_BOND_PX",hp!Q13, "SETTLE_DT", TEXT(ya!$C13,"YYYYMMDD")))</f>
        <v>7.2645</v>
      </c>
      <c r="R13" s="2" cm="1">
        <f t="array" ref="R13">IF(hp!R13=0,0,_xll.BDP(R$4,"YAS_BOND_YLD", "YAS_BOND_PX",hp!R13, "SETTLE_DT", TEXT(ya!$C13,"YYYYMMDD")))</f>
        <v>0</v>
      </c>
      <c r="S13" s="2" cm="1">
        <f t="array" ref="S13">IF(hp!S13=0,0,_xll.BDP(S$4,"YAS_BOND_YLD", "YAS_BOND_PX",hp!S13, "SETTLE_DT", TEXT(ya!$C13,"YYYYMMDD")))</f>
        <v>0</v>
      </c>
      <c r="T13" s="2" cm="1">
        <f t="array" ref="T13">IF(hp!T13=0,0,_xll.BDP(T$4,"YAS_BOND_YLD", "YAS_BOND_PX",hp!T13, "SETTLE_DT", TEXT(ya!$C13,"YYYYMMDD")))</f>
        <v>0</v>
      </c>
      <c r="U13" s="2" cm="1">
        <f t="array" ref="U13">IF(hp!U13=0,0,_xll.BDP(U$4,"YAS_BOND_YLD", "YAS_BOND_PX",hp!U13, "SETTLE_DT", TEXT(ya!$C13,"YYYYMMDD")))</f>
        <v>7.2618</v>
      </c>
      <c r="V13" s="2" cm="1">
        <f t="array" ref="V13">IF(hp!V13=0,0,_xll.BDP(V$4,"YAS_BOND_YLD", "YAS_BOND_PX",hp!V13, "SETTLE_DT", TEXT(ya!$C13,"YYYYMMDD")))</f>
        <v>0</v>
      </c>
      <c r="W13" s="2" cm="1">
        <f t="array" ref="W13">IF(hp!W13=0,0,_xll.BDP(W$4,"YAS_BOND_YLD", "YAS_BOND_PX",hp!W13, "SETTLE_DT", TEXT(ya!$C13,"YYYYMMDD")))</f>
        <v>0</v>
      </c>
      <c r="X13" s="2" cm="1">
        <f t="array" ref="X13">IF(hp!X13=0,0,_xll.BDP(X$4,"YAS_BOND_YLD", "YAS_BOND_PX",hp!X13, "SETTLE_DT", TEXT(ya!$C13,"YYYYMMDD")))</f>
        <v>0</v>
      </c>
      <c r="Y13" s="2" cm="1">
        <f t="array" ref="Y13">IF(hp!Y13=0,0,_xll.BDP(Y$4,"YAS_BOND_YLD", "YAS_BOND_PX",hp!Y13, "SETTLE_DT", TEXT(ya!$C13,"YYYYMMDD")))</f>
        <v>0</v>
      </c>
      <c r="Z13" s="2" cm="1">
        <f t="array" ref="Z13">IF(hp!Z13=0,0,_xll.BDP(Z$4,"YAS_BOND_YLD", "YAS_BOND_PX",hp!Z13, "SETTLE_DT", TEXT(ya!$C13,"YYYYMMDD")))</f>
        <v>0</v>
      </c>
      <c r="AA13" s="2" cm="1">
        <f t="array" ref="AA13">IF(hp!AA13=0,0,_xll.BDP(AA$4,"YAS_BOND_YLD", "YAS_BOND_PX",hp!AA13, "SETTLE_DT", TEXT(ya!$C13,"YYYYMMDD")))</f>
        <v>0</v>
      </c>
      <c r="AB13" s="2" cm="1">
        <f t="array" ref="AB13">IF(hp!AB13=0,0,_xll.BDP(AB$4,"YAS_BOND_YLD", "YAS_BOND_PX",hp!AB13, "SETTLE_DT", TEXT(ya!$C13,"YYYYMMDD")))</f>
        <v>0</v>
      </c>
      <c r="AC13" s="2" cm="1">
        <f t="array" ref="AC13">IF(hp!AC13=0,0,_xll.BDP(AC$4,"YAS_BOND_YLD", "YAS_BOND_PX",hp!AC13, "SETTLE_DT", TEXT(ya!$C13,"YYYYMMDD")))</f>
        <v>0</v>
      </c>
      <c r="AD13" s="2" cm="1">
        <f t="array" ref="AD13">IF(hp!AD13=0,0,_xll.BDP(AD$4,"YAS_BOND_YLD", "YAS_BOND_PX",hp!AD13, "SETTLE_DT", TEXT(ya!$C13,"YYYYMMDD")))</f>
        <v>7.1448999999999998</v>
      </c>
      <c r="AE13" s="2" cm="1">
        <f t="array" ref="AE13">IF(hp!AE13=0,0,_xll.BDP(AE$4,"YAS_BOND_YLD", "YAS_BOND_PX",hp!AE13, "SETTLE_DT", TEXT(ya!$C13,"YYYYMMDD")))</f>
        <v>0</v>
      </c>
      <c r="AF13" s="2" cm="1">
        <f t="array" ref="AF13">IF(hp!AF13=0,0,_xll.BDP(AF$4,"YAS_BOND_YLD", "YAS_BOND_PX",hp!AF13, "SETTLE_DT", TEXT(ya!$C13,"YYYYMMDD")))</f>
        <v>0</v>
      </c>
      <c r="AG13" s="2" cm="1">
        <f t="array" ref="AG13">IF(hp!AG13=0,0,_xll.BDP(AG$4,"YAS_BOND_YLD", "YAS_BOND_PX",hp!AG13, "SETTLE_DT", TEXT(ya!$C13,"YYYYMMDD")))</f>
        <v>0</v>
      </c>
      <c r="AH13" s="2" cm="1">
        <f t="array" ref="AH13">IF(hp!AH13=0,0,_xll.BDP(AH$4,"YAS_BOND_YLD", "YAS_BOND_PX",hp!AH13, "SETTLE_DT", TEXT(ya!$C13,"YYYYMMDD")))</f>
        <v>0</v>
      </c>
      <c r="AI13" s="2" cm="1">
        <f t="array" ref="AI13">IF(hp!AI13=0,0,_xll.BDP(AI$4,"YAS_BOND_YLD", "YAS_BOND_PX",hp!AI13, "SETTLE_DT", TEXT(ya!$C13,"YYYYMMDD")))</f>
        <v>0</v>
      </c>
      <c r="AJ13" s="2" cm="1">
        <f t="array" ref="AJ13">IF(hp!AJ13=0,0,_xll.BDP(AJ$4,"YAS_BOND_YLD", "YAS_BOND_PX",hp!AJ13, "SETTLE_DT", TEXT(ya!$C13,"YYYYMMDD")))</f>
        <v>0</v>
      </c>
      <c r="AK13" s="2" cm="1">
        <f t="array" ref="AK13">IF(hp!AK13=0,0,_xll.BDP(AK$4,"YAS_BOND_YLD", "YAS_BOND_PX",hp!AK13, "SETTLE_DT", TEXT(ya!$C13,"YYYYMMDD")))</f>
        <v>0</v>
      </c>
      <c r="AL13" s="2" cm="1">
        <f t="array" ref="AL13">IF(hp!AL13=0,0,_xll.BDP(AL$4,"YAS_BOND_YLD", "YAS_BOND_PX",hp!AL13, "SETTLE_DT", TEXT(ya!$C13,"YYYYMMDD")))</f>
        <v>0</v>
      </c>
      <c r="AM13" s="2" cm="1">
        <f t="array" ref="AM13">IF(hp!AM13=0,0,_xll.BDP(AM$4,"YAS_BOND_YLD", "YAS_BOND_PX",hp!AM13, "SETTLE_DT", TEXT(ya!$C13,"YYYYMMDD")))</f>
        <v>0</v>
      </c>
      <c r="AN13" s="2" cm="1">
        <f t="array" ref="AN13">IF(hp!AN13=0,0,_xll.BDP(AN$4,"YAS_BOND_YLD", "YAS_BOND_PX",hp!AN13, "SETTLE_DT", TEXT(ya!$C13,"YYYYMMDD")))</f>
        <v>0</v>
      </c>
      <c r="AO13" s="2" cm="1">
        <f t="array" ref="AO13">IF(hp!AO13=0,0,_xll.BDP(AO$4,"YAS_BOND_YLD", "YAS_BOND_PX",hp!AO13, "SETTLE_DT", TEXT(ya!$C13,"YYYYMMDD")))</f>
        <v>0</v>
      </c>
      <c r="AP13" s="2" cm="1">
        <f t="array" ref="AP13">IF(hp!AP13=0,0,_xll.BDP(AP$4,"YAS_BOND_YLD", "YAS_BOND_PX",hp!AP13, "SETTLE_DT", TEXT(ya!$C13,"YYYYMMDD")))</f>
        <v>0</v>
      </c>
      <c r="AQ13" s="2" cm="1">
        <f t="array" ref="AQ13">IF(hp!AQ13=0,0,_xll.BDP(AQ$4,"YAS_BOND_YLD", "YAS_BOND_PX",hp!AQ13, "SETTLE_DT", TEXT(ya!$C13,"YYYYMMDD")))</f>
        <v>0</v>
      </c>
      <c r="AR13" s="2" cm="1">
        <f t="array" ref="AR13">IF(hp!AR13=0,0,_xll.BDP(AR$4,"YAS_BOND_YLD", "YAS_BOND_PX",hp!AR13, "SETTLE_DT", TEXT(ya!$C13,"YYYYMMDD")))</f>
        <v>6.8879999999999999</v>
      </c>
      <c r="AS13" s="2" cm="1">
        <f t="array" ref="AS13">IF(hp!AS13=0,0,_xll.BDP(AS$4,"YAS_BOND_YLD", "YAS_BOND_PX",hp!AS13, "SETTLE_DT", TEXT(ya!$C13,"YYYYMMDD")))</f>
        <v>0</v>
      </c>
      <c r="AT13" s="2" cm="1">
        <f t="array" ref="AT13">IF(hp!AT13=0,0,_xll.BDP(AT$4,"YAS_BOND_YLD", "YAS_BOND_PX",hp!AT13, "SETTLE_DT", TEXT(ya!$C13,"YYYYMMDD")))</f>
        <v>0</v>
      </c>
      <c r="AU13" s="2" cm="1">
        <f t="array" ref="AU13">IF(hp!AU13=0,0,_xll.BDP(AU$4,"YAS_BOND_YLD", "YAS_BOND_PX",hp!AU13, "SETTLE_DT", TEXT(ya!$C13,"YYYYMMDD")))</f>
        <v>0</v>
      </c>
      <c r="AV13" s="2" cm="1">
        <f t="array" ref="AV13">IF(hp!AV13=0,0,_xll.BDP(AV$4,"YAS_BOND_YLD", "YAS_BOND_PX",hp!AV13, "SETTLE_DT", TEXT(ya!$C13,"YYYYMMDD")))</f>
        <v>0</v>
      </c>
      <c r="AW13" s="2" cm="1">
        <f t="array" ref="AW13">IF(hp!AW13=0,0,_xll.BDP(AW$4,"YAS_BOND_YLD", "YAS_BOND_PX",hp!AW13, "SETTLE_DT", TEXT(ya!$C13,"YYYYMMDD")))</f>
        <v>0</v>
      </c>
      <c r="AX13" s="2" cm="1">
        <f t="array" ref="AX13">IF(hp!AX13=0,0,_xll.BDP(AX$4,"YAS_BOND_YLD", "YAS_BOND_PX",hp!AX13, "SETTLE_DT", TEXT(ya!$C13,"YYYYMMDD")))</f>
        <v>0</v>
      </c>
      <c r="AY13" s="2" cm="1">
        <f t="array" ref="AY13">IF(hp!AY13=0,0,_xll.BDP(AY$4,"YAS_BOND_YLD", "YAS_BOND_PX",hp!AY13, "SETTLE_DT", TEXT(ya!$C13,"YYYYMMDD")))</f>
        <v>0</v>
      </c>
      <c r="AZ13" s="2" cm="1">
        <f t="array" ref="AZ13">IF(hp!AZ13=0,0,_xll.BDP(AZ$4,"YAS_BOND_YLD", "YAS_BOND_PX",hp!AZ13, "SETTLE_DT", TEXT(ya!$C13,"YYYYMMDD")))</f>
        <v>0</v>
      </c>
    </row>
    <row r="14" spans="1:52" x14ac:dyDescent="0.25">
      <c r="A14" s="1"/>
      <c r="B14" s="2"/>
      <c r="C14" s="1">
        <v>42338</v>
      </c>
      <c r="D14" s="2" cm="1">
        <f t="array" ref="D14">IF(hp!D14=0,0,_xll.BDP(D$4,"YAS_BOND_YLD", "YAS_BOND_PX",hp!D14, "SETTLE_DT", TEXT(ya!$C14,"YYYYMMDD")))</f>
        <v>0</v>
      </c>
      <c r="E14" s="2" cm="1">
        <f t="array" ref="E14">IF(hp!E14=0,0,_xll.BDP(E$4,"YAS_BOND_YLD", "YAS_BOND_PX",hp!E14, "SETTLE_DT", TEXT(ya!$C14,"YYYYMMDD")))</f>
        <v>0</v>
      </c>
      <c r="F14" s="2" cm="1">
        <f t="array" ref="F14">IF(hp!F14=0,0,_xll.BDP(F$4,"YAS_BOND_YLD", "YAS_BOND_PX",hp!F14, "SETTLE_DT", TEXT(ya!$C14,"YYYYMMDD")))</f>
        <v>0</v>
      </c>
      <c r="G14" s="2" cm="1">
        <f t="array" ref="G14">IF(hp!G14=0,0,_xll.BDP(G$4,"YAS_BOND_YLD", "YAS_BOND_PX",hp!G14, "SETTLE_DT", TEXT(ya!$C14,"YYYYMMDD")))</f>
        <v>7.2765000000000004</v>
      </c>
      <c r="H14" s="2" cm="1">
        <f t="array" ref="H14">IF(hp!H14=0,0,_xll.BDP(H$4,"YAS_BOND_YLD", "YAS_BOND_PX",hp!H14, "SETTLE_DT", TEXT(ya!$C14,"YYYYMMDD")))</f>
        <v>0</v>
      </c>
      <c r="I14" s="2" cm="1">
        <f t="array" ref="I14">IF(hp!I14=0,0,_xll.BDP(I$4,"YAS_BOND_YLD", "YAS_BOND_PX",hp!I14, "SETTLE_DT", TEXT(ya!$C14,"YYYYMMDD")))</f>
        <v>0</v>
      </c>
      <c r="J14" s="2" cm="1">
        <f t="array" ref="J14">IF(hp!J14=0,0,_xll.BDP(J$4,"YAS_BOND_YLD", "YAS_BOND_PX",hp!J14, "SETTLE_DT", TEXT(ya!$C14,"YYYYMMDD")))</f>
        <v>7.1744000000000003</v>
      </c>
      <c r="K14" s="2" cm="1">
        <f t="array" ref="K14">IF(hp!K14=0,0,_xll.BDP(K$4,"YAS_BOND_YLD", "YAS_BOND_PX",hp!K14, "SETTLE_DT", TEXT(ya!$C14,"YYYYMMDD")))</f>
        <v>0</v>
      </c>
      <c r="L14" s="2" cm="1">
        <f t="array" ref="L14">IF(hp!L14=0,0,_xll.BDP(L$4,"YAS_BOND_YLD", "YAS_BOND_PX",hp!L14, "SETTLE_DT", TEXT(ya!$C14,"YYYYMMDD")))</f>
        <v>7.2641999999999998</v>
      </c>
      <c r="M14" s="2" cm="1">
        <f t="array" ref="M14">IF(hp!M14=0,0,_xll.BDP(M$4,"YAS_BOND_YLD", "YAS_BOND_PX",hp!M14, "SETTLE_DT", TEXT(ya!$C14,"YYYYMMDD")))</f>
        <v>0</v>
      </c>
      <c r="N14" s="2" cm="1">
        <f t="array" ref="N14">IF(hp!N14=0,0,_xll.BDP(N$4,"YAS_BOND_YLD", "YAS_BOND_PX",hp!N14, "SETTLE_DT", TEXT(ya!$C14,"YYYYMMDD")))</f>
        <v>0</v>
      </c>
      <c r="O14" s="2" cm="1">
        <f t="array" ref="O14">IF(hp!O14=0,0,_xll.BDP(O$4,"YAS_BOND_YLD", "YAS_BOND_PX",hp!O14, "SETTLE_DT", TEXT(ya!$C14,"YYYYMMDD")))</f>
        <v>0</v>
      </c>
      <c r="P14" s="2" cm="1">
        <f t="array" ref="P14">IF(hp!P14=0,0,_xll.BDP(P$4,"YAS_BOND_YLD", "YAS_BOND_PX",hp!P14, "SETTLE_DT", TEXT(ya!$C14,"YYYYMMDD")))</f>
        <v>0</v>
      </c>
      <c r="Q14" s="2" cm="1">
        <f t="array" ref="Q14">IF(hp!Q14=0,0,_xll.BDP(Q$4,"YAS_BOND_YLD", "YAS_BOND_PX",hp!Q14, "SETTLE_DT", TEXT(ya!$C14,"YYYYMMDD")))</f>
        <v>7.2342000000000004</v>
      </c>
      <c r="R14" s="2" cm="1">
        <f t="array" ref="R14">IF(hp!R14=0,0,_xll.BDP(R$4,"YAS_BOND_YLD", "YAS_BOND_PX",hp!R14, "SETTLE_DT", TEXT(ya!$C14,"YYYYMMDD")))</f>
        <v>0</v>
      </c>
      <c r="S14" s="2" cm="1">
        <f t="array" ref="S14">IF(hp!S14=0,0,_xll.BDP(S$4,"YAS_BOND_YLD", "YAS_BOND_PX",hp!S14, "SETTLE_DT", TEXT(ya!$C14,"YYYYMMDD")))</f>
        <v>0</v>
      </c>
      <c r="T14" s="2" cm="1">
        <f t="array" ref="T14">IF(hp!T14=0,0,_xll.BDP(T$4,"YAS_BOND_YLD", "YAS_BOND_PX",hp!T14, "SETTLE_DT", TEXT(ya!$C14,"YYYYMMDD")))</f>
        <v>0</v>
      </c>
      <c r="U14" s="2" cm="1">
        <f t="array" ref="U14">IF(hp!U14=0,0,_xll.BDP(U$4,"YAS_BOND_YLD", "YAS_BOND_PX",hp!U14, "SETTLE_DT", TEXT(ya!$C14,"YYYYMMDD")))</f>
        <v>7.2140000000000004</v>
      </c>
      <c r="V14" s="2" cm="1">
        <f t="array" ref="V14">IF(hp!V14=0,0,_xll.BDP(V$4,"YAS_BOND_YLD", "YAS_BOND_PX",hp!V14, "SETTLE_DT", TEXT(ya!$C14,"YYYYMMDD")))</f>
        <v>0</v>
      </c>
      <c r="W14" s="2" cm="1">
        <f t="array" ref="W14">IF(hp!W14=0,0,_xll.BDP(W$4,"YAS_BOND_YLD", "YAS_BOND_PX",hp!W14, "SETTLE_DT", TEXT(ya!$C14,"YYYYMMDD")))</f>
        <v>0</v>
      </c>
      <c r="X14" s="2" cm="1">
        <f t="array" ref="X14">IF(hp!X14=0,0,_xll.BDP(X$4,"YAS_BOND_YLD", "YAS_BOND_PX",hp!X14, "SETTLE_DT", TEXT(ya!$C14,"YYYYMMDD")))</f>
        <v>0</v>
      </c>
      <c r="Y14" s="2" cm="1">
        <f t="array" ref="Y14">IF(hp!Y14=0,0,_xll.BDP(Y$4,"YAS_BOND_YLD", "YAS_BOND_PX",hp!Y14, "SETTLE_DT", TEXT(ya!$C14,"YYYYMMDD")))</f>
        <v>0</v>
      </c>
      <c r="Z14" s="2" cm="1">
        <f t="array" ref="Z14">IF(hp!Z14=0,0,_xll.BDP(Z$4,"YAS_BOND_YLD", "YAS_BOND_PX",hp!Z14, "SETTLE_DT", TEXT(ya!$C14,"YYYYMMDD")))</f>
        <v>0</v>
      </c>
      <c r="AA14" s="2" cm="1">
        <f t="array" ref="AA14">IF(hp!AA14=0,0,_xll.BDP(AA$4,"YAS_BOND_YLD", "YAS_BOND_PX",hp!AA14, "SETTLE_DT", TEXT(ya!$C14,"YYYYMMDD")))</f>
        <v>0</v>
      </c>
      <c r="AB14" s="2" cm="1">
        <f t="array" ref="AB14">IF(hp!AB14=0,0,_xll.BDP(AB$4,"YAS_BOND_YLD", "YAS_BOND_PX",hp!AB14, "SETTLE_DT", TEXT(ya!$C14,"YYYYMMDD")))</f>
        <v>0</v>
      </c>
      <c r="AC14" s="2" cm="1">
        <f t="array" ref="AC14">IF(hp!AC14=0,0,_xll.BDP(AC$4,"YAS_BOND_YLD", "YAS_BOND_PX",hp!AC14, "SETTLE_DT", TEXT(ya!$C14,"YYYYMMDD")))</f>
        <v>0</v>
      </c>
      <c r="AD14" s="2" cm="1">
        <f t="array" ref="AD14">IF(hp!AD14=0,0,_xll.BDP(AD$4,"YAS_BOND_YLD", "YAS_BOND_PX",hp!AD14, "SETTLE_DT", TEXT(ya!$C14,"YYYYMMDD")))</f>
        <v>7.1013000000000002</v>
      </c>
      <c r="AE14" s="2" cm="1">
        <f t="array" ref="AE14">IF(hp!AE14=0,0,_xll.BDP(AE$4,"YAS_BOND_YLD", "YAS_BOND_PX",hp!AE14, "SETTLE_DT", TEXT(ya!$C14,"YYYYMMDD")))</f>
        <v>0</v>
      </c>
      <c r="AF14" s="2" cm="1">
        <f t="array" ref="AF14">IF(hp!AF14=0,0,_xll.BDP(AF$4,"YAS_BOND_YLD", "YAS_BOND_PX",hp!AF14, "SETTLE_DT", TEXT(ya!$C14,"YYYYMMDD")))</f>
        <v>0</v>
      </c>
      <c r="AG14" s="2" cm="1">
        <f t="array" ref="AG14">IF(hp!AG14=0,0,_xll.BDP(AG$4,"YAS_BOND_YLD", "YAS_BOND_PX",hp!AG14, "SETTLE_DT", TEXT(ya!$C14,"YYYYMMDD")))</f>
        <v>0</v>
      </c>
      <c r="AH14" s="2" cm="1">
        <f t="array" ref="AH14">IF(hp!AH14=0,0,_xll.BDP(AH$4,"YAS_BOND_YLD", "YAS_BOND_PX",hp!AH14, "SETTLE_DT", TEXT(ya!$C14,"YYYYMMDD")))</f>
        <v>0</v>
      </c>
      <c r="AI14" s="2" cm="1">
        <f t="array" ref="AI14">IF(hp!AI14=0,0,_xll.BDP(AI$4,"YAS_BOND_YLD", "YAS_BOND_PX",hp!AI14, "SETTLE_DT", TEXT(ya!$C14,"YYYYMMDD")))</f>
        <v>0</v>
      </c>
      <c r="AJ14" s="2" cm="1">
        <f t="array" ref="AJ14">IF(hp!AJ14=0,0,_xll.BDP(AJ$4,"YAS_BOND_YLD", "YAS_BOND_PX",hp!AJ14, "SETTLE_DT", TEXT(ya!$C14,"YYYYMMDD")))</f>
        <v>0</v>
      </c>
      <c r="AK14" s="2" cm="1">
        <f t="array" ref="AK14">IF(hp!AK14=0,0,_xll.BDP(AK$4,"YAS_BOND_YLD", "YAS_BOND_PX",hp!AK14, "SETTLE_DT", TEXT(ya!$C14,"YYYYMMDD")))</f>
        <v>0</v>
      </c>
      <c r="AL14" s="2" cm="1">
        <f t="array" ref="AL14">IF(hp!AL14=0,0,_xll.BDP(AL$4,"YAS_BOND_YLD", "YAS_BOND_PX",hp!AL14, "SETTLE_DT", TEXT(ya!$C14,"YYYYMMDD")))</f>
        <v>0</v>
      </c>
      <c r="AM14" s="2" cm="1">
        <f t="array" ref="AM14">IF(hp!AM14=0,0,_xll.BDP(AM$4,"YAS_BOND_YLD", "YAS_BOND_PX",hp!AM14, "SETTLE_DT", TEXT(ya!$C14,"YYYYMMDD")))</f>
        <v>0</v>
      </c>
      <c r="AN14" s="2" cm="1">
        <f t="array" ref="AN14">IF(hp!AN14=0,0,_xll.BDP(AN$4,"YAS_BOND_YLD", "YAS_BOND_PX",hp!AN14, "SETTLE_DT", TEXT(ya!$C14,"YYYYMMDD")))</f>
        <v>0</v>
      </c>
      <c r="AO14" s="2" cm="1">
        <f t="array" ref="AO14">IF(hp!AO14=0,0,_xll.BDP(AO$4,"YAS_BOND_YLD", "YAS_BOND_PX",hp!AO14, "SETTLE_DT", TEXT(ya!$C14,"YYYYMMDD")))</f>
        <v>0</v>
      </c>
      <c r="AP14" s="2" cm="1">
        <f t="array" ref="AP14">IF(hp!AP14=0,0,_xll.BDP(AP$4,"YAS_BOND_YLD", "YAS_BOND_PX",hp!AP14, "SETTLE_DT", TEXT(ya!$C14,"YYYYMMDD")))</f>
        <v>0</v>
      </c>
      <c r="AQ14" s="2" cm="1">
        <f t="array" ref="AQ14">IF(hp!AQ14=0,0,_xll.BDP(AQ$4,"YAS_BOND_YLD", "YAS_BOND_PX",hp!AQ14, "SETTLE_DT", TEXT(ya!$C14,"YYYYMMDD")))</f>
        <v>0</v>
      </c>
      <c r="AR14" s="2" cm="1">
        <f t="array" ref="AR14">IF(hp!AR14=0,0,_xll.BDP(AR$4,"YAS_BOND_YLD", "YAS_BOND_PX",hp!AR14, "SETTLE_DT", TEXT(ya!$C14,"YYYYMMDD")))</f>
        <v>6.7915000000000001</v>
      </c>
      <c r="AS14" s="2" cm="1">
        <f t="array" ref="AS14">IF(hp!AS14=0,0,_xll.BDP(AS$4,"YAS_BOND_YLD", "YAS_BOND_PX",hp!AS14, "SETTLE_DT", TEXT(ya!$C14,"YYYYMMDD")))</f>
        <v>0</v>
      </c>
      <c r="AT14" s="2" cm="1">
        <f t="array" ref="AT14">IF(hp!AT14=0,0,_xll.BDP(AT$4,"YAS_BOND_YLD", "YAS_BOND_PX",hp!AT14, "SETTLE_DT", TEXT(ya!$C14,"YYYYMMDD")))</f>
        <v>0</v>
      </c>
      <c r="AU14" s="2" cm="1">
        <f t="array" ref="AU14">IF(hp!AU14=0,0,_xll.BDP(AU$4,"YAS_BOND_YLD", "YAS_BOND_PX",hp!AU14, "SETTLE_DT", TEXT(ya!$C14,"YYYYMMDD")))</f>
        <v>0</v>
      </c>
      <c r="AV14" s="2" cm="1">
        <f t="array" ref="AV14">IF(hp!AV14=0,0,_xll.BDP(AV$4,"YAS_BOND_YLD", "YAS_BOND_PX",hp!AV14, "SETTLE_DT", TEXT(ya!$C14,"YYYYMMDD")))</f>
        <v>0</v>
      </c>
      <c r="AW14" s="2" cm="1">
        <f t="array" ref="AW14">IF(hp!AW14=0,0,_xll.BDP(AW$4,"YAS_BOND_YLD", "YAS_BOND_PX",hp!AW14, "SETTLE_DT", TEXT(ya!$C14,"YYYYMMDD")))</f>
        <v>0</v>
      </c>
      <c r="AX14" s="2" cm="1">
        <f t="array" ref="AX14">IF(hp!AX14=0,0,_xll.BDP(AX$4,"YAS_BOND_YLD", "YAS_BOND_PX",hp!AX14, "SETTLE_DT", TEXT(ya!$C14,"YYYYMMDD")))</f>
        <v>0</v>
      </c>
      <c r="AY14" s="2" cm="1">
        <f t="array" ref="AY14">IF(hp!AY14=0,0,_xll.BDP(AY$4,"YAS_BOND_YLD", "YAS_BOND_PX",hp!AY14, "SETTLE_DT", TEXT(ya!$C14,"YYYYMMDD")))</f>
        <v>0</v>
      </c>
      <c r="AZ14" s="2" cm="1">
        <f t="array" ref="AZ14">IF(hp!AZ14=0,0,_xll.BDP(AZ$4,"YAS_BOND_YLD", "YAS_BOND_PX",hp!AZ14, "SETTLE_DT", TEXT(ya!$C14,"YYYYMMDD")))</f>
        <v>0</v>
      </c>
    </row>
    <row r="15" spans="1:52" x14ac:dyDescent="0.25">
      <c r="A15" s="1"/>
      <c r="B15" s="2"/>
      <c r="C15" s="1">
        <v>42369</v>
      </c>
      <c r="D15" s="2" cm="1">
        <f t="array" ref="D15">IF(hp!D15=0,0,_xll.BDP(D$4,"YAS_BOND_YLD", "YAS_BOND_PX",hp!D15, "SETTLE_DT", TEXT(ya!$C15,"YYYYMMDD")))</f>
        <v>0</v>
      </c>
      <c r="E15" s="2" cm="1">
        <f t="array" ref="E15">IF(hp!E15=0,0,_xll.BDP(E$4,"YAS_BOND_YLD", "YAS_BOND_PX",hp!E15, "SETTLE_DT", TEXT(ya!$C15,"YYYYMMDD")))</f>
        <v>0</v>
      </c>
      <c r="F15" s="2" cm="1">
        <f t="array" ref="F15">IF(hp!F15=0,0,_xll.BDP(F$4,"YAS_BOND_YLD", "YAS_BOND_PX",hp!F15, "SETTLE_DT", TEXT(ya!$C15,"YYYYMMDD")))</f>
        <v>0</v>
      </c>
      <c r="G15" s="2" cm="1">
        <f t="array" ref="G15">IF(hp!G15=0,0,_xll.BDP(G$4,"YAS_BOND_YLD", "YAS_BOND_PX",hp!G15, "SETTLE_DT", TEXT(ya!$C15,"YYYYMMDD")))</f>
        <v>7.45</v>
      </c>
      <c r="H15" s="2" cm="1">
        <f t="array" ref="H15">IF(hp!H15=0,0,_xll.BDP(H$4,"YAS_BOND_YLD", "YAS_BOND_PX",hp!H15, "SETTLE_DT", TEXT(ya!$C15,"YYYYMMDD")))</f>
        <v>0</v>
      </c>
      <c r="I15" s="2" cm="1">
        <f t="array" ref="I15">IF(hp!I15=0,0,_xll.BDP(I$4,"YAS_BOND_YLD", "YAS_BOND_PX",hp!I15, "SETTLE_DT", TEXT(ya!$C15,"YYYYMMDD")))</f>
        <v>0</v>
      </c>
      <c r="J15" s="2" cm="1">
        <f t="array" ref="J15">IF(hp!J15=0,0,_xll.BDP(J$4,"YAS_BOND_YLD", "YAS_BOND_PX",hp!J15, "SETTLE_DT", TEXT(ya!$C15,"YYYYMMDD")))</f>
        <v>7.2893999999999997</v>
      </c>
      <c r="K15" s="2" cm="1">
        <f t="array" ref="K15">IF(hp!K15=0,0,_xll.BDP(K$4,"YAS_BOND_YLD", "YAS_BOND_PX",hp!K15, "SETTLE_DT", TEXT(ya!$C15,"YYYYMMDD")))</f>
        <v>0</v>
      </c>
      <c r="L15" s="2" cm="1">
        <f t="array" ref="L15">IF(hp!L15=0,0,_xll.BDP(L$4,"YAS_BOND_YLD", "YAS_BOND_PX",hp!L15, "SETTLE_DT", TEXT(ya!$C15,"YYYYMMDD")))</f>
        <v>7.3525</v>
      </c>
      <c r="M15" s="2" cm="1">
        <f t="array" ref="M15">IF(hp!M15=0,0,_xll.BDP(M$4,"YAS_BOND_YLD", "YAS_BOND_PX",hp!M15, "SETTLE_DT", TEXT(ya!$C15,"YYYYMMDD")))</f>
        <v>0</v>
      </c>
      <c r="N15" s="2" cm="1">
        <f t="array" ref="N15">IF(hp!N15=0,0,_xll.BDP(N$4,"YAS_BOND_YLD", "YAS_BOND_PX",hp!N15, "SETTLE_DT", TEXT(ya!$C15,"YYYYMMDD")))</f>
        <v>0</v>
      </c>
      <c r="O15" s="2" cm="1">
        <f t="array" ref="O15">IF(hp!O15=0,0,_xll.BDP(O$4,"YAS_BOND_YLD", "YAS_BOND_PX",hp!O15, "SETTLE_DT", TEXT(ya!$C15,"YYYYMMDD")))</f>
        <v>0</v>
      </c>
      <c r="P15" s="2" cm="1">
        <f t="array" ref="P15">IF(hp!P15=0,0,_xll.BDP(P$4,"YAS_BOND_YLD", "YAS_BOND_PX",hp!P15, "SETTLE_DT", TEXT(ya!$C15,"YYYYMMDD")))</f>
        <v>0</v>
      </c>
      <c r="Q15" s="2" cm="1">
        <f t="array" ref="Q15">IF(hp!Q15=0,0,_xll.BDP(Q$4,"YAS_BOND_YLD", "YAS_BOND_PX",hp!Q15, "SETTLE_DT", TEXT(ya!$C15,"YYYYMMDD")))</f>
        <v>7.45</v>
      </c>
      <c r="R15" s="2" cm="1">
        <f t="array" ref="R15">IF(hp!R15=0,0,_xll.BDP(R$4,"YAS_BOND_YLD", "YAS_BOND_PX",hp!R15, "SETTLE_DT", TEXT(ya!$C15,"YYYYMMDD")))</f>
        <v>0</v>
      </c>
      <c r="S15" s="2" cm="1">
        <f t="array" ref="S15">IF(hp!S15=0,0,_xll.BDP(S$4,"YAS_BOND_YLD", "YAS_BOND_PX",hp!S15, "SETTLE_DT", TEXT(ya!$C15,"YYYYMMDD")))</f>
        <v>0</v>
      </c>
      <c r="T15" s="2" cm="1">
        <f t="array" ref="T15">IF(hp!T15=0,0,_xll.BDP(T$4,"YAS_BOND_YLD", "YAS_BOND_PX",hp!T15, "SETTLE_DT", TEXT(ya!$C15,"YYYYMMDD")))</f>
        <v>0</v>
      </c>
      <c r="U15" s="2" cm="1">
        <f t="array" ref="U15">IF(hp!U15=0,0,_xll.BDP(U$4,"YAS_BOND_YLD", "YAS_BOND_PX",hp!U15, "SETTLE_DT", TEXT(ya!$C15,"YYYYMMDD")))</f>
        <v>7.3209</v>
      </c>
      <c r="V15" s="2" cm="1">
        <f t="array" ref="V15">IF(hp!V15=0,0,_xll.BDP(V$4,"YAS_BOND_YLD", "YAS_BOND_PX",hp!V15, "SETTLE_DT", TEXT(ya!$C15,"YYYYMMDD")))</f>
        <v>0</v>
      </c>
      <c r="W15" s="2" cm="1">
        <f t="array" ref="W15">IF(hp!W15=0,0,_xll.BDP(W$4,"YAS_BOND_YLD", "YAS_BOND_PX",hp!W15, "SETTLE_DT", TEXT(ya!$C15,"YYYYMMDD")))</f>
        <v>0</v>
      </c>
      <c r="X15" s="2" cm="1">
        <f t="array" ref="X15">IF(hp!X15=0,0,_xll.BDP(X$4,"YAS_BOND_YLD", "YAS_BOND_PX",hp!X15, "SETTLE_DT", TEXT(ya!$C15,"YYYYMMDD")))</f>
        <v>0</v>
      </c>
      <c r="Y15" s="2" cm="1">
        <f t="array" ref="Y15">IF(hp!Y15=0,0,_xll.BDP(Y$4,"YAS_BOND_YLD", "YAS_BOND_PX",hp!Y15, "SETTLE_DT", TEXT(ya!$C15,"YYYYMMDD")))</f>
        <v>0</v>
      </c>
      <c r="Z15" s="2" cm="1">
        <f t="array" ref="Z15">IF(hp!Z15=0,0,_xll.BDP(Z$4,"YAS_BOND_YLD", "YAS_BOND_PX",hp!Z15, "SETTLE_DT", TEXT(ya!$C15,"YYYYMMDD")))</f>
        <v>0</v>
      </c>
      <c r="AA15" s="2" cm="1">
        <f t="array" ref="AA15">IF(hp!AA15=0,0,_xll.BDP(AA$4,"YAS_BOND_YLD", "YAS_BOND_PX",hp!AA15, "SETTLE_DT", TEXT(ya!$C15,"YYYYMMDD")))</f>
        <v>0</v>
      </c>
      <c r="AB15" s="2" cm="1">
        <f t="array" ref="AB15">IF(hp!AB15=0,0,_xll.BDP(AB$4,"YAS_BOND_YLD", "YAS_BOND_PX",hp!AB15, "SETTLE_DT", TEXT(ya!$C15,"YYYYMMDD")))</f>
        <v>0</v>
      </c>
      <c r="AC15" s="2" cm="1">
        <f t="array" ref="AC15">IF(hp!AC15=0,0,_xll.BDP(AC$4,"YAS_BOND_YLD", "YAS_BOND_PX",hp!AC15, "SETTLE_DT", TEXT(ya!$C15,"YYYYMMDD")))</f>
        <v>0</v>
      </c>
      <c r="AD15" s="2" cm="1">
        <f t="array" ref="AD15">IF(hp!AD15=0,0,_xll.BDP(AD$4,"YAS_BOND_YLD", "YAS_BOND_PX",hp!AD15, "SETTLE_DT", TEXT(ya!$C15,"YYYYMMDD")))</f>
        <v>7.3</v>
      </c>
      <c r="AE15" s="2" cm="1">
        <f t="array" ref="AE15">IF(hp!AE15=0,0,_xll.BDP(AE$4,"YAS_BOND_YLD", "YAS_BOND_PX",hp!AE15, "SETTLE_DT", TEXT(ya!$C15,"YYYYMMDD")))</f>
        <v>0</v>
      </c>
      <c r="AF15" s="2" cm="1">
        <f t="array" ref="AF15">IF(hp!AF15=0,0,_xll.BDP(AF$4,"YAS_BOND_YLD", "YAS_BOND_PX",hp!AF15, "SETTLE_DT", TEXT(ya!$C15,"YYYYMMDD")))</f>
        <v>0</v>
      </c>
      <c r="AG15" s="2" cm="1">
        <f t="array" ref="AG15">IF(hp!AG15=0,0,_xll.BDP(AG$4,"YAS_BOND_YLD", "YAS_BOND_PX",hp!AG15, "SETTLE_DT", TEXT(ya!$C15,"YYYYMMDD")))</f>
        <v>0</v>
      </c>
      <c r="AH15" s="2" cm="1">
        <f t="array" ref="AH15">IF(hp!AH15=0,0,_xll.BDP(AH$4,"YAS_BOND_YLD", "YAS_BOND_PX",hp!AH15, "SETTLE_DT", TEXT(ya!$C15,"YYYYMMDD")))</f>
        <v>0</v>
      </c>
      <c r="AI15" s="2" cm="1">
        <f t="array" ref="AI15">IF(hp!AI15=0,0,_xll.BDP(AI$4,"YAS_BOND_YLD", "YAS_BOND_PX",hp!AI15, "SETTLE_DT", TEXT(ya!$C15,"YYYYMMDD")))</f>
        <v>0</v>
      </c>
      <c r="AJ15" s="2" cm="1">
        <f t="array" ref="AJ15">IF(hp!AJ15=0,0,_xll.BDP(AJ$4,"YAS_BOND_YLD", "YAS_BOND_PX",hp!AJ15, "SETTLE_DT", TEXT(ya!$C15,"YYYYMMDD")))</f>
        <v>0</v>
      </c>
      <c r="AK15" s="2" cm="1">
        <f t="array" ref="AK15">IF(hp!AK15=0,0,_xll.BDP(AK$4,"YAS_BOND_YLD", "YAS_BOND_PX",hp!AK15, "SETTLE_DT", TEXT(ya!$C15,"YYYYMMDD")))</f>
        <v>0</v>
      </c>
      <c r="AL15" s="2" cm="1">
        <f t="array" ref="AL15">IF(hp!AL15=0,0,_xll.BDP(AL$4,"YAS_BOND_YLD", "YAS_BOND_PX",hp!AL15, "SETTLE_DT", TEXT(ya!$C15,"YYYYMMDD")))</f>
        <v>0</v>
      </c>
      <c r="AM15" s="2" cm="1">
        <f t="array" ref="AM15">IF(hp!AM15=0,0,_xll.BDP(AM$4,"YAS_BOND_YLD", "YAS_BOND_PX",hp!AM15, "SETTLE_DT", TEXT(ya!$C15,"YYYYMMDD")))</f>
        <v>0</v>
      </c>
      <c r="AN15" s="2" cm="1">
        <f t="array" ref="AN15">IF(hp!AN15=0,0,_xll.BDP(AN$4,"YAS_BOND_YLD", "YAS_BOND_PX",hp!AN15, "SETTLE_DT", TEXT(ya!$C15,"YYYYMMDD")))</f>
        <v>0</v>
      </c>
      <c r="AO15" s="2" cm="1">
        <f t="array" ref="AO15">IF(hp!AO15=0,0,_xll.BDP(AO$4,"YAS_BOND_YLD", "YAS_BOND_PX",hp!AO15, "SETTLE_DT", TEXT(ya!$C15,"YYYYMMDD")))</f>
        <v>0</v>
      </c>
      <c r="AP15" s="2" cm="1">
        <f t="array" ref="AP15">IF(hp!AP15=0,0,_xll.BDP(AP$4,"YAS_BOND_YLD", "YAS_BOND_PX",hp!AP15, "SETTLE_DT", TEXT(ya!$C15,"YYYYMMDD")))</f>
        <v>0</v>
      </c>
      <c r="AQ15" s="2" cm="1">
        <f t="array" ref="AQ15">IF(hp!AQ15=0,0,_xll.BDP(AQ$4,"YAS_BOND_YLD", "YAS_BOND_PX",hp!AQ15, "SETTLE_DT", TEXT(ya!$C15,"YYYYMMDD")))</f>
        <v>0</v>
      </c>
      <c r="AR15" s="2" cm="1">
        <f t="array" ref="AR15">IF(hp!AR15=0,0,_xll.BDP(AR$4,"YAS_BOND_YLD", "YAS_BOND_PX",hp!AR15, "SETTLE_DT", TEXT(ya!$C15,"YYYYMMDD")))</f>
        <v>7.0118</v>
      </c>
      <c r="AS15" s="2" cm="1">
        <f t="array" ref="AS15">IF(hp!AS15=0,0,_xll.BDP(AS$4,"YAS_BOND_YLD", "YAS_BOND_PX",hp!AS15, "SETTLE_DT", TEXT(ya!$C15,"YYYYMMDD")))</f>
        <v>0</v>
      </c>
      <c r="AT15" s="2" cm="1">
        <f t="array" ref="AT15">IF(hp!AT15=0,0,_xll.BDP(AT$4,"YAS_BOND_YLD", "YAS_BOND_PX",hp!AT15, "SETTLE_DT", TEXT(ya!$C15,"YYYYMMDD")))</f>
        <v>0</v>
      </c>
      <c r="AU15" s="2" cm="1">
        <f t="array" ref="AU15">IF(hp!AU15=0,0,_xll.BDP(AU$4,"YAS_BOND_YLD", "YAS_BOND_PX",hp!AU15, "SETTLE_DT", TEXT(ya!$C15,"YYYYMMDD")))</f>
        <v>0</v>
      </c>
      <c r="AV15" s="2" cm="1">
        <f t="array" ref="AV15">IF(hp!AV15=0,0,_xll.BDP(AV$4,"YAS_BOND_YLD", "YAS_BOND_PX",hp!AV15, "SETTLE_DT", TEXT(ya!$C15,"YYYYMMDD")))</f>
        <v>0</v>
      </c>
      <c r="AW15" s="2" cm="1">
        <f t="array" ref="AW15">IF(hp!AW15=0,0,_xll.BDP(AW$4,"YAS_BOND_YLD", "YAS_BOND_PX",hp!AW15, "SETTLE_DT", TEXT(ya!$C15,"YYYYMMDD")))</f>
        <v>0</v>
      </c>
      <c r="AX15" s="2" cm="1">
        <f t="array" ref="AX15">IF(hp!AX15=0,0,_xll.BDP(AX$4,"YAS_BOND_YLD", "YAS_BOND_PX",hp!AX15, "SETTLE_DT", TEXT(ya!$C15,"YYYYMMDD")))</f>
        <v>0</v>
      </c>
      <c r="AY15" s="2" cm="1">
        <f t="array" ref="AY15">IF(hp!AY15=0,0,_xll.BDP(AY$4,"YAS_BOND_YLD", "YAS_BOND_PX",hp!AY15, "SETTLE_DT", TEXT(ya!$C15,"YYYYMMDD")))</f>
        <v>0</v>
      </c>
      <c r="AZ15" s="2" cm="1">
        <f t="array" ref="AZ15">IF(hp!AZ15=0,0,_xll.BDP(AZ$4,"YAS_BOND_YLD", "YAS_BOND_PX",hp!AZ15, "SETTLE_DT", TEXT(ya!$C15,"YYYYMMDD")))</f>
        <v>0</v>
      </c>
    </row>
    <row r="16" spans="1:52" x14ac:dyDescent="0.25">
      <c r="A16" s="1"/>
      <c r="B16" s="2"/>
      <c r="C16" s="1">
        <v>42398</v>
      </c>
      <c r="D16" s="2" cm="1">
        <f t="array" ref="D16">IF(hp!D16=0,0,_xll.BDP(D$4,"YAS_BOND_YLD", "YAS_BOND_PX",hp!D16, "SETTLE_DT", TEXT(ya!$C16,"YYYYMMDD")))</f>
        <v>0</v>
      </c>
      <c r="E16" s="2" cm="1">
        <f t="array" ref="E16">IF(hp!E16=0,0,_xll.BDP(E$4,"YAS_BOND_YLD", "YAS_BOND_PX",hp!E16, "SETTLE_DT", TEXT(ya!$C16,"YYYYMMDD")))</f>
        <v>0</v>
      </c>
      <c r="F16" s="2" cm="1">
        <f t="array" ref="F16">IF(hp!F16=0,0,_xll.BDP(F$4,"YAS_BOND_YLD", "YAS_BOND_PX",hp!F16, "SETTLE_DT", TEXT(ya!$C16,"YYYYMMDD")))</f>
        <v>16.228000000000002</v>
      </c>
      <c r="G16" s="2" cm="1">
        <f t="array" ref="G16">IF(hp!G16=0,0,_xll.BDP(G$4,"YAS_BOND_YLD", "YAS_BOND_PX",hp!G16, "SETTLE_DT", TEXT(ya!$C16,"YYYYMMDD")))</f>
        <v>7.4466000000000001</v>
      </c>
      <c r="H16" s="2" cm="1">
        <f t="array" ref="H16">IF(hp!H16=0,0,_xll.BDP(H$4,"YAS_BOND_YLD", "YAS_BOND_PX",hp!H16, "SETTLE_DT", TEXT(ya!$C16,"YYYYMMDD")))</f>
        <v>0</v>
      </c>
      <c r="I16" s="2" cm="1">
        <f t="array" ref="I16">IF(hp!I16=0,0,_xll.BDP(I$4,"YAS_BOND_YLD", "YAS_BOND_PX",hp!I16, "SETTLE_DT", TEXT(ya!$C16,"YYYYMMDD")))</f>
        <v>0</v>
      </c>
      <c r="J16" s="2" cm="1">
        <f t="array" ref="J16">IF(hp!J16=0,0,_xll.BDP(J$4,"YAS_BOND_YLD", "YAS_BOND_PX",hp!J16, "SETTLE_DT", TEXT(ya!$C16,"YYYYMMDD")))</f>
        <v>7.3764000000000003</v>
      </c>
      <c r="K16" s="2" cm="1">
        <f t="array" ref="K16">IF(hp!K16=0,0,_xll.BDP(K$4,"YAS_BOND_YLD", "YAS_BOND_PX",hp!K16, "SETTLE_DT", TEXT(ya!$C16,"YYYYMMDD")))</f>
        <v>0</v>
      </c>
      <c r="L16" s="2" cm="1">
        <f t="array" ref="L16">IF(hp!L16=0,0,_xll.BDP(L$4,"YAS_BOND_YLD", "YAS_BOND_PX",hp!L16, "SETTLE_DT", TEXT(ya!$C16,"YYYYMMDD")))</f>
        <v>7.2638999999999996</v>
      </c>
      <c r="M16" s="2" cm="1">
        <f t="array" ref="M16">IF(hp!M16=0,0,_xll.BDP(M$4,"YAS_BOND_YLD", "YAS_BOND_PX",hp!M16, "SETTLE_DT", TEXT(ya!$C16,"YYYYMMDD")))</f>
        <v>0</v>
      </c>
      <c r="N16" s="2" cm="1">
        <f t="array" ref="N16">IF(hp!N16=0,0,_xll.BDP(N$4,"YAS_BOND_YLD", "YAS_BOND_PX",hp!N16, "SETTLE_DT", TEXT(ya!$C16,"YYYYMMDD")))</f>
        <v>7.4245000000000001</v>
      </c>
      <c r="O16" s="2" cm="1">
        <f t="array" ref="O16">IF(hp!O16=0,0,_xll.BDP(O$4,"YAS_BOND_YLD", "YAS_BOND_PX",hp!O16, "SETTLE_DT", TEXT(ya!$C16,"YYYYMMDD")))</f>
        <v>0</v>
      </c>
      <c r="P16" s="2" cm="1">
        <f t="array" ref="P16">IF(hp!P16=0,0,_xll.BDP(P$4,"YAS_BOND_YLD", "YAS_BOND_PX",hp!P16, "SETTLE_DT", TEXT(ya!$C16,"YYYYMMDD")))</f>
        <v>0</v>
      </c>
      <c r="Q16" s="2" cm="1">
        <f t="array" ref="Q16">IF(hp!Q16=0,0,_xll.BDP(Q$4,"YAS_BOND_YLD", "YAS_BOND_PX",hp!Q16, "SETTLE_DT", TEXT(ya!$C16,"YYYYMMDD")))</f>
        <v>7.4020999999999999</v>
      </c>
      <c r="R16" s="2" cm="1">
        <f t="array" ref="R16">IF(hp!R16=0,0,_xll.BDP(R$4,"YAS_BOND_YLD", "YAS_BOND_PX",hp!R16, "SETTLE_DT", TEXT(ya!$C16,"YYYYMMDD")))</f>
        <v>0</v>
      </c>
      <c r="S16" s="2" cm="1">
        <f t="array" ref="S16">IF(hp!S16=0,0,_xll.BDP(S$4,"YAS_BOND_YLD", "YAS_BOND_PX",hp!S16, "SETTLE_DT", TEXT(ya!$C16,"YYYYMMDD")))</f>
        <v>0</v>
      </c>
      <c r="T16" s="2" cm="1">
        <f t="array" ref="T16">IF(hp!T16=0,0,_xll.BDP(T$4,"YAS_BOND_YLD", "YAS_BOND_PX",hp!T16, "SETTLE_DT", TEXT(ya!$C16,"YYYYMMDD")))</f>
        <v>0</v>
      </c>
      <c r="U16" s="2" cm="1">
        <f t="array" ref="U16">IF(hp!U16=0,0,_xll.BDP(U$4,"YAS_BOND_YLD", "YAS_BOND_PX",hp!U16, "SETTLE_DT", TEXT(ya!$C16,"YYYYMMDD")))</f>
        <v>7.4042000000000003</v>
      </c>
      <c r="V16" s="2" cm="1">
        <f t="array" ref="V16">IF(hp!V16=0,0,_xll.BDP(V$4,"YAS_BOND_YLD", "YAS_BOND_PX",hp!V16, "SETTLE_DT", TEXT(ya!$C16,"YYYYMMDD")))</f>
        <v>0</v>
      </c>
      <c r="W16" s="2" cm="1">
        <f t="array" ref="W16">IF(hp!W16=0,0,_xll.BDP(W$4,"YAS_BOND_YLD", "YAS_BOND_PX",hp!W16, "SETTLE_DT", TEXT(ya!$C16,"YYYYMMDD")))</f>
        <v>0</v>
      </c>
      <c r="X16" s="2" cm="1">
        <f t="array" ref="X16">IF(hp!X16=0,0,_xll.BDP(X$4,"YAS_BOND_YLD", "YAS_BOND_PX",hp!X16, "SETTLE_DT", TEXT(ya!$C16,"YYYYMMDD")))</f>
        <v>0</v>
      </c>
      <c r="Y16" s="2" cm="1">
        <f t="array" ref="Y16">IF(hp!Y16=0,0,_xll.BDP(Y$4,"YAS_BOND_YLD", "YAS_BOND_PX",hp!Y16, "SETTLE_DT", TEXT(ya!$C16,"YYYYMMDD")))</f>
        <v>0</v>
      </c>
      <c r="Z16" s="2" cm="1">
        <f t="array" ref="Z16">IF(hp!Z16=0,0,_xll.BDP(Z$4,"YAS_BOND_YLD", "YAS_BOND_PX",hp!Z16, "SETTLE_DT", TEXT(ya!$C16,"YYYYMMDD")))</f>
        <v>0</v>
      </c>
      <c r="AA16" s="2" cm="1">
        <f t="array" ref="AA16">IF(hp!AA16=0,0,_xll.BDP(AA$4,"YAS_BOND_YLD", "YAS_BOND_PX",hp!AA16, "SETTLE_DT", TEXT(ya!$C16,"YYYYMMDD")))</f>
        <v>0</v>
      </c>
      <c r="AB16" s="2" cm="1">
        <f t="array" ref="AB16">IF(hp!AB16=0,0,_xll.BDP(AB$4,"YAS_BOND_YLD", "YAS_BOND_PX",hp!AB16, "SETTLE_DT", TEXT(ya!$C16,"YYYYMMDD")))</f>
        <v>0</v>
      </c>
      <c r="AC16" s="2" cm="1">
        <f t="array" ref="AC16">IF(hp!AC16=0,0,_xll.BDP(AC$4,"YAS_BOND_YLD", "YAS_BOND_PX",hp!AC16, "SETTLE_DT", TEXT(ya!$C16,"YYYYMMDD")))</f>
        <v>0</v>
      </c>
      <c r="AD16" s="2" cm="1">
        <f t="array" ref="AD16">IF(hp!AD16=0,0,_xll.BDP(AD$4,"YAS_BOND_YLD", "YAS_BOND_PX",hp!AD16, "SETTLE_DT", TEXT(ya!$C16,"YYYYMMDD")))</f>
        <v>7.3657000000000004</v>
      </c>
      <c r="AE16" s="2" cm="1">
        <f t="array" ref="AE16">IF(hp!AE16=0,0,_xll.BDP(AE$4,"YAS_BOND_YLD", "YAS_BOND_PX",hp!AE16, "SETTLE_DT", TEXT(ya!$C16,"YYYYMMDD")))</f>
        <v>0</v>
      </c>
      <c r="AF16" s="2" cm="1">
        <f t="array" ref="AF16">IF(hp!AF16=0,0,_xll.BDP(AF$4,"YAS_BOND_YLD", "YAS_BOND_PX",hp!AF16, "SETTLE_DT", TEXT(ya!$C16,"YYYYMMDD")))</f>
        <v>0</v>
      </c>
      <c r="AG16" s="2" cm="1">
        <f t="array" ref="AG16">IF(hp!AG16=0,0,_xll.BDP(AG$4,"YAS_BOND_YLD", "YAS_BOND_PX",hp!AG16, "SETTLE_DT", TEXT(ya!$C16,"YYYYMMDD")))</f>
        <v>0</v>
      </c>
      <c r="AH16" s="2" cm="1">
        <f t="array" ref="AH16">IF(hp!AH16=0,0,_xll.BDP(AH$4,"YAS_BOND_YLD", "YAS_BOND_PX",hp!AH16, "SETTLE_DT", TEXT(ya!$C16,"YYYYMMDD")))</f>
        <v>0</v>
      </c>
      <c r="AI16" s="2" cm="1">
        <f t="array" ref="AI16">IF(hp!AI16=0,0,_xll.BDP(AI$4,"YAS_BOND_YLD", "YAS_BOND_PX",hp!AI16, "SETTLE_DT", TEXT(ya!$C16,"YYYYMMDD")))</f>
        <v>0</v>
      </c>
      <c r="AJ16" s="2" cm="1">
        <f t="array" ref="AJ16">IF(hp!AJ16=0,0,_xll.BDP(AJ$4,"YAS_BOND_YLD", "YAS_BOND_PX",hp!AJ16, "SETTLE_DT", TEXT(ya!$C16,"YYYYMMDD")))</f>
        <v>0</v>
      </c>
      <c r="AK16" s="2" cm="1">
        <f t="array" ref="AK16">IF(hp!AK16=0,0,_xll.BDP(AK$4,"YAS_BOND_YLD", "YAS_BOND_PX",hp!AK16, "SETTLE_DT", TEXT(ya!$C16,"YYYYMMDD")))</f>
        <v>0</v>
      </c>
      <c r="AL16" s="2" cm="1">
        <f t="array" ref="AL16">IF(hp!AL16=0,0,_xll.BDP(AL$4,"YAS_BOND_YLD", "YAS_BOND_PX",hp!AL16, "SETTLE_DT", TEXT(ya!$C16,"YYYYMMDD")))</f>
        <v>0</v>
      </c>
      <c r="AM16" s="2" cm="1">
        <f t="array" ref="AM16">IF(hp!AM16=0,0,_xll.BDP(AM$4,"YAS_BOND_YLD", "YAS_BOND_PX",hp!AM16, "SETTLE_DT", TEXT(ya!$C16,"YYYYMMDD")))</f>
        <v>0</v>
      </c>
      <c r="AN16" s="2" cm="1">
        <f t="array" ref="AN16">IF(hp!AN16=0,0,_xll.BDP(AN$4,"YAS_BOND_YLD", "YAS_BOND_PX",hp!AN16, "SETTLE_DT", TEXT(ya!$C16,"YYYYMMDD")))</f>
        <v>0</v>
      </c>
      <c r="AO16" s="2" cm="1">
        <f t="array" ref="AO16">IF(hp!AO16=0,0,_xll.BDP(AO$4,"YAS_BOND_YLD", "YAS_BOND_PX",hp!AO16, "SETTLE_DT", TEXT(ya!$C16,"YYYYMMDD")))</f>
        <v>0</v>
      </c>
      <c r="AP16" s="2" cm="1">
        <f t="array" ref="AP16">IF(hp!AP16=0,0,_xll.BDP(AP$4,"YAS_BOND_YLD", "YAS_BOND_PX",hp!AP16, "SETTLE_DT", TEXT(ya!$C16,"YYYYMMDD")))</f>
        <v>0</v>
      </c>
      <c r="AQ16" s="2" cm="1">
        <f t="array" ref="AQ16">IF(hp!AQ16=0,0,_xll.BDP(AQ$4,"YAS_BOND_YLD", "YAS_BOND_PX",hp!AQ16, "SETTLE_DT", TEXT(ya!$C16,"YYYYMMDD")))</f>
        <v>0</v>
      </c>
      <c r="AR16" s="2" cm="1">
        <f t="array" ref="AR16">IF(hp!AR16=0,0,_xll.BDP(AR$4,"YAS_BOND_YLD", "YAS_BOND_PX",hp!AR16, "SETTLE_DT", TEXT(ya!$C16,"YYYYMMDD")))</f>
        <v>7.5114999999999998</v>
      </c>
      <c r="AS16" s="2" cm="1">
        <f t="array" ref="AS16">IF(hp!AS16=0,0,_xll.BDP(AS$4,"YAS_BOND_YLD", "YAS_BOND_PX",hp!AS16, "SETTLE_DT", TEXT(ya!$C16,"YYYYMMDD")))</f>
        <v>0</v>
      </c>
      <c r="AT16" s="2" cm="1">
        <f t="array" ref="AT16">IF(hp!AT16=0,0,_xll.BDP(AT$4,"YAS_BOND_YLD", "YAS_BOND_PX",hp!AT16, "SETTLE_DT", TEXT(ya!$C16,"YYYYMMDD")))</f>
        <v>0</v>
      </c>
      <c r="AU16" s="2" cm="1">
        <f t="array" ref="AU16">IF(hp!AU16=0,0,_xll.BDP(AU$4,"YAS_BOND_YLD", "YAS_BOND_PX",hp!AU16, "SETTLE_DT", TEXT(ya!$C16,"YYYYMMDD")))</f>
        <v>0</v>
      </c>
      <c r="AV16" s="2" cm="1">
        <f t="array" ref="AV16">IF(hp!AV16=0,0,_xll.BDP(AV$4,"YAS_BOND_YLD", "YAS_BOND_PX",hp!AV16, "SETTLE_DT", TEXT(ya!$C16,"YYYYMMDD")))</f>
        <v>0</v>
      </c>
      <c r="AW16" s="2" cm="1">
        <f t="array" ref="AW16">IF(hp!AW16=0,0,_xll.BDP(AW$4,"YAS_BOND_YLD", "YAS_BOND_PX",hp!AW16, "SETTLE_DT", TEXT(ya!$C16,"YYYYMMDD")))</f>
        <v>0</v>
      </c>
      <c r="AX16" s="2" cm="1">
        <f t="array" ref="AX16">IF(hp!AX16=0,0,_xll.BDP(AX$4,"YAS_BOND_YLD", "YAS_BOND_PX",hp!AX16, "SETTLE_DT", TEXT(ya!$C16,"YYYYMMDD")))</f>
        <v>0</v>
      </c>
      <c r="AY16" s="2" cm="1">
        <f t="array" ref="AY16">IF(hp!AY16=0,0,_xll.BDP(AY$4,"YAS_BOND_YLD", "YAS_BOND_PX",hp!AY16, "SETTLE_DT", TEXT(ya!$C16,"YYYYMMDD")))</f>
        <v>0</v>
      </c>
      <c r="AZ16" s="2" cm="1">
        <f t="array" ref="AZ16">IF(hp!AZ16=0,0,_xll.BDP(AZ$4,"YAS_BOND_YLD", "YAS_BOND_PX",hp!AZ16, "SETTLE_DT", TEXT(ya!$C16,"YYYYMMDD")))</f>
        <v>0</v>
      </c>
    </row>
    <row r="17" spans="1:52" x14ac:dyDescent="0.25">
      <c r="A17" s="1"/>
      <c r="B17" s="2"/>
      <c r="C17" s="1">
        <v>42429</v>
      </c>
      <c r="D17" s="2" cm="1">
        <f t="array" ref="D17">IF(hp!D17=0,0,_xll.BDP(D$4,"YAS_BOND_YLD", "YAS_BOND_PX",hp!D17, "SETTLE_DT", TEXT(ya!$C17,"YYYYMMDD")))</f>
        <v>0</v>
      </c>
      <c r="E17" s="2" cm="1">
        <f t="array" ref="E17">IF(hp!E17=0,0,_xll.BDP(E$4,"YAS_BOND_YLD", "YAS_BOND_PX",hp!E17, "SETTLE_DT", TEXT(ya!$C17,"YYYYMMDD")))</f>
        <v>0</v>
      </c>
      <c r="F17" s="2" cm="1">
        <f t="array" ref="F17">IF(hp!F17=0,0,_xll.BDP(F$4,"YAS_BOND_YLD", "YAS_BOND_PX",hp!F17, "SETTLE_DT", TEXT(ya!$C17,"YYYYMMDD")))</f>
        <v>16.069400000000002</v>
      </c>
      <c r="G17" s="2" cm="1">
        <f t="array" ref="G17">IF(hp!G17=0,0,_xll.BDP(G$4,"YAS_BOND_YLD", "YAS_BOND_PX",hp!G17, "SETTLE_DT", TEXT(ya!$C17,"YYYYMMDD")))</f>
        <v>7.3376000000000001</v>
      </c>
      <c r="H17" s="2" cm="1">
        <f t="array" ref="H17">IF(hp!H17=0,0,_xll.BDP(H$4,"YAS_BOND_YLD", "YAS_BOND_PX",hp!H17, "SETTLE_DT", TEXT(ya!$C17,"YYYYMMDD")))</f>
        <v>0</v>
      </c>
      <c r="I17" s="2" cm="1">
        <f t="array" ref="I17">IF(hp!I17=0,0,_xll.BDP(I$4,"YAS_BOND_YLD", "YAS_BOND_PX",hp!I17, "SETTLE_DT", TEXT(ya!$C17,"YYYYMMDD")))</f>
        <v>0</v>
      </c>
      <c r="J17" s="2" cm="1">
        <f t="array" ref="J17">IF(hp!J17=0,0,_xll.BDP(J$4,"YAS_BOND_YLD", "YAS_BOND_PX",hp!J17, "SETTLE_DT", TEXT(ya!$C17,"YYYYMMDD")))</f>
        <v>7.3559999999999999</v>
      </c>
      <c r="K17" s="2" cm="1">
        <f t="array" ref="K17">IF(hp!K17=0,0,_xll.BDP(K$4,"YAS_BOND_YLD", "YAS_BOND_PX",hp!K17, "SETTLE_DT", TEXT(ya!$C17,"YYYYMMDD")))</f>
        <v>0</v>
      </c>
      <c r="L17" s="2" cm="1">
        <f t="array" ref="L17">IF(hp!L17=0,0,_xll.BDP(L$4,"YAS_BOND_YLD", "YAS_BOND_PX",hp!L17, "SETTLE_DT", TEXT(ya!$C17,"YYYYMMDD")))</f>
        <v>7.1604999999999999</v>
      </c>
      <c r="M17" s="2" cm="1">
        <f t="array" ref="M17">IF(hp!M17=0,0,_xll.BDP(M$4,"YAS_BOND_YLD", "YAS_BOND_PX",hp!M17, "SETTLE_DT", TEXT(ya!$C17,"YYYYMMDD")))</f>
        <v>0</v>
      </c>
      <c r="N17" s="2" cm="1">
        <f t="array" ref="N17">IF(hp!N17=0,0,_xll.BDP(N$4,"YAS_BOND_YLD", "YAS_BOND_PX",hp!N17, "SETTLE_DT", TEXT(ya!$C17,"YYYYMMDD")))</f>
        <v>6.9599000000000002</v>
      </c>
      <c r="O17" s="2" cm="1">
        <f t="array" ref="O17">IF(hp!O17=0,0,_xll.BDP(O$4,"YAS_BOND_YLD", "YAS_BOND_PX",hp!O17, "SETTLE_DT", TEXT(ya!$C17,"YYYYMMDD")))</f>
        <v>0</v>
      </c>
      <c r="P17" s="2" cm="1">
        <f t="array" ref="P17">IF(hp!P17=0,0,_xll.BDP(P$4,"YAS_BOND_YLD", "YAS_BOND_PX",hp!P17, "SETTLE_DT", TEXT(ya!$C17,"YYYYMMDD")))</f>
        <v>0</v>
      </c>
      <c r="Q17" s="2" cm="1">
        <f t="array" ref="Q17">IF(hp!Q17=0,0,_xll.BDP(Q$4,"YAS_BOND_YLD", "YAS_BOND_PX",hp!Q17, "SETTLE_DT", TEXT(ya!$C17,"YYYYMMDD")))</f>
        <v>7.3829000000000002</v>
      </c>
      <c r="R17" s="2" cm="1">
        <f t="array" ref="R17">IF(hp!R17=0,0,_xll.BDP(R$4,"YAS_BOND_YLD", "YAS_BOND_PX",hp!R17, "SETTLE_DT", TEXT(ya!$C17,"YYYYMMDD")))</f>
        <v>0</v>
      </c>
      <c r="S17" s="2" cm="1">
        <f t="array" ref="S17">IF(hp!S17=0,0,_xll.BDP(S$4,"YAS_BOND_YLD", "YAS_BOND_PX",hp!S17, "SETTLE_DT", TEXT(ya!$C17,"YYYYMMDD")))</f>
        <v>0</v>
      </c>
      <c r="T17" s="2" cm="1">
        <f t="array" ref="T17">IF(hp!T17=0,0,_xll.BDP(T$4,"YAS_BOND_YLD", "YAS_BOND_PX",hp!T17, "SETTLE_DT", TEXT(ya!$C17,"YYYYMMDD")))</f>
        <v>0</v>
      </c>
      <c r="U17" s="2" cm="1">
        <f t="array" ref="U17">IF(hp!U17=0,0,_xll.BDP(U$4,"YAS_BOND_YLD", "YAS_BOND_PX",hp!U17, "SETTLE_DT", TEXT(ya!$C17,"YYYYMMDD")))</f>
        <v>7.2934000000000001</v>
      </c>
      <c r="V17" s="2" cm="1">
        <f t="array" ref="V17">IF(hp!V17=0,0,_xll.BDP(V$4,"YAS_BOND_YLD", "YAS_BOND_PX",hp!V17, "SETTLE_DT", TEXT(ya!$C17,"YYYYMMDD")))</f>
        <v>0</v>
      </c>
      <c r="W17" s="2" cm="1">
        <f t="array" ref="W17">IF(hp!W17=0,0,_xll.BDP(W$4,"YAS_BOND_YLD", "YAS_BOND_PX",hp!W17, "SETTLE_DT", TEXT(ya!$C17,"YYYYMMDD")))</f>
        <v>0</v>
      </c>
      <c r="X17" s="2" cm="1">
        <f t="array" ref="X17">IF(hp!X17=0,0,_xll.BDP(X$4,"YAS_BOND_YLD", "YAS_BOND_PX",hp!X17, "SETTLE_DT", TEXT(ya!$C17,"YYYYMMDD")))</f>
        <v>0</v>
      </c>
      <c r="Y17" s="2" cm="1">
        <f t="array" ref="Y17">IF(hp!Y17=0,0,_xll.BDP(Y$4,"YAS_BOND_YLD", "YAS_BOND_PX",hp!Y17, "SETTLE_DT", TEXT(ya!$C17,"YYYYMMDD")))</f>
        <v>0</v>
      </c>
      <c r="Z17" s="2" cm="1">
        <f t="array" ref="Z17">IF(hp!Z17=0,0,_xll.BDP(Z$4,"YAS_BOND_YLD", "YAS_BOND_PX",hp!Z17, "SETTLE_DT", TEXT(ya!$C17,"YYYYMMDD")))</f>
        <v>0</v>
      </c>
      <c r="AA17" s="2" cm="1">
        <f t="array" ref="AA17">IF(hp!AA17=0,0,_xll.BDP(AA$4,"YAS_BOND_YLD", "YAS_BOND_PX",hp!AA17, "SETTLE_DT", TEXT(ya!$C17,"YYYYMMDD")))</f>
        <v>0</v>
      </c>
      <c r="AB17" s="2" cm="1">
        <f t="array" ref="AB17">IF(hp!AB17=0,0,_xll.BDP(AB$4,"YAS_BOND_YLD", "YAS_BOND_PX",hp!AB17, "SETTLE_DT", TEXT(ya!$C17,"YYYYMMDD")))</f>
        <v>0</v>
      </c>
      <c r="AC17" s="2" cm="1">
        <f t="array" ref="AC17">IF(hp!AC17=0,0,_xll.BDP(AC$4,"YAS_BOND_YLD", "YAS_BOND_PX",hp!AC17, "SETTLE_DT", TEXT(ya!$C17,"YYYYMMDD")))</f>
        <v>0</v>
      </c>
      <c r="AD17" s="2" cm="1">
        <f t="array" ref="AD17">IF(hp!AD17=0,0,_xll.BDP(AD$4,"YAS_BOND_YLD", "YAS_BOND_PX",hp!AD17, "SETTLE_DT", TEXT(ya!$C17,"YYYYMMDD")))</f>
        <v>7.3360000000000003</v>
      </c>
      <c r="AE17" s="2" cm="1">
        <f t="array" ref="AE17">IF(hp!AE17=0,0,_xll.BDP(AE$4,"YAS_BOND_YLD", "YAS_BOND_PX",hp!AE17, "SETTLE_DT", TEXT(ya!$C17,"YYYYMMDD")))</f>
        <v>0</v>
      </c>
      <c r="AF17" s="2" cm="1">
        <f t="array" ref="AF17">IF(hp!AF17=0,0,_xll.BDP(AF$4,"YAS_BOND_YLD", "YAS_BOND_PX",hp!AF17, "SETTLE_DT", TEXT(ya!$C17,"YYYYMMDD")))</f>
        <v>0</v>
      </c>
      <c r="AG17" s="2" cm="1">
        <f t="array" ref="AG17">IF(hp!AG17=0,0,_xll.BDP(AG$4,"YAS_BOND_YLD", "YAS_BOND_PX",hp!AG17, "SETTLE_DT", TEXT(ya!$C17,"YYYYMMDD")))</f>
        <v>0</v>
      </c>
      <c r="AH17" s="2" cm="1">
        <f t="array" ref="AH17">IF(hp!AH17=0,0,_xll.BDP(AH$4,"YAS_BOND_YLD", "YAS_BOND_PX",hp!AH17, "SETTLE_DT", TEXT(ya!$C17,"YYYYMMDD")))</f>
        <v>0</v>
      </c>
      <c r="AI17" s="2" cm="1">
        <f t="array" ref="AI17">IF(hp!AI17=0,0,_xll.BDP(AI$4,"YAS_BOND_YLD", "YAS_BOND_PX",hp!AI17, "SETTLE_DT", TEXT(ya!$C17,"YYYYMMDD")))</f>
        <v>0</v>
      </c>
      <c r="AJ17" s="2" cm="1">
        <f t="array" ref="AJ17">IF(hp!AJ17=0,0,_xll.BDP(AJ$4,"YAS_BOND_YLD", "YAS_BOND_PX",hp!AJ17, "SETTLE_DT", TEXT(ya!$C17,"YYYYMMDD")))</f>
        <v>0</v>
      </c>
      <c r="AK17" s="2" cm="1">
        <f t="array" ref="AK17">IF(hp!AK17=0,0,_xll.BDP(AK$4,"YAS_BOND_YLD", "YAS_BOND_PX",hp!AK17, "SETTLE_DT", TEXT(ya!$C17,"YYYYMMDD")))</f>
        <v>0</v>
      </c>
      <c r="AL17" s="2" cm="1">
        <f t="array" ref="AL17">IF(hp!AL17=0,0,_xll.BDP(AL$4,"YAS_BOND_YLD", "YAS_BOND_PX",hp!AL17, "SETTLE_DT", TEXT(ya!$C17,"YYYYMMDD")))</f>
        <v>0</v>
      </c>
      <c r="AM17" s="2" cm="1">
        <f t="array" ref="AM17">IF(hp!AM17=0,0,_xll.BDP(AM$4,"YAS_BOND_YLD", "YAS_BOND_PX",hp!AM17, "SETTLE_DT", TEXT(ya!$C17,"YYYYMMDD")))</f>
        <v>0</v>
      </c>
      <c r="AN17" s="2" cm="1">
        <f t="array" ref="AN17">IF(hp!AN17=0,0,_xll.BDP(AN$4,"YAS_BOND_YLD", "YAS_BOND_PX",hp!AN17, "SETTLE_DT", TEXT(ya!$C17,"YYYYMMDD")))</f>
        <v>0</v>
      </c>
      <c r="AO17" s="2" cm="1">
        <f t="array" ref="AO17">IF(hp!AO17=0,0,_xll.BDP(AO$4,"YAS_BOND_YLD", "YAS_BOND_PX",hp!AO17, "SETTLE_DT", TEXT(ya!$C17,"YYYYMMDD")))</f>
        <v>0</v>
      </c>
      <c r="AP17" s="2" cm="1">
        <f t="array" ref="AP17">IF(hp!AP17=0,0,_xll.BDP(AP$4,"YAS_BOND_YLD", "YAS_BOND_PX",hp!AP17, "SETTLE_DT", TEXT(ya!$C17,"YYYYMMDD")))</f>
        <v>0</v>
      </c>
      <c r="AQ17" s="2" cm="1">
        <f t="array" ref="AQ17">IF(hp!AQ17=0,0,_xll.BDP(AQ$4,"YAS_BOND_YLD", "YAS_BOND_PX",hp!AQ17, "SETTLE_DT", TEXT(ya!$C17,"YYYYMMDD")))</f>
        <v>0</v>
      </c>
      <c r="AR17" s="2" cm="1">
        <f t="array" ref="AR17">IF(hp!AR17=0,0,_xll.BDP(AR$4,"YAS_BOND_YLD", "YAS_BOND_PX",hp!AR17, "SETTLE_DT", TEXT(ya!$C17,"YYYYMMDD")))</f>
        <v>7.3457999999999997</v>
      </c>
      <c r="AS17" s="2" cm="1">
        <f t="array" ref="AS17">IF(hp!AS17=0,0,_xll.BDP(AS$4,"YAS_BOND_YLD", "YAS_BOND_PX",hp!AS17, "SETTLE_DT", TEXT(ya!$C17,"YYYYMMDD")))</f>
        <v>0</v>
      </c>
      <c r="AT17" s="2" cm="1">
        <f t="array" ref="AT17">IF(hp!AT17=0,0,_xll.BDP(AT$4,"YAS_BOND_YLD", "YAS_BOND_PX",hp!AT17, "SETTLE_DT", TEXT(ya!$C17,"YYYYMMDD")))</f>
        <v>0</v>
      </c>
      <c r="AU17" s="2" cm="1">
        <f t="array" ref="AU17">IF(hp!AU17=0,0,_xll.BDP(AU$4,"YAS_BOND_YLD", "YAS_BOND_PX",hp!AU17, "SETTLE_DT", TEXT(ya!$C17,"YYYYMMDD")))</f>
        <v>0</v>
      </c>
      <c r="AV17" s="2" cm="1">
        <f t="array" ref="AV17">IF(hp!AV17=0,0,_xll.BDP(AV$4,"YAS_BOND_YLD", "YAS_BOND_PX",hp!AV17, "SETTLE_DT", TEXT(ya!$C17,"YYYYMMDD")))</f>
        <v>0</v>
      </c>
      <c r="AW17" s="2" cm="1">
        <f t="array" ref="AW17">IF(hp!AW17=0,0,_xll.BDP(AW$4,"YAS_BOND_YLD", "YAS_BOND_PX",hp!AW17, "SETTLE_DT", TEXT(ya!$C17,"YYYYMMDD")))</f>
        <v>0</v>
      </c>
      <c r="AX17" s="2" cm="1">
        <f t="array" ref="AX17">IF(hp!AX17=0,0,_xll.BDP(AX$4,"YAS_BOND_YLD", "YAS_BOND_PX",hp!AX17, "SETTLE_DT", TEXT(ya!$C17,"YYYYMMDD")))</f>
        <v>0</v>
      </c>
      <c r="AY17" s="2" cm="1">
        <f t="array" ref="AY17">IF(hp!AY17=0,0,_xll.BDP(AY$4,"YAS_BOND_YLD", "YAS_BOND_PX",hp!AY17, "SETTLE_DT", TEXT(ya!$C17,"YYYYMMDD")))</f>
        <v>0</v>
      </c>
      <c r="AZ17" s="2" cm="1">
        <f t="array" ref="AZ17">IF(hp!AZ17=0,0,_xll.BDP(AZ$4,"YAS_BOND_YLD", "YAS_BOND_PX",hp!AZ17, "SETTLE_DT", TEXT(ya!$C17,"YYYYMMDD")))</f>
        <v>0</v>
      </c>
    </row>
    <row r="18" spans="1:52" x14ac:dyDescent="0.25">
      <c r="A18" s="1"/>
      <c r="B18" s="2"/>
      <c r="C18" s="1">
        <v>42460</v>
      </c>
      <c r="D18" s="2" cm="1">
        <f t="array" ref="D18">IF(hp!D18=0,0,_xll.BDP(D$4,"YAS_BOND_YLD", "YAS_BOND_PX",hp!D18, "SETTLE_DT", TEXT(ya!$C18,"YYYYMMDD")))</f>
        <v>0</v>
      </c>
      <c r="E18" s="2" cm="1">
        <f t="array" ref="E18">IF(hp!E18=0,0,_xll.BDP(E$4,"YAS_BOND_YLD", "YAS_BOND_PX",hp!E18, "SETTLE_DT", TEXT(ya!$C18,"YYYYMMDD")))</f>
        <v>0</v>
      </c>
      <c r="F18" s="2" cm="1">
        <f t="array" ref="F18">IF(hp!F18=0,0,_xll.BDP(F$4,"YAS_BOND_YLD", "YAS_BOND_PX",hp!F18, "SETTLE_DT", TEXT(ya!$C18,"YYYYMMDD")))</f>
        <v>13.7475</v>
      </c>
      <c r="G18" s="2" cm="1">
        <f t="array" ref="G18">IF(hp!G18=0,0,_xll.BDP(G$4,"YAS_BOND_YLD", "YAS_BOND_PX",hp!G18, "SETTLE_DT", TEXT(ya!$C18,"YYYYMMDD")))</f>
        <v>6.4193999999999996</v>
      </c>
      <c r="H18" s="2" cm="1">
        <f t="array" ref="H18">IF(hp!H18=0,0,_xll.BDP(H$4,"YAS_BOND_YLD", "YAS_BOND_PX",hp!H18, "SETTLE_DT", TEXT(ya!$C18,"YYYYMMDD")))</f>
        <v>0</v>
      </c>
      <c r="I18" s="2" cm="1">
        <f t="array" ref="I18">IF(hp!I18=0,0,_xll.BDP(I$4,"YAS_BOND_YLD", "YAS_BOND_PX",hp!I18, "SETTLE_DT", TEXT(ya!$C18,"YYYYMMDD")))</f>
        <v>0</v>
      </c>
      <c r="J18" s="2" cm="1">
        <f t="array" ref="J18">IF(hp!J18=0,0,_xll.BDP(J$4,"YAS_BOND_YLD", "YAS_BOND_PX",hp!J18, "SETTLE_DT", TEXT(ya!$C18,"YYYYMMDD")))</f>
        <v>6.4721000000000002</v>
      </c>
      <c r="K18" s="2" cm="1">
        <f t="array" ref="K18">IF(hp!K18=0,0,_xll.BDP(K$4,"YAS_BOND_YLD", "YAS_BOND_PX",hp!K18, "SETTLE_DT", TEXT(ya!$C18,"YYYYMMDD")))</f>
        <v>0</v>
      </c>
      <c r="L18" s="2" cm="1">
        <f t="array" ref="L18">IF(hp!L18=0,0,_xll.BDP(L$4,"YAS_BOND_YLD", "YAS_BOND_PX",hp!L18, "SETTLE_DT", TEXT(ya!$C18,"YYYYMMDD")))</f>
        <v>6.38</v>
      </c>
      <c r="M18" s="2" cm="1">
        <f t="array" ref="M18">IF(hp!M18=0,0,_xll.BDP(M$4,"YAS_BOND_YLD", "YAS_BOND_PX",hp!M18, "SETTLE_DT", TEXT(ya!$C18,"YYYYMMDD")))</f>
        <v>0</v>
      </c>
      <c r="N18" s="2" cm="1">
        <f t="array" ref="N18">IF(hp!N18=0,0,_xll.BDP(N$4,"YAS_BOND_YLD", "YAS_BOND_PX",hp!N18, "SETTLE_DT", TEXT(ya!$C18,"YYYYMMDD")))</f>
        <v>6.4821999999999997</v>
      </c>
      <c r="O18" s="2" cm="1">
        <f t="array" ref="O18">IF(hp!O18=0,0,_xll.BDP(O$4,"YAS_BOND_YLD", "YAS_BOND_PX",hp!O18, "SETTLE_DT", TEXT(ya!$C18,"YYYYMMDD")))</f>
        <v>0</v>
      </c>
      <c r="P18" s="2" cm="1">
        <f t="array" ref="P18">IF(hp!P18=0,0,_xll.BDP(P$4,"YAS_BOND_YLD", "YAS_BOND_PX",hp!P18, "SETTLE_DT", TEXT(ya!$C18,"YYYYMMDD")))</f>
        <v>0</v>
      </c>
      <c r="Q18" s="2" cm="1">
        <f t="array" ref="Q18">IF(hp!Q18=0,0,_xll.BDP(Q$4,"YAS_BOND_YLD", "YAS_BOND_PX",hp!Q18, "SETTLE_DT", TEXT(ya!$C18,"YYYYMMDD")))</f>
        <v>6.4945000000000004</v>
      </c>
      <c r="R18" s="2" cm="1">
        <f t="array" ref="R18">IF(hp!R18=0,0,_xll.BDP(R$4,"YAS_BOND_YLD", "YAS_BOND_PX",hp!R18, "SETTLE_DT", TEXT(ya!$C18,"YYYYMMDD")))</f>
        <v>0</v>
      </c>
      <c r="S18" s="2" cm="1">
        <f t="array" ref="S18">IF(hp!S18=0,0,_xll.BDP(S$4,"YAS_BOND_YLD", "YAS_BOND_PX",hp!S18, "SETTLE_DT", TEXT(ya!$C18,"YYYYMMDD")))</f>
        <v>0</v>
      </c>
      <c r="T18" s="2" cm="1">
        <f t="array" ref="T18">IF(hp!T18=0,0,_xll.BDP(T$4,"YAS_BOND_YLD", "YAS_BOND_PX",hp!T18, "SETTLE_DT", TEXT(ya!$C18,"YYYYMMDD")))</f>
        <v>0</v>
      </c>
      <c r="U18" s="2" cm="1">
        <f t="array" ref="U18">IF(hp!U18=0,0,_xll.BDP(U$4,"YAS_BOND_YLD", "YAS_BOND_PX",hp!U18, "SETTLE_DT", TEXT(ya!$C18,"YYYYMMDD")))</f>
        <v>6.3982999999999999</v>
      </c>
      <c r="V18" s="2" cm="1">
        <f t="array" ref="V18">IF(hp!V18=0,0,_xll.BDP(V$4,"YAS_BOND_YLD", "YAS_BOND_PX",hp!V18, "SETTLE_DT", TEXT(ya!$C18,"YYYYMMDD")))</f>
        <v>0</v>
      </c>
      <c r="W18" s="2" cm="1">
        <f t="array" ref="W18">IF(hp!W18=0,0,_xll.BDP(W$4,"YAS_BOND_YLD", "YAS_BOND_PX",hp!W18, "SETTLE_DT", TEXT(ya!$C18,"YYYYMMDD")))</f>
        <v>0</v>
      </c>
      <c r="X18" s="2" cm="1">
        <f t="array" ref="X18">IF(hp!X18=0,0,_xll.BDP(X$4,"YAS_BOND_YLD", "YAS_BOND_PX",hp!X18, "SETTLE_DT", TEXT(ya!$C18,"YYYYMMDD")))</f>
        <v>0</v>
      </c>
      <c r="Y18" s="2" cm="1">
        <f t="array" ref="Y18">IF(hp!Y18=0,0,_xll.BDP(Y$4,"YAS_BOND_YLD", "YAS_BOND_PX",hp!Y18, "SETTLE_DT", TEXT(ya!$C18,"YYYYMMDD")))</f>
        <v>0</v>
      </c>
      <c r="Z18" s="2" cm="1">
        <f t="array" ref="Z18">IF(hp!Z18=0,0,_xll.BDP(Z$4,"YAS_BOND_YLD", "YAS_BOND_PX",hp!Z18, "SETTLE_DT", TEXT(ya!$C18,"YYYYMMDD")))</f>
        <v>0</v>
      </c>
      <c r="AA18" s="2" cm="1">
        <f t="array" ref="AA18">IF(hp!AA18=0,0,_xll.BDP(AA$4,"YAS_BOND_YLD", "YAS_BOND_PX",hp!AA18, "SETTLE_DT", TEXT(ya!$C18,"YYYYMMDD")))</f>
        <v>0</v>
      </c>
      <c r="AB18" s="2" cm="1">
        <f t="array" ref="AB18">IF(hp!AB18=0,0,_xll.BDP(AB$4,"YAS_BOND_YLD", "YAS_BOND_PX",hp!AB18, "SETTLE_DT", TEXT(ya!$C18,"YYYYMMDD")))</f>
        <v>0</v>
      </c>
      <c r="AC18" s="2" cm="1">
        <f t="array" ref="AC18">IF(hp!AC18=0,0,_xll.BDP(AC$4,"YAS_BOND_YLD", "YAS_BOND_PX",hp!AC18, "SETTLE_DT", TEXT(ya!$C18,"YYYYMMDD")))</f>
        <v>0</v>
      </c>
      <c r="AD18" s="2" cm="1">
        <f t="array" ref="AD18">IF(hp!AD18=0,0,_xll.BDP(AD$4,"YAS_BOND_YLD", "YAS_BOND_PX",hp!AD18, "SETTLE_DT", TEXT(ya!$C18,"YYYYMMDD")))</f>
        <v>6.4390999999999998</v>
      </c>
      <c r="AE18" s="2" cm="1">
        <f t="array" ref="AE18">IF(hp!AE18=0,0,_xll.BDP(AE$4,"YAS_BOND_YLD", "YAS_BOND_PX",hp!AE18, "SETTLE_DT", TEXT(ya!$C18,"YYYYMMDD")))</f>
        <v>0</v>
      </c>
      <c r="AF18" s="2" cm="1">
        <f t="array" ref="AF18">IF(hp!AF18=0,0,_xll.BDP(AF$4,"YAS_BOND_YLD", "YAS_BOND_PX",hp!AF18, "SETTLE_DT", TEXT(ya!$C18,"YYYYMMDD")))</f>
        <v>0</v>
      </c>
      <c r="AG18" s="2" cm="1">
        <f t="array" ref="AG18">IF(hp!AG18=0,0,_xll.BDP(AG$4,"YAS_BOND_YLD", "YAS_BOND_PX",hp!AG18, "SETTLE_DT", TEXT(ya!$C18,"YYYYMMDD")))</f>
        <v>0</v>
      </c>
      <c r="AH18" s="2" cm="1">
        <f t="array" ref="AH18">IF(hp!AH18=0,0,_xll.BDP(AH$4,"YAS_BOND_YLD", "YAS_BOND_PX",hp!AH18, "SETTLE_DT", TEXT(ya!$C18,"YYYYMMDD")))</f>
        <v>0</v>
      </c>
      <c r="AI18" s="2" cm="1">
        <f t="array" ref="AI18">IF(hp!AI18=0,0,_xll.BDP(AI$4,"YAS_BOND_YLD", "YAS_BOND_PX",hp!AI18, "SETTLE_DT", TEXT(ya!$C18,"YYYYMMDD")))</f>
        <v>0</v>
      </c>
      <c r="AJ18" s="2" cm="1">
        <f t="array" ref="AJ18">IF(hp!AJ18=0,0,_xll.BDP(AJ$4,"YAS_BOND_YLD", "YAS_BOND_PX",hp!AJ18, "SETTLE_DT", TEXT(ya!$C18,"YYYYMMDD")))</f>
        <v>0</v>
      </c>
      <c r="AK18" s="2" cm="1">
        <f t="array" ref="AK18">IF(hp!AK18=0,0,_xll.BDP(AK$4,"YAS_BOND_YLD", "YAS_BOND_PX",hp!AK18, "SETTLE_DT", TEXT(ya!$C18,"YYYYMMDD")))</f>
        <v>0</v>
      </c>
      <c r="AL18" s="2" cm="1">
        <f t="array" ref="AL18">IF(hp!AL18=0,0,_xll.BDP(AL$4,"YAS_BOND_YLD", "YAS_BOND_PX",hp!AL18, "SETTLE_DT", TEXT(ya!$C18,"YYYYMMDD")))</f>
        <v>0</v>
      </c>
      <c r="AM18" s="2" cm="1">
        <f t="array" ref="AM18">IF(hp!AM18=0,0,_xll.BDP(AM$4,"YAS_BOND_YLD", "YAS_BOND_PX",hp!AM18, "SETTLE_DT", TEXT(ya!$C18,"YYYYMMDD")))</f>
        <v>0</v>
      </c>
      <c r="AN18" s="2" cm="1">
        <f t="array" ref="AN18">IF(hp!AN18=0,0,_xll.BDP(AN$4,"YAS_BOND_YLD", "YAS_BOND_PX",hp!AN18, "SETTLE_DT", TEXT(ya!$C18,"YYYYMMDD")))</f>
        <v>0</v>
      </c>
      <c r="AO18" s="2" cm="1">
        <f t="array" ref="AO18">IF(hp!AO18=0,0,_xll.BDP(AO$4,"YAS_BOND_YLD", "YAS_BOND_PX",hp!AO18, "SETTLE_DT", TEXT(ya!$C18,"YYYYMMDD")))</f>
        <v>0</v>
      </c>
      <c r="AP18" s="2" cm="1">
        <f t="array" ref="AP18">IF(hp!AP18=0,0,_xll.BDP(AP$4,"YAS_BOND_YLD", "YAS_BOND_PX",hp!AP18, "SETTLE_DT", TEXT(ya!$C18,"YYYYMMDD")))</f>
        <v>0</v>
      </c>
      <c r="AQ18" s="2" cm="1">
        <f t="array" ref="AQ18">IF(hp!AQ18=0,0,_xll.BDP(AQ$4,"YAS_BOND_YLD", "YAS_BOND_PX",hp!AQ18, "SETTLE_DT", TEXT(ya!$C18,"YYYYMMDD")))</f>
        <v>0</v>
      </c>
      <c r="AR18" s="2" cm="1">
        <f t="array" ref="AR18">IF(hp!AR18=0,0,_xll.BDP(AR$4,"YAS_BOND_YLD", "YAS_BOND_PX",hp!AR18, "SETTLE_DT", TEXT(ya!$C18,"YYYYMMDD")))</f>
        <v>6.0380000000000003</v>
      </c>
      <c r="AS18" s="2" cm="1">
        <f t="array" ref="AS18">IF(hp!AS18=0,0,_xll.BDP(AS$4,"YAS_BOND_YLD", "YAS_BOND_PX",hp!AS18, "SETTLE_DT", TEXT(ya!$C18,"YYYYMMDD")))</f>
        <v>0</v>
      </c>
      <c r="AT18" s="2" cm="1">
        <f t="array" ref="AT18">IF(hp!AT18=0,0,_xll.BDP(AT$4,"YAS_BOND_YLD", "YAS_BOND_PX",hp!AT18, "SETTLE_DT", TEXT(ya!$C18,"YYYYMMDD")))</f>
        <v>0</v>
      </c>
      <c r="AU18" s="2" cm="1">
        <f t="array" ref="AU18">IF(hp!AU18=0,0,_xll.BDP(AU$4,"YAS_BOND_YLD", "YAS_BOND_PX",hp!AU18, "SETTLE_DT", TEXT(ya!$C18,"YYYYMMDD")))</f>
        <v>0</v>
      </c>
      <c r="AV18" s="2" cm="1">
        <f t="array" ref="AV18">IF(hp!AV18=0,0,_xll.BDP(AV$4,"YAS_BOND_YLD", "YAS_BOND_PX",hp!AV18, "SETTLE_DT", TEXT(ya!$C18,"YYYYMMDD")))</f>
        <v>0</v>
      </c>
      <c r="AW18" s="2" cm="1">
        <f t="array" ref="AW18">IF(hp!AW18=0,0,_xll.BDP(AW$4,"YAS_BOND_YLD", "YAS_BOND_PX",hp!AW18, "SETTLE_DT", TEXT(ya!$C18,"YYYYMMDD")))</f>
        <v>0</v>
      </c>
      <c r="AX18" s="2" cm="1">
        <f t="array" ref="AX18">IF(hp!AX18=0,0,_xll.BDP(AX$4,"YAS_BOND_YLD", "YAS_BOND_PX",hp!AX18, "SETTLE_DT", TEXT(ya!$C18,"YYYYMMDD")))</f>
        <v>0</v>
      </c>
      <c r="AY18" s="2" cm="1">
        <f t="array" ref="AY18">IF(hp!AY18=0,0,_xll.BDP(AY$4,"YAS_BOND_YLD", "YAS_BOND_PX",hp!AY18, "SETTLE_DT", TEXT(ya!$C18,"YYYYMMDD")))</f>
        <v>0</v>
      </c>
      <c r="AZ18" s="2" cm="1">
        <f t="array" ref="AZ18">IF(hp!AZ18=0,0,_xll.BDP(AZ$4,"YAS_BOND_YLD", "YAS_BOND_PX",hp!AZ18, "SETTLE_DT", TEXT(ya!$C18,"YYYYMMDD")))</f>
        <v>0</v>
      </c>
    </row>
    <row r="19" spans="1:52" x14ac:dyDescent="0.25">
      <c r="A19" s="1"/>
      <c r="B19" s="2"/>
      <c r="C19" s="1">
        <v>42489</v>
      </c>
      <c r="D19" s="2" cm="1">
        <f t="array" ref="D19">IF(hp!D19=0,0,_xll.BDP(D$4,"YAS_BOND_YLD", "YAS_BOND_PX",hp!D19, "SETTLE_DT", TEXT(ya!$C19,"YYYYMMDD")))</f>
        <v>0</v>
      </c>
      <c r="E19" s="2" cm="1">
        <f t="array" ref="E19">IF(hp!E19=0,0,_xll.BDP(E$4,"YAS_BOND_YLD", "YAS_BOND_PX",hp!E19, "SETTLE_DT", TEXT(ya!$C19,"YYYYMMDD")))</f>
        <v>0</v>
      </c>
      <c r="F19" s="2" cm="1">
        <f t="array" ref="F19">IF(hp!F19=0,0,_xll.BDP(F$4,"YAS_BOND_YLD", "YAS_BOND_PX",hp!F19, "SETTLE_DT", TEXT(ya!$C19,"YYYYMMDD")))</f>
        <v>12.4716</v>
      </c>
      <c r="G19" s="2" cm="1">
        <f t="array" ref="G19">IF(hp!G19=0,0,_xll.BDP(G$4,"YAS_BOND_YLD", "YAS_BOND_PX",hp!G19, "SETTLE_DT", TEXT(ya!$C19,"YYYYMMDD")))</f>
        <v>6.0872999999999999</v>
      </c>
      <c r="H19" s="2" cm="1">
        <f t="array" ref="H19">IF(hp!H19=0,0,_xll.BDP(H$4,"YAS_BOND_YLD", "YAS_BOND_PX",hp!H19, "SETTLE_DT", TEXT(ya!$C19,"YYYYMMDD")))</f>
        <v>0</v>
      </c>
      <c r="I19" s="2" cm="1">
        <f t="array" ref="I19">IF(hp!I19=0,0,_xll.BDP(I$4,"YAS_BOND_YLD", "YAS_BOND_PX",hp!I19, "SETTLE_DT", TEXT(ya!$C19,"YYYYMMDD")))</f>
        <v>0</v>
      </c>
      <c r="J19" s="2" cm="1">
        <f t="array" ref="J19">IF(hp!J19=0,0,_xll.BDP(J$4,"YAS_BOND_YLD", "YAS_BOND_PX",hp!J19, "SETTLE_DT", TEXT(ya!$C19,"YYYYMMDD")))</f>
        <v>6.0586000000000002</v>
      </c>
      <c r="K19" s="2" cm="1">
        <f t="array" ref="K19">IF(hp!K19=0,0,_xll.BDP(K$4,"YAS_BOND_YLD", "YAS_BOND_PX",hp!K19, "SETTLE_DT", TEXT(ya!$C19,"YYYYMMDD")))</f>
        <v>0</v>
      </c>
      <c r="L19" s="2" cm="1">
        <f t="array" ref="L19">IF(hp!L19=0,0,_xll.BDP(L$4,"YAS_BOND_YLD", "YAS_BOND_PX",hp!L19, "SETTLE_DT", TEXT(ya!$C19,"YYYYMMDD")))</f>
        <v>6.0810000000000004</v>
      </c>
      <c r="M19" s="2" cm="1">
        <f t="array" ref="M19">IF(hp!M19=0,0,_xll.BDP(M$4,"YAS_BOND_YLD", "YAS_BOND_PX",hp!M19, "SETTLE_DT", TEXT(ya!$C19,"YYYYMMDD")))</f>
        <v>0</v>
      </c>
      <c r="N19" s="2" cm="1">
        <f t="array" ref="N19">IF(hp!N19=0,0,_xll.BDP(N$4,"YAS_BOND_YLD", "YAS_BOND_PX",hp!N19, "SETTLE_DT", TEXT(ya!$C19,"YYYYMMDD")))</f>
        <v>6.0891999999999999</v>
      </c>
      <c r="O19" s="2" cm="1">
        <f t="array" ref="O19">IF(hp!O19=0,0,_xll.BDP(O$4,"YAS_BOND_YLD", "YAS_BOND_PX",hp!O19, "SETTLE_DT", TEXT(ya!$C19,"YYYYMMDD")))</f>
        <v>0</v>
      </c>
      <c r="P19" s="2" cm="1">
        <f t="array" ref="P19">IF(hp!P19=0,0,_xll.BDP(P$4,"YAS_BOND_YLD", "YAS_BOND_PX",hp!P19, "SETTLE_DT", TEXT(ya!$C19,"YYYYMMDD")))</f>
        <v>0</v>
      </c>
      <c r="Q19" s="2" cm="1">
        <f t="array" ref="Q19">IF(hp!Q19=0,0,_xll.BDP(Q$4,"YAS_BOND_YLD", "YAS_BOND_PX",hp!Q19, "SETTLE_DT", TEXT(ya!$C19,"YYYYMMDD")))</f>
        <v>6.1227999999999998</v>
      </c>
      <c r="R19" s="2" cm="1">
        <f t="array" ref="R19">IF(hp!R19=0,0,_xll.BDP(R$4,"YAS_BOND_YLD", "YAS_BOND_PX",hp!R19, "SETTLE_DT", TEXT(ya!$C19,"YYYYMMDD")))</f>
        <v>0</v>
      </c>
      <c r="S19" s="2" cm="1">
        <f t="array" ref="S19">IF(hp!S19=0,0,_xll.BDP(S$4,"YAS_BOND_YLD", "YAS_BOND_PX",hp!S19, "SETTLE_DT", TEXT(ya!$C19,"YYYYMMDD")))</f>
        <v>0</v>
      </c>
      <c r="T19" s="2" cm="1">
        <f t="array" ref="T19">IF(hp!T19=0,0,_xll.BDP(T$4,"YAS_BOND_YLD", "YAS_BOND_PX",hp!T19, "SETTLE_DT", TEXT(ya!$C19,"YYYYMMDD")))</f>
        <v>0</v>
      </c>
      <c r="U19" s="2" cm="1">
        <f t="array" ref="U19">IF(hp!U19=0,0,_xll.BDP(U$4,"YAS_BOND_YLD", "YAS_BOND_PX",hp!U19, "SETTLE_DT", TEXT(ya!$C19,"YYYYMMDD")))</f>
        <v>6.0335999999999999</v>
      </c>
      <c r="V19" s="2" cm="1">
        <f t="array" ref="V19">IF(hp!V19=0,0,_xll.BDP(V$4,"YAS_BOND_YLD", "YAS_BOND_PX",hp!V19, "SETTLE_DT", TEXT(ya!$C19,"YYYYMMDD")))</f>
        <v>0</v>
      </c>
      <c r="W19" s="2" cm="1">
        <f t="array" ref="W19">IF(hp!W19=0,0,_xll.BDP(W$4,"YAS_BOND_YLD", "YAS_BOND_PX",hp!W19, "SETTLE_DT", TEXT(ya!$C19,"YYYYMMDD")))</f>
        <v>0</v>
      </c>
      <c r="X19" s="2" cm="1">
        <f t="array" ref="X19">IF(hp!X19=0,0,_xll.BDP(X$4,"YAS_BOND_YLD", "YAS_BOND_PX",hp!X19, "SETTLE_DT", TEXT(ya!$C19,"YYYYMMDD")))</f>
        <v>0</v>
      </c>
      <c r="Y19" s="2" cm="1">
        <f t="array" ref="Y19">IF(hp!Y19=0,0,_xll.BDP(Y$4,"YAS_BOND_YLD", "YAS_BOND_PX",hp!Y19, "SETTLE_DT", TEXT(ya!$C19,"YYYYMMDD")))</f>
        <v>0</v>
      </c>
      <c r="Z19" s="2" cm="1">
        <f t="array" ref="Z19">IF(hp!Z19=0,0,_xll.BDP(Z$4,"YAS_BOND_YLD", "YAS_BOND_PX",hp!Z19, "SETTLE_DT", TEXT(ya!$C19,"YYYYMMDD")))</f>
        <v>0</v>
      </c>
      <c r="AA19" s="2" cm="1">
        <f t="array" ref="AA19">IF(hp!AA19=0,0,_xll.BDP(AA$4,"YAS_BOND_YLD", "YAS_BOND_PX",hp!AA19, "SETTLE_DT", TEXT(ya!$C19,"YYYYMMDD")))</f>
        <v>0</v>
      </c>
      <c r="AB19" s="2" cm="1">
        <f t="array" ref="AB19">IF(hp!AB19=0,0,_xll.BDP(AB$4,"YAS_BOND_YLD", "YAS_BOND_PX",hp!AB19, "SETTLE_DT", TEXT(ya!$C19,"YYYYMMDD")))</f>
        <v>0</v>
      </c>
      <c r="AC19" s="2" cm="1">
        <f t="array" ref="AC19">IF(hp!AC19=0,0,_xll.BDP(AC$4,"YAS_BOND_YLD", "YAS_BOND_PX",hp!AC19, "SETTLE_DT", TEXT(ya!$C19,"YYYYMMDD")))</f>
        <v>0</v>
      </c>
      <c r="AD19" s="2" cm="1">
        <f t="array" ref="AD19">IF(hp!AD19=0,0,_xll.BDP(AD$4,"YAS_BOND_YLD", "YAS_BOND_PX",hp!AD19, "SETTLE_DT", TEXT(ya!$C19,"YYYYMMDD")))</f>
        <v>6.0564</v>
      </c>
      <c r="AE19" s="2" cm="1">
        <f t="array" ref="AE19">IF(hp!AE19=0,0,_xll.BDP(AE$4,"YAS_BOND_YLD", "YAS_BOND_PX",hp!AE19, "SETTLE_DT", TEXT(ya!$C19,"YYYYMMDD")))</f>
        <v>0</v>
      </c>
      <c r="AF19" s="2" cm="1">
        <f t="array" ref="AF19">IF(hp!AF19=0,0,_xll.BDP(AF$4,"YAS_BOND_YLD", "YAS_BOND_PX",hp!AF19, "SETTLE_DT", TEXT(ya!$C19,"YYYYMMDD")))</f>
        <v>0</v>
      </c>
      <c r="AG19" s="2" cm="1">
        <f t="array" ref="AG19">IF(hp!AG19=0,0,_xll.BDP(AG$4,"YAS_BOND_YLD", "YAS_BOND_PX",hp!AG19, "SETTLE_DT", TEXT(ya!$C19,"YYYYMMDD")))</f>
        <v>0</v>
      </c>
      <c r="AH19" s="2" cm="1">
        <f t="array" ref="AH19">IF(hp!AH19=0,0,_xll.BDP(AH$4,"YAS_BOND_YLD", "YAS_BOND_PX",hp!AH19, "SETTLE_DT", TEXT(ya!$C19,"YYYYMMDD")))</f>
        <v>0</v>
      </c>
      <c r="AI19" s="2" cm="1">
        <f t="array" ref="AI19">IF(hp!AI19=0,0,_xll.BDP(AI$4,"YAS_BOND_YLD", "YAS_BOND_PX",hp!AI19, "SETTLE_DT", TEXT(ya!$C19,"YYYYMMDD")))</f>
        <v>0</v>
      </c>
      <c r="AJ19" s="2" cm="1">
        <f t="array" ref="AJ19">IF(hp!AJ19=0,0,_xll.BDP(AJ$4,"YAS_BOND_YLD", "YAS_BOND_PX",hp!AJ19, "SETTLE_DT", TEXT(ya!$C19,"YYYYMMDD")))</f>
        <v>0</v>
      </c>
      <c r="AK19" s="2" cm="1">
        <f t="array" ref="AK19">IF(hp!AK19=0,0,_xll.BDP(AK$4,"YAS_BOND_YLD", "YAS_BOND_PX",hp!AK19, "SETTLE_DT", TEXT(ya!$C19,"YYYYMMDD")))</f>
        <v>0</v>
      </c>
      <c r="AL19" s="2" cm="1">
        <f t="array" ref="AL19">IF(hp!AL19=0,0,_xll.BDP(AL$4,"YAS_BOND_YLD", "YAS_BOND_PX",hp!AL19, "SETTLE_DT", TEXT(ya!$C19,"YYYYMMDD")))</f>
        <v>0</v>
      </c>
      <c r="AM19" s="2" cm="1">
        <f t="array" ref="AM19">IF(hp!AM19=0,0,_xll.BDP(AM$4,"YAS_BOND_YLD", "YAS_BOND_PX",hp!AM19, "SETTLE_DT", TEXT(ya!$C19,"YYYYMMDD")))</f>
        <v>0</v>
      </c>
      <c r="AN19" s="2" cm="1">
        <f t="array" ref="AN19">IF(hp!AN19=0,0,_xll.BDP(AN$4,"YAS_BOND_YLD", "YAS_BOND_PX",hp!AN19, "SETTLE_DT", TEXT(ya!$C19,"YYYYMMDD")))</f>
        <v>0</v>
      </c>
      <c r="AO19" s="2" cm="1">
        <f t="array" ref="AO19">IF(hp!AO19=0,0,_xll.BDP(AO$4,"YAS_BOND_YLD", "YAS_BOND_PX",hp!AO19, "SETTLE_DT", TEXT(ya!$C19,"YYYYMMDD")))</f>
        <v>0</v>
      </c>
      <c r="AP19" s="2" cm="1">
        <f t="array" ref="AP19">IF(hp!AP19=0,0,_xll.BDP(AP$4,"YAS_BOND_YLD", "YAS_BOND_PX",hp!AP19, "SETTLE_DT", TEXT(ya!$C19,"YYYYMMDD")))</f>
        <v>0</v>
      </c>
      <c r="AQ19" s="2" cm="1">
        <f t="array" ref="AQ19">IF(hp!AQ19=0,0,_xll.BDP(AQ$4,"YAS_BOND_YLD", "YAS_BOND_PX",hp!AQ19, "SETTLE_DT", TEXT(ya!$C19,"YYYYMMDD")))</f>
        <v>0</v>
      </c>
      <c r="AR19" s="2" cm="1">
        <f t="array" ref="AR19">IF(hp!AR19=0,0,_xll.BDP(AR$4,"YAS_BOND_YLD", "YAS_BOND_PX",hp!AR19, "SETTLE_DT", TEXT(ya!$C19,"YYYYMMDD")))</f>
        <v>6.0419999999999998</v>
      </c>
      <c r="AS19" s="2" cm="1">
        <f t="array" ref="AS19">IF(hp!AS19=0,0,_xll.BDP(AS$4,"YAS_BOND_YLD", "YAS_BOND_PX",hp!AS19, "SETTLE_DT", TEXT(ya!$C19,"YYYYMMDD")))</f>
        <v>0</v>
      </c>
      <c r="AT19" s="2" cm="1">
        <f t="array" ref="AT19">IF(hp!AT19=0,0,_xll.BDP(AT$4,"YAS_BOND_YLD", "YAS_BOND_PX",hp!AT19, "SETTLE_DT", TEXT(ya!$C19,"YYYYMMDD")))</f>
        <v>0</v>
      </c>
      <c r="AU19" s="2" cm="1">
        <f t="array" ref="AU19">IF(hp!AU19=0,0,_xll.BDP(AU$4,"YAS_BOND_YLD", "YAS_BOND_PX",hp!AU19, "SETTLE_DT", TEXT(ya!$C19,"YYYYMMDD")))</f>
        <v>0</v>
      </c>
      <c r="AV19" s="2" cm="1">
        <f t="array" ref="AV19">IF(hp!AV19=0,0,_xll.BDP(AV$4,"YAS_BOND_YLD", "YAS_BOND_PX",hp!AV19, "SETTLE_DT", TEXT(ya!$C19,"YYYYMMDD")))</f>
        <v>0</v>
      </c>
      <c r="AW19" s="2" cm="1">
        <f t="array" ref="AW19">IF(hp!AW19=0,0,_xll.BDP(AW$4,"YAS_BOND_YLD", "YAS_BOND_PX",hp!AW19, "SETTLE_DT", TEXT(ya!$C19,"YYYYMMDD")))</f>
        <v>0</v>
      </c>
      <c r="AX19" s="2" cm="1">
        <f t="array" ref="AX19">IF(hp!AX19=0,0,_xll.BDP(AX$4,"YAS_BOND_YLD", "YAS_BOND_PX",hp!AX19, "SETTLE_DT", TEXT(ya!$C19,"YYYYMMDD")))</f>
        <v>0</v>
      </c>
      <c r="AY19" s="2" cm="1">
        <f t="array" ref="AY19">IF(hp!AY19=0,0,_xll.BDP(AY$4,"YAS_BOND_YLD", "YAS_BOND_PX",hp!AY19, "SETTLE_DT", TEXT(ya!$C19,"YYYYMMDD")))</f>
        <v>0</v>
      </c>
      <c r="AZ19" s="2" cm="1">
        <f t="array" ref="AZ19">IF(hp!AZ19=0,0,_xll.BDP(AZ$4,"YAS_BOND_YLD", "YAS_BOND_PX",hp!AZ19, "SETTLE_DT", TEXT(ya!$C19,"YYYYMMDD")))</f>
        <v>0</v>
      </c>
    </row>
    <row r="20" spans="1:52" x14ac:dyDescent="0.25">
      <c r="A20" s="1"/>
      <c r="B20" s="2"/>
      <c r="C20" s="1">
        <v>42521</v>
      </c>
      <c r="D20" s="2" cm="1">
        <f t="array" ref="D20">IF(hp!D20=0,0,_xll.BDP(D$4,"YAS_BOND_YLD", "YAS_BOND_PX",hp!D20, "SETTLE_DT", TEXT(ya!$C20,"YYYYMMDD")))</f>
        <v>0</v>
      </c>
      <c r="E20" s="2" cm="1">
        <f t="array" ref="E20">IF(hp!E20=0,0,_xll.BDP(E$4,"YAS_BOND_YLD", "YAS_BOND_PX",hp!E20, "SETTLE_DT", TEXT(ya!$C20,"YYYYMMDD")))</f>
        <v>0</v>
      </c>
      <c r="F20" s="2" cm="1">
        <f t="array" ref="F20">IF(hp!F20=0,0,_xll.BDP(F$4,"YAS_BOND_YLD", "YAS_BOND_PX",hp!F20, "SETTLE_DT", TEXT(ya!$C20,"YYYYMMDD")))</f>
        <v>12.9992</v>
      </c>
      <c r="G20" s="2" cm="1">
        <f t="array" ref="G20">IF(hp!G20=0,0,_xll.BDP(G$4,"YAS_BOND_YLD", "YAS_BOND_PX",hp!G20, "SETTLE_DT", TEXT(ya!$C20,"YYYYMMDD")))</f>
        <v>6.2401</v>
      </c>
      <c r="H20" s="2" cm="1">
        <f t="array" ref="H20">IF(hp!H20=0,0,_xll.BDP(H$4,"YAS_BOND_YLD", "YAS_BOND_PX",hp!H20, "SETTLE_DT", TEXT(ya!$C20,"YYYYMMDD")))</f>
        <v>0</v>
      </c>
      <c r="I20" s="2" cm="1">
        <f t="array" ref="I20">IF(hp!I20=0,0,_xll.BDP(I$4,"YAS_BOND_YLD", "YAS_BOND_PX",hp!I20, "SETTLE_DT", TEXT(ya!$C20,"YYYYMMDD")))</f>
        <v>0</v>
      </c>
      <c r="J20" s="2" cm="1">
        <f t="array" ref="J20">IF(hp!J20=0,0,_xll.BDP(J$4,"YAS_BOND_YLD", "YAS_BOND_PX",hp!J20, "SETTLE_DT", TEXT(ya!$C20,"YYYYMMDD")))</f>
        <v>6.2915000000000001</v>
      </c>
      <c r="K20" s="2" cm="1">
        <f t="array" ref="K20">IF(hp!K20=0,0,_xll.BDP(K$4,"YAS_BOND_YLD", "YAS_BOND_PX",hp!K20, "SETTLE_DT", TEXT(ya!$C20,"YYYYMMDD")))</f>
        <v>0</v>
      </c>
      <c r="L20" s="2" cm="1">
        <f t="array" ref="L20">IF(hp!L20=0,0,_xll.BDP(L$4,"YAS_BOND_YLD", "YAS_BOND_PX",hp!L20, "SETTLE_DT", TEXT(ya!$C20,"YYYYMMDD")))</f>
        <v>6.1852</v>
      </c>
      <c r="M20" s="2" cm="1">
        <f t="array" ref="M20">IF(hp!M20=0,0,_xll.BDP(M$4,"YAS_BOND_YLD", "YAS_BOND_PX",hp!M20, "SETTLE_DT", TEXT(ya!$C20,"YYYYMMDD")))</f>
        <v>0</v>
      </c>
      <c r="N20" s="2" cm="1">
        <f t="array" ref="N20">IF(hp!N20=0,0,_xll.BDP(N$4,"YAS_BOND_YLD", "YAS_BOND_PX",hp!N20, "SETTLE_DT", TEXT(ya!$C20,"YYYYMMDD")))</f>
        <v>6.1841999999999997</v>
      </c>
      <c r="O20" s="2" cm="1">
        <f t="array" ref="O20">IF(hp!O20=0,0,_xll.BDP(O$4,"YAS_BOND_YLD", "YAS_BOND_PX",hp!O20, "SETTLE_DT", TEXT(ya!$C20,"YYYYMMDD")))</f>
        <v>0</v>
      </c>
      <c r="P20" s="2" cm="1">
        <f t="array" ref="P20">IF(hp!P20=0,0,_xll.BDP(P$4,"YAS_BOND_YLD", "YAS_BOND_PX",hp!P20, "SETTLE_DT", TEXT(ya!$C20,"YYYYMMDD")))</f>
        <v>0</v>
      </c>
      <c r="Q20" s="2" cm="1">
        <f t="array" ref="Q20">IF(hp!Q20=0,0,_xll.BDP(Q$4,"YAS_BOND_YLD", "YAS_BOND_PX",hp!Q20, "SETTLE_DT", TEXT(ya!$C20,"YYYYMMDD")))</f>
        <v>6.3289999999999997</v>
      </c>
      <c r="R20" s="2" cm="1">
        <f t="array" ref="R20">IF(hp!R20=0,0,_xll.BDP(R$4,"YAS_BOND_YLD", "YAS_BOND_PX",hp!R20, "SETTLE_DT", TEXT(ya!$C20,"YYYYMMDD")))</f>
        <v>0</v>
      </c>
      <c r="S20" s="2" cm="1">
        <f t="array" ref="S20">IF(hp!S20=0,0,_xll.BDP(S$4,"YAS_BOND_YLD", "YAS_BOND_PX",hp!S20, "SETTLE_DT", TEXT(ya!$C20,"YYYYMMDD")))</f>
        <v>0</v>
      </c>
      <c r="T20" s="2" cm="1">
        <f t="array" ref="T20">IF(hp!T20=0,0,_xll.BDP(T$4,"YAS_BOND_YLD", "YAS_BOND_PX",hp!T20, "SETTLE_DT", TEXT(ya!$C20,"YYYYMMDD")))</f>
        <v>0</v>
      </c>
      <c r="U20" s="2" cm="1">
        <f t="array" ref="U20">IF(hp!U20=0,0,_xll.BDP(U$4,"YAS_BOND_YLD", "YAS_BOND_PX",hp!U20, "SETTLE_DT", TEXT(ya!$C20,"YYYYMMDD")))</f>
        <v>6.2050000000000001</v>
      </c>
      <c r="V20" s="2" cm="1">
        <f t="array" ref="V20">IF(hp!V20=0,0,_xll.BDP(V$4,"YAS_BOND_YLD", "YAS_BOND_PX",hp!V20, "SETTLE_DT", TEXT(ya!$C20,"YYYYMMDD")))</f>
        <v>0</v>
      </c>
      <c r="W20" s="2" cm="1">
        <f t="array" ref="W20">IF(hp!W20=0,0,_xll.BDP(W$4,"YAS_BOND_YLD", "YAS_BOND_PX",hp!W20, "SETTLE_DT", TEXT(ya!$C20,"YYYYMMDD")))</f>
        <v>0</v>
      </c>
      <c r="X20" s="2" cm="1">
        <f t="array" ref="X20">IF(hp!X20=0,0,_xll.BDP(X$4,"YAS_BOND_YLD", "YAS_BOND_PX",hp!X20, "SETTLE_DT", TEXT(ya!$C20,"YYYYMMDD")))</f>
        <v>0</v>
      </c>
      <c r="Y20" s="2" cm="1">
        <f t="array" ref="Y20">IF(hp!Y20=0,0,_xll.BDP(Y$4,"YAS_BOND_YLD", "YAS_BOND_PX",hp!Y20, "SETTLE_DT", TEXT(ya!$C20,"YYYYMMDD")))</f>
        <v>0</v>
      </c>
      <c r="Z20" s="2" cm="1">
        <f t="array" ref="Z20">IF(hp!Z20=0,0,_xll.BDP(Z$4,"YAS_BOND_YLD", "YAS_BOND_PX",hp!Z20, "SETTLE_DT", TEXT(ya!$C20,"YYYYMMDD")))</f>
        <v>0</v>
      </c>
      <c r="AA20" s="2" cm="1">
        <f t="array" ref="AA20">IF(hp!AA20=0,0,_xll.BDP(AA$4,"YAS_BOND_YLD", "YAS_BOND_PX",hp!AA20, "SETTLE_DT", TEXT(ya!$C20,"YYYYMMDD")))</f>
        <v>0</v>
      </c>
      <c r="AB20" s="2" cm="1">
        <f t="array" ref="AB20">IF(hp!AB20=0,0,_xll.BDP(AB$4,"YAS_BOND_YLD", "YAS_BOND_PX",hp!AB20, "SETTLE_DT", TEXT(ya!$C20,"YYYYMMDD")))</f>
        <v>0</v>
      </c>
      <c r="AC20" s="2" cm="1">
        <f t="array" ref="AC20">IF(hp!AC20=0,0,_xll.BDP(AC$4,"YAS_BOND_YLD", "YAS_BOND_PX",hp!AC20, "SETTLE_DT", TEXT(ya!$C20,"YYYYMMDD")))</f>
        <v>0</v>
      </c>
      <c r="AD20" s="2" cm="1">
        <f t="array" ref="AD20">IF(hp!AD20=0,0,_xll.BDP(AD$4,"YAS_BOND_YLD", "YAS_BOND_PX",hp!AD20, "SETTLE_DT", TEXT(ya!$C20,"YYYYMMDD")))</f>
        <v>6.2858000000000001</v>
      </c>
      <c r="AE20" s="2" cm="1">
        <f t="array" ref="AE20">IF(hp!AE20=0,0,_xll.BDP(AE$4,"YAS_BOND_YLD", "YAS_BOND_PX",hp!AE20, "SETTLE_DT", TEXT(ya!$C20,"YYYYMMDD")))</f>
        <v>0</v>
      </c>
      <c r="AF20" s="2" cm="1">
        <f t="array" ref="AF20">IF(hp!AF20=0,0,_xll.BDP(AF$4,"YAS_BOND_YLD", "YAS_BOND_PX",hp!AF20, "SETTLE_DT", TEXT(ya!$C20,"YYYYMMDD")))</f>
        <v>0</v>
      </c>
      <c r="AG20" s="2" cm="1">
        <f t="array" ref="AG20">IF(hp!AG20=0,0,_xll.BDP(AG$4,"YAS_BOND_YLD", "YAS_BOND_PX",hp!AG20, "SETTLE_DT", TEXT(ya!$C20,"YYYYMMDD")))</f>
        <v>0</v>
      </c>
      <c r="AH20" s="2" cm="1">
        <f t="array" ref="AH20">IF(hp!AH20=0,0,_xll.BDP(AH$4,"YAS_BOND_YLD", "YAS_BOND_PX",hp!AH20, "SETTLE_DT", TEXT(ya!$C20,"YYYYMMDD")))</f>
        <v>0</v>
      </c>
      <c r="AI20" s="2" cm="1">
        <f t="array" ref="AI20">IF(hp!AI20=0,0,_xll.BDP(AI$4,"YAS_BOND_YLD", "YAS_BOND_PX",hp!AI20, "SETTLE_DT", TEXT(ya!$C20,"YYYYMMDD")))</f>
        <v>0</v>
      </c>
      <c r="AJ20" s="2" cm="1">
        <f t="array" ref="AJ20">IF(hp!AJ20=0,0,_xll.BDP(AJ$4,"YAS_BOND_YLD", "YAS_BOND_PX",hp!AJ20, "SETTLE_DT", TEXT(ya!$C20,"YYYYMMDD")))</f>
        <v>0</v>
      </c>
      <c r="AK20" s="2" cm="1">
        <f t="array" ref="AK20">IF(hp!AK20=0,0,_xll.BDP(AK$4,"YAS_BOND_YLD", "YAS_BOND_PX",hp!AK20, "SETTLE_DT", TEXT(ya!$C20,"YYYYMMDD")))</f>
        <v>0</v>
      </c>
      <c r="AL20" s="2" cm="1">
        <f t="array" ref="AL20">IF(hp!AL20=0,0,_xll.BDP(AL$4,"YAS_BOND_YLD", "YAS_BOND_PX",hp!AL20, "SETTLE_DT", TEXT(ya!$C20,"YYYYMMDD")))</f>
        <v>0</v>
      </c>
      <c r="AM20" s="2" cm="1">
        <f t="array" ref="AM20">IF(hp!AM20=0,0,_xll.BDP(AM$4,"YAS_BOND_YLD", "YAS_BOND_PX",hp!AM20, "SETTLE_DT", TEXT(ya!$C20,"YYYYMMDD")))</f>
        <v>0</v>
      </c>
      <c r="AN20" s="2" cm="1">
        <f t="array" ref="AN20">IF(hp!AN20=0,0,_xll.BDP(AN$4,"YAS_BOND_YLD", "YAS_BOND_PX",hp!AN20, "SETTLE_DT", TEXT(ya!$C20,"YYYYMMDD")))</f>
        <v>0</v>
      </c>
      <c r="AO20" s="2" cm="1">
        <f t="array" ref="AO20">IF(hp!AO20=0,0,_xll.BDP(AO$4,"YAS_BOND_YLD", "YAS_BOND_PX",hp!AO20, "SETTLE_DT", TEXT(ya!$C20,"YYYYMMDD")))</f>
        <v>0</v>
      </c>
      <c r="AP20" s="2" cm="1">
        <f t="array" ref="AP20">IF(hp!AP20=0,0,_xll.BDP(AP$4,"YAS_BOND_YLD", "YAS_BOND_PX",hp!AP20, "SETTLE_DT", TEXT(ya!$C20,"YYYYMMDD")))</f>
        <v>0</v>
      </c>
      <c r="AQ20" s="2" cm="1">
        <f t="array" ref="AQ20">IF(hp!AQ20=0,0,_xll.BDP(AQ$4,"YAS_BOND_YLD", "YAS_BOND_PX",hp!AQ20, "SETTLE_DT", TEXT(ya!$C20,"YYYYMMDD")))</f>
        <v>0</v>
      </c>
      <c r="AR20" s="2" cm="1">
        <f t="array" ref="AR20">IF(hp!AR20=0,0,_xll.BDP(AR$4,"YAS_BOND_YLD", "YAS_BOND_PX",hp!AR20, "SETTLE_DT", TEXT(ya!$C20,"YYYYMMDD")))</f>
        <v>6.0655999999999999</v>
      </c>
      <c r="AS20" s="2" cm="1">
        <f t="array" ref="AS20">IF(hp!AS20=0,0,_xll.BDP(AS$4,"YAS_BOND_YLD", "YAS_BOND_PX",hp!AS20, "SETTLE_DT", TEXT(ya!$C20,"YYYYMMDD")))</f>
        <v>0</v>
      </c>
      <c r="AT20" s="2" cm="1">
        <f t="array" ref="AT20">IF(hp!AT20=0,0,_xll.BDP(AT$4,"YAS_BOND_YLD", "YAS_BOND_PX",hp!AT20, "SETTLE_DT", TEXT(ya!$C20,"YYYYMMDD")))</f>
        <v>0</v>
      </c>
      <c r="AU20" s="2" cm="1">
        <f t="array" ref="AU20">IF(hp!AU20=0,0,_xll.BDP(AU$4,"YAS_BOND_YLD", "YAS_BOND_PX",hp!AU20, "SETTLE_DT", TEXT(ya!$C20,"YYYYMMDD")))</f>
        <v>0</v>
      </c>
      <c r="AV20" s="2" cm="1">
        <f t="array" ref="AV20">IF(hp!AV20=0,0,_xll.BDP(AV$4,"YAS_BOND_YLD", "YAS_BOND_PX",hp!AV20, "SETTLE_DT", TEXT(ya!$C20,"YYYYMMDD")))</f>
        <v>0</v>
      </c>
      <c r="AW20" s="2" cm="1">
        <f t="array" ref="AW20">IF(hp!AW20=0,0,_xll.BDP(AW$4,"YAS_BOND_YLD", "YAS_BOND_PX",hp!AW20, "SETTLE_DT", TEXT(ya!$C20,"YYYYMMDD")))</f>
        <v>0</v>
      </c>
      <c r="AX20" s="2" cm="1">
        <f t="array" ref="AX20">IF(hp!AX20=0,0,_xll.BDP(AX$4,"YAS_BOND_YLD", "YAS_BOND_PX",hp!AX20, "SETTLE_DT", TEXT(ya!$C20,"YYYYMMDD")))</f>
        <v>0</v>
      </c>
      <c r="AY20" s="2" cm="1">
        <f t="array" ref="AY20">IF(hp!AY20=0,0,_xll.BDP(AY$4,"YAS_BOND_YLD", "YAS_BOND_PX",hp!AY20, "SETTLE_DT", TEXT(ya!$C20,"YYYYMMDD")))</f>
        <v>0</v>
      </c>
      <c r="AZ20" s="2" cm="1">
        <f t="array" ref="AZ20">IF(hp!AZ20=0,0,_xll.BDP(AZ$4,"YAS_BOND_YLD", "YAS_BOND_PX",hp!AZ20, "SETTLE_DT", TEXT(ya!$C20,"YYYYMMDD")))</f>
        <v>0</v>
      </c>
    </row>
    <row r="21" spans="1:52" x14ac:dyDescent="0.25">
      <c r="A21" s="1"/>
      <c r="B21" s="2"/>
      <c r="C21" s="1">
        <v>42551</v>
      </c>
      <c r="D21" s="2" cm="1">
        <f t="array" ref="D21">IF(hp!D21=0,0,_xll.BDP(D$4,"YAS_BOND_YLD", "YAS_BOND_PX",hp!D21, "SETTLE_DT", TEXT(ya!$C21,"YYYYMMDD")))</f>
        <v>0</v>
      </c>
      <c r="E21" s="2" cm="1">
        <f t="array" ref="E21">IF(hp!E21=0,0,_xll.BDP(E$4,"YAS_BOND_YLD", "YAS_BOND_PX",hp!E21, "SETTLE_DT", TEXT(ya!$C21,"YYYYMMDD")))</f>
        <v>0</v>
      </c>
      <c r="F21" s="2" cm="1">
        <f t="array" ref="F21">IF(hp!F21=0,0,_xll.BDP(F$4,"YAS_BOND_YLD", "YAS_BOND_PX",hp!F21, "SETTLE_DT", TEXT(ya!$C21,"YYYYMMDD")))</f>
        <v>13.045400000000001</v>
      </c>
      <c r="G21" s="2" cm="1">
        <f t="array" ref="G21">IF(hp!G21=0,0,_xll.BDP(G$4,"YAS_BOND_YLD", "YAS_BOND_PX",hp!G21, "SETTLE_DT", TEXT(ya!$C21,"YYYYMMDD")))</f>
        <v>6.0827</v>
      </c>
      <c r="H21" s="2" cm="1">
        <f t="array" ref="H21">IF(hp!H21=0,0,_xll.BDP(H$4,"YAS_BOND_YLD", "YAS_BOND_PX",hp!H21, "SETTLE_DT", TEXT(ya!$C21,"YYYYMMDD")))</f>
        <v>0</v>
      </c>
      <c r="I21" s="2" cm="1">
        <f t="array" ref="I21">IF(hp!I21=0,0,_xll.BDP(I$4,"YAS_BOND_YLD", "YAS_BOND_PX",hp!I21, "SETTLE_DT", TEXT(ya!$C21,"YYYYMMDD")))</f>
        <v>0</v>
      </c>
      <c r="J21" s="2" cm="1">
        <f t="array" ref="J21">IF(hp!J21=0,0,_xll.BDP(J$4,"YAS_BOND_YLD", "YAS_BOND_PX",hp!J21, "SETTLE_DT", TEXT(ya!$C21,"YYYYMMDD")))</f>
        <v>6.0683999999999996</v>
      </c>
      <c r="K21" s="2" cm="1">
        <f t="array" ref="K21">IF(hp!K21=0,0,_xll.BDP(K$4,"YAS_BOND_YLD", "YAS_BOND_PX",hp!K21, "SETTLE_DT", TEXT(ya!$C21,"YYYYMMDD")))</f>
        <v>0</v>
      </c>
      <c r="L21" s="2" cm="1">
        <f t="array" ref="L21">IF(hp!L21=0,0,_xll.BDP(L$4,"YAS_BOND_YLD", "YAS_BOND_PX",hp!L21, "SETTLE_DT", TEXT(ya!$C21,"YYYYMMDD")))</f>
        <v>6.0185000000000004</v>
      </c>
      <c r="M21" s="2" cm="1">
        <f t="array" ref="M21">IF(hp!M21=0,0,_xll.BDP(M$4,"YAS_BOND_YLD", "YAS_BOND_PX",hp!M21, "SETTLE_DT", TEXT(ya!$C21,"YYYYMMDD")))</f>
        <v>0</v>
      </c>
      <c r="N21" s="2" cm="1">
        <f t="array" ref="N21">IF(hp!N21=0,0,_xll.BDP(N$4,"YAS_BOND_YLD", "YAS_BOND_PX",hp!N21, "SETTLE_DT", TEXT(ya!$C21,"YYYYMMDD")))</f>
        <v>6.21</v>
      </c>
      <c r="O21" s="2" cm="1">
        <f t="array" ref="O21">IF(hp!O21=0,0,_xll.BDP(O$4,"YAS_BOND_YLD", "YAS_BOND_PX",hp!O21, "SETTLE_DT", TEXT(ya!$C21,"YYYYMMDD")))</f>
        <v>0</v>
      </c>
      <c r="P21" s="2" cm="1">
        <f t="array" ref="P21">IF(hp!P21=0,0,_xll.BDP(P$4,"YAS_BOND_YLD", "YAS_BOND_PX",hp!P21, "SETTLE_DT", TEXT(ya!$C21,"YYYYMMDD")))</f>
        <v>0</v>
      </c>
      <c r="Q21" s="2" cm="1">
        <f t="array" ref="Q21">IF(hp!Q21=0,0,_xll.BDP(Q$4,"YAS_BOND_YLD", "YAS_BOND_PX",hp!Q21, "SETTLE_DT", TEXT(ya!$C21,"YYYYMMDD")))</f>
        <v>6.1468999999999996</v>
      </c>
      <c r="R21" s="2" cm="1">
        <f t="array" ref="R21">IF(hp!R21=0,0,_xll.BDP(R$4,"YAS_BOND_YLD", "YAS_BOND_PX",hp!R21, "SETTLE_DT", TEXT(ya!$C21,"YYYYMMDD")))</f>
        <v>0</v>
      </c>
      <c r="S21" s="2" cm="1">
        <f t="array" ref="S21">IF(hp!S21=0,0,_xll.BDP(S$4,"YAS_BOND_YLD", "YAS_BOND_PX",hp!S21, "SETTLE_DT", TEXT(ya!$C21,"YYYYMMDD")))</f>
        <v>0</v>
      </c>
      <c r="T21" s="2" cm="1">
        <f t="array" ref="T21">IF(hp!T21=0,0,_xll.BDP(T$4,"YAS_BOND_YLD", "YAS_BOND_PX",hp!T21, "SETTLE_DT", TEXT(ya!$C21,"YYYYMMDD")))</f>
        <v>0</v>
      </c>
      <c r="U21" s="2" cm="1">
        <f t="array" ref="U21">IF(hp!U21=0,0,_xll.BDP(U$4,"YAS_BOND_YLD", "YAS_BOND_PX",hp!U21, "SETTLE_DT", TEXT(ya!$C21,"YYYYMMDD")))</f>
        <v>6.0724</v>
      </c>
      <c r="V21" s="2" cm="1">
        <f t="array" ref="V21">IF(hp!V21=0,0,_xll.BDP(V$4,"YAS_BOND_YLD", "YAS_BOND_PX",hp!V21, "SETTLE_DT", TEXT(ya!$C21,"YYYYMMDD")))</f>
        <v>0</v>
      </c>
      <c r="W21" s="2" cm="1">
        <f t="array" ref="W21">IF(hp!W21=0,0,_xll.BDP(W$4,"YAS_BOND_YLD", "YAS_BOND_PX",hp!W21, "SETTLE_DT", TEXT(ya!$C21,"YYYYMMDD")))</f>
        <v>0</v>
      </c>
      <c r="X21" s="2" cm="1">
        <f t="array" ref="X21">IF(hp!X21=0,0,_xll.BDP(X$4,"YAS_BOND_YLD", "YAS_BOND_PX",hp!X21, "SETTLE_DT", TEXT(ya!$C21,"YYYYMMDD")))</f>
        <v>0</v>
      </c>
      <c r="Y21" s="2" cm="1">
        <f t="array" ref="Y21">IF(hp!Y21=0,0,_xll.BDP(Y$4,"YAS_BOND_YLD", "YAS_BOND_PX",hp!Y21, "SETTLE_DT", TEXT(ya!$C21,"YYYYMMDD")))</f>
        <v>0</v>
      </c>
      <c r="Z21" s="2" cm="1">
        <f t="array" ref="Z21">IF(hp!Z21=0,0,_xll.BDP(Z$4,"YAS_BOND_YLD", "YAS_BOND_PX",hp!Z21, "SETTLE_DT", TEXT(ya!$C21,"YYYYMMDD")))</f>
        <v>0</v>
      </c>
      <c r="AA21" s="2" cm="1">
        <f t="array" ref="AA21">IF(hp!AA21=0,0,_xll.BDP(AA$4,"YAS_BOND_YLD", "YAS_BOND_PX",hp!AA21, "SETTLE_DT", TEXT(ya!$C21,"YYYYMMDD")))</f>
        <v>0</v>
      </c>
      <c r="AB21" s="2" cm="1">
        <f t="array" ref="AB21">IF(hp!AB21=0,0,_xll.BDP(AB$4,"YAS_BOND_YLD", "YAS_BOND_PX",hp!AB21, "SETTLE_DT", TEXT(ya!$C21,"YYYYMMDD")))</f>
        <v>0</v>
      </c>
      <c r="AC21" s="2" cm="1">
        <f t="array" ref="AC21">IF(hp!AC21=0,0,_xll.BDP(AC$4,"YAS_BOND_YLD", "YAS_BOND_PX",hp!AC21, "SETTLE_DT", TEXT(ya!$C21,"YYYYMMDD")))</f>
        <v>0</v>
      </c>
      <c r="AD21" s="2" cm="1">
        <f t="array" ref="AD21">IF(hp!AD21=0,0,_xll.BDP(AD$4,"YAS_BOND_YLD", "YAS_BOND_PX",hp!AD21, "SETTLE_DT", TEXT(ya!$C21,"YYYYMMDD")))</f>
        <v>6.05</v>
      </c>
      <c r="AE21" s="2" cm="1">
        <f t="array" ref="AE21">IF(hp!AE21=0,0,_xll.BDP(AE$4,"YAS_BOND_YLD", "YAS_BOND_PX",hp!AE21, "SETTLE_DT", TEXT(ya!$C21,"YYYYMMDD")))</f>
        <v>0</v>
      </c>
      <c r="AF21" s="2" cm="1">
        <f t="array" ref="AF21">IF(hp!AF21=0,0,_xll.BDP(AF$4,"YAS_BOND_YLD", "YAS_BOND_PX",hp!AF21, "SETTLE_DT", TEXT(ya!$C21,"YYYYMMDD")))</f>
        <v>0</v>
      </c>
      <c r="AG21" s="2" cm="1">
        <f t="array" ref="AG21">IF(hp!AG21=0,0,_xll.BDP(AG$4,"YAS_BOND_YLD", "YAS_BOND_PX",hp!AG21, "SETTLE_DT", TEXT(ya!$C21,"YYYYMMDD")))</f>
        <v>0</v>
      </c>
      <c r="AH21" s="2" cm="1">
        <f t="array" ref="AH21">IF(hp!AH21=0,0,_xll.BDP(AH$4,"YAS_BOND_YLD", "YAS_BOND_PX",hp!AH21, "SETTLE_DT", TEXT(ya!$C21,"YYYYMMDD")))</f>
        <v>0</v>
      </c>
      <c r="AI21" s="2" cm="1">
        <f t="array" ref="AI21">IF(hp!AI21=0,0,_xll.BDP(AI$4,"YAS_BOND_YLD", "YAS_BOND_PX",hp!AI21, "SETTLE_DT", TEXT(ya!$C21,"YYYYMMDD")))</f>
        <v>0</v>
      </c>
      <c r="AJ21" s="2" cm="1">
        <f t="array" ref="AJ21">IF(hp!AJ21=0,0,_xll.BDP(AJ$4,"YAS_BOND_YLD", "YAS_BOND_PX",hp!AJ21, "SETTLE_DT", TEXT(ya!$C21,"YYYYMMDD")))</f>
        <v>0</v>
      </c>
      <c r="AK21" s="2" cm="1">
        <f t="array" ref="AK21">IF(hp!AK21=0,0,_xll.BDP(AK$4,"YAS_BOND_YLD", "YAS_BOND_PX",hp!AK21, "SETTLE_DT", TEXT(ya!$C21,"YYYYMMDD")))</f>
        <v>0</v>
      </c>
      <c r="AL21" s="2" cm="1">
        <f t="array" ref="AL21">IF(hp!AL21=0,0,_xll.BDP(AL$4,"YAS_BOND_YLD", "YAS_BOND_PX",hp!AL21, "SETTLE_DT", TEXT(ya!$C21,"YYYYMMDD")))</f>
        <v>0</v>
      </c>
      <c r="AM21" s="2" cm="1">
        <f t="array" ref="AM21">IF(hp!AM21=0,0,_xll.BDP(AM$4,"YAS_BOND_YLD", "YAS_BOND_PX",hp!AM21, "SETTLE_DT", TEXT(ya!$C21,"YYYYMMDD")))</f>
        <v>0</v>
      </c>
      <c r="AN21" s="2" cm="1">
        <f t="array" ref="AN21">IF(hp!AN21=0,0,_xll.BDP(AN$4,"YAS_BOND_YLD", "YAS_BOND_PX",hp!AN21, "SETTLE_DT", TEXT(ya!$C21,"YYYYMMDD")))</f>
        <v>0</v>
      </c>
      <c r="AO21" s="2" cm="1">
        <f t="array" ref="AO21">IF(hp!AO21=0,0,_xll.BDP(AO$4,"YAS_BOND_YLD", "YAS_BOND_PX",hp!AO21, "SETTLE_DT", TEXT(ya!$C21,"YYYYMMDD")))</f>
        <v>0</v>
      </c>
      <c r="AP21" s="2" cm="1">
        <f t="array" ref="AP21">IF(hp!AP21=0,0,_xll.BDP(AP$4,"YAS_BOND_YLD", "YAS_BOND_PX",hp!AP21, "SETTLE_DT", TEXT(ya!$C21,"YYYYMMDD")))</f>
        <v>0</v>
      </c>
      <c r="AQ21" s="2" cm="1">
        <f t="array" ref="AQ21">IF(hp!AQ21=0,0,_xll.BDP(AQ$4,"YAS_BOND_YLD", "YAS_BOND_PX",hp!AQ21, "SETTLE_DT", TEXT(ya!$C21,"YYYYMMDD")))</f>
        <v>0</v>
      </c>
      <c r="AR21" s="2" cm="1">
        <f t="array" ref="AR21">IF(hp!AR21=0,0,_xll.BDP(AR$4,"YAS_BOND_YLD", "YAS_BOND_PX",hp!AR21, "SETTLE_DT", TEXT(ya!$C21,"YYYYMMDD")))</f>
        <v>0</v>
      </c>
      <c r="AS21" s="2" cm="1">
        <f t="array" ref="AS21">IF(hp!AS21=0,0,_xll.BDP(AS$4,"YAS_BOND_YLD", "YAS_BOND_PX",hp!AS21, "SETTLE_DT", TEXT(ya!$C21,"YYYYMMDD")))</f>
        <v>0</v>
      </c>
      <c r="AT21" s="2" cm="1">
        <f t="array" ref="AT21">IF(hp!AT21=0,0,_xll.BDP(AT$4,"YAS_BOND_YLD", "YAS_BOND_PX",hp!AT21, "SETTLE_DT", TEXT(ya!$C21,"YYYYMMDD")))</f>
        <v>0</v>
      </c>
      <c r="AU21" s="2" cm="1">
        <f t="array" ref="AU21">IF(hp!AU21=0,0,_xll.BDP(AU$4,"YAS_BOND_YLD", "YAS_BOND_PX",hp!AU21, "SETTLE_DT", TEXT(ya!$C21,"YYYYMMDD")))</f>
        <v>0</v>
      </c>
      <c r="AV21" s="2" cm="1">
        <f t="array" ref="AV21">IF(hp!AV21=0,0,_xll.BDP(AV$4,"YAS_BOND_YLD", "YAS_BOND_PX",hp!AV21, "SETTLE_DT", TEXT(ya!$C21,"YYYYMMDD")))</f>
        <v>0</v>
      </c>
      <c r="AW21" s="2" cm="1">
        <f t="array" ref="AW21">IF(hp!AW21=0,0,_xll.BDP(AW$4,"YAS_BOND_YLD", "YAS_BOND_PX",hp!AW21, "SETTLE_DT", TEXT(ya!$C21,"YYYYMMDD")))</f>
        <v>0</v>
      </c>
      <c r="AX21" s="2" cm="1">
        <f t="array" ref="AX21">IF(hp!AX21=0,0,_xll.BDP(AX$4,"YAS_BOND_YLD", "YAS_BOND_PX",hp!AX21, "SETTLE_DT", TEXT(ya!$C21,"YYYYMMDD")))</f>
        <v>0</v>
      </c>
      <c r="AY21" s="2" cm="1">
        <f t="array" ref="AY21">IF(hp!AY21=0,0,_xll.BDP(AY$4,"YAS_BOND_YLD", "YAS_BOND_PX",hp!AY21, "SETTLE_DT", TEXT(ya!$C21,"YYYYMMDD")))</f>
        <v>0</v>
      </c>
      <c r="AZ21" s="2" cm="1">
        <f t="array" ref="AZ21">IF(hp!AZ21=0,0,_xll.BDP(AZ$4,"YAS_BOND_YLD", "YAS_BOND_PX",hp!AZ21, "SETTLE_DT", TEXT(ya!$C21,"YYYYMMDD")))</f>
        <v>0</v>
      </c>
    </row>
    <row r="22" spans="1:52" x14ac:dyDescent="0.25">
      <c r="A22" s="1"/>
      <c r="B22" s="2"/>
      <c r="C22" s="1">
        <v>42580</v>
      </c>
      <c r="D22" s="2" cm="1">
        <f t="array" ref="D22">IF(hp!D22=0,0,_xll.BDP(D$4,"YAS_BOND_YLD", "YAS_BOND_PX",hp!D22, "SETTLE_DT", TEXT(ya!$C22,"YYYYMMDD")))</f>
        <v>0</v>
      </c>
      <c r="E22" s="2" cm="1">
        <f t="array" ref="E22">IF(hp!E22=0,0,_xll.BDP(E$4,"YAS_BOND_YLD", "YAS_BOND_PX",hp!E22, "SETTLE_DT", TEXT(ya!$C22,"YYYYMMDD")))</f>
        <v>0</v>
      </c>
      <c r="F22" s="2" cm="1">
        <f t="array" ref="F22">IF(hp!F22=0,0,_xll.BDP(F$4,"YAS_BOND_YLD", "YAS_BOND_PX",hp!F22, "SETTLE_DT", TEXT(ya!$C22,"YYYYMMDD")))</f>
        <v>11.815799999999999</v>
      </c>
      <c r="G22" s="2" cm="1">
        <f t="array" ref="G22">IF(hp!G22=0,0,_xll.BDP(G$4,"YAS_BOND_YLD", "YAS_BOND_PX",hp!G22, "SETTLE_DT", TEXT(ya!$C22,"YYYYMMDD")))</f>
        <v>5.9030000000000005</v>
      </c>
      <c r="H22" s="2" cm="1">
        <f t="array" ref="H22">IF(hp!H22=0,0,_xll.BDP(H$4,"YAS_BOND_YLD", "YAS_BOND_PX",hp!H22, "SETTLE_DT", TEXT(ya!$C22,"YYYYMMDD")))</f>
        <v>0</v>
      </c>
      <c r="I22" s="2" cm="1">
        <f t="array" ref="I22">IF(hp!I22=0,0,_xll.BDP(I$4,"YAS_BOND_YLD", "YAS_BOND_PX",hp!I22, "SETTLE_DT", TEXT(ya!$C22,"YYYYMMDD")))</f>
        <v>0</v>
      </c>
      <c r="J22" s="2" cm="1">
        <f t="array" ref="J22">IF(hp!J22=0,0,_xll.BDP(J$4,"YAS_BOND_YLD", "YAS_BOND_PX",hp!J22, "SETTLE_DT", TEXT(ya!$C22,"YYYYMMDD")))</f>
        <v>5.8204000000000002</v>
      </c>
      <c r="K22" s="2" cm="1">
        <f t="array" ref="K22">IF(hp!K22=0,0,_xll.BDP(K$4,"YAS_BOND_YLD", "YAS_BOND_PX",hp!K22, "SETTLE_DT", TEXT(ya!$C22,"YYYYMMDD")))</f>
        <v>0</v>
      </c>
      <c r="L22" s="2" cm="1">
        <f t="array" ref="L22">IF(hp!L22=0,0,_xll.BDP(L$4,"YAS_BOND_YLD", "YAS_BOND_PX",hp!L22, "SETTLE_DT", TEXT(ya!$C22,"YYYYMMDD")))</f>
        <v>5.8408999999999995</v>
      </c>
      <c r="M22" s="2" cm="1">
        <f t="array" ref="M22">IF(hp!M22=0,0,_xll.BDP(M$4,"YAS_BOND_YLD", "YAS_BOND_PX",hp!M22, "SETTLE_DT", TEXT(ya!$C22,"YYYYMMDD")))</f>
        <v>0</v>
      </c>
      <c r="N22" s="2" cm="1">
        <f t="array" ref="N22">IF(hp!N22=0,0,_xll.BDP(N$4,"YAS_BOND_YLD", "YAS_BOND_PX",hp!N22, "SETTLE_DT", TEXT(ya!$C22,"YYYYMMDD")))</f>
        <v>6.0034000000000001</v>
      </c>
      <c r="O22" s="2" cm="1">
        <f t="array" ref="O22">IF(hp!O22=0,0,_xll.BDP(O$4,"YAS_BOND_YLD", "YAS_BOND_PX",hp!O22, "SETTLE_DT", TEXT(ya!$C22,"YYYYMMDD")))</f>
        <v>0</v>
      </c>
      <c r="P22" s="2" cm="1">
        <f t="array" ref="P22">IF(hp!P22=0,0,_xll.BDP(P$4,"YAS_BOND_YLD", "YAS_BOND_PX",hp!P22, "SETTLE_DT", TEXT(ya!$C22,"YYYYMMDD")))</f>
        <v>0</v>
      </c>
      <c r="Q22" s="2" cm="1">
        <f t="array" ref="Q22">IF(hp!Q22=0,0,_xll.BDP(Q$4,"YAS_BOND_YLD", "YAS_BOND_PX",hp!Q22, "SETTLE_DT", TEXT(ya!$C22,"YYYYMMDD")))</f>
        <v>5.8897000000000004</v>
      </c>
      <c r="R22" s="2" cm="1">
        <f t="array" ref="R22">IF(hp!R22=0,0,_xll.BDP(R$4,"YAS_BOND_YLD", "YAS_BOND_PX",hp!R22, "SETTLE_DT", TEXT(ya!$C22,"YYYYMMDD")))</f>
        <v>0</v>
      </c>
      <c r="S22" s="2" cm="1">
        <f t="array" ref="S22">IF(hp!S22=0,0,_xll.BDP(S$4,"YAS_BOND_YLD", "YAS_BOND_PX",hp!S22, "SETTLE_DT", TEXT(ya!$C22,"YYYYMMDD")))</f>
        <v>0</v>
      </c>
      <c r="T22" s="2" cm="1">
        <f t="array" ref="T22">IF(hp!T22=0,0,_xll.BDP(T$4,"YAS_BOND_YLD", "YAS_BOND_PX",hp!T22, "SETTLE_DT", TEXT(ya!$C22,"YYYYMMDD")))</f>
        <v>0</v>
      </c>
      <c r="U22" s="2" cm="1">
        <f t="array" ref="U22">IF(hp!U22=0,0,_xll.BDP(U$4,"YAS_BOND_YLD", "YAS_BOND_PX",hp!U22, "SETTLE_DT", TEXT(ya!$C22,"YYYYMMDD")))</f>
        <v>5.8141999999999996</v>
      </c>
      <c r="V22" s="2" cm="1">
        <f t="array" ref="V22">IF(hp!V22=0,0,_xll.BDP(V$4,"YAS_BOND_YLD", "YAS_BOND_PX",hp!V22, "SETTLE_DT", TEXT(ya!$C22,"YYYYMMDD")))</f>
        <v>0</v>
      </c>
      <c r="W22" s="2" cm="1">
        <f t="array" ref="W22">IF(hp!W22=0,0,_xll.BDP(W$4,"YAS_BOND_YLD", "YAS_BOND_PX",hp!W22, "SETTLE_DT", TEXT(ya!$C22,"YYYYMMDD")))</f>
        <v>0</v>
      </c>
      <c r="X22" s="2" cm="1">
        <f t="array" ref="X22">IF(hp!X22=0,0,_xll.BDP(X$4,"YAS_BOND_YLD", "YAS_BOND_PX",hp!X22, "SETTLE_DT", TEXT(ya!$C22,"YYYYMMDD")))</f>
        <v>0</v>
      </c>
      <c r="Y22" s="2" cm="1">
        <f t="array" ref="Y22">IF(hp!Y22=0,0,_xll.BDP(Y$4,"YAS_BOND_YLD", "YAS_BOND_PX",hp!Y22, "SETTLE_DT", TEXT(ya!$C22,"YYYYMMDD")))</f>
        <v>0</v>
      </c>
      <c r="Z22" s="2" cm="1">
        <f t="array" ref="Z22">IF(hp!Z22=0,0,_xll.BDP(Z$4,"YAS_BOND_YLD", "YAS_BOND_PX",hp!Z22, "SETTLE_DT", TEXT(ya!$C22,"YYYYMMDD")))</f>
        <v>0</v>
      </c>
      <c r="AA22" s="2" cm="1">
        <f t="array" ref="AA22">IF(hp!AA22=0,0,_xll.BDP(AA$4,"YAS_BOND_YLD", "YAS_BOND_PX",hp!AA22, "SETTLE_DT", TEXT(ya!$C22,"YYYYMMDD")))</f>
        <v>0</v>
      </c>
      <c r="AB22" s="2" cm="1">
        <f t="array" ref="AB22">IF(hp!AB22=0,0,_xll.BDP(AB$4,"YAS_BOND_YLD", "YAS_BOND_PX",hp!AB22, "SETTLE_DT", TEXT(ya!$C22,"YYYYMMDD")))</f>
        <v>0</v>
      </c>
      <c r="AC22" s="2" cm="1">
        <f t="array" ref="AC22">IF(hp!AC22=0,0,_xll.BDP(AC$4,"YAS_BOND_YLD", "YAS_BOND_PX",hp!AC22, "SETTLE_DT", TEXT(ya!$C22,"YYYYMMDD")))</f>
        <v>0</v>
      </c>
      <c r="AD22" s="2" cm="1">
        <f t="array" ref="AD22">IF(hp!AD22=0,0,_xll.BDP(AD$4,"YAS_BOND_YLD", "YAS_BOND_PX",hp!AD22, "SETTLE_DT", TEXT(ya!$C22,"YYYYMMDD")))</f>
        <v>5.8114999999999997</v>
      </c>
      <c r="AE22" s="2" cm="1">
        <f t="array" ref="AE22">IF(hp!AE22=0,0,_xll.BDP(AE$4,"YAS_BOND_YLD", "YAS_BOND_PX",hp!AE22, "SETTLE_DT", TEXT(ya!$C22,"YYYYMMDD")))</f>
        <v>0</v>
      </c>
      <c r="AF22" s="2" cm="1">
        <f t="array" ref="AF22">IF(hp!AF22=0,0,_xll.BDP(AF$4,"YAS_BOND_YLD", "YAS_BOND_PX",hp!AF22, "SETTLE_DT", TEXT(ya!$C22,"YYYYMMDD")))</f>
        <v>0</v>
      </c>
      <c r="AG22" s="2" cm="1">
        <f t="array" ref="AG22">IF(hp!AG22=0,0,_xll.BDP(AG$4,"YAS_BOND_YLD", "YAS_BOND_PX",hp!AG22, "SETTLE_DT", TEXT(ya!$C22,"YYYYMMDD")))</f>
        <v>0</v>
      </c>
      <c r="AH22" s="2" cm="1">
        <f t="array" ref="AH22">IF(hp!AH22=0,0,_xll.BDP(AH$4,"YAS_BOND_YLD", "YAS_BOND_PX",hp!AH22, "SETTLE_DT", TEXT(ya!$C22,"YYYYMMDD")))</f>
        <v>0</v>
      </c>
      <c r="AI22" s="2" cm="1">
        <f t="array" ref="AI22">IF(hp!AI22=0,0,_xll.BDP(AI$4,"YAS_BOND_YLD", "YAS_BOND_PX",hp!AI22, "SETTLE_DT", TEXT(ya!$C22,"YYYYMMDD")))</f>
        <v>0</v>
      </c>
      <c r="AJ22" s="2" cm="1">
        <f t="array" ref="AJ22">IF(hp!AJ22=0,0,_xll.BDP(AJ$4,"YAS_BOND_YLD", "YAS_BOND_PX",hp!AJ22, "SETTLE_DT", TEXT(ya!$C22,"YYYYMMDD")))</f>
        <v>0</v>
      </c>
      <c r="AK22" s="2" cm="1">
        <f t="array" ref="AK22">IF(hp!AK22=0,0,_xll.BDP(AK$4,"YAS_BOND_YLD", "YAS_BOND_PX",hp!AK22, "SETTLE_DT", TEXT(ya!$C22,"YYYYMMDD")))</f>
        <v>0</v>
      </c>
      <c r="AL22" s="2" cm="1">
        <f t="array" ref="AL22">IF(hp!AL22=0,0,_xll.BDP(AL$4,"YAS_BOND_YLD", "YAS_BOND_PX",hp!AL22, "SETTLE_DT", TEXT(ya!$C22,"YYYYMMDD")))</f>
        <v>0</v>
      </c>
      <c r="AM22" s="2" cm="1">
        <f t="array" ref="AM22">IF(hp!AM22=0,0,_xll.BDP(AM$4,"YAS_BOND_YLD", "YAS_BOND_PX",hp!AM22, "SETTLE_DT", TEXT(ya!$C22,"YYYYMMDD")))</f>
        <v>0</v>
      </c>
      <c r="AN22" s="2" cm="1">
        <f t="array" ref="AN22">IF(hp!AN22=0,0,_xll.BDP(AN$4,"YAS_BOND_YLD", "YAS_BOND_PX",hp!AN22, "SETTLE_DT", TEXT(ya!$C22,"YYYYMMDD")))</f>
        <v>0</v>
      </c>
      <c r="AO22" s="2" cm="1">
        <f t="array" ref="AO22">IF(hp!AO22=0,0,_xll.BDP(AO$4,"YAS_BOND_YLD", "YAS_BOND_PX",hp!AO22, "SETTLE_DT", TEXT(ya!$C22,"YYYYMMDD")))</f>
        <v>0</v>
      </c>
      <c r="AP22" s="2" cm="1">
        <f t="array" ref="AP22">IF(hp!AP22=0,0,_xll.BDP(AP$4,"YAS_BOND_YLD", "YAS_BOND_PX",hp!AP22, "SETTLE_DT", TEXT(ya!$C22,"YYYYMMDD")))</f>
        <v>0</v>
      </c>
      <c r="AQ22" s="2" cm="1">
        <f t="array" ref="AQ22">IF(hp!AQ22=0,0,_xll.BDP(AQ$4,"YAS_BOND_YLD", "YAS_BOND_PX",hp!AQ22, "SETTLE_DT", TEXT(ya!$C22,"YYYYMMDD")))</f>
        <v>0</v>
      </c>
      <c r="AR22" s="2" cm="1">
        <f t="array" ref="AR22">IF(hp!AR22=0,0,_xll.BDP(AR$4,"YAS_BOND_YLD", "YAS_BOND_PX",hp!AR22, "SETTLE_DT", TEXT(ya!$C22,"YYYYMMDD")))</f>
        <v>5.7767999999999997</v>
      </c>
      <c r="AS22" s="2" cm="1">
        <f t="array" ref="AS22">IF(hp!AS22=0,0,_xll.BDP(AS$4,"YAS_BOND_YLD", "YAS_BOND_PX",hp!AS22, "SETTLE_DT", TEXT(ya!$C22,"YYYYMMDD")))</f>
        <v>0</v>
      </c>
      <c r="AT22" s="2" cm="1">
        <f t="array" ref="AT22">IF(hp!AT22=0,0,_xll.BDP(AT$4,"YAS_BOND_YLD", "YAS_BOND_PX",hp!AT22, "SETTLE_DT", TEXT(ya!$C22,"YYYYMMDD")))</f>
        <v>0</v>
      </c>
      <c r="AU22" s="2" cm="1">
        <f t="array" ref="AU22">IF(hp!AU22=0,0,_xll.BDP(AU$4,"YAS_BOND_YLD", "YAS_BOND_PX",hp!AU22, "SETTLE_DT", TEXT(ya!$C22,"YYYYMMDD")))</f>
        <v>0</v>
      </c>
      <c r="AV22" s="2" cm="1">
        <f t="array" ref="AV22">IF(hp!AV22=0,0,_xll.BDP(AV$4,"YAS_BOND_YLD", "YAS_BOND_PX",hp!AV22, "SETTLE_DT", TEXT(ya!$C22,"YYYYMMDD")))</f>
        <v>0</v>
      </c>
      <c r="AW22" s="2" cm="1">
        <f t="array" ref="AW22">IF(hp!AW22=0,0,_xll.BDP(AW$4,"YAS_BOND_YLD", "YAS_BOND_PX",hp!AW22, "SETTLE_DT", TEXT(ya!$C22,"YYYYMMDD")))</f>
        <v>0</v>
      </c>
      <c r="AX22" s="2" cm="1">
        <f t="array" ref="AX22">IF(hp!AX22=0,0,_xll.BDP(AX$4,"YAS_BOND_YLD", "YAS_BOND_PX",hp!AX22, "SETTLE_DT", TEXT(ya!$C22,"YYYYMMDD")))</f>
        <v>0</v>
      </c>
      <c r="AY22" s="2" cm="1">
        <f t="array" ref="AY22">IF(hp!AY22=0,0,_xll.BDP(AY$4,"YAS_BOND_YLD", "YAS_BOND_PX",hp!AY22, "SETTLE_DT", TEXT(ya!$C22,"YYYYMMDD")))</f>
        <v>0</v>
      </c>
      <c r="AZ22" s="2" cm="1">
        <f t="array" ref="AZ22">IF(hp!AZ22=0,0,_xll.BDP(AZ$4,"YAS_BOND_YLD", "YAS_BOND_PX",hp!AZ22, "SETTLE_DT", TEXT(ya!$C22,"YYYYMMDD")))</f>
        <v>0</v>
      </c>
    </row>
    <row r="23" spans="1:52" x14ac:dyDescent="0.25">
      <c r="A23" s="1"/>
      <c r="B23" s="2"/>
      <c r="C23" s="1">
        <v>42613</v>
      </c>
      <c r="D23" s="2" cm="1">
        <f t="array" ref="D23">IF(hp!D23=0,0,_xll.BDP(D$4,"YAS_BOND_YLD", "YAS_BOND_PX",hp!D23, "SETTLE_DT", TEXT(ya!$C23,"YYYYMMDD")))</f>
        <v>0</v>
      </c>
      <c r="E23" s="2" cm="1">
        <f t="array" ref="E23">IF(hp!E23=0,0,_xll.BDP(E$4,"YAS_BOND_YLD", "YAS_BOND_PX",hp!E23, "SETTLE_DT", TEXT(ya!$C23,"YYYYMMDD")))</f>
        <v>0</v>
      </c>
      <c r="F23" s="2" cm="1">
        <f t="array" ref="F23">IF(hp!F23=0,0,_xll.BDP(F$4,"YAS_BOND_YLD", "YAS_BOND_PX",hp!F23, "SETTLE_DT", TEXT(ya!$C23,"YYYYMMDD")))</f>
        <v>12.071999999999999</v>
      </c>
      <c r="G23" s="2" cm="1">
        <f t="array" ref="G23">IF(hp!G23=0,0,_xll.BDP(G$4,"YAS_BOND_YLD", "YAS_BOND_PX",hp!G23, "SETTLE_DT", TEXT(ya!$C23,"YYYYMMDD")))</f>
        <v>5.8765999999999998</v>
      </c>
      <c r="H23" s="2" cm="1">
        <f t="array" ref="H23">IF(hp!H23=0,0,_xll.BDP(H$4,"YAS_BOND_YLD", "YAS_BOND_PX",hp!H23, "SETTLE_DT", TEXT(ya!$C23,"YYYYMMDD")))</f>
        <v>0</v>
      </c>
      <c r="I23" s="2" cm="1">
        <f t="array" ref="I23">IF(hp!I23=0,0,_xll.BDP(I$4,"YAS_BOND_YLD", "YAS_BOND_PX",hp!I23, "SETTLE_DT", TEXT(ya!$C23,"YYYYMMDD")))</f>
        <v>0</v>
      </c>
      <c r="J23" s="2" cm="1">
        <f t="array" ref="J23">IF(hp!J23=0,0,_xll.BDP(J$4,"YAS_BOND_YLD", "YAS_BOND_PX",hp!J23, "SETTLE_DT", TEXT(ya!$C23,"YYYYMMDD")))</f>
        <v>5.8830999999999998</v>
      </c>
      <c r="K23" s="2" cm="1">
        <f t="array" ref="K23">IF(hp!K23=0,0,_xll.BDP(K$4,"YAS_BOND_YLD", "YAS_BOND_PX",hp!K23, "SETTLE_DT", TEXT(ya!$C23,"YYYYMMDD")))</f>
        <v>0</v>
      </c>
      <c r="L23" s="2" cm="1">
        <f t="array" ref="L23">IF(hp!L23=0,0,_xll.BDP(L$4,"YAS_BOND_YLD", "YAS_BOND_PX",hp!L23, "SETTLE_DT", TEXT(ya!$C23,"YYYYMMDD")))</f>
        <v>5.7854000000000001</v>
      </c>
      <c r="M23" s="2" cm="1">
        <f t="array" ref="M23">IF(hp!M23=0,0,_xll.BDP(M$4,"YAS_BOND_YLD", "YAS_BOND_PX",hp!M23, "SETTLE_DT", TEXT(ya!$C23,"YYYYMMDD")))</f>
        <v>0</v>
      </c>
      <c r="N23" s="2" cm="1">
        <f t="array" ref="N23">IF(hp!N23=0,0,_xll.BDP(N$4,"YAS_BOND_YLD", "YAS_BOND_PX",hp!N23, "SETTLE_DT", TEXT(ya!$C23,"YYYYMMDD")))</f>
        <v>5.9482999999999997</v>
      </c>
      <c r="O23" s="2" cm="1">
        <f t="array" ref="O23">IF(hp!O23=0,0,_xll.BDP(O$4,"YAS_BOND_YLD", "YAS_BOND_PX",hp!O23, "SETTLE_DT", TEXT(ya!$C23,"YYYYMMDD")))</f>
        <v>0</v>
      </c>
      <c r="P23" s="2" cm="1">
        <f t="array" ref="P23">IF(hp!P23=0,0,_xll.BDP(P$4,"YAS_BOND_YLD", "YAS_BOND_PX",hp!P23, "SETTLE_DT", TEXT(ya!$C23,"YYYYMMDD")))</f>
        <v>0</v>
      </c>
      <c r="Q23" s="2" cm="1">
        <f t="array" ref="Q23">IF(hp!Q23=0,0,_xll.BDP(Q$4,"YAS_BOND_YLD", "YAS_BOND_PX",hp!Q23, "SETTLE_DT", TEXT(ya!$C23,"YYYYMMDD")))</f>
        <v>5.9213000000000005</v>
      </c>
      <c r="R23" s="2" cm="1">
        <f t="array" ref="R23">IF(hp!R23=0,0,_xll.BDP(R$4,"YAS_BOND_YLD", "YAS_BOND_PX",hp!R23, "SETTLE_DT", TEXT(ya!$C23,"YYYYMMDD")))</f>
        <v>0</v>
      </c>
      <c r="S23" s="2" cm="1">
        <f t="array" ref="S23">IF(hp!S23=0,0,_xll.BDP(S$4,"YAS_BOND_YLD", "YAS_BOND_PX",hp!S23, "SETTLE_DT", TEXT(ya!$C23,"YYYYMMDD")))</f>
        <v>0</v>
      </c>
      <c r="T23" s="2" cm="1">
        <f t="array" ref="T23">IF(hp!T23=0,0,_xll.BDP(T$4,"YAS_BOND_YLD", "YAS_BOND_PX",hp!T23, "SETTLE_DT", TEXT(ya!$C23,"YYYYMMDD")))</f>
        <v>0</v>
      </c>
      <c r="U23" s="2" cm="1">
        <f t="array" ref="U23">IF(hp!U23=0,0,_xll.BDP(U$4,"YAS_BOND_YLD", "YAS_BOND_PX",hp!U23, "SETTLE_DT", TEXT(ya!$C23,"YYYYMMDD")))</f>
        <v>5.8166000000000002</v>
      </c>
      <c r="V23" s="2" cm="1">
        <f t="array" ref="V23">IF(hp!V23=0,0,_xll.BDP(V$4,"YAS_BOND_YLD", "YAS_BOND_PX",hp!V23, "SETTLE_DT", TEXT(ya!$C23,"YYYYMMDD")))</f>
        <v>0</v>
      </c>
      <c r="W23" s="2" cm="1">
        <f t="array" ref="W23">IF(hp!W23=0,0,_xll.BDP(W$4,"YAS_BOND_YLD", "YAS_BOND_PX",hp!W23, "SETTLE_DT", TEXT(ya!$C23,"YYYYMMDD")))</f>
        <v>0</v>
      </c>
      <c r="X23" s="2" cm="1">
        <f t="array" ref="X23">IF(hp!X23=0,0,_xll.BDP(X$4,"YAS_BOND_YLD", "YAS_BOND_PX",hp!X23, "SETTLE_DT", TEXT(ya!$C23,"YYYYMMDD")))</f>
        <v>0</v>
      </c>
      <c r="Y23" s="2" cm="1">
        <f t="array" ref="Y23">IF(hp!Y23=0,0,_xll.BDP(Y$4,"YAS_BOND_YLD", "YAS_BOND_PX",hp!Y23, "SETTLE_DT", TEXT(ya!$C23,"YYYYMMDD")))</f>
        <v>0</v>
      </c>
      <c r="Z23" s="2" cm="1">
        <f t="array" ref="Z23">IF(hp!Z23=0,0,_xll.BDP(Z$4,"YAS_BOND_YLD", "YAS_BOND_PX",hp!Z23, "SETTLE_DT", TEXT(ya!$C23,"YYYYMMDD")))</f>
        <v>0</v>
      </c>
      <c r="AA23" s="2" cm="1">
        <f t="array" ref="AA23">IF(hp!AA23=0,0,_xll.BDP(AA$4,"YAS_BOND_YLD", "YAS_BOND_PX",hp!AA23, "SETTLE_DT", TEXT(ya!$C23,"YYYYMMDD")))</f>
        <v>0</v>
      </c>
      <c r="AB23" s="2" cm="1">
        <f t="array" ref="AB23">IF(hp!AB23=0,0,_xll.BDP(AB$4,"YAS_BOND_YLD", "YAS_BOND_PX",hp!AB23, "SETTLE_DT", TEXT(ya!$C23,"YYYYMMDD")))</f>
        <v>0</v>
      </c>
      <c r="AC23" s="2" cm="1">
        <f t="array" ref="AC23">IF(hp!AC23=0,0,_xll.BDP(AC$4,"YAS_BOND_YLD", "YAS_BOND_PX",hp!AC23, "SETTLE_DT", TEXT(ya!$C23,"YYYYMMDD")))</f>
        <v>0</v>
      </c>
      <c r="AD23" s="2" cm="1">
        <f t="array" ref="AD23">IF(hp!AD23=0,0,_xll.BDP(AD$4,"YAS_BOND_YLD", "YAS_BOND_PX",hp!AD23, "SETTLE_DT", TEXT(ya!$C23,"YYYYMMDD")))</f>
        <v>5.8765999999999998</v>
      </c>
      <c r="AE23" s="2" cm="1">
        <f t="array" ref="AE23">IF(hp!AE23=0,0,_xll.BDP(AE$4,"YAS_BOND_YLD", "YAS_BOND_PX",hp!AE23, "SETTLE_DT", TEXT(ya!$C23,"YYYYMMDD")))</f>
        <v>0</v>
      </c>
      <c r="AF23" s="2" cm="1">
        <f t="array" ref="AF23">IF(hp!AF23=0,0,_xll.BDP(AF$4,"YAS_BOND_YLD", "YAS_BOND_PX",hp!AF23, "SETTLE_DT", TEXT(ya!$C23,"YYYYMMDD")))</f>
        <v>0</v>
      </c>
      <c r="AG23" s="2" cm="1">
        <f t="array" ref="AG23">IF(hp!AG23=0,0,_xll.BDP(AG$4,"YAS_BOND_YLD", "YAS_BOND_PX",hp!AG23, "SETTLE_DT", TEXT(ya!$C23,"YYYYMMDD")))</f>
        <v>0</v>
      </c>
      <c r="AH23" s="2" cm="1">
        <f t="array" ref="AH23">IF(hp!AH23=0,0,_xll.BDP(AH$4,"YAS_BOND_YLD", "YAS_BOND_PX",hp!AH23, "SETTLE_DT", TEXT(ya!$C23,"YYYYMMDD")))</f>
        <v>0</v>
      </c>
      <c r="AI23" s="2" cm="1">
        <f t="array" ref="AI23">IF(hp!AI23=0,0,_xll.BDP(AI$4,"YAS_BOND_YLD", "YAS_BOND_PX",hp!AI23, "SETTLE_DT", TEXT(ya!$C23,"YYYYMMDD")))</f>
        <v>0</v>
      </c>
      <c r="AJ23" s="2" cm="1">
        <f t="array" ref="AJ23">IF(hp!AJ23=0,0,_xll.BDP(AJ$4,"YAS_BOND_YLD", "YAS_BOND_PX",hp!AJ23, "SETTLE_DT", TEXT(ya!$C23,"YYYYMMDD")))</f>
        <v>0</v>
      </c>
      <c r="AK23" s="2" cm="1">
        <f t="array" ref="AK23">IF(hp!AK23=0,0,_xll.BDP(AK$4,"YAS_BOND_YLD", "YAS_BOND_PX",hp!AK23, "SETTLE_DT", TEXT(ya!$C23,"YYYYMMDD")))</f>
        <v>0</v>
      </c>
      <c r="AL23" s="2" cm="1">
        <f t="array" ref="AL23">IF(hp!AL23=0,0,_xll.BDP(AL$4,"YAS_BOND_YLD", "YAS_BOND_PX",hp!AL23, "SETTLE_DT", TEXT(ya!$C23,"YYYYMMDD")))</f>
        <v>0</v>
      </c>
      <c r="AM23" s="2" cm="1">
        <f t="array" ref="AM23">IF(hp!AM23=0,0,_xll.BDP(AM$4,"YAS_BOND_YLD", "YAS_BOND_PX",hp!AM23, "SETTLE_DT", TEXT(ya!$C23,"YYYYMMDD")))</f>
        <v>0</v>
      </c>
      <c r="AN23" s="2" cm="1">
        <f t="array" ref="AN23">IF(hp!AN23=0,0,_xll.BDP(AN$4,"YAS_BOND_YLD", "YAS_BOND_PX",hp!AN23, "SETTLE_DT", TEXT(ya!$C23,"YYYYMMDD")))</f>
        <v>0</v>
      </c>
      <c r="AO23" s="2" cm="1">
        <f t="array" ref="AO23">IF(hp!AO23=0,0,_xll.BDP(AO$4,"YAS_BOND_YLD", "YAS_BOND_PX",hp!AO23, "SETTLE_DT", TEXT(ya!$C23,"YYYYMMDD")))</f>
        <v>0</v>
      </c>
      <c r="AP23" s="2" cm="1">
        <f t="array" ref="AP23">IF(hp!AP23=0,0,_xll.BDP(AP$4,"YAS_BOND_YLD", "YAS_BOND_PX",hp!AP23, "SETTLE_DT", TEXT(ya!$C23,"YYYYMMDD")))</f>
        <v>0</v>
      </c>
      <c r="AQ23" s="2" cm="1">
        <f t="array" ref="AQ23">IF(hp!AQ23=0,0,_xll.BDP(AQ$4,"YAS_BOND_YLD", "YAS_BOND_PX",hp!AQ23, "SETTLE_DT", TEXT(ya!$C23,"YYYYMMDD")))</f>
        <v>0</v>
      </c>
      <c r="AR23" s="2" cm="1">
        <f t="array" ref="AR23">IF(hp!AR23=0,0,_xll.BDP(AR$4,"YAS_BOND_YLD", "YAS_BOND_PX",hp!AR23, "SETTLE_DT", TEXT(ya!$C23,"YYYYMMDD")))</f>
        <v>5.8129</v>
      </c>
      <c r="AS23" s="2" cm="1">
        <f t="array" ref="AS23">IF(hp!AS23=0,0,_xll.BDP(AS$4,"YAS_BOND_YLD", "YAS_BOND_PX",hp!AS23, "SETTLE_DT", TEXT(ya!$C23,"YYYYMMDD")))</f>
        <v>0</v>
      </c>
      <c r="AT23" s="2" cm="1">
        <f t="array" ref="AT23">IF(hp!AT23=0,0,_xll.BDP(AT$4,"YAS_BOND_YLD", "YAS_BOND_PX",hp!AT23, "SETTLE_DT", TEXT(ya!$C23,"YYYYMMDD")))</f>
        <v>0</v>
      </c>
      <c r="AU23" s="2" cm="1">
        <f t="array" ref="AU23">IF(hp!AU23=0,0,_xll.BDP(AU$4,"YAS_BOND_YLD", "YAS_BOND_PX",hp!AU23, "SETTLE_DT", TEXT(ya!$C23,"YYYYMMDD")))</f>
        <v>0</v>
      </c>
      <c r="AV23" s="2" cm="1">
        <f t="array" ref="AV23">IF(hp!AV23=0,0,_xll.BDP(AV$4,"YAS_BOND_YLD", "YAS_BOND_PX",hp!AV23, "SETTLE_DT", TEXT(ya!$C23,"YYYYMMDD")))</f>
        <v>0</v>
      </c>
      <c r="AW23" s="2" cm="1">
        <f t="array" ref="AW23">IF(hp!AW23=0,0,_xll.BDP(AW$4,"YAS_BOND_YLD", "YAS_BOND_PX",hp!AW23, "SETTLE_DT", TEXT(ya!$C23,"YYYYMMDD")))</f>
        <v>0</v>
      </c>
      <c r="AX23" s="2" cm="1">
        <f t="array" ref="AX23">IF(hp!AX23=0,0,_xll.BDP(AX$4,"YAS_BOND_YLD", "YAS_BOND_PX",hp!AX23, "SETTLE_DT", TEXT(ya!$C23,"YYYYMMDD")))</f>
        <v>0</v>
      </c>
      <c r="AY23" s="2" cm="1">
        <f t="array" ref="AY23">IF(hp!AY23=0,0,_xll.BDP(AY$4,"YAS_BOND_YLD", "YAS_BOND_PX",hp!AY23, "SETTLE_DT", TEXT(ya!$C23,"YYYYMMDD")))</f>
        <v>0</v>
      </c>
      <c r="AZ23" s="2" cm="1">
        <f t="array" ref="AZ23">IF(hp!AZ23=0,0,_xll.BDP(AZ$4,"YAS_BOND_YLD", "YAS_BOND_PX",hp!AZ23, "SETTLE_DT", TEXT(ya!$C23,"YYYYMMDD")))</f>
        <v>0</v>
      </c>
    </row>
    <row r="24" spans="1:52" x14ac:dyDescent="0.25">
      <c r="A24" s="1"/>
      <c r="B24" s="2"/>
      <c r="C24" s="1">
        <v>42643</v>
      </c>
      <c r="D24" s="2" cm="1">
        <f t="array" ref="D24">IF(hp!D24=0,0,_xll.BDP(D$4,"YAS_BOND_YLD", "YAS_BOND_PX",hp!D24, "SETTLE_DT", TEXT(ya!$C24,"YYYYMMDD")))</f>
        <v>0</v>
      </c>
      <c r="E24" s="2" cm="1">
        <f t="array" ref="E24">IF(hp!E24=0,0,_xll.BDP(E$4,"YAS_BOND_YLD", "YAS_BOND_PX",hp!E24, "SETTLE_DT", TEXT(ya!$C24,"YYYYMMDD")))</f>
        <v>0</v>
      </c>
      <c r="F24" s="2" cm="1">
        <f t="array" ref="F24">IF(hp!F24=0,0,_xll.BDP(F$4,"YAS_BOND_YLD", "YAS_BOND_PX",hp!F24, "SETTLE_DT", TEXT(ya!$C24,"YYYYMMDD")))</f>
        <v>11.590299999999999</v>
      </c>
      <c r="G24" s="2" cm="1">
        <f t="array" ref="G24">IF(hp!G24=0,0,_xll.BDP(G$4,"YAS_BOND_YLD", "YAS_BOND_PX",hp!G24, "SETTLE_DT", TEXT(ya!$C24,"YYYYMMDD")))</f>
        <v>5.7969999999999997</v>
      </c>
      <c r="H24" s="2" cm="1">
        <f t="array" ref="H24">IF(hp!H24=0,0,_xll.BDP(H$4,"YAS_BOND_YLD", "YAS_BOND_PX",hp!H24, "SETTLE_DT", TEXT(ya!$C24,"YYYYMMDD")))</f>
        <v>0</v>
      </c>
      <c r="I24" s="2" cm="1">
        <f t="array" ref="I24">IF(hp!I24=0,0,_xll.BDP(I$4,"YAS_BOND_YLD", "YAS_BOND_PX",hp!I24, "SETTLE_DT", TEXT(ya!$C24,"YYYYMMDD")))</f>
        <v>0</v>
      </c>
      <c r="J24" s="2" cm="1">
        <f t="array" ref="J24">IF(hp!J24=0,0,_xll.BDP(J$4,"YAS_BOND_YLD", "YAS_BOND_PX",hp!J24, "SETTLE_DT", TEXT(ya!$C24,"YYYYMMDD")))</f>
        <v>5.7598000000000003</v>
      </c>
      <c r="K24" s="2" cm="1">
        <f t="array" ref="K24">IF(hp!K24=0,0,_xll.BDP(K$4,"YAS_BOND_YLD", "YAS_BOND_PX",hp!K24, "SETTLE_DT", TEXT(ya!$C24,"YYYYMMDD")))</f>
        <v>0</v>
      </c>
      <c r="L24" s="2" cm="1">
        <f t="array" ref="L24">IF(hp!L24=0,0,_xll.BDP(L$4,"YAS_BOND_YLD", "YAS_BOND_PX",hp!L24, "SETTLE_DT", TEXT(ya!$C24,"YYYYMMDD")))</f>
        <v>5.7843999999999998</v>
      </c>
      <c r="M24" s="2" cm="1">
        <f t="array" ref="M24">IF(hp!M24=0,0,_xll.BDP(M$4,"YAS_BOND_YLD", "YAS_BOND_PX",hp!M24, "SETTLE_DT", TEXT(ya!$C24,"YYYYMMDD")))</f>
        <v>0</v>
      </c>
      <c r="N24" s="2" cm="1">
        <f t="array" ref="N24">IF(hp!N24=0,0,_xll.BDP(N$4,"YAS_BOND_YLD", "YAS_BOND_PX",hp!N24, "SETTLE_DT", TEXT(ya!$C24,"YYYYMMDD")))</f>
        <v>5.8791000000000002</v>
      </c>
      <c r="O24" s="2" cm="1">
        <f t="array" ref="O24">IF(hp!O24=0,0,_xll.BDP(O$4,"YAS_BOND_YLD", "YAS_BOND_PX",hp!O24, "SETTLE_DT", TEXT(ya!$C24,"YYYYMMDD")))</f>
        <v>0</v>
      </c>
      <c r="P24" s="2" cm="1">
        <f t="array" ref="P24">IF(hp!P24=0,0,_xll.BDP(P$4,"YAS_BOND_YLD", "YAS_BOND_PX",hp!P24, "SETTLE_DT", TEXT(ya!$C24,"YYYYMMDD")))</f>
        <v>0</v>
      </c>
      <c r="Q24" s="2" cm="1">
        <f t="array" ref="Q24">IF(hp!Q24=0,0,_xll.BDP(Q$4,"YAS_BOND_YLD", "YAS_BOND_PX",hp!Q24, "SETTLE_DT", TEXT(ya!$C24,"YYYYMMDD")))</f>
        <v>5.8212000000000002</v>
      </c>
      <c r="R24" s="2" cm="1">
        <f t="array" ref="R24">IF(hp!R24=0,0,_xll.BDP(R$4,"YAS_BOND_YLD", "YAS_BOND_PX",hp!R24, "SETTLE_DT", TEXT(ya!$C24,"YYYYMMDD")))</f>
        <v>0</v>
      </c>
      <c r="S24" s="2" cm="1">
        <f t="array" ref="S24">IF(hp!S24=0,0,_xll.BDP(S$4,"YAS_BOND_YLD", "YAS_BOND_PX",hp!S24, "SETTLE_DT", TEXT(ya!$C24,"YYYYMMDD")))</f>
        <v>0</v>
      </c>
      <c r="T24" s="2" cm="1">
        <f t="array" ref="T24">IF(hp!T24=0,0,_xll.BDP(T$4,"YAS_BOND_YLD", "YAS_BOND_PX",hp!T24, "SETTLE_DT", TEXT(ya!$C24,"YYYYMMDD")))</f>
        <v>0</v>
      </c>
      <c r="U24" s="2" cm="1">
        <f t="array" ref="U24">IF(hp!U24=0,0,_xll.BDP(U$4,"YAS_BOND_YLD", "YAS_BOND_PX",hp!U24, "SETTLE_DT", TEXT(ya!$C24,"YYYYMMDD")))</f>
        <v>5.7910000000000004</v>
      </c>
      <c r="V24" s="2" cm="1">
        <f t="array" ref="V24">IF(hp!V24=0,0,_xll.BDP(V$4,"YAS_BOND_YLD", "YAS_BOND_PX",hp!V24, "SETTLE_DT", TEXT(ya!$C24,"YYYYMMDD")))</f>
        <v>0</v>
      </c>
      <c r="W24" s="2" cm="1">
        <f t="array" ref="W24">IF(hp!W24=0,0,_xll.BDP(W$4,"YAS_BOND_YLD", "YAS_BOND_PX",hp!W24, "SETTLE_DT", TEXT(ya!$C24,"YYYYMMDD")))</f>
        <v>0</v>
      </c>
      <c r="X24" s="2" cm="1">
        <f t="array" ref="X24">IF(hp!X24=0,0,_xll.BDP(X$4,"YAS_BOND_YLD", "YAS_BOND_PX",hp!X24, "SETTLE_DT", TEXT(ya!$C24,"YYYYMMDD")))</f>
        <v>0</v>
      </c>
      <c r="Y24" s="2" cm="1">
        <f t="array" ref="Y24">IF(hp!Y24=0,0,_xll.BDP(Y$4,"YAS_BOND_YLD", "YAS_BOND_PX",hp!Y24, "SETTLE_DT", TEXT(ya!$C24,"YYYYMMDD")))</f>
        <v>0</v>
      </c>
      <c r="Z24" s="2" cm="1">
        <f t="array" ref="Z24">IF(hp!Z24=0,0,_xll.BDP(Z$4,"YAS_BOND_YLD", "YAS_BOND_PX",hp!Z24, "SETTLE_DT", TEXT(ya!$C24,"YYYYMMDD")))</f>
        <v>0</v>
      </c>
      <c r="AA24" s="2" cm="1">
        <f t="array" ref="AA24">IF(hp!AA24=0,0,_xll.BDP(AA$4,"YAS_BOND_YLD", "YAS_BOND_PX",hp!AA24, "SETTLE_DT", TEXT(ya!$C24,"YYYYMMDD")))</f>
        <v>0</v>
      </c>
      <c r="AB24" s="2" cm="1">
        <f t="array" ref="AB24">IF(hp!AB24=0,0,_xll.BDP(AB$4,"YAS_BOND_YLD", "YAS_BOND_PX",hp!AB24, "SETTLE_DT", TEXT(ya!$C24,"YYYYMMDD")))</f>
        <v>0</v>
      </c>
      <c r="AC24" s="2" cm="1">
        <f t="array" ref="AC24">IF(hp!AC24=0,0,_xll.BDP(AC$4,"YAS_BOND_YLD", "YAS_BOND_PX",hp!AC24, "SETTLE_DT", TEXT(ya!$C24,"YYYYMMDD")))</f>
        <v>0</v>
      </c>
      <c r="AD24" s="2" cm="1">
        <f t="array" ref="AD24">IF(hp!AD24=0,0,_xll.BDP(AD$4,"YAS_BOND_YLD", "YAS_BOND_PX",hp!AD24, "SETTLE_DT", TEXT(ya!$C24,"YYYYMMDD")))</f>
        <v>5.7538999999999998</v>
      </c>
      <c r="AE24" s="2" cm="1">
        <f t="array" ref="AE24">IF(hp!AE24=0,0,_xll.BDP(AE$4,"YAS_BOND_YLD", "YAS_BOND_PX",hp!AE24, "SETTLE_DT", TEXT(ya!$C24,"YYYYMMDD")))</f>
        <v>0</v>
      </c>
      <c r="AF24" s="2" cm="1">
        <f t="array" ref="AF24">IF(hp!AF24=0,0,_xll.BDP(AF$4,"YAS_BOND_YLD", "YAS_BOND_PX",hp!AF24, "SETTLE_DT", TEXT(ya!$C24,"YYYYMMDD")))</f>
        <v>0</v>
      </c>
      <c r="AG24" s="2" cm="1">
        <f t="array" ref="AG24">IF(hp!AG24=0,0,_xll.BDP(AG$4,"YAS_BOND_YLD", "YAS_BOND_PX",hp!AG24, "SETTLE_DT", TEXT(ya!$C24,"YYYYMMDD")))</f>
        <v>0</v>
      </c>
      <c r="AH24" s="2" cm="1">
        <f t="array" ref="AH24">IF(hp!AH24=0,0,_xll.BDP(AH$4,"YAS_BOND_YLD", "YAS_BOND_PX",hp!AH24, "SETTLE_DT", TEXT(ya!$C24,"YYYYMMDD")))</f>
        <v>0</v>
      </c>
      <c r="AI24" s="2" cm="1">
        <f t="array" ref="AI24">IF(hp!AI24=0,0,_xll.BDP(AI$4,"YAS_BOND_YLD", "YAS_BOND_PX",hp!AI24, "SETTLE_DT", TEXT(ya!$C24,"YYYYMMDD")))</f>
        <v>0</v>
      </c>
      <c r="AJ24" s="2" cm="1">
        <f t="array" ref="AJ24">IF(hp!AJ24=0,0,_xll.BDP(AJ$4,"YAS_BOND_YLD", "YAS_BOND_PX",hp!AJ24, "SETTLE_DT", TEXT(ya!$C24,"YYYYMMDD")))</f>
        <v>0</v>
      </c>
      <c r="AK24" s="2" cm="1">
        <f t="array" ref="AK24">IF(hp!AK24=0,0,_xll.BDP(AK$4,"YAS_BOND_YLD", "YAS_BOND_PX",hp!AK24, "SETTLE_DT", TEXT(ya!$C24,"YYYYMMDD")))</f>
        <v>0</v>
      </c>
      <c r="AL24" s="2" cm="1">
        <f t="array" ref="AL24">IF(hp!AL24=0,0,_xll.BDP(AL$4,"YAS_BOND_YLD", "YAS_BOND_PX",hp!AL24, "SETTLE_DT", TEXT(ya!$C24,"YYYYMMDD")))</f>
        <v>0</v>
      </c>
      <c r="AM24" s="2" cm="1">
        <f t="array" ref="AM24">IF(hp!AM24=0,0,_xll.BDP(AM$4,"YAS_BOND_YLD", "YAS_BOND_PX",hp!AM24, "SETTLE_DT", TEXT(ya!$C24,"YYYYMMDD")))</f>
        <v>0</v>
      </c>
      <c r="AN24" s="2" cm="1">
        <f t="array" ref="AN24">IF(hp!AN24=0,0,_xll.BDP(AN$4,"YAS_BOND_YLD", "YAS_BOND_PX",hp!AN24, "SETTLE_DT", TEXT(ya!$C24,"YYYYMMDD")))</f>
        <v>0</v>
      </c>
      <c r="AO24" s="2" cm="1">
        <f t="array" ref="AO24">IF(hp!AO24=0,0,_xll.BDP(AO$4,"YAS_BOND_YLD", "YAS_BOND_PX",hp!AO24, "SETTLE_DT", TEXT(ya!$C24,"YYYYMMDD")))</f>
        <v>0</v>
      </c>
      <c r="AP24" s="2" cm="1">
        <f t="array" ref="AP24">IF(hp!AP24=0,0,_xll.BDP(AP$4,"YAS_BOND_YLD", "YAS_BOND_PX",hp!AP24, "SETTLE_DT", TEXT(ya!$C24,"YYYYMMDD")))</f>
        <v>0</v>
      </c>
      <c r="AQ24" s="2" cm="1">
        <f t="array" ref="AQ24">IF(hp!AQ24=0,0,_xll.BDP(AQ$4,"YAS_BOND_YLD", "YAS_BOND_PX",hp!AQ24, "SETTLE_DT", TEXT(ya!$C24,"YYYYMMDD")))</f>
        <v>0</v>
      </c>
      <c r="AR24" s="2" cm="1">
        <f t="array" ref="AR24">IF(hp!AR24=0,0,_xll.BDP(AR$4,"YAS_BOND_YLD", "YAS_BOND_PX",hp!AR24, "SETTLE_DT", TEXT(ya!$C24,"YYYYMMDD")))</f>
        <v>0</v>
      </c>
      <c r="AS24" s="2" cm="1">
        <f t="array" ref="AS24">IF(hp!AS24=0,0,_xll.BDP(AS$4,"YAS_BOND_YLD", "YAS_BOND_PX",hp!AS24, "SETTLE_DT", TEXT(ya!$C24,"YYYYMMDD")))</f>
        <v>0</v>
      </c>
      <c r="AT24" s="2" cm="1">
        <f t="array" ref="AT24">IF(hp!AT24=0,0,_xll.BDP(AT$4,"YAS_BOND_YLD", "YAS_BOND_PX",hp!AT24, "SETTLE_DT", TEXT(ya!$C24,"YYYYMMDD")))</f>
        <v>0</v>
      </c>
      <c r="AU24" s="2" cm="1">
        <f t="array" ref="AU24">IF(hp!AU24=0,0,_xll.BDP(AU$4,"YAS_BOND_YLD", "YAS_BOND_PX",hp!AU24, "SETTLE_DT", TEXT(ya!$C24,"YYYYMMDD")))</f>
        <v>0</v>
      </c>
      <c r="AV24" s="2" cm="1">
        <f t="array" ref="AV24">IF(hp!AV24=0,0,_xll.BDP(AV$4,"YAS_BOND_YLD", "YAS_BOND_PX",hp!AV24, "SETTLE_DT", TEXT(ya!$C24,"YYYYMMDD")))</f>
        <v>0</v>
      </c>
      <c r="AW24" s="2" cm="1">
        <f t="array" ref="AW24">IF(hp!AW24=0,0,_xll.BDP(AW$4,"YAS_BOND_YLD", "YAS_BOND_PX",hp!AW24, "SETTLE_DT", TEXT(ya!$C24,"YYYYMMDD")))</f>
        <v>0</v>
      </c>
      <c r="AX24" s="2" cm="1">
        <f t="array" ref="AX24">IF(hp!AX24=0,0,_xll.BDP(AX$4,"YAS_BOND_YLD", "YAS_BOND_PX",hp!AX24, "SETTLE_DT", TEXT(ya!$C24,"YYYYMMDD")))</f>
        <v>0</v>
      </c>
      <c r="AY24" s="2" cm="1">
        <f t="array" ref="AY24">IF(hp!AY24=0,0,_xll.BDP(AY$4,"YAS_BOND_YLD", "YAS_BOND_PX",hp!AY24, "SETTLE_DT", TEXT(ya!$C24,"YYYYMMDD")))</f>
        <v>0</v>
      </c>
      <c r="AZ24" s="2" cm="1">
        <f t="array" ref="AZ24">IF(hp!AZ24=0,0,_xll.BDP(AZ$4,"YAS_BOND_YLD", "YAS_BOND_PX",hp!AZ24, "SETTLE_DT", TEXT(ya!$C24,"YYYYMMDD")))</f>
        <v>0</v>
      </c>
    </row>
    <row r="25" spans="1:52" x14ac:dyDescent="0.25">
      <c r="A25" s="1"/>
      <c r="B25" s="2"/>
      <c r="C25" s="1">
        <v>42674</v>
      </c>
      <c r="D25" s="2" cm="1">
        <f t="array" ref="D25">IF(hp!D25=0,0,_xll.BDP(D$4,"YAS_BOND_YLD", "YAS_BOND_PX",hp!D25, "SETTLE_DT", TEXT(ya!$C25,"YYYYMMDD")))</f>
        <v>0</v>
      </c>
      <c r="E25" s="2" cm="1">
        <f t="array" ref="E25">IF(hp!E25=0,0,_xll.BDP(E$4,"YAS_BOND_YLD", "YAS_BOND_PX",hp!E25, "SETTLE_DT", TEXT(ya!$C25,"YYYYMMDD")))</f>
        <v>0</v>
      </c>
      <c r="F25" s="2" cm="1">
        <f t="array" ref="F25">IF(hp!F25=0,0,_xll.BDP(F$4,"YAS_BOND_YLD", "YAS_BOND_PX",hp!F25, "SETTLE_DT", TEXT(ya!$C25,"YYYYMMDD")))</f>
        <v>11.3992</v>
      </c>
      <c r="G25" s="2" cm="1">
        <f t="array" ref="G25">IF(hp!G25=0,0,_xll.BDP(G$4,"YAS_BOND_YLD", "YAS_BOND_PX",hp!G25, "SETTLE_DT", TEXT(ya!$C25,"YYYYMMDD")))</f>
        <v>5.8085000000000004</v>
      </c>
      <c r="H25" s="2" cm="1">
        <f t="array" ref="H25">IF(hp!H25=0,0,_xll.BDP(H$4,"YAS_BOND_YLD", "YAS_BOND_PX",hp!H25, "SETTLE_DT", TEXT(ya!$C25,"YYYYMMDD")))</f>
        <v>0</v>
      </c>
      <c r="I25" s="2" cm="1">
        <f t="array" ref="I25">IF(hp!I25=0,0,_xll.BDP(I$4,"YAS_BOND_YLD", "YAS_BOND_PX",hp!I25, "SETTLE_DT", TEXT(ya!$C25,"YYYYMMDD")))</f>
        <v>0</v>
      </c>
      <c r="J25" s="2" cm="1">
        <f t="array" ref="J25">IF(hp!J25=0,0,_xll.BDP(J$4,"YAS_BOND_YLD", "YAS_BOND_PX",hp!J25, "SETTLE_DT", TEXT(ya!$C25,"YYYYMMDD")))</f>
        <v>5.7240000000000002</v>
      </c>
      <c r="K25" s="2" cm="1">
        <f t="array" ref="K25">IF(hp!K25=0,0,_xll.BDP(K$4,"YAS_BOND_YLD", "YAS_BOND_PX",hp!K25, "SETTLE_DT", TEXT(ya!$C25,"YYYYMMDD")))</f>
        <v>0</v>
      </c>
      <c r="L25" s="2" cm="1">
        <f t="array" ref="L25">IF(hp!L25=0,0,_xll.BDP(L$4,"YAS_BOND_YLD", "YAS_BOND_PX",hp!L25, "SETTLE_DT", TEXT(ya!$C25,"YYYYMMDD")))</f>
        <v>5.7773000000000003</v>
      </c>
      <c r="M25" s="2" cm="1">
        <f t="array" ref="M25">IF(hp!M25=0,0,_xll.BDP(M$4,"YAS_BOND_YLD", "YAS_BOND_PX",hp!M25, "SETTLE_DT", TEXT(ya!$C25,"YYYYMMDD")))</f>
        <v>0</v>
      </c>
      <c r="N25" s="2" cm="1">
        <f t="array" ref="N25">IF(hp!N25=0,0,_xll.BDP(N$4,"YAS_BOND_YLD", "YAS_BOND_PX",hp!N25, "SETTLE_DT", TEXT(ya!$C25,"YYYYMMDD")))</f>
        <v>5.899</v>
      </c>
      <c r="O25" s="2" cm="1">
        <f t="array" ref="O25">IF(hp!O25=0,0,_xll.BDP(O$4,"YAS_BOND_YLD", "YAS_BOND_PX",hp!O25, "SETTLE_DT", TEXT(ya!$C25,"YYYYMMDD")))</f>
        <v>0</v>
      </c>
      <c r="P25" s="2" cm="1">
        <f t="array" ref="P25">IF(hp!P25=0,0,_xll.BDP(P$4,"YAS_BOND_YLD", "YAS_BOND_PX",hp!P25, "SETTLE_DT", TEXT(ya!$C25,"YYYYMMDD")))</f>
        <v>0</v>
      </c>
      <c r="Q25" s="2" cm="1">
        <f t="array" ref="Q25">IF(hp!Q25=0,0,_xll.BDP(Q$4,"YAS_BOND_YLD", "YAS_BOND_PX",hp!Q25, "SETTLE_DT", TEXT(ya!$C25,"YYYYMMDD")))</f>
        <v>5.7797999999999998</v>
      </c>
      <c r="R25" s="2" cm="1">
        <f t="array" ref="R25">IF(hp!R25=0,0,_xll.BDP(R$4,"YAS_BOND_YLD", "YAS_BOND_PX",hp!R25, "SETTLE_DT", TEXT(ya!$C25,"YYYYMMDD")))</f>
        <v>0</v>
      </c>
      <c r="S25" s="2" cm="1">
        <f t="array" ref="S25">IF(hp!S25=0,0,_xll.BDP(S$4,"YAS_BOND_YLD", "YAS_BOND_PX",hp!S25, "SETTLE_DT", TEXT(ya!$C25,"YYYYMMDD")))</f>
        <v>0</v>
      </c>
      <c r="T25" s="2" cm="1">
        <f t="array" ref="T25">IF(hp!T25=0,0,_xll.BDP(T$4,"YAS_BOND_YLD", "YAS_BOND_PX",hp!T25, "SETTLE_DT", TEXT(ya!$C25,"YYYYMMDD")))</f>
        <v>0</v>
      </c>
      <c r="U25" s="2" cm="1">
        <f t="array" ref="U25">IF(hp!U25=0,0,_xll.BDP(U$4,"YAS_BOND_YLD", "YAS_BOND_PX",hp!U25, "SETTLE_DT", TEXT(ya!$C25,"YYYYMMDD")))</f>
        <v>5.7712000000000003</v>
      </c>
      <c r="V25" s="2" cm="1">
        <f t="array" ref="V25">IF(hp!V25=0,0,_xll.BDP(V$4,"YAS_BOND_YLD", "YAS_BOND_PX",hp!V25, "SETTLE_DT", TEXT(ya!$C25,"YYYYMMDD")))</f>
        <v>0</v>
      </c>
      <c r="W25" s="2" cm="1">
        <f t="array" ref="W25">IF(hp!W25=0,0,_xll.BDP(W$4,"YAS_BOND_YLD", "YAS_BOND_PX",hp!W25, "SETTLE_DT", TEXT(ya!$C25,"YYYYMMDD")))</f>
        <v>0</v>
      </c>
      <c r="X25" s="2" cm="1">
        <f t="array" ref="X25">IF(hp!X25=0,0,_xll.BDP(X$4,"YAS_BOND_YLD", "YAS_BOND_PX",hp!X25, "SETTLE_DT", TEXT(ya!$C25,"YYYYMMDD")))</f>
        <v>0</v>
      </c>
      <c r="Y25" s="2" cm="1">
        <f t="array" ref="Y25">IF(hp!Y25=0,0,_xll.BDP(Y$4,"YAS_BOND_YLD", "YAS_BOND_PX",hp!Y25, "SETTLE_DT", TEXT(ya!$C25,"YYYYMMDD")))</f>
        <v>0</v>
      </c>
      <c r="Z25" s="2" cm="1">
        <f t="array" ref="Z25">IF(hp!Z25=0,0,_xll.BDP(Z$4,"YAS_BOND_YLD", "YAS_BOND_PX",hp!Z25, "SETTLE_DT", TEXT(ya!$C25,"YYYYMMDD")))</f>
        <v>0</v>
      </c>
      <c r="AA25" s="2" cm="1">
        <f t="array" ref="AA25">IF(hp!AA25=0,0,_xll.BDP(AA$4,"YAS_BOND_YLD", "YAS_BOND_PX",hp!AA25, "SETTLE_DT", TEXT(ya!$C25,"YYYYMMDD")))</f>
        <v>0</v>
      </c>
      <c r="AB25" s="2" cm="1">
        <f t="array" ref="AB25">IF(hp!AB25=0,0,_xll.BDP(AB$4,"YAS_BOND_YLD", "YAS_BOND_PX",hp!AB25, "SETTLE_DT", TEXT(ya!$C25,"YYYYMMDD")))</f>
        <v>0</v>
      </c>
      <c r="AC25" s="2" cm="1">
        <f t="array" ref="AC25">IF(hp!AC25=0,0,_xll.BDP(AC$4,"YAS_BOND_YLD", "YAS_BOND_PX",hp!AC25, "SETTLE_DT", TEXT(ya!$C25,"YYYYMMDD")))</f>
        <v>0</v>
      </c>
      <c r="AD25" s="2" cm="1">
        <f t="array" ref="AD25">IF(hp!AD25=0,0,_xll.BDP(AD$4,"YAS_BOND_YLD", "YAS_BOND_PX",hp!AD25, "SETTLE_DT", TEXT(ya!$C25,"YYYYMMDD")))</f>
        <v>5.7290000000000001</v>
      </c>
      <c r="AE25" s="2" cm="1">
        <f t="array" ref="AE25">IF(hp!AE25=0,0,_xll.BDP(AE$4,"YAS_BOND_YLD", "YAS_BOND_PX",hp!AE25, "SETTLE_DT", TEXT(ya!$C25,"YYYYMMDD")))</f>
        <v>0</v>
      </c>
      <c r="AF25" s="2" cm="1">
        <f t="array" ref="AF25">IF(hp!AF25=0,0,_xll.BDP(AF$4,"YAS_BOND_YLD", "YAS_BOND_PX",hp!AF25, "SETTLE_DT", TEXT(ya!$C25,"YYYYMMDD")))</f>
        <v>0</v>
      </c>
      <c r="AG25" s="2" cm="1">
        <f t="array" ref="AG25">IF(hp!AG25=0,0,_xll.BDP(AG$4,"YAS_BOND_YLD", "YAS_BOND_PX",hp!AG25, "SETTLE_DT", TEXT(ya!$C25,"YYYYMMDD")))</f>
        <v>0</v>
      </c>
      <c r="AH25" s="2" cm="1">
        <f t="array" ref="AH25">IF(hp!AH25=0,0,_xll.BDP(AH$4,"YAS_BOND_YLD", "YAS_BOND_PX",hp!AH25, "SETTLE_DT", TEXT(ya!$C25,"YYYYMMDD")))</f>
        <v>0</v>
      </c>
      <c r="AI25" s="2" cm="1">
        <f t="array" ref="AI25">IF(hp!AI25=0,0,_xll.BDP(AI$4,"YAS_BOND_YLD", "YAS_BOND_PX",hp!AI25, "SETTLE_DT", TEXT(ya!$C25,"YYYYMMDD")))</f>
        <v>0</v>
      </c>
      <c r="AJ25" s="2" cm="1">
        <f t="array" ref="AJ25">IF(hp!AJ25=0,0,_xll.BDP(AJ$4,"YAS_BOND_YLD", "YAS_BOND_PX",hp!AJ25, "SETTLE_DT", TEXT(ya!$C25,"YYYYMMDD")))</f>
        <v>0</v>
      </c>
      <c r="AK25" s="2" cm="1">
        <f t="array" ref="AK25">IF(hp!AK25=0,0,_xll.BDP(AK$4,"YAS_BOND_YLD", "YAS_BOND_PX",hp!AK25, "SETTLE_DT", TEXT(ya!$C25,"YYYYMMDD")))</f>
        <v>0</v>
      </c>
      <c r="AL25" s="2" cm="1">
        <f t="array" ref="AL25">IF(hp!AL25=0,0,_xll.BDP(AL$4,"YAS_BOND_YLD", "YAS_BOND_PX",hp!AL25, "SETTLE_DT", TEXT(ya!$C25,"YYYYMMDD")))</f>
        <v>0</v>
      </c>
      <c r="AM25" s="2" cm="1">
        <f t="array" ref="AM25">IF(hp!AM25=0,0,_xll.BDP(AM$4,"YAS_BOND_YLD", "YAS_BOND_PX",hp!AM25, "SETTLE_DT", TEXT(ya!$C25,"YYYYMMDD")))</f>
        <v>0</v>
      </c>
      <c r="AN25" s="2" cm="1">
        <f t="array" ref="AN25">IF(hp!AN25=0,0,_xll.BDP(AN$4,"YAS_BOND_YLD", "YAS_BOND_PX",hp!AN25, "SETTLE_DT", TEXT(ya!$C25,"YYYYMMDD")))</f>
        <v>0</v>
      </c>
      <c r="AO25" s="2" cm="1">
        <f t="array" ref="AO25">IF(hp!AO25=0,0,_xll.BDP(AO$4,"YAS_BOND_YLD", "YAS_BOND_PX",hp!AO25, "SETTLE_DT", TEXT(ya!$C25,"YYYYMMDD")))</f>
        <v>0</v>
      </c>
      <c r="AP25" s="2" cm="1">
        <f t="array" ref="AP25">IF(hp!AP25=0,0,_xll.BDP(AP$4,"YAS_BOND_YLD", "YAS_BOND_PX",hp!AP25, "SETTLE_DT", TEXT(ya!$C25,"YYYYMMDD")))</f>
        <v>0</v>
      </c>
      <c r="AQ25" s="2" cm="1">
        <f t="array" ref="AQ25">IF(hp!AQ25=0,0,_xll.BDP(AQ$4,"YAS_BOND_YLD", "YAS_BOND_PX",hp!AQ25, "SETTLE_DT", TEXT(ya!$C25,"YYYYMMDD")))</f>
        <v>0</v>
      </c>
      <c r="AR25" s="2" cm="1">
        <f t="array" ref="AR25">IF(hp!AR25=0,0,_xll.BDP(AR$4,"YAS_BOND_YLD", "YAS_BOND_PX",hp!AR25, "SETTLE_DT", TEXT(ya!$C25,"YYYYMMDD")))</f>
        <v>6.04</v>
      </c>
      <c r="AS25" s="2" cm="1">
        <f t="array" ref="AS25">IF(hp!AS25=0,0,_xll.BDP(AS$4,"YAS_BOND_YLD", "YAS_BOND_PX",hp!AS25, "SETTLE_DT", TEXT(ya!$C25,"YYYYMMDD")))</f>
        <v>0</v>
      </c>
      <c r="AT25" s="2" cm="1">
        <f t="array" ref="AT25">IF(hp!AT25=0,0,_xll.BDP(AT$4,"YAS_BOND_YLD", "YAS_BOND_PX",hp!AT25, "SETTLE_DT", TEXT(ya!$C25,"YYYYMMDD")))</f>
        <v>0</v>
      </c>
      <c r="AU25" s="2" cm="1">
        <f t="array" ref="AU25">IF(hp!AU25=0,0,_xll.BDP(AU$4,"YAS_BOND_YLD", "YAS_BOND_PX",hp!AU25, "SETTLE_DT", TEXT(ya!$C25,"YYYYMMDD")))</f>
        <v>0</v>
      </c>
      <c r="AV25" s="2" cm="1">
        <f t="array" ref="AV25">IF(hp!AV25=0,0,_xll.BDP(AV$4,"YAS_BOND_YLD", "YAS_BOND_PX",hp!AV25, "SETTLE_DT", TEXT(ya!$C25,"YYYYMMDD")))</f>
        <v>0</v>
      </c>
      <c r="AW25" s="2" cm="1">
        <f t="array" ref="AW25">IF(hp!AW25=0,0,_xll.BDP(AW$4,"YAS_BOND_YLD", "YAS_BOND_PX",hp!AW25, "SETTLE_DT", TEXT(ya!$C25,"YYYYMMDD")))</f>
        <v>0</v>
      </c>
      <c r="AX25" s="2" cm="1">
        <f t="array" ref="AX25">IF(hp!AX25=0,0,_xll.BDP(AX$4,"YAS_BOND_YLD", "YAS_BOND_PX",hp!AX25, "SETTLE_DT", TEXT(ya!$C25,"YYYYMMDD")))</f>
        <v>0</v>
      </c>
      <c r="AY25" s="2" cm="1">
        <f t="array" ref="AY25">IF(hp!AY25=0,0,_xll.BDP(AY$4,"YAS_BOND_YLD", "YAS_BOND_PX",hp!AY25, "SETTLE_DT", TEXT(ya!$C25,"YYYYMMDD")))</f>
        <v>0</v>
      </c>
      <c r="AZ25" s="2" cm="1">
        <f t="array" ref="AZ25">IF(hp!AZ25=0,0,_xll.BDP(AZ$4,"YAS_BOND_YLD", "YAS_BOND_PX",hp!AZ25, "SETTLE_DT", TEXT(ya!$C25,"YYYYMMDD")))</f>
        <v>0</v>
      </c>
    </row>
    <row r="26" spans="1:52" x14ac:dyDescent="0.25">
      <c r="A26" s="1"/>
      <c r="B26" s="2"/>
      <c r="C26" s="1">
        <v>42704</v>
      </c>
      <c r="D26" s="2" cm="1">
        <f t="array" ref="D26">IF(hp!D26=0,0,_xll.BDP(D$4,"YAS_BOND_YLD", "YAS_BOND_PX",hp!D26, "SETTLE_DT", TEXT(ya!$C26,"YYYYMMDD")))</f>
        <v>0</v>
      </c>
      <c r="E26" s="2" cm="1">
        <f t="array" ref="E26">IF(hp!E26=0,0,_xll.BDP(E$4,"YAS_BOND_YLD", "YAS_BOND_PX",hp!E26, "SETTLE_DT", TEXT(ya!$C26,"YYYYMMDD")))</f>
        <v>0</v>
      </c>
      <c r="F26" s="2" cm="1">
        <f t="array" ref="F26">IF(hp!F26=0,0,_xll.BDP(F$4,"YAS_BOND_YLD", "YAS_BOND_PX",hp!F26, "SETTLE_DT", TEXT(ya!$C26,"YYYYMMDD")))</f>
        <v>11.8238</v>
      </c>
      <c r="G26" s="2" cm="1">
        <f t="array" ref="G26">IF(hp!G26=0,0,_xll.BDP(G$4,"YAS_BOND_YLD", "YAS_BOND_PX",hp!G26, "SETTLE_DT", TEXT(ya!$C26,"YYYYMMDD")))</f>
        <v>6.0922999999999998</v>
      </c>
      <c r="H26" s="2" cm="1">
        <f t="array" ref="H26">IF(hp!H26=0,0,_xll.BDP(H$4,"YAS_BOND_YLD", "YAS_BOND_PX",hp!H26, "SETTLE_DT", TEXT(ya!$C26,"YYYYMMDD")))</f>
        <v>0</v>
      </c>
      <c r="I26" s="2" cm="1">
        <f t="array" ref="I26">IF(hp!I26=0,0,_xll.BDP(I$4,"YAS_BOND_YLD", "YAS_BOND_PX",hp!I26, "SETTLE_DT", TEXT(ya!$C26,"YYYYMMDD")))</f>
        <v>0</v>
      </c>
      <c r="J26" s="2" cm="1">
        <f t="array" ref="J26">IF(hp!J26=0,0,_xll.BDP(J$4,"YAS_BOND_YLD", "YAS_BOND_PX",hp!J26, "SETTLE_DT", TEXT(ya!$C26,"YYYYMMDD")))</f>
        <v>6.0526999999999997</v>
      </c>
      <c r="K26" s="2" cm="1">
        <f t="array" ref="K26">IF(hp!K26=0,0,_xll.BDP(K$4,"YAS_BOND_YLD", "YAS_BOND_PX",hp!K26, "SETTLE_DT", TEXT(ya!$C26,"YYYYMMDD")))</f>
        <v>0</v>
      </c>
      <c r="L26" s="2" cm="1">
        <f t="array" ref="L26">IF(hp!L26=0,0,_xll.BDP(L$4,"YAS_BOND_YLD", "YAS_BOND_PX",hp!L26, "SETTLE_DT", TEXT(ya!$C26,"YYYYMMDD")))</f>
        <v>6.0227000000000004</v>
      </c>
      <c r="M26" s="2" cm="1">
        <f t="array" ref="M26">IF(hp!M26=0,0,_xll.BDP(M$4,"YAS_BOND_YLD", "YAS_BOND_PX",hp!M26, "SETTLE_DT", TEXT(ya!$C26,"YYYYMMDD")))</f>
        <v>0</v>
      </c>
      <c r="N26" s="2" cm="1">
        <f t="array" ref="N26">IF(hp!N26=0,0,_xll.BDP(N$4,"YAS_BOND_YLD", "YAS_BOND_PX",hp!N26, "SETTLE_DT", TEXT(ya!$C26,"YYYYMMDD")))</f>
        <v>6.0868000000000002</v>
      </c>
      <c r="O26" s="2" cm="1">
        <f t="array" ref="O26">IF(hp!O26=0,0,_xll.BDP(O$4,"YAS_BOND_YLD", "YAS_BOND_PX",hp!O26, "SETTLE_DT", TEXT(ya!$C26,"YYYYMMDD")))</f>
        <v>0</v>
      </c>
      <c r="P26" s="2" cm="1">
        <f t="array" ref="P26">IF(hp!P26=0,0,_xll.BDP(P$4,"YAS_BOND_YLD", "YAS_BOND_PX",hp!P26, "SETTLE_DT", TEXT(ya!$C26,"YYYYMMDD")))</f>
        <v>0</v>
      </c>
      <c r="Q26" s="2" cm="1">
        <f t="array" ref="Q26">IF(hp!Q26=0,0,_xll.BDP(Q$4,"YAS_BOND_YLD", "YAS_BOND_PX",hp!Q26, "SETTLE_DT", TEXT(ya!$C26,"YYYYMMDD")))</f>
        <v>6.0993000000000004</v>
      </c>
      <c r="R26" s="2" cm="1">
        <f t="array" ref="R26">IF(hp!R26=0,0,_xll.BDP(R$4,"YAS_BOND_YLD", "YAS_BOND_PX",hp!R26, "SETTLE_DT", TEXT(ya!$C26,"YYYYMMDD")))</f>
        <v>0</v>
      </c>
      <c r="S26" s="2" cm="1">
        <f t="array" ref="S26">IF(hp!S26=0,0,_xll.BDP(S$4,"YAS_BOND_YLD", "YAS_BOND_PX",hp!S26, "SETTLE_DT", TEXT(ya!$C26,"YYYYMMDD")))</f>
        <v>0</v>
      </c>
      <c r="T26" s="2" cm="1">
        <f t="array" ref="T26">IF(hp!T26=0,0,_xll.BDP(T$4,"YAS_BOND_YLD", "YAS_BOND_PX",hp!T26, "SETTLE_DT", TEXT(ya!$C26,"YYYYMMDD")))</f>
        <v>0</v>
      </c>
      <c r="U26" s="2" cm="1">
        <f t="array" ref="U26">IF(hp!U26=0,0,_xll.BDP(U$4,"YAS_BOND_YLD", "YAS_BOND_PX",hp!U26, "SETTLE_DT", TEXT(ya!$C26,"YYYYMMDD")))</f>
        <v>6.0167999999999999</v>
      </c>
      <c r="V26" s="2" cm="1">
        <f t="array" ref="V26">IF(hp!V26=0,0,_xll.BDP(V$4,"YAS_BOND_YLD", "YAS_BOND_PX",hp!V26, "SETTLE_DT", TEXT(ya!$C26,"YYYYMMDD")))</f>
        <v>0</v>
      </c>
      <c r="W26" s="2" cm="1">
        <f t="array" ref="W26">IF(hp!W26=0,0,_xll.BDP(W$4,"YAS_BOND_YLD", "YAS_BOND_PX",hp!W26, "SETTLE_DT", TEXT(ya!$C26,"YYYYMMDD")))</f>
        <v>0</v>
      </c>
      <c r="X26" s="2" cm="1">
        <f t="array" ref="X26">IF(hp!X26=0,0,_xll.BDP(X$4,"YAS_BOND_YLD", "YAS_BOND_PX",hp!X26, "SETTLE_DT", TEXT(ya!$C26,"YYYYMMDD")))</f>
        <v>0</v>
      </c>
      <c r="Y26" s="2" cm="1">
        <f t="array" ref="Y26">IF(hp!Y26=0,0,_xll.BDP(Y$4,"YAS_BOND_YLD", "YAS_BOND_PX",hp!Y26, "SETTLE_DT", TEXT(ya!$C26,"YYYYMMDD")))</f>
        <v>0</v>
      </c>
      <c r="Z26" s="2" cm="1">
        <f t="array" ref="Z26">IF(hp!Z26=0,0,_xll.BDP(Z$4,"YAS_BOND_YLD", "YAS_BOND_PX",hp!Z26, "SETTLE_DT", TEXT(ya!$C26,"YYYYMMDD")))</f>
        <v>0</v>
      </c>
      <c r="AA26" s="2" cm="1">
        <f t="array" ref="AA26">IF(hp!AA26=0,0,_xll.BDP(AA$4,"YAS_BOND_YLD", "YAS_BOND_PX",hp!AA26, "SETTLE_DT", TEXT(ya!$C26,"YYYYMMDD")))</f>
        <v>0</v>
      </c>
      <c r="AB26" s="2" cm="1">
        <f t="array" ref="AB26">IF(hp!AB26=0,0,_xll.BDP(AB$4,"YAS_BOND_YLD", "YAS_BOND_PX",hp!AB26, "SETTLE_DT", TEXT(ya!$C26,"YYYYMMDD")))</f>
        <v>0</v>
      </c>
      <c r="AC26" s="2" cm="1">
        <f t="array" ref="AC26">IF(hp!AC26=0,0,_xll.BDP(AC$4,"YAS_BOND_YLD", "YAS_BOND_PX",hp!AC26, "SETTLE_DT", TEXT(ya!$C26,"YYYYMMDD")))</f>
        <v>0</v>
      </c>
      <c r="AD26" s="2" cm="1">
        <f t="array" ref="AD26">IF(hp!AD26=0,0,_xll.BDP(AD$4,"YAS_BOND_YLD", "YAS_BOND_PX",hp!AD26, "SETTLE_DT", TEXT(ya!$C26,"YYYYMMDD")))</f>
        <v>6.0369000000000002</v>
      </c>
      <c r="AE26" s="2" cm="1">
        <f t="array" ref="AE26">IF(hp!AE26=0,0,_xll.BDP(AE$4,"YAS_BOND_YLD", "YAS_BOND_PX",hp!AE26, "SETTLE_DT", TEXT(ya!$C26,"YYYYMMDD")))</f>
        <v>0</v>
      </c>
      <c r="AF26" s="2" cm="1">
        <f t="array" ref="AF26">IF(hp!AF26=0,0,_xll.BDP(AF$4,"YAS_BOND_YLD", "YAS_BOND_PX",hp!AF26, "SETTLE_DT", TEXT(ya!$C26,"YYYYMMDD")))</f>
        <v>0</v>
      </c>
      <c r="AG26" s="2" cm="1">
        <f t="array" ref="AG26">IF(hp!AG26=0,0,_xll.BDP(AG$4,"YAS_BOND_YLD", "YAS_BOND_PX",hp!AG26, "SETTLE_DT", TEXT(ya!$C26,"YYYYMMDD")))</f>
        <v>0</v>
      </c>
      <c r="AH26" s="2" cm="1">
        <f t="array" ref="AH26">IF(hp!AH26=0,0,_xll.BDP(AH$4,"YAS_BOND_YLD", "YAS_BOND_PX",hp!AH26, "SETTLE_DT", TEXT(ya!$C26,"YYYYMMDD")))</f>
        <v>0</v>
      </c>
      <c r="AI26" s="2" cm="1">
        <f t="array" ref="AI26">IF(hp!AI26=0,0,_xll.BDP(AI$4,"YAS_BOND_YLD", "YAS_BOND_PX",hp!AI26, "SETTLE_DT", TEXT(ya!$C26,"YYYYMMDD")))</f>
        <v>0</v>
      </c>
      <c r="AJ26" s="2" cm="1">
        <f t="array" ref="AJ26">IF(hp!AJ26=0,0,_xll.BDP(AJ$4,"YAS_BOND_YLD", "YAS_BOND_PX",hp!AJ26, "SETTLE_DT", TEXT(ya!$C26,"YYYYMMDD")))</f>
        <v>0</v>
      </c>
      <c r="AK26" s="2" cm="1">
        <f t="array" ref="AK26">IF(hp!AK26=0,0,_xll.BDP(AK$4,"YAS_BOND_YLD", "YAS_BOND_PX",hp!AK26, "SETTLE_DT", TEXT(ya!$C26,"YYYYMMDD")))</f>
        <v>0</v>
      </c>
      <c r="AL26" s="2" cm="1">
        <f t="array" ref="AL26">IF(hp!AL26=0,0,_xll.BDP(AL$4,"YAS_BOND_YLD", "YAS_BOND_PX",hp!AL26, "SETTLE_DT", TEXT(ya!$C26,"YYYYMMDD")))</f>
        <v>0</v>
      </c>
      <c r="AM26" s="2" cm="1">
        <f t="array" ref="AM26">IF(hp!AM26=0,0,_xll.BDP(AM$4,"YAS_BOND_YLD", "YAS_BOND_PX",hp!AM26, "SETTLE_DT", TEXT(ya!$C26,"YYYYMMDD")))</f>
        <v>0</v>
      </c>
      <c r="AN26" s="2" cm="1">
        <f t="array" ref="AN26">IF(hp!AN26=0,0,_xll.BDP(AN$4,"YAS_BOND_YLD", "YAS_BOND_PX",hp!AN26, "SETTLE_DT", TEXT(ya!$C26,"YYYYMMDD")))</f>
        <v>0</v>
      </c>
      <c r="AO26" s="2" cm="1">
        <f t="array" ref="AO26">IF(hp!AO26=0,0,_xll.BDP(AO$4,"YAS_BOND_YLD", "YAS_BOND_PX",hp!AO26, "SETTLE_DT", TEXT(ya!$C26,"YYYYMMDD")))</f>
        <v>0</v>
      </c>
      <c r="AP26" s="2" cm="1">
        <f t="array" ref="AP26">IF(hp!AP26=0,0,_xll.BDP(AP$4,"YAS_BOND_YLD", "YAS_BOND_PX",hp!AP26, "SETTLE_DT", TEXT(ya!$C26,"YYYYMMDD")))</f>
        <v>0</v>
      </c>
      <c r="AQ26" s="2" cm="1">
        <f t="array" ref="AQ26">IF(hp!AQ26=0,0,_xll.BDP(AQ$4,"YAS_BOND_YLD", "YAS_BOND_PX",hp!AQ26, "SETTLE_DT", TEXT(ya!$C26,"YYYYMMDD")))</f>
        <v>0</v>
      </c>
      <c r="AR26" s="2" cm="1">
        <f t="array" ref="AR26">IF(hp!AR26=0,0,_xll.BDP(AR$4,"YAS_BOND_YLD", "YAS_BOND_PX",hp!AR26, "SETTLE_DT", TEXT(ya!$C26,"YYYYMMDD")))</f>
        <v>6.3205</v>
      </c>
      <c r="AS26" s="2" cm="1">
        <f t="array" ref="AS26">IF(hp!AS26=0,0,_xll.BDP(AS$4,"YAS_BOND_YLD", "YAS_BOND_PX",hp!AS26, "SETTLE_DT", TEXT(ya!$C26,"YYYYMMDD")))</f>
        <v>0</v>
      </c>
      <c r="AT26" s="2" cm="1">
        <f t="array" ref="AT26">IF(hp!AT26=0,0,_xll.BDP(AT$4,"YAS_BOND_YLD", "YAS_BOND_PX",hp!AT26, "SETTLE_DT", TEXT(ya!$C26,"YYYYMMDD")))</f>
        <v>0</v>
      </c>
      <c r="AU26" s="2" cm="1">
        <f t="array" ref="AU26">IF(hp!AU26=0,0,_xll.BDP(AU$4,"YAS_BOND_YLD", "YAS_BOND_PX",hp!AU26, "SETTLE_DT", TEXT(ya!$C26,"YYYYMMDD")))</f>
        <v>0</v>
      </c>
      <c r="AV26" s="2" cm="1">
        <f t="array" ref="AV26">IF(hp!AV26=0,0,_xll.BDP(AV$4,"YAS_BOND_YLD", "YAS_BOND_PX",hp!AV26, "SETTLE_DT", TEXT(ya!$C26,"YYYYMMDD")))</f>
        <v>0</v>
      </c>
      <c r="AW26" s="2" cm="1">
        <f t="array" ref="AW26">IF(hp!AW26=0,0,_xll.BDP(AW$4,"YAS_BOND_YLD", "YAS_BOND_PX",hp!AW26, "SETTLE_DT", TEXT(ya!$C26,"YYYYMMDD")))</f>
        <v>0</v>
      </c>
      <c r="AX26" s="2" cm="1">
        <f t="array" ref="AX26">IF(hp!AX26=0,0,_xll.BDP(AX$4,"YAS_BOND_YLD", "YAS_BOND_PX",hp!AX26, "SETTLE_DT", TEXT(ya!$C26,"YYYYMMDD")))</f>
        <v>0</v>
      </c>
      <c r="AY26" s="2" cm="1">
        <f t="array" ref="AY26">IF(hp!AY26=0,0,_xll.BDP(AY$4,"YAS_BOND_YLD", "YAS_BOND_PX",hp!AY26, "SETTLE_DT", TEXT(ya!$C26,"YYYYMMDD")))</f>
        <v>0</v>
      </c>
      <c r="AZ26" s="2" cm="1">
        <f t="array" ref="AZ26">IF(hp!AZ26=0,0,_xll.BDP(AZ$4,"YAS_BOND_YLD", "YAS_BOND_PX",hp!AZ26, "SETTLE_DT", TEXT(ya!$C26,"YYYYMMDD")))</f>
        <v>0</v>
      </c>
    </row>
    <row r="27" spans="1:52" x14ac:dyDescent="0.25">
      <c r="A27" s="1"/>
      <c r="B27" s="2"/>
      <c r="C27" s="1">
        <v>42734</v>
      </c>
      <c r="D27" s="2" cm="1">
        <f t="array" ref="D27">IF(hp!D27=0,0,_xll.BDP(D$4,"YAS_BOND_YLD", "YAS_BOND_PX",hp!D27, "SETTLE_DT", TEXT(ya!$C27,"YYYYMMDD")))</f>
        <v>0</v>
      </c>
      <c r="E27" s="2" cm="1">
        <f t="array" ref="E27">IF(hp!E27=0,0,_xll.BDP(E$4,"YAS_BOND_YLD", "YAS_BOND_PX",hp!E27, "SETTLE_DT", TEXT(ya!$C27,"YYYYMMDD")))</f>
        <v>0</v>
      </c>
      <c r="F27" s="2" cm="1">
        <f t="array" ref="F27">IF(hp!F27=0,0,_xll.BDP(F$4,"YAS_BOND_YLD", "YAS_BOND_PX",hp!F27, "SETTLE_DT", TEXT(ya!$C27,"YYYYMMDD")))</f>
        <v>11.425700000000001</v>
      </c>
      <c r="G27" s="2" cm="1">
        <f t="array" ref="G27">IF(hp!G27=0,0,_xll.BDP(G$4,"YAS_BOND_YLD", "YAS_BOND_PX",hp!G27, "SETTLE_DT", TEXT(ya!$C27,"YYYYMMDD")))</f>
        <v>5.7910000000000004</v>
      </c>
      <c r="H27" s="2" cm="1">
        <f t="array" ref="H27">IF(hp!H27=0,0,_xll.BDP(H$4,"YAS_BOND_YLD", "YAS_BOND_PX",hp!H27, "SETTLE_DT", TEXT(ya!$C27,"YYYYMMDD")))</f>
        <v>0</v>
      </c>
      <c r="I27" s="2" cm="1">
        <f t="array" ref="I27">IF(hp!I27=0,0,_xll.BDP(I$4,"YAS_BOND_YLD", "YAS_BOND_PX",hp!I27, "SETTLE_DT", TEXT(ya!$C27,"YYYYMMDD")))</f>
        <v>0</v>
      </c>
      <c r="J27" s="2" cm="1">
        <f t="array" ref="J27">IF(hp!J27=0,0,_xll.BDP(J$4,"YAS_BOND_YLD", "YAS_BOND_PX",hp!J27, "SETTLE_DT", TEXT(ya!$C27,"YYYYMMDD")))</f>
        <v>5.7489999999999997</v>
      </c>
      <c r="K27" s="2" cm="1">
        <f t="array" ref="K27">IF(hp!K27=0,0,_xll.BDP(K$4,"YAS_BOND_YLD", "YAS_BOND_PX",hp!K27, "SETTLE_DT", TEXT(ya!$C27,"YYYYMMDD")))</f>
        <v>0</v>
      </c>
      <c r="L27" s="2" cm="1">
        <f t="array" ref="L27">IF(hp!L27=0,0,_xll.BDP(L$4,"YAS_BOND_YLD", "YAS_BOND_PX",hp!L27, "SETTLE_DT", TEXT(ya!$C27,"YYYYMMDD")))</f>
        <v>5.75</v>
      </c>
      <c r="M27" s="2" cm="1">
        <f t="array" ref="M27">IF(hp!M27=0,0,_xll.BDP(M$4,"YAS_BOND_YLD", "YAS_BOND_PX",hp!M27, "SETTLE_DT", TEXT(ya!$C27,"YYYYMMDD")))</f>
        <v>0</v>
      </c>
      <c r="N27" s="2" cm="1">
        <f t="array" ref="N27">IF(hp!N27=0,0,_xll.BDP(N$4,"YAS_BOND_YLD", "YAS_BOND_PX",hp!N27, "SETTLE_DT", TEXT(ya!$C27,"YYYYMMDD")))</f>
        <v>5.9263000000000003</v>
      </c>
      <c r="O27" s="2" cm="1">
        <f t="array" ref="O27">IF(hp!O27=0,0,_xll.BDP(O$4,"YAS_BOND_YLD", "YAS_BOND_PX",hp!O27, "SETTLE_DT", TEXT(ya!$C27,"YYYYMMDD")))</f>
        <v>0</v>
      </c>
      <c r="P27" s="2" cm="1">
        <f t="array" ref="P27">IF(hp!P27=0,0,_xll.BDP(P$4,"YAS_BOND_YLD", "YAS_BOND_PX",hp!P27, "SETTLE_DT", TEXT(ya!$C27,"YYYYMMDD")))</f>
        <v>0</v>
      </c>
      <c r="Q27" s="2" cm="1">
        <f t="array" ref="Q27">IF(hp!Q27=0,0,_xll.BDP(Q$4,"YAS_BOND_YLD", "YAS_BOND_PX",hp!Q27, "SETTLE_DT", TEXT(ya!$C27,"YYYYMMDD")))</f>
        <v>5.8040000000000003</v>
      </c>
      <c r="R27" s="2" cm="1">
        <f t="array" ref="R27">IF(hp!R27=0,0,_xll.BDP(R$4,"YAS_BOND_YLD", "YAS_BOND_PX",hp!R27, "SETTLE_DT", TEXT(ya!$C27,"YYYYMMDD")))</f>
        <v>0</v>
      </c>
      <c r="S27" s="2" cm="1">
        <f t="array" ref="S27">IF(hp!S27=0,0,_xll.BDP(S$4,"YAS_BOND_YLD", "YAS_BOND_PX",hp!S27, "SETTLE_DT", TEXT(ya!$C27,"YYYYMMDD")))</f>
        <v>0</v>
      </c>
      <c r="T27" s="2" cm="1">
        <f t="array" ref="T27">IF(hp!T27=0,0,_xll.BDP(T$4,"YAS_BOND_YLD", "YAS_BOND_PX",hp!T27, "SETTLE_DT", TEXT(ya!$C27,"YYYYMMDD")))</f>
        <v>0</v>
      </c>
      <c r="U27" s="2" cm="1">
        <f t="array" ref="U27">IF(hp!U27=0,0,_xll.BDP(U$4,"YAS_BOND_YLD", "YAS_BOND_PX",hp!U27, "SETTLE_DT", TEXT(ya!$C27,"YYYYMMDD")))</f>
        <v>5.6993</v>
      </c>
      <c r="V27" s="2" cm="1">
        <f t="array" ref="V27">IF(hp!V27=0,0,_xll.BDP(V$4,"YAS_BOND_YLD", "YAS_BOND_PX",hp!V27, "SETTLE_DT", TEXT(ya!$C27,"YYYYMMDD")))</f>
        <v>0</v>
      </c>
      <c r="W27" s="2" cm="1">
        <f t="array" ref="W27">IF(hp!W27=0,0,_xll.BDP(W$4,"YAS_BOND_YLD", "YAS_BOND_PX",hp!W27, "SETTLE_DT", TEXT(ya!$C27,"YYYYMMDD")))</f>
        <v>0</v>
      </c>
      <c r="X27" s="2" cm="1">
        <f t="array" ref="X27">IF(hp!X27=0,0,_xll.BDP(X$4,"YAS_BOND_YLD", "YAS_BOND_PX",hp!X27, "SETTLE_DT", TEXT(ya!$C27,"YYYYMMDD")))</f>
        <v>0</v>
      </c>
      <c r="Y27" s="2" cm="1">
        <f t="array" ref="Y27">IF(hp!Y27=0,0,_xll.BDP(Y$4,"YAS_BOND_YLD", "YAS_BOND_PX",hp!Y27, "SETTLE_DT", TEXT(ya!$C27,"YYYYMMDD")))</f>
        <v>0</v>
      </c>
      <c r="Z27" s="2" cm="1">
        <f t="array" ref="Z27">IF(hp!Z27=0,0,_xll.BDP(Z$4,"YAS_BOND_YLD", "YAS_BOND_PX",hp!Z27, "SETTLE_DT", TEXT(ya!$C27,"YYYYMMDD")))</f>
        <v>0</v>
      </c>
      <c r="AA27" s="2" cm="1">
        <f t="array" ref="AA27">IF(hp!AA27=0,0,_xll.BDP(AA$4,"YAS_BOND_YLD", "YAS_BOND_PX",hp!AA27, "SETTLE_DT", TEXT(ya!$C27,"YYYYMMDD")))</f>
        <v>0</v>
      </c>
      <c r="AB27" s="2" cm="1">
        <f t="array" ref="AB27">IF(hp!AB27=0,0,_xll.BDP(AB$4,"YAS_BOND_YLD", "YAS_BOND_PX",hp!AB27, "SETTLE_DT", TEXT(ya!$C27,"YYYYMMDD")))</f>
        <v>0</v>
      </c>
      <c r="AC27" s="2" cm="1">
        <f t="array" ref="AC27">IF(hp!AC27=0,0,_xll.BDP(AC$4,"YAS_BOND_YLD", "YAS_BOND_PX",hp!AC27, "SETTLE_DT", TEXT(ya!$C27,"YYYYMMDD")))</f>
        <v>0</v>
      </c>
      <c r="AD27" s="2" cm="1">
        <f t="array" ref="AD27">IF(hp!AD27=0,0,_xll.BDP(AD$4,"YAS_BOND_YLD", "YAS_BOND_PX",hp!AD27, "SETTLE_DT", TEXT(ya!$C27,"YYYYMMDD")))</f>
        <v>5.7089999999999996</v>
      </c>
      <c r="AE27" s="2" cm="1">
        <f t="array" ref="AE27">IF(hp!AE27=0,0,_xll.BDP(AE$4,"YAS_BOND_YLD", "YAS_BOND_PX",hp!AE27, "SETTLE_DT", TEXT(ya!$C27,"YYYYMMDD")))</f>
        <v>0</v>
      </c>
      <c r="AF27" s="2" cm="1">
        <f t="array" ref="AF27">IF(hp!AF27=0,0,_xll.BDP(AF$4,"YAS_BOND_YLD", "YAS_BOND_PX",hp!AF27, "SETTLE_DT", TEXT(ya!$C27,"YYYYMMDD")))</f>
        <v>0</v>
      </c>
      <c r="AG27" s="2" cm="1">
        <f t="array" ref="AG27">IF(hp!AG27=0,0,_xll.BDP(AG$4,"YAS_BOND_YLD", "YAS_BOND_PX",hp!AG27, "SETTLE_DT", TEXT(ya!$C27,"YYYYMMDD")))</f>
        <v>0</v>
      </c>
      <c r="AH27" s="2" cm="1">
        <f t="array" ref="AH27">IF(hp!AH27=0,0,_xll.BDP(AH$4,"YAS_BOND_YLD", "YAS_BOND_PX",hp!AH27, "SETTLE_DT", TEXT(ya!$C27,"YYYYMMDD")))</f>
        <v>0</v>
      </c>
      <c r="AI27" s="2" cm="1">
        <f t="array" ref="AI27">IF(hp!AI27=0,0,_xll.BDP(AI$4,"YAS_BOND_YLD", "YAS_BOND_PX",hp!AI27, "SETTLE_DT", TEXT(ya!$C27,"YYYYMMDD")))</f>
        <v>0</v>
      </c>
      <c r="AJ27" s="2" cm="1">
        <f t="array" ref="AJ27">IF(hp!AJ27=0,0,_xll.BDP(AJ$4,"YAS_BOND_YLD", "YAS_BOND_PX",hp!AJ27, "SETTLE_DT", TEXT(ya!$C27,"YYYYMMDD")))</f>
        <v>0</v>
      </c>
      <c r="AK27" s="2" cm="1">
        <f t="array" ref="AK27">IF(hp!AK27=0,0,_xll.BDP(AK$4,"YAS_BOND_YLD", "YAS_BOND_PX",hp!AK27, "SETTLE_DT", TEXT(ya!$C27,"YYYYMMDD")))</f>
        <v>0</v>
      </c>
      <c r="AL27" s="2" cm="1">
        <f t="array" ref="AL27">IF(hp!AL27=0,0,_xll.BDP(AL$4,"YAS_BOND_YLD", "YAS_BOND_PX",hp!AL27, "SETTLE_DT", TEXT(ya!$C27,"YYYYMMDD")))</f>
        <v>0</v>
      </c>
      <c r="AM27" s="2" cm="1">
        <f t="array" ref="AM27">IF(hp!AM27=0,0,_xll.BDP(AM$4,"YAS_BOND_YLD", "YAS_BOND_PX",hp!AM27, "SETTLE_DT", TEXT(ya!$C27,"YYYYMMDD")))</f>
        <v>0</v>
      </c>
      <c r="AN27" s="2" cm="1">
        <f t="array" ref="AN27">IF(hp!AN27=0,0,_xll.BDP(AN$4,"YAS_BOND_YLD", "YAS_BOND_PX",hp!AN27, "SETTLE_DT", TEXT(ya!$C27,"YYYYMMDD")))</f>
        <v>0</v>
      </c>
      <c r="AO27" s="2" cm="1">
        <f t="array" ref="AO27">IF(hp!AO27=0,0,_xll.BDP(AO$4,"YAS_BOND_YLD", "YAS_BOND_PX",hp!AO27, "SETTLE_DT", TEXT(ya!$C27,"YYYYMMDD")))</f>
        <v>0</v>
      </c>
      <c r="AP27" s="2" cm="1">
        <f t="array" ref="AP27">IF(hp!AP27=0,0,_xll.BDP(AP$4,"YAS_BOND_YLD", "YAS_BOND_PX",hp!AP27, "SETTLE_DT", TEXT(ya!$C27,"YYYYMMDD")))</f>
        <v>0</v>
      </c>
      <c r="AQ27" s="2" cm="1">
        <f t="array" ref="AQ27">IF(hp!AQ27=0,0,_xll.BDP(AQ$4,"YAS_BOND_YLD", "YAS_BOND_PX",hp!AQ27, "SETTLE_DT", TEXT(ya!$C27,"YYYYMMDD")))</f>
        <v>0</v>
      </c>
      <c r="AR27" s="2" cm="1">
        <f t="array" ref="AR27">IF(hp!AR27=0,0,_xll.BDP(AR$4,"YAS_BOND_YLD", "YAS_BOND_PX",hp!AR27, "SETTLE_DT", TEXT(ya!$C27,"YYYYMMDD")))</f>
        <v>6.5716000000000001</v>
      </c>
      <c r="AS27" s="2" cm="1">
        <f t="array" ref="AS27">IF(hp!AS27=0,0,_xll.BDP(AS$4,"YAS_BOND_YLD", "YAS_BOND_PX",hp!AS27, "SETTLE_DT", TEXT(ya!$C27,"YYYYMMDD")))</f>
        <v>0</v>
      </c>
      <c r="AT27" s="2" cm="1">
        <f t="array" ref="AT27">IF(hp!AT27=0,0,_xll.BDP(AT$4,"YAS_BOND_YLD", "YAS_BOND_PX",hp!AT27, "SETTLE_DT", TEXT(ya!$C27,"YYYYMMDD")))</f>
        <v>0</v>
      </c>
      <c r="AU27" s="2" cm="1">
        <f t="array" ref="AU27">IF(hp!AU27=0,0,_xll.BDP(AU$4,"YAS_BOND_YLD", "YAS_BOND_PX",hp!AU27, "SETTLE_DT", TEXT(ya!$C27,"YYYYMMDD")))</f>
        <v>0</v>
      </c>
      <c r="AV27" s="2" cm="1">
        <f t="array" ref="AV27">IF(hp!AV27=0,0,_xll.BDP(AV$4,"YAS_BOND_YLD", "YAS_BOND_PX",hp!AV27, "SETTLE_DT", TEXT(ya!$C27,"YYYYMMDD")))</f>
        <v>0</v>
      </c>
      <c r="AW27" s="2" cm="1">
        <f t="array" ref="AW27">IF(hp!AW27=0,0,_xll.BDP(AW$4,"YAS_BOND_YLD", "YAS_BOND_PX",hp!AW27, "SETTLE_DT", TEXT(ya!$C27,"YYYYMMDD")))</f>
        <v>0</v>
      </c>
      <c r="AX27" s="2" cm="1">
        <f t="array" ref="AX27">IF(hp!AX27=0,0,_xll.BDP(AX$4,"YAS_BOND_YLD", "YAS_BOND_PX",hp!AX27, "SETTLE_DT", TEXT(ya!$C27,"YYYYMMDD")))</f>
        <v>0</v>
      </c>
      <c r="AY27" s="2" cm="1">
        <f t="array" ref="AY27">IF(hp!AY27=0,0,_xll.BDP(AY$4,"YAS_BOND_YLD", "YAS_BOND_PX",hp!AY27, "SETTLE_DT", TEXT(ya!$C27,"YYYYMMDD")))</f>
        <v>0</v>
      </c>
      <c r="AZ27" s="2" cm="1">
        <f t="array" ref="AZ27">IF(hp!AZ27=0,0,_xll.BDP(AZ$4,"YAS_BOND_YLD", "YAS_BOND_PX",hp!AZ27, "SETTLE_DT", TEXT(ya!$C27,"YYYYMMDD")))</f>
        <v>0</v>
      </c>
    </row>
    <row r="28" spans="1:52" x14ac:dyDescent="0.25">
      <c r="A28" s="1"/>
      <c r="B28" s="2"/>
      <c r="C28" s="1">
        <v>42766</v>
      </c>
      <c r="D28" s="2" cm="1">
        <f t="array" ref="D28">IF(hp!D28=0,0,_xll.BDP(D$4,"YAS_BOND_YLD", "YAS_BOND_PX",hp!D28, "SETTLE_DT", TEXT(ya!$C28,"YYYYMMDD")))</f>
        <v>0</v>
      </c>
      <c r="E28" s="2" cm="1">
        <f t="array" ref="E28">IF(hp!E28=0,0,_xll.BDP(E$4,"YAS_BOND_YLD", "YAS_BOND_PX",hp!E28, "SETTLE_DT", TEXT(ya!$C28,"YYYYMMDD")))</f>
        <v>0</v>
      </c>
      <c r="F28" s="2" cm="1">
        <f t="array" ref="F28">IF(hp!F28=0,0,_xll.BDP(F$4,"YAS_BOND_YLD", "YAS_BOND_PX",hp!F28, "SETTLE_DT", TEXT(ya!$C28,"YYYYMMDD")))</f>
        <v>10.9101</v>
      </c>
      <c r="G28" s="2" cm="1">
        <f t="array" ref="G28">IF(hp!G28=0,0,_xll.BDP(G$4,"YAS_BOND_YLD", "YAS_BOND_PX",hp!G28, "SETTLE_DT", TEXT(ya!$C28,"YYYYMMDD")))</f>
        <v>5.6345000000000001</v>
      </c>
      <c r="H28" s="2" cm="1">
        <f t="array" ref="H28">IF(hp!H28=0,0,_xll.BDP(H$4,"YAS_BOND_YLD", "YAS_BOND_PX",hp!H28, "SETTLE_DT", TEXT(ya!$C28,"YYYYMMDD")))</f>
        <v>0</v>
      </c>
      <c r="I28" s="2" cm="1">
        <f t="array" ref="I28">IF(hp!I28=0,0,_xll.BDP(I$4,"YAS_BOND_YLD", "YAS_BOND_PX",hp!I28, "SETTLE_DT", TEXT(ya!$C28,"YYYYMMDD")))</f>
        <v>0</v>
      </c>
      <c r="J28" s="2" cm="1">
        <f t="array" ref="J28">IF(hp!J28=0,0,_xll.BDP(J$4,"YAS_BOND_YLD", "YAS_BOND_PX",hp!J28, "SETTLE_DT", TEXT(ya!$C28,"YYYYMMDD")))</f>
        <v>5.5968999999999998</v>
      </c>
      <c r="K28" s="2" cm="1">
        <f t="array" ref="K28">IF(hp!K28=0,0,_xll.BDP(K$4,"YAS_BOND_YLD", "YAS_BOND_PX",hp!K28, "SETTLE_DT", TEXT(ya!$C28,"YYYYMMDD")))</f>
        <v>0</v>
      </c>
      <c r="L28" s="2" cm="1">
        <f t="array" ref="L28">IF(hp!L28=0,0,_xll.BDP(L$4,"YAS_BOND_YLD", "YAS_BOND_PX",hp!L28, "SETTLE_DT", TEXT(ya!$C28,"YYYYMMDD")))</f>
        <v>5.6257000000000001</v>
      </c>
      <c r="M28" s="2" cm="1">
        <f t="array" ref="M28">IF(hp!M28=0,0,_xll.BDP(M$4,"YAS_BOND_YLD", "YAS_BOND_PX",hp!M28, "SETTLE_DT", TEXT(ya!$C28,"YYYYMMDD")))</f>
        <v>0</v>
      </c>
      <c r="N28" s="2" cm="1">
        <f t="array" ref="N28">IF(hp!N28=0,0,_xll.BDP(N$4,"YAS_BOND_YLD", "YAS_BOND_PX",hp!N28, "SETTLE_DT", TEXT(ya!$C28,"YYYYMMDD")))</f>
        <v>5.7481999999999998</v>
      </c>
      <c r="O28" s="2" cm="1">
        <f t="array" ref="O28">IF(hp!O28=0,0,_xll.BDP(O$4,"YAS_BOND_YLD", "YAS_BOND_PX",hp!O28, "SETTLE_DT", TEXT(ya!$C28,"YYYYMMDD")))</f>
        <v>0</v>
      </c>
      <c r="P28" s="2" cm="1">
        <f t="array" ref="P28">IF(hp!P28=0,0,_xll.BDP(P$4,"YAS_BOND_YLD", "YAS_BOND_PX",hp!P28, "SETTLE_DT", TEXT(ya!$C28,"YYYYMMDD")))</f>
        <v>0</v>
      </c>
      <c r="Q28" s="2" cm="1">
        <f t="array" ref="Q28">IF(hp!Q28=0,0,_xll.BDP(Q$4,"YAS_BOND_YLD", "YAS_BOND_PX",hp!Q28, "SETTLE_DT", TEXT(ya!$C28,"YYYYMMDD")))</f>
        <v>5.6530000000000005</v>
      </c>
      <c r="R28" s="2" cm="1">
        <f t="array" ref="R28">IF(hp!R28=0,0,_xll.BDP(R$4,"YAS_BOND_YLD", "YAS_BOND_PX",hp!R28, "SETTLE_DT", TEXT(ya!$C28,"YYYYMMDD")))</f>
        <v>0</v>
      </c>
      <c r="S28" s="2" cm="1">
        <f t="array" ref="S28">IF(hp!S28=0,0,_xll.BDP(S$4,"YAS_BOND_YLD", "YAS_BOND_PX",hp!S28, "SETTLE_DT", TEXT(ya!$C28,"YYYYMMDD")))</f>
        <v>0</v>
      </c>
      <c r="T28" s="2" cm="1">
        <f t="array" ref="T28">IF(hp!T28=0,0,_xll.BDP(T$4,"YAS_BOND_YLD", "YAS_BOND_PX",hp!T28, "SETTLE_DT", TEXT(ya!$C28,"YYYYMMDD")))</f>
        <v>0</v>
      </c>
      <c r="U28" s="2" cm="1">
        <f t="array" ref="U28">IF(hp!U28=0,0,_xll.BDP(U$4,"YAS_BOND_YLD", "YAS_BOND_PX",hp!U28, "SETTLE_DT", TEXT(ya!$C28,"YYYYMMDD")))</f>
        <v>5.5877999999999997</v>
      </c>
      <c r="V28" s="2" cm="1">
        <f t="array" ref="V28">IF(hp!V28=0,0,_xll.BDP(V$4,"YAS_BOND_YLD", "YAS_BOND_PX",hp!V28, "SETTLE_DT", TEXT(ya!$C28,"YYYYMMDD")))</f>
        <v>0</v>
      </c>
      <c r="W28" s="2" cm="1">
        <f t="array" ref="W28">IF(hp!W28=0,0,_xll.BDP(W$4,"YAS_BOND_YLD", "YAS_BOND_PX",hp!W28, "SETTLE_DT", TEXT(ya!$C28,"YYYYMMDD")))</f>
        <v>0</v>
      </c>
      <c r="X28" s="2" cm="1">
        <f t="array" ref="X28">IF(hp!X28=0,0,_xll.BDP(X$4,"YAS_BOND_YLD", "YAS_BOND_PX",hp!X28, "SETTLE_DT", TEXT(ya!$C28,"YYYYMMDD")))</f>
        <v>0</v>
      </c>
      <c r="Y28" s="2" cm="1">
        <f t="array" ref="Y28">IF(hp!Y28=0,0,_xll.BDP(Y$4,"YAS_BOND_YLD", "YAS_BOND_PX",hp!Y28, "SETTLE_DT", TEXT(ya!$C28,"YYYYMMDD")))</f>
        <v>0</v>
      </c>
      <c r="Z28" s="2" cm="1">
        <f t="array" ref="Z28">IF(hp!Z28=0,0,_xll.BDP(Z$4,"YAS_BOND_YLD", "YAS_BOND_PX",hp!Z28, "SETTLE_DT", TEXT(ya!$C28,"YYYYMMDD")))</f>
        <v>0</v>
      </c>
      <c r="AA28" s="2" cm="1">
        <f t="array" ref="AA28">IF(hp!AA28=0,0,_xll.BDP(AA$4,"YAS_BOND_YLD", "YAS_BOND_PX",hp!AA28, "SETTLE_DT", TEXT(ya!$C28,"YYYYMMDD")))</f>
        <v>0</v>
      </c>
      <c r="AB28" s="2" cm="1">
        <f t="array" ref="AB28">IF(hp!AB28=0,0,_xll.BDP(AB$4,"YAS_BOND_YLD", "YAS_BOND_PX",hp!AB28, "SETTLE_DT", TEXT(ya!$C28,"YYYYMMDD")))</f>
        <v>0</v>
      </c>
      <c r="AC28" s="2" cm="1">
        <f t="array" ref="AC28">IF(hp!AC28=0,0,_xll.BDP(AC$4,"YAS_BOND_YLD", "YAS_BOND_PX",hp!AC28, "SETTLE_DT", TEXT(ya!$C28,"YYYYMMDD")))</f>
        <v>0</v>
      </c>
      <c r="AD28" s="2" cm="1">
        <f t="array" ref="AD28">IF(hp!AD28=0,0,_xll.BDP(AD$4,"YAS_BOND_YLD", "YAS_BOND_PX",hp!AD28, "SETTLE_DT", TEXT(ya!$C28,"YYYYMMDD")))</f>
        <v>5.5600000000000005</v>
      </c>
      <c r="AE28" s="2" cm="1">
        <f t="array" ref="AE28">IF(hp!AE28=0,0,_xll.BDP(AE$4,"YAS_BOND_YLD", "YAS_BOND_PX",hp!AE28, "SETTLE_DT", TEXT(ya!$C28,"YYYYMMDD")))</f>
        <v>0</v>
      </c>
      <c r="AF28" s="2" cm="1">
        <f t="array" ref="AF28">IF(hp!AF28=0,0,_xll.BDP(AF$4,"YAS_BOND_YLD", "YAS_BOND_PX",hp!AF28, "SETTLE_DT", TEXT(ya!$C28,"YYYYMMDD")))</f>
        <v>0</v>
      </c>
      <c r="AG28" s="2" cm="1">
        <f t="array" ref="AG28">IF(hp!AG28=0,0,_xll.BDP(AG$4,"YAS_BOND_YLD", "YAS_BOND_PX",hp!AG28, "SETTLE_DT", TEXT(ya!$C28,"YYYYMMDD")))</f>
        <v>0</v>
      </c>
      <c r="AH28" s="2" cm="1">
        <f t="array" ref="AH28">IF(hp!AH28=0,0,_xll.BDP(AH$4,"YAS_BOND_YLD", "YAS_BOND_PX",hp!AH28, "SETTLE_DT", TEXT(ya!$C28,"YYYYMMDD")))</f>
        <v>0</v>
      </c>
      <c r="AI28" s="2" cm="1">
        <f t="array" ref="AI28">IF(hp!AI28=0,0,_xll.BDP(AI$4,"YAS_BOND_YLD", "YAS_BOND_PX",hp!AI28, "SETTLE_DT", TEXT(ya!$C28,"YYYYMMDD")))</f>
        <v>0</v>
      </c>
      <c r="AJ28" s="2" cm="1">
        <f t="array" ref="AJ28">IF(hp!AJ28=0,0,_xll.BDP(AJ$4,"YAS_BOND_YLD", "YAS_BOND_PX",hp!AJ28, "SETTLE_DT", TEXT(ya!$C28,"YYYYMMDD")))</f>
        <v>0</v>
      </c>
      <c r="AK28" s="2" cm="1">
        <f t="array" ref="AK28">IF(hp!AK28=0,0,_xll.BDP(AK$4,"YAS_BOND_YLD", "YAS_BOND_PX",hp!AK28, "SETTLE_DT", TEXT(ya!$C28,"YYYYMMDD")))</f>
        <v>0</v>
      </c>
      <c r="AL28" s="2" cm="1">
        <f t="array" ref="AL28">IF(hp!AL28=0,0,_xll.BDP(AL$4,"YAS_BOND_YLD", "YAS_BOND_PX",hp!AL28, "SETTLE_DT", TEXT(ya!$C28,"YYYYMMDD")))</f>
        <v>0</v>
      </c>
      <c r="AM28" s="2" cm="1">
        <f t="array" ref="AM28">IF(hp!AM28=0,0,_xll.BDP(AM$4,"YAS_BOND_YLD", "YAS_BOND_PX",hp!AM28, "SETTLE_DT", TEXT(ya!$C28,"YYYYMMDD")))</f>
        <v>0</v>
      </c>
      <c r="AN28" s="2" cm="1">
        <f t="array" ref="AN28">IF(hp!AN28=0,0,_xll.BDP(AN$4,"YAS_BOND_YLD", "YAS_BOND_PX",hp!AN28, "SETTLE_DT", TEXT(ya!$C28,"YYYYMMDD")))</f>
        <v>0</v>
      </c>
      <c r="AO28" s="2" cm="1">
        <f t="array" ref="AO28">IF(hp!AO28=0,0,_xll.BDP(AO$4,"YAS_BOND_YLD", "YAS_BOND_PX",hp!AO28, "SETTLE_DT", TEXT(ya!$C28,"YYYYMMDD")))</f>
        <v>0</v>
      </c>
      <c r="AP28" s="2" cm="1">
        <f t="array" ref="AP28">IF(hp!AP28=0,0,_xll.BDP(AP$4,"YAS_BOND_YLD", "YAS_BOND_PX",hp!AP28, "SETTLE_DT", TEXT(ya!$C28,"YYYYMMDD")))</f>
        <v>0</v>
      </c>
      <c r="AQ28" s="2" cm="1">
        <f t="array" ref="AQ28">IF(hp!AQ28=0,0,_xll.BDP(AQ$4,"YAS_BOND_YLD", "YAS_BOND_PX",hp!AQ28, "SETTLE_DT", TEXT(ya!$C28,"YYYYMMDD")))</f>
        <v>0</v>
      </c>
      <c r="AR28" s="2" cm="1">
        <f t="array" ref="AR28">IF(hp!AR28=0,0,_xll.BDP(AR$4,"YAS_BOND_YLD", "YAS_BOND_PX",hp!AR28, "SETTLE_DT", TEXT(ya!$C28,"YYYYMMDD")))</f>
        <v>6.2930999999999999</v>
      </c>
      <c r="AS28" s="2" cm="1">
        <f t="array" ref="AS28">IF(hp!AS28=0,0,_xll.BDP(AS$4,"YAS_BOND_YLD", "YAS_BOND_PX",hp!AS28, "SETTLE_DT", TEXT(ya!$C28,"YYYYMMDD")))</f>
        <v>0</v>
      </c>
      <c r="AT28" s="2" cm="1">
        <f t="array" ref="AT28">IF(hp!AT28=0,0,_xll.BDP(AT$4,"YAS_BOND_YLD", "YAS_BOND_PX",hp!AT28, "SETTLE_DT", TEXT(ya!$C28,"YYYYMMDD")))</f>
        <v>0</v>
      </c>
      <c r="AU28" s="2" cm="1">
        <f t="array" ref="AU28">IF(hp!AU28=0,0,_xll.BDP(AU$4,"YAS_BOND_YLD", "YAS_BOND_PX",hp!AU28, "SETTLE_DT", TEXT(ya!$C28,"YYYYMMDD")))</f>
        <v>0</v>
      </c>
      <c r="AV28" s="2" cm="1">
        <f t="array" ref="AV28">IF(hp!AV28=0,0,_xll.BDP(AV$4,"YAS_BOND_YLD", "YAS_BOND_PX",hp!AV28, "SETTLE_DT", TEXT(ya!$C28,"YYYYMMDD")))</f>
        <v>0</v>
      </c>
      <c r="AW28" s="2" cm="1">
        <f t="array" ref="AW28">IF(hp!AW28=0,0,_xll.BDP(AW$4,"YAS_BOND_YLD", "YAS_BOND_PX",hp!AW28, "SETTLE_DT", TEXT(ya!$C28,"YYYYMMDD")))</f>
        <v>0</v>
      </c>
      <c r="AX28" s="2" cm="1">
        <f t="array" ref="AX28">IF(hp!AX28=0,0,_xll.BDP(AX$4,"YAS_BOND_YLD", "YAS_BOND_PX",hp!AX28, "SETTLE_DT", TEXT(ya!$C28,"YYYYMMDD")))</f>
        <v>0</v>
      </c>
      <c r="AY28" s="2" cm="1">
        <f t="array" ref="AY28">IF(hp!AY28=0,0,_xll.BDP(AY$4,"YAS_BOND_YLD", "YAS_BOND_PX",hp!AY28, "SETTLE_DT", TEXT(ya!$C28,"YYYYMMDD")))</f>
        <v>0</v>
      </c>
      <c r="AZ28" s="2" cm="1">
        <f t="array" ref="AZ28">IF(hp!AZ28=0,0,_xll.BDP(AZ$4,"YAS_BOND_YLD", "YAS_BOND_PX",hp!AZ28, "SETTLE_DT", TEXT(ya!$C28,"YYYYMMDD")))</f>
        <v>0</v>
      </c>
    </row>
    <row r="29" spans="1:52" x14ac:dyDescent="0.25">
      <c r="A29" s="1"/>
      <c r="B29" s="2"/>
      <c r="C29" s="1">
        <v>42794</v>
      </c>
      <c r="D29" s="2" cm="1">
        <f t="array" ref="D29">IF(hp!D29=0,0,_xll.BDP(D$4,"YAS_BOND_YLD", "YAS_BOND_PX",hp!D29, "SETTLE_DT", TEXT(ya!$C29,"YYYYMMDD")))</f>
        <v>0</v>
      </c>
      <c r="E29" s="2" cm="1">
        <f t="array" ref="E29">IF(hp!E29=0,0,_xll.BDP(E$4,"YAS_BOND_YLD", "YAS_BOND_PX",hp!E29, "SETTLE_DT", TEXT(ya!$C29,"YYYYMMDD")))</f>
        <v>0</v>
      </c>
      <c r="F29" s="2" cm="1">
        <f t="array" ref="F29">IF(hp!F29=0,0,_xll.BDP(F$4,"YAS_BOND_YLD", "YAS_BOND_PX",hp!F29, "SETTLE_DT", TEXT(ya!$C29,"YYYYMMDD")))</f>
        <v>10.269500000000001</v>
      </c>
      <c r="G29" s="2" cm="1">
        <f t="array" ref="G29">IF(hp!G29=0,0,_xll.BDP(G$4,"YAS_BOND_YLD", "YAS_BOND_PX",hp!G29, "SETTLE_DT", TEXT(ya!$C29,"YYYYMMDD")))</f>
        <v>5.1966000000000001</v>
      </c>
      <c r="H29" s="2" cm="1">
        <f t="array" ref="H29">IF(hp!H29=0,0,_xll.BDP(H$4,"YAS_BOND_YLD", "YAS_BOND_PX",hp!H29, "SETTLE_DT", TEXT(ya!$C29,"YYYYMMDD")))</f>
        <v>0</v>
      </c>
      <c r="I29" s="2" cm="1">
        <f t="array" ref="I29">IF(hp!I29=0,0,_xll.BDP(I$4,"YAS_BOND_YLD", "YAS_BOND_PX",hp!I29, "SETTLE_DT", TEXT(ya!$C29,"YYYYMMDD")))</f>
        <v>0</v>
      </c>
      <c r="J29" s="2" cm="1">
        <f t="array" ref="J29">IF(hp!J29=0,0,_xll.BDP(J$4,"YAS_BOND_YLD", "YAS_BOND_PX",hp!J29, "SETTLE_DT", TEXT(ya!$C29,"YYYYMMDD")))</f>
        <v>5.1783000000000001</v>
      </c>
      <c r="K29" s="2" cm="1">
        <f t="array" ref="K29">IF(hp!K29=0,0,_xll.BDP(K$4,"YAS_BOND_YLD", "YAS_BOND_PX",hp!K29, "SETTLE_DT", TEXT(ya!$C29,"YYYYMMDD")))</f>
        <v>0</v>
      </c>
      <c r="L29" s="2" cm="1">
        <f t="array" ref="L29">IF(hp!L29=0,0,_xll.BDP(L$4,"YAS_BOND_YLD", "YAS_BOND_PX",hp!L29, "SETTLE_DT", TEXT(ya!$C29,"YYYYMMDD")))</f>
        <v>5.1566000000000001</v>
      </c>
      <c r="M29" s="2" cm="1">
        <f t="array" ref="M29">IF(hp!M29=0,0,_xll.BDP(M$4,"YAS_BOND_YLD", "YAS_BOND_PX",hp!M29, "SETTLE_DT", TEXT(ya!$C29,"YYYYMMDD")))</f>
        <v>0</v>
      </c>
      <c r="N29" s="2" cm="1">
        <f t="array" ref="N29">IF(hp!N29=0,0,_xll.BDP(N$4,"YAS_BOND_YLD", "YAS_BOND_PX",hp!N29, "SETTLE_DT", TEXT(ya!$C29,"YYYYMMDD")))</f>
        <v>5.32</v>
      </c>
      <c r="O29" s="2" cm="1">
        <f t="array" ref="O29">IF(hp!O29=0,0,_xll.BDP(O$4,"YAS_BOND_YLD", "YAS_BOND_PX",hp!O29, "SETTLE_DT", TEXT(ya!$C29,"YYYYMMDD")))</f>
        <v>0</v>
      </c>
      <c r="P29" s="2" cm="1">
        <f t="array" ref="P29">IF(hp!P29=0,0,_xll.BDP(P$4,"YAS_BOND_YLD", "YAS_BOND_PX",hp!P29, "SETTLE_DT", TEXT(ya!$C29,"YYYYMMDD")))</f>
        <v>0</v>
      </c>
      <c r="Q29" s="2" cm="1">
        <f t="array" ref="Q29">IF(hp!Q29=0,0,_xll.BDP(Q$4,"YAS_BOND_YLD", "YAS_BOND_PX",hp!Q29, "SETTLE_DT", TEXT(ya!$C29,"YYYYMMDD")))</f>
        <v>5.2423000000000002</v>
      </c>
      <c r="R29" s="2" cm="1">
        <f t="array" ref="R29">IF(hp!R29=0,0,_xll.BDP(R$4,"YAS_BOND_YLD", "YAS_BOND_PX",hp!R29, "SETTLE_DT", TEXT(ya!$C29,"YYYYMMDD")))</f>
        <v>0</v>
      </c>
      <c r="S29" s="2" cm="1">
        <f t="array" ref="S29">IF(hp!S29=0,0,_xll.BDP(S$4,"YAS_BOND_YLD", "YAS_BOND_PX",hp!S29, "SETTLE_DT", TEXT(ya!$C29,"YYYYMMDD")))</f>
        <v>0</v>
      </c>
      <c r="T29" s="2" cm="1">
        <f t="array" ref="T29">IF(hp!T29=0,0,_xll.BDP(T$4,"YAS_BOND_YLD", "YAS_BOND_PX",hp!T29, "SETTLE_DT", TEXT(ya!$C29,"YYYYMMDD")))</f>
        <v>0</v>
      </c>
      <c r="U29" s="2" cm="1">
        <f t="array" ref="U29">IF(hp!U29=0,0,_xll.BDP(U$4,"YAS_BOND_YLD", "YAS_BOND_PX",hp!U29, "SETTLE_DT", TEXT(ya!$C29,"YYYYMMDD")))</f>
        <v>5.1754999999999995</v>
      </c>
      <c r="V29" s="2" cm="1">
        <f t="array" ref="V29">IF(hp!V29=0,0,_xll.BDP(V$4,"YAS_BOND_YLD", "YAS_BOND_PX",hp!V29, "SETTLE_DT", TEXT(ya!$C29,"YYYYMMDD")))</f>
        <v>0</v>
      </c>
      <c r="W29" s="2" cm="1">
        <f t="array" ref="W29">IF(hp!W29=0,0,_xll.BDP(W$4,"YAS_BOND_YLD", "YAS_BOND_PX",hp!W29, "SETTLE_DT", TEXT(ya!$C29,"YYYYMMDD")))</f>
        <v>0</v>
      </c>
      <c r="X29" s="2" cm="1">
        <f t="array" ref="X29">IF(hp!X29=0,0,_xll.BDP(X$4,"YAS_BOND_YLD", "YAS_BOND_PX",hp!X29, "SETTLE_DT", TEXT(ya!$C29,"YYYYMMDD")))</f>
        <v>0</v>
      </c>
      <c r="Y29" s="2" cm="1">
        <f t="array" ref="Y29">IF(hp!Y29=0,0,_xll.BDP(Y$4,"YAS_BOND_YLD", "YAS_BOND_PX",hp!Y29, "SETTLE_DT", TEXT(ya!$C29,"YYYYMMDD")))</f>
        <v>0</v>
      </c>
      <c r="Z29" s="2" cm="1">
        <f t="array" ref="Z29">IF(hp!Z29=0,0,_xll.BDP(Z$4,"YAS_BOND_YLD", "YAS_BOND_PX",hp!Z29, "SETTLE_DT", TEXT(ya!$C29,"YYYYMMDD")))</f>
        <v>0</v>
      </c>
      <c r="AA29" s="2" cm="1">
        <f t="array" ref="AA29">IF(hp!AA29=0,0,_xll.BDP(AA$4,"YAS_BOND_YLD", "YAS_BOND_PX",hp!AA29, "SETTLE_DT", TEXT(ya!$C29,"YYYYMMDD")))</f>
        <v>0</v>
      </c>
      <c r="AB29" s="2" cm="1">
        <f t="array" ref="AB29">IF(hp!AB29=0,0,_xll.BDP(AB$4,"YAS_BOND_YLD", "YAS_BOND_PX",hp!AB29, "SETTLE_DT", TEXT(ya!$C29,"YYYYMMDD")))</f>
        <v>0</v>
      </c>
      <c r="AC29" s="2" cm="1">
        <f t="array" ref="AC29">IF(hp!AC29=0,0,_xll.BDP(AC$4,"YAS_BOND_YLD", "YAS_BOND_PX",hp!AC29, "SETTLE_DT", TEXT(ya!$C29,"YYYYMMDD")))</f>
        <v>0</v>
      </c>
      <c r="AD29" s="2" cm="1">
        <f t="array" ref="AD29">IF(hp!AD29=0,0,_xll.BDP(AD$4,"YAS_BOND_YLD", "YAS_BOND_PX",hp!AD29, "SETTLE_DT", TEXT(ya!$C29,"YYYYMMDD")))</f>
        <v>5.1467999999999998</v>
      </c>
      <c r="AE29" s="2" cm="1">
        <f t="array" ref="AE29">IF(hp!AE29=0,0,_xll.BDP(AE$4,"YAS_BOND_YLD", "YAS_BOND_PX",hp!AE29, "SETTLE_DT", TEXT(ya!$C29,"YYYYMMDD")))</f>
        <v>0</v>
      </c>
      <c r="AF29" s="2" cm="1">
        <f t="array" ref="AF29">IF(hp!AF29=0,0,_xll.BDP(AF$4,"YAS_BOND_YLD", "YAS_BOND_PX",hp!AF29, "SETTLE_DT", TEXT(ya!$C29,"YYYYMMDD")))</f>
        <v>0</v>
      </c>
      <c r="AG29" s="2" cm="1">
        <f t="array" ref="AG29">IF(hp!AG29=0,0,_xll.BDP(AG$4,"YAS_BOND_YLD", "YAS_BOND_PX",hp!AG29, "SETTLE_DT", TEXT(ya!$C29,"YYYYMMDD")))</f>
        <v>0</v>
      </c>
      <c r="AH29" s="2" cm="1">
        <f t="array" ref="AH29">IF(hp!AH29=0,0,_xll.BDP(AH$4,"YAS_BOND_YLD", "YAS_BOND_PX",hp!AH29, "SETTLE_DT", TEXT(ya!$C29,"YYYYMMDD")))</f>
        <v>0</v>
      </c>
      <c r="AI29" s="2" cm="1">
        <f t="array" ref="AI29">IF(hp!AI29=0,0,_xll.BDP(AI$4,"YAS_BOND_YLD", "YAS_BOND_PX",hp!AI29, "SETTLE_DT", TEXT(ya!$C29,"YYYYMMDD")))</f>
        <v>0</v>
      </c>
      <c r="AJ29" s="2" cm="1">
        <f t="array" ref="AJ29">IF(hp!AJ29=0,0,_xll.BDP(AJ$4,"YAS_BOND_YLD", "YAS_BOND_PX",hp!AJ29, "SETTLE_DT", TEXT(ya!$C29,"YYYYMMDD")))</f>
        <v>0</v>
      </c>
      <c r="AK29" s="2" cm="1">
        <f t="array" ref="AK29">IF(hp!AK29=0,0,_xll.BDP(AK$4,"YAS_BOND_YLD", "YAS_BOND_PX",hp!AK29, "SETTLE_DT", TEXT(ya!$C29,"YYYYMMDD")))</f>
        <v>0</v>
      </c>
      <c r="AL29" s="2" cm="1">
        <f t="array" ref="AL29">IF(hp!AL29=0,0,_xll.BDP(AL$4,"YAS_BOND_YLD", "YAS_BOND_PX",hp!AL29, "SETTLE_DT", TEXT(ya!$C29,"YYYYMMDD")))</f>
        <v>0</v>
      </c>
      <c r="AM29" s="2" cm="1">
        <f t="array" ref="AM29">IF(hp!AM29=0,0,_xll.BDP(AM$4,"YAS_BOND_YLD", "YAS_BOND_PX",hp!AM29, "SETTLE_DT", TEXT(ya!$C29,"YYYYMMDD")))</f>
        <v>0</v>
      </c>
      <c r="AN29" s="2" cm="1">
        <f t="array" ref="AN29">IF(hp!AN29=0,0,_xll.BDP(AN$4,"YAS_BOND_YLD", "YAS_BOND_PX",hp!AN29, "SETTLE_DT", TEXT(ya!$C29,"YYYYMMDD")))</f>
        <v>0</v>
      </c>
      <c r="AO29" s="2" cm="1">
        <f t="array" ref="AO29">IF(hp!AO29=0,0,_xll.BDP(AO$4,"YAS_BOND_YLD", "YAS_BOND_PX",hp!AO29, "SETTLE_DT", TEXT(ya!$C29,"YYYYMMDD")))</f>
        <v>0</v>
      </c>
      <c r="AP29" s="2" cm="1">
        <f t="array" ref="AP29">IF(hp!AP29=0,0,_xll.BDP(AP$4,"YAS_BOND_YLD", "YAS_BOND_PX",hp!AP29, "SETTLE_DT", TEXT(ya!$C29,"YYYYMMDD")))</f>
        <v>0</v>
      </c>
      <c r="AQ29" s="2" cm="1">
        <f t="array" ref="AQ29">IF(hp!AQ29=0,0,_xll.BDP(AQ$4,"YAS_BOND_YLD", "YAS_BOND_PX",hp!AQ29, "SETTLE_DT", TEXT(ya!$C29,"YYYYMMDD")))</f>
        <v>0</v>
      </c>
      <c r="AR29" s="2" cm="1">
        <f t="array" ref="AR29">IF(hp!AR29=0,0,_xll.BDP(AR$4,"YAS_BOND_YLD", "YAS_BOND_PX",hp!AR29, "SETTLE_DT", TEXT(ya!$C29,"YYYYMMDD")))</f>
        <v>6.0407999999999999</v>
      </c>
      <c r="AS29" s="2" cm="1">
        <f t="array" ref="AS29">IF(hp!AS29=0,0,_xll.BDP(AS$4,"YAS_BOND_YLD", "YAS_BOND_PX",hp!AS29, "SETTLE_DT", TEXT(ya!$C29,"YYYYMMDD")))</f>
        <v>0</v>
      </c>
      <c r="AT29" s="2" cm="1">
        <f t="array" ref="AT29">IF(hp!AT29=0,0,_xll.BDP(AT$4,"YAS_BOND_YLD", "YAS_BOND_PX",hp!AT29, "SETTLE_DT", TEXT(ya!$C29,"YYYYMMDD")))</f>
        <v>0</v>
      </c>
      <c r="AU29" s="2" cm="1">
        <f t="array" ref="AU29">IF(hp!AU29=0,0,_xll.BDP(AU$4,"YAS_BOND_YLD", "YAS_BOND_PX",hp!AU29, "SETTLE_DT", TEXT(ya!$C29,"YYYYMMDD")))</f>
        <v>0</v>
      </c>
      <c r="AV29" s="2" cm="1">
        <f t="array" ref="AV29">IF(hp!AV29=0,0,_xll.BDP(AV$4,"YAS_BOND_YLD", "YAS_BOND_PX",hp!AV29, "SETTLE_DT", TEXT(ya!$C29,"YYYYMMDD")))</f>
        <v>0</v>
      </c>
      <c r="AW29" s="2" cm="1">
        <f t="array" ref="AW29">IF(hp!AW29=0,0,_xll.BDP(AW$4,"YAS_BOND_YLD", "YAS_BOND_PX",hp!AW29, "SETTLE_DT", TEXT(ya!$C29,"YYYYMMDD")))</f>
        <v>0</v>
      </c>
      <c r="AX29" s="2" cm="1">
        <f t="array" ref="AX29">IF(hp!AX29=0,0,_xll.BDP(AX$4,"YAS_BOND_YLD", "YAS_BOND_PX",hp!AX29, "SETTLE_DT", TEXT(ya!$C29,"YYYYMMDD")))</f>
        <v>0</v>
      </c>
      <c r="AY29" s="2" cm="1">
        <f t="array" ref="AY29">IF(hp!AY29=0,0,_xll.BDP(AY$4,"YAS_BOND_YLD", "YAS_BOND_PX",hp!AY29, "SETTLE_DT", TEXT(ya!$C29,"YYYYMMDD")))</f>
        <v>0</v>
      </c>
      <c r="AZ29" s="2" cm="1">
        <f t="array" ref="AZ29">IF(hp!AZ29=0,0,_xll.BDP(AZ$4,"YAS_BOND_YLD", "YAS_BOND_PX",hp!AZ29, "SETTLE_DT", TEXT(ya!$C29,"YYYYMMDD")))</f>
        <v>0</v>
      </c>
    </row>
    <row r="30" spans="1:52" x14ac:dyDescent="0.25">
      <c r="A30" s="1"/>
      <c r="B30" s="2"/>
      <c r="C30" s="1">
        <v>42825</v>
      </c>
      <c r="D30" s="2" cm="1">
        <f t="array" ref="D30">IF(hp!D30=0,0,_xll.BDP(D$4,"YAS_BOND_YLD", "YAS_BOND_PX",hp!D30, "SETTLE_DT", TEXT(ya!$C30,"YYYYMMDD")))</f>
        <v>0</v>
      </c>
      <c r="E30" s="2" cm="1">
        <f t="array" ref="E30">IF(hp!E30=0,0,_xll.BDP(E$4,"YAS_BOND_YLD", "YAS_BOND_PX",hp!E30, "SETTLE_DT", TEXT(ya!$C30,"YYYYMMDD")))</f>
        <v>0</v>
      </c>
      <c r="F30" s="2" cm="1">
        <f t="array" ref="F30">IF(hp!F30=0,0,_xll.BDP(F$4,"YAS_BOND_YLD", "YAS_BOND_PX",hp!F30, "SETTLE_DT", TEXT(ya!$C30,"YYYYMMDD")))</f>
        <v>10.049799999999999</v>
      </c>
      <c r="G30" s="2" cm="1">
        <f t="array" ref="G30">IF(hp!G30=0,0,_xll.BDP(G$4,"YAS_BOND_YLD", "YAS_BOND_PX",hp!G30, "SETTLE_DT", TEXT(ya!$C30,"YYYYMMDD")))</f>
        <v>5.2192999999999996</v>
      </c>
      <c r="H30" s="2" cm="1">
        <f t="array" ref="H30">IF(hp!H30=0,0,_xll.BDP(H$4,"YAS_BOND_YLD", "YAS_BOND_PX",hp!H30, "SETTLE_DT", TEXT(ya!$C30,"YYYYMMDD")))</f>
        <v>0</v>
      </c>
      <c r="I30" s="2" cm="1">
        <f t="array" ref="I30">IF(hp!I30=0,0,_xll.BDP(I$4,"YAS_BOND_YLD", "YAS_BOND_PX",hp!I30, "SETTLE_DT", TEXT(ya!$C30,"YYYYMMDD")))</f>
        <v>0</v>
      </c>
      <c r="J30" s="2" cm="1">
        <f t="array" ref="J30">IF(hp!J30=0,0,_xll.BDP(J$4,"YAS_BOND_YLD", "YAS_BOND_PX",hp!J30, "SETTLE_DT", TEXT(ya!$C30,"YYYYMMDD")))</f>
        <v>5.2285000000000004</v>
      </c>
      <c r="K30" s="2" cm="1">
        <f t="array" ref="K30">IF(hp!K30=0,0,_xll.BDP(K$4,"YAS_BOND_YLD", "YAS_BOND_PX",hp!K30, "SETTLE_DT", TEXT(ya!$C30,"YYYYMMDD")))</f>
        <v>0</v>
      </c>
      <c r="L30" s="2" cm="1">
        <f t="array" ref="L30">IF(hp!L30=0,0,_xll.BDP(L$4,"YAS_BOND_YLD", "YAS_BOND_PX",hp!L30, "SETTLE_DT", TEXT(ya!$C30,"YYYYMMDD")))</f>
        <v>5.1683000000000003</v>
      </c>
      <c r="M30" s="2" cm="1">
        <f t="array" ref="M30">IF(hp!M30=0,0,_xll.BDP(M$4,"YAS_BOND_YLD", "YAS_BOND_PX",hp!M30, "SETTLE_DT", TEXT(ya!$C30,"YYYYMMDD")))</f>
        <v>0</v>
      </c>
      <c r="N30" s="2" cm="1">
        <f t="array" ref="N30">IF(hp!N30=0,0,_xll.BDP(N$4,"YAS_BOND_YLD", "YAS_BOND_PX",hp!N30, "SETTLE_DT", TEXT(ya!$C30,"YYYYMMDD")))</f>
        <v>5.2754000000000003</v>
      </c>
      <c r="O30" s="2" cm="1">
        <f t="array" ref="O30">IF(hp!O30=0,0,_xll.BDP(O$4,"YAS_BOND_YLD", "YAS_BOND_PX",hp!O30, "SETTLE_DT", TEXT(ya!$C30,"YYYYMMDD")))</f>
        <v>0</v>
      </c>
      <c r="P30" s="2" cm="1">
        <f t="array" ref="P30">IF(hp!P30=0,0,_xll.BDP(P$4,"YAS_BOND_YLD", "YAS_BOND_PX",hp!P30, "SETTLE_DT", TEXT(ya!$C30,"YYYYMMDD")))</f>
        <v>0</v>
      </c>
      <c r="Q30" s="2" cm="1">
        <f t="array" ref="Q30">IF(hp!Q30=0,0,_xll.BDP(Q$4,"YAS_BOND_YLD", "YAS_BOND_PX",hp!Q30, "SETTLE_DT", TEXT(ya!$C30,"YYYYMMDD")))</f>
        <v>5.2626999999999997</v>
      </c>
      <c r="R30" s="2" cm="1">
        <f t="array" ref="R30">IF(hp!R30=0,0,_xll.BDP(R$4,"YAS_BOND_YLD", "YAS_BOND_PX",hp!R30, "SETTLE_DT", TEXT(ya!$C30,"YYYYMMDD")))</f>
        <v>0</v>
      </c>
      <c r="S30" s="2" cm="1">
        <f t="array" ref="S30">IF(hp!S30=0,0,_xll.BDP(S$4,"YAS_BOND_YLD", "YAS_BOND_PX",hp!S30, "SETTLE_DT", TEXT(ya!$C30,"YYYYMMDD")))</f>
        <v>0</v>
      </c>
      <c r="T30" s="2" cm="1">
        <f t="array" ref="T30">IF(hp!T30=0,0,_xll.BDP(T$4,"YAS_BOND_YLD", "YAS_BOND_PX",hp!T30, "SETTLE_DT", TEXT(ya!$C30,"YYYYMMDD")))</f>
        <v>0</v>
      </c>
      <c r="U30" s="2" cm="1">
        <f t="array" ref="U30">IF(hp!U30=0,0,_xll.BDP(U$4,"YAS_BOND_YLD", "YAS_BOND_PX",hp!U30, "SETTLE_DT", TEXT(ya!$C30,"YYYYMMDD")))</f>
        <v>5.17</v>
      </c>
      <c r="V30" s="2" cm="1">
        <f t="array" ref="V30">IF(hp!V30=0,0,_xll.BDP(V$4,"YAS_BOND_YLD", "YAS_BOND_PX",hp!V30, "SETTLE_DT", TEXT(ya!$C30,"YYYYMMDD")))</f>
        <v>0</v>
      </c>
      <c r="W30" s="2" cm="1">
        <f t="array" ref="W30">IF(hp!W30=0,0,_xll.BDP(W$4,"YAS_BOND_YLD", "YAS_BOND_PX",hp!W30, "SETTLE_DT", TEXT(ya!$C30,"YYYYMMDD")))</f>
        <v>0</v>
      </c>
      <c r="X30" s="2" cm="1">
        <f t="array" ref="X30">IF(hp!X30=0,0,_xll.BDP(X$4,"YAS_BOND_YLD", "YAS_BOND_PX",hp!X30, "SETTLE_DT", TEXT(ya!$C30,"YYYYMMDD")))</f>
        <v>0</v>
      </c>
      <c r="Y30" s="2" cm="1">
        <f t="array" ref="Y30">IF(hp!Y30=0,0,_xll.BDP(Y$4,"YAS_BOND_YLD", "YAS_BOND_PX",hp!Y30, "SETTLE_DT", TEXT(ya!$C30,"YYYYMMDD")))</f>
        <v>0</v>
      </c>
      <c r="Z30" s="2" cm="1">
        <f t="array" ref="Z30">IF(hp!Z30=0,0,_xll.BDP(Z$4,"YAS_BOND_YLD", "YAS_BOND_PX",hp!Z30, "SETTLE_DT", TEXT(ya!$C30,"YYYYMMDD")))</f>
        <v>0</v>
      </c>
      <c r="AA30" s="2" cm="1">
        <f t="array" ref="AA30">IF(hp!AA30=0,0,_xll.BDP(AA$4,"YAS_BOND_YLD", "YAS_BOND_PX",hp!AA30, "SETTLE_DT", TEXT(ya!$C30,"YYYYMMDD")))</f>
        <v>0</v>
      </c>
      <c r="AB30" s="2" cm="1">
        <f t="array" ref="AB30">IF(hp!AB30=0,0,_xll.BDP(AB$4,"YAS_BOND_YLD", "YAS_BOND_PX",hp!AB30, "SETTLE_DT", TEXT(ya!$C30,"YYYYMMDD")))</f>
        <v>0</v>
      </c>
      <c r="AC30" s="2" cm="1">
        <f t="array" ref="AC30">IF(hp!AC30=0,0,_xll.BDP(AC$4,"YAS_BOND_YLD", "YAS_BOND_PX",hp!AC30, "SETTLE_DT", TEXT(ya!$C30,"YYYYMMDD")))</f>
        <v>0</v>
      </c>
      <c r="AD30" s="2" cm="1">
        <f t="array" ref="AD30">IF(hp!AD30=0,0,_xll.BDP(AD$4,"YAS_BOND_YLD", "YAS_BOND_PX",hp!AD30, "SETTLE_DT", TEXT(ya!$C30,"YYYYMMDD")))</f>
        <v>5.1725000000000003</v>
      </c>
      <c r="AE30" s="2" cm="1">
        <f t="array" ref="AE30">IF(hp!AE30=0,0,_xll.BDP(AE$4,"YAS_BOND_YLD", "YAS_BOND_PX",hp!AE30, "SETTLE_DT", TEXT(ya!$C30,"YYYYMMDD")))</f>
        <v>0</v>
      </c>
      <c r="AF30" s="2" cm="1">
        <f t="array" ref="AF30">IF(hp!AF30=0,0,_xll.BDP(AF$4,"YAS_BOND_YLD", "YAS_BOND_PX",hp!AF30, "SETTLE_DT", TEXT(ya!$C30,"YYYYMMDD")))</f>
        <v>0</v>
      </c>
      <c r="AG30" s="2" cm="1">
        <f t="array" ref="AG30">IF(hp!AG30=0,0,_xll.BDP(AG$4,"YAS_BOND_YLD", "YAS_BOND_PX",hp!AG30, "SETTLE_DT", TEXT(ya!$C30,"YYYYMMDD")))</f>
        <v>0</v>
      </c>
      <c r="AH30" s="2" cm="1">
        <f t="array" ref="AH30">IF(hp!AH30=0,0,_xll.BDP(AH$4,"YAS_BOND_YLD", "YAS_BOND_PX",hp!AH30, "SETTLE_DT", TEXT(ya!$C30,"YYYYMMDD")))</f>
        <v>0</v>
      </c>
      <c r="AI30" s="2" cm="1">
        <f t="array" ref="AI30">IF(hp!AI30=0,0,_xll.BDP(AI$4,"YAS_BOND_YLD", "YAS_BOND_PX",hp!AI30, "SETTLE_DT", TEXT(ya!$C30,"YYYYMMDD")))</f>
        <v>0</v>
      </c>
      <c r="AJ30" s="2" cm="1">
        <f t="array" ref="AJ30">IF(hp!AJ30=0,0,_xll.BDP(AJ$4,"YAS_BOND_YLD", "YAS_BOND_PX",hp!AJ30, "SETTLE_DT", TEXT(ya!$C30,"YYYYMMDD")))</f>
        <v>0</v>
      </c>
      <c r="AK30" s="2" cm="1">
        <f t="array" ref="AK30">IF(hp!AK30=0,0,_xll.BDP(AK$4,"YAS_BOND_YLD", "YAS_BOND_PX",hp!AK30, "SETTLE_DT", TEXT(ya!$C30,"YYYYMMDD")))</f>
        <v>0</v>
      </c>
      <c r="AL30" s="2" cm="1">
        <f t="array" ref="AL30">IF(hp!AL30=0,0,_xll.BDP(AL$4,"YAS_BOND_YLD", "YAS_BOND_PX",hp!AL30, "SETTLE_DT", TEXT(ya!$C30,"YYYYMMDD")))</f>
        <v>0</v>
      </c>
      <c r="AM30" s="2" cm="1">
        <f t="array" ref="AM30">IF(hp!AM30=0,0,_xll.BDP(AM$4,"YAS_BOND_YLD", "YAS_BOND_PX",hp!AM30, "SETTLE_DT", TEXT(ya!$C30,"YYYYMMDD")))</f>
        <v>0</v>
      </c>
      <c r="AN30" s="2" cm="1">
        <f t="array" ref="AN30">IF(hp!AN30=0,0,_xll.BDP(AN$4,"YAS_BOND_YLD", "YAS_BOND_PX",hp!AN30, "SETTLE_DT", TEXT(ya!$C30,"YYYYMMDD")))</f>
        <v>0</v>
      </c>
      <c r="AO30" s="2" cm="1">
        <f t="array" ref="AO30">IF(hp!AO30=0,0,_xll.BDP(AO$4,"YAS_BOND_YLD", "YAS_BOND_PX",hp!AO30, "SETTLE_DT", TEXT(ya!$C30,"YYYYMMDD")))</f>
        <v>0</v>
      </c>
      <c r="AP30" s="2" cm="1">
        <f t="array" ref="AP30">IF(hp!AP30=0,0,_xll.BDP(AP$4,"YAS_BOND_YLD", "YAS_BOND_PX",hp!AP30, "SETTLE_DT", TEXT(ya!$C30,"YYYYMMDD")))</f>
        <v>0</v>
      </c>
      <c r="AQ30" s="2" cm="1">
        <f t="array" ref="AQ30">IF(hp!AQ30=0,0,_xll.BDP(AQ$4,"YAS_BOND_YLD", "YAS_BOND_PX",hp!AQ30, "SETTLE_DT", TEXT(ya!$C30,"YYYYMMDD")))</f>
        <v>0</v>
      </c>
      <c r="AR30" s="2" cm="1">
        <f t="array" ref="AR30">IF(hp!AR30=0,0,_xll.BDP(AR$4,"YAS_BOND_YLD", "YAS_BOND_PX",hp!AR30, "SETTLE_DT", TEXT(ya!$C30,"YYYYMMDD")))</f>
        <v>5.8963999999999999</v>
      </c>
      <c r="AS30" s="2" cm="1">
        <f t="array" ref="AS30">IF(hp!AS30=0,0,_xll.BDP(AS$4,"YAS_BOND_YLD", "YAS_BOND_PX",hp!AS30, "SETTLE_DT", TEXT(ya!$C30,"YYYYMMDD")))</f>
        <v>0</v>
      </c>
      <c r="AT30" s="2" cm="1">
        <f t="array" ref="AT30">IF(hp!AT30=0,0,_xll.BDP(AT$4,"YAS_BOND_YLD", "YAS_BOND_PX",hp!AT30, "SETTLE_DT", TEXT(ya!$C30,"YYYYMMDD")))</f>
        <v>0</v>
      </c>
      <c r="AU30" s="2" cm="1">
        <f t="array" ref="AU30">IF(hp!AU30=0,0,_xll.BDP(AU$4,"YAS_BOND_YLD", "YAS_BOND_PX",hp!AU30, "SETTLE_DT", TEXT(ya!$C30,"YYYYMMDD")))</f>
        <v>0</v>
      </c>
      <c r="AV30" s="2" cm="1">
        <f t="array" ref="AV30">IF(hp!AV30=0,0,_xll.BDP(AV$4,"YAS_BOND_YLD", "YAS_BOND_PX",hp!AV30, "SETTLE_DT", TEXT(ya!$C30,"YYYYMMDD")))</f>
        <v>0</v>
      </c>
      <c r="AW30" s="2" cm="1">
        <f t="array" ref="AW30">IF(hp!AW30=0,0,_xll.BDP(AW$4,"YAS_BOND_YLD", "YAS_BOND_PX",hp!AW30, "SETTLE_DT", TEXT(ya!$C30,"YYYYMMDD")))</f>
        <v>0</v>
      </c>
      <c r="AX30" s="2" cm="1">
        <f t="array" ref="AX30">IF(hp!AX30=0,0,_xll.BDP(AX$4,"YAS_BOND_YLD", "YAS_BOND_PX",hp!AX30, "SETTLE_DT", TEXT(ya!$C30,"YYYYMMDD")))</f>
        <v>0</v>
      </c>
      <c r="AY30" s="2" cm="1">
        <f t="array" ref="AY30">IF(hp!AY30=0,0,_xll.BDP(AY$4,"YAS_BOND_YLD", "YAS_BOND_PX",hp!AY30, "SETTLE_DT", TEXT(ya!$C30,"YYYYMMDD")))</f>
        <v>0</v>
      </c>
      <c r="AZ30" s="2" cm="1">
        <f t="array" ref="AZ30">IF(hp!AZ30=0,0,_xll.BDP(AZ$4,"YAS_BOND_YLD", "YAS_BOND_PX",hp!AZ30, "SETTLE_DT", TEXT(ya!$C30,"YYYYMMDD")))</f>
        <v>0</v>
      </c>
    </row>
    <row r="31" spans="1:52" x14ac:dyDescent="0.25">
      <c r="A31" s="1"/>
      <c r="B31" s="2"/>
      <c r="C31" s="1">
        <v>42853</v>
      </c>
      <c r="D31" s="2" cm="1">
        <f t="array" ref="D31">IF(hp!D31=0,0,_xll.BDP(D$4,"YAS_BOND_YLD", "YAS_BOND_PX",hp!D31, "SETTLE_DT", TEXT(ya!$C31,"YYYYMMDD")))</f>
        <v>0</v>
      </c>
      <c r="E31" s="2" cm="1">
        <f t="array" ref="E31">IF(hp!E31=0,0,_xll.BDP(E$4,"YAS_BOND_YLD", "YAS_BOND_PX",hp!E31, "SETTLE_DT", TEXT(ya!$C31,"YYYYMMDD")))</f>
        <v>0</v>
      </c>
      <c r="F31" s="2" cm="1">
        <f t="array" ref="F31">IF(hp!F31=0,0,_xll.BDP(F$4,"YAS_BOND_YLD", "YAS_BOND_PX",hp!F31, "SETTLE_DT", TEXT(ya!$C31,"YYYYMMDD")))</f>
        <v>10.284599999999999</v>
      </c>
      <c r="G31" s="2" cm="1">
        <f t="array" ref="G31">IF(hp!G31=0,0,_xll.BDP(G$4,"YAS_BOND_YLD", "YAS_BOND_PX",hp!G31, "SETTLE_DT", TEXT(ya!$C31,"YYYYMMDD")))</f>
        <v>5.4021999999999997</v>
      </c>
      <c r="H31" s="2" cm="1">
        <f t="array" ref="H31">IF(hp!H31=0,0,_xll.BDP(H$4,"YAS_BOND_YLD", "YAS_BOND_PX",hp!H31, "SETTLE_DT", TEXT(ya!$C31,"YYYYMMDD")))</f>
        <v>0</v>
      </c>
      <c r="I31" s="2" cm="1">
        <f t="array" ref="I31">IF(hp!I31=0,0,_xll.BDP(I$4,"YAS_BOND_YLD", "YAS_BOND_PX",hp!I31, "SETTLE_DT", TEXT(ya!$C31,"YYYYMMDD")))</f>
        <v>0</v>
      </c>
      <c r="J31" s="2" cm="1">
        <f t="array" ref="J31">IF(hp!J31=0,0,_xll.BDP(J$4,"YAS_BOND_YLD", "YAS_BOND_PX",hp!J31, "SETTLE_DT", TEXT(ya!$C31,"YYYYMMDD")))</f>
        <v>5.3411</v>
      </c>
      <c r="K31" s="2" cm="1">
        <f t="array" ref="K31">IF(hp!K31=0,0,_xll.BDP(K$4,"YAS_BOND_YLD", "YAS_BOND_PX",hp!K31, "SETTLE_DT", TEXT(ya!$C31,"YYYYMMDD")))</f>
        <v>0</v>
      </c>
      <c r="L31" s="2" cm="1">
        <f t="array" ref="L31">IF(hp!L31=0,0,_xll.BDP(L$4,"YAS_BOND_YLD", "YAS_BOND_PX",hp!L31, "SETTLE_DT", TEXT(ya!$C31,"YYYYMMDD")))</f>
        <v>5.3704000000000001</v>
      </c>
      <c r="M31" s="2" cm="1">
        <f t="array" ref="M31">IF(hp!M31=0,0,_xll.BDP(M$4,"YAS_BOND_YLD", "YAS_BOND_PX",hp!M31, "SETTLE_DT", TEXT(ya!$C31,"YYYYMMDD")))</f>
        <v>0</v>
      </c>
      <c r="N31" s="2" cm="1">
        <f t="array" ref="N31">IF(hp!N31=0,0,_xll.BDP(N$4,"YAS_BOND_YLD", "YAS_BOND_PX",hp!N31, "SETTLE_DT", TEXT(ya!$C31,"YYYYMMDD")))</f>
        <v>5.3856000000000002</v>
      </c>
      <c r="O31" s="2" cm="1">
        <f t="array" ref="O31">IF(hp!O31=0,0,_xll.BDP(O$4,"YAS_BOND_YLD", "YAS_BOND_PX",hp!O31, "SETTLE_DT", TEXT(ya!$C31,"YYYYMMDD")))</f>
        <v>0</v>
      </c>
      <c r="P31" s="2" cm="1">
        <f t="array" ref="P31">IF(hp!P31=0,0,_xll.BDP(P$4,"YAS_BOND_YLD", "YAS_BOND_PX",hp!P31, "SETTLE_DT", TEXT(ya!$C31,"YYYYMMDD")))</f>
        <v>0</v>
      </c>
      <c r="Q31" s="2" cm="1">
        <f t="array" ref="Q31">IF(hp!Q31=0,0,_xll.BDP(Q$4,"YAS_BOND_YLD", "YAS_BOND_PX",hp!Q31, "SETTLE_DT", TEXT(ya!$C31,"YYYYMMDD")))</f>
        <v>5.4234</v>
      </c>
      <c r="R31" s="2" cm="1">
        <f t="array" ref="R31">IF(hp!R31=0,0,_xll.BDP(R$4,"YAS_BOND_YLD", "YAS_BOND_PX",hp!R31, "SETTLE_DT", TEXT(ya!$C31,"YYYYMMDD")))</f>
        <v>0</v>
      </c>
      <c r="S31" s="2" cm="1">
        <f t="array" ref="S31">IF(hp!S31=0,0,_xll.BDP(S$4,"YAS_BOND_YLD", "YAS_BOND_PX",hp!S31, "SETTLE_DT", TEXT(ya!$C31,"YYYYMMDD")))</f>
        <v>0</v>
      </c>
      <c r="T31" s="2" cm="1">
        <f t="array" ref="T31">IF(hp!T31=0,0,_xll.BDP(T$4,"YAS_BOND_YLD", "YAS_BOND_PX",hp!T31, "SETTLE_DT", TEXT(ya!$C31,"YYYYMMDD")))</f>
        <v>0</v>
      </c>
      <c r="U31" s="2" cm="1">
        <f t="array" ref="U31">IF(hp!U31=0,0,_xll.BDP(U$4,"YAS_BOND_YLD", "YAS_BOND_PX",hp!U31, "SETTLE_DT", TEXT(ya!$C31,"YYYYMMDD")))</f>
        <v>5.3163999999999998</v>
      </c>
      <c r="V31" s="2" cm="1">
        <f t="array" ref="V31">IF(hp!V31=0,0,_xll.BDP(V$4,"YAS_BOND_YLD", "YAS_BOND_PX",hp!V31, "SETTLE_DT", TEXT(ya!$C31,"YYYYMMDD")))</f>
        <v>0</v>
      </c>
      <c r="W31" s="2" cm="1">
        <f t="array" ref="W31">IF(hp!W31=0,0,_xll.BDP(W$4,"YAS_BOND_YLD", "YAS_BOND_PX",hp!W31, "SETTLE_DT", TEXT(ya!$C31,"YYYYMMDD")))</f>
        <v>0</v>
      </c>
      <c r="X31" s="2" cm="1">
        <f t="array" ref="X31">IF(hp!X31=0,0,_xll.BDP(X$4,"YAS_BOND_YLD", "YAS_BOND_PX",hp!X31, "SETTLE_DT", TEXT(ya!$C31,"YYYYMMDD")))</f>
        <v>0</v>
      </c>
      <c r="Y31" s="2" cm="1">
        <f t="array" ref="Y31">IF(hp!Y31=0,0,_xll.BDP(Y$4,"YAS_BOND_YLD", "YAS_BOND_PX",hp!Y31, "SETTLE_DT", TEXT(ya!$C31,"YYYYMMDD")))</f>
        <v>0</v>
      </c>
      <c r="Z31" s="2" cm="1">
        <f t="array" ref="Z31">IF(hp!Z31=0,0,_xll.BDP(Z$4,"YAS_BOND_YLD", "YAS_BOND_PX",hp!Z31, "SETTLE_DT", TEXT(ya!$C31,"YYYYMMDD")))</f>
        <v>0</v>
      </c>
      <c r="AA31" s="2" cm="1">
        <f t="array" ref="AA31">IF(hp!AA31=0,0,_xll.BDP(AA$4,"YAS_BOND_YLD", "YAS_BOND_PX",hp!AA31, "SETTLE_DT", TEXT(ya!$C31,"YYYYMMDD")))</f>
        <v>0</v>
      </c>
      <c r="AB31" s="2" cm="1">
        <f t="array" ref="AB31">IF(hp!AB31=0,0,_xll.BDP(AB$4,"YAS_BOND_YLD", "YAS_BOND_PX",hp!AB31, "SETTLE_DT", TEXT(ya!$C31,"YYYYMMDD")))</f>
        <v>0</v>
      </c>
      <c r="AC31" s="2" cm="1">
        <f t="array" ref="AC31">IF(hp!AC31=0,0,_xll.BDP(AC$4,"YAS_BOND_YLD", "YAS_BOND_PX",hp!AC31, "SETTLE_DT", TEXT(ya!$C31,"YYYYMMDD")))</f>
        <v>0</v>
      </c>
      <c r="AD31" s="2" cm="1">
        <f t="array" ref="AD31">IF(hp!AD31=0,0,_xll.BDP(AD$4,"YAS_BOND_YLD", "YAS_BOND_PX",hp!AD31, "SETTLE_DT", TEXT(ya!$C31,"YYYYMMDD")))</f>
        <v>5.3079999999999998</v>
      </c>
      <c r="AE31" s="2" cm="1">
        <f t="array" ref="AE31">IF(hp!AE31=0,0,_xll.BDP(AE$4,"YAS_BOND_YLD", "YAS_BOND_PX",hp!AE31, "SETTLE_DT", TEXT(ya!$C31,"YYYYMMDD")))</f>
        <v>0</v>
      </c>
      <c r="AF31" s="2" cm="1">
        <f t="array" ref="AF31">IF(hp!AF31=0,0,_xll.BDP(AF$4,"YAS_BOND_YLD", "YAS_BOND_PX",hp!AF31, "SETTLE_DT", TEXT(ya!$C31,"YYYYMMDD")))</f>
        <v>0</v>
      </c>
      <c r="AG31" s="2" cm="1">
        <f t="array" ref="AG31">IF(hp!AG31=0,0,_xll.BDP(AG$4,"YAS_BOND_YLD", "YAS_BOND_PX",hp!AG31, "SETTLE_DT", TEXT(ya!$C31,"YYYYMMDD")))</f>
        <v>0</v>
      </c>
      <c r="AH31" s="2" cm="1">
        <f t="array" ref="AH31">IF(hp!AH31=0,0,_xll.BDP(AH$4,"YAS_BOND_YLD", "YAS_BOND_PX",hp!AH31, "SETTLE_DT", TEXT(ya!$C31,"YYYYMMDD")))</f>
        <v>0</v>
      </c>
      <c r="AI31" s="2" cm="1">
        <f t="array" ref="AI31">IF(hp!AI31=0,0,_xll.BDP(AI$4,"YAS_BOND_YLD", "YAS_BOND_PX",hp!AI31, "SETTLE_DT", TEXT(ya!$C31,"YYYYMMDD")))</f>
        <v>0</v>
      </c>
      <c r="AJ31" s="2" cm="1">
        <f t="array" ref="AJ31">IF(hp!AJ31=0,0,_xll.BDP(AJ$4,"YAS_BOND_YLD", "YAS_BOND_PX",hp!AJ31, "SETTLE_DT", TEXT(ya!$C31,"YYYYMMDD")))</f>
        <v>0</v>
      </c>
      <c r="AK31" s="2" cm="1">
        <f t="array" ref="AK31">IF(hp!AK31=0,0,_xll.BDP(AK$4,"YAS_BOND_YLD", "YAS_BOND_PX",hp!AK31, "SETTLE_DT", TEXT(ya!$C31,"YYYYMMDD")))</f>
        <v>0</v>
      </c>
      <c r="AL31" s="2" cm="1">
        <f t="array" ref="AL31">IF(hp!AL31=0,0,_xll.BDP(AL$4,"YAS_BOND_YLD", "YAS_BOND_PX",hp!AL31, "SETTLE_DT", TEXT(ya!$C31,"YYYYMMDD")))</f>
        <v>0</v>
      </c>
      <c r="AM31" s="2" cm="1">
        <f t="array" ref="AM31">IF(hp!AM31=0,0,_xll.BDP(AM$4,"YAS_BOND_YLD", "YAS_BOND_PX",hp!AM31, "SETTLE_DT", TEXT(ya!$C31,"YYYYMMDD")))</f>
        <v>0</v>
      </c>
      <c r="AN31" s="2" cm="1">
        <f t="array" ref="AN31">IF(hp!AN31=0,0,_xll.BDP(AN$4,"YAS_BOND_YLD", "YAS_BOND_PX",hp!AN31, "SETTLE_DT", TEXT(ya!$C31,"YYYYMMDD")))</f>
        <v>0</v>
      </c>
      <c r="AO31" s="2" cm="1">
        <f t="array" ref="AO31">IF(hp!AO31=0,0,_xll.BDP(AO$4,"YAS_BOND_YLD", "YAS_BOND_PX",hp!AO31, "SETTLE_DT", TEXT(ya!$C31,"YYYYMMDD")))</f>
        <v>0</v>
      </c>
      <c r="AP31" s="2" cm="1">
        <f t="array" ref="AP31">IF(hp!AP31=0,0,_xll.BDP(AP$4,"YAS_BOND_YLD", "YAS_BOND_PX",hp!AP31, "SETTLE_DT", TEXT(ya!$C31,"YYYYMMDD")))</f>
        <v>0</v>
      </c>
      <c r="AQ31" s="2" cm="1">
        <f t="array" ref="AQ31">IF(hp!AQ31=0,0,_xll.BDP(AQ$4,"YAS_BOND_YLD", "YAS_BOND_PX",hp!AQ31, "SETTLE_DT", TEXT(ya!$C31,"YYYYMMDD")))</f>
        <v>0</v>
      </c>
      <c r="AR31" s="2" cm="1">
        <f t="array" ref="AR31">IF(hp!AR31=0,0,_xll.BDP(AR$4,"YAS_BOND_YLD", "YAS_BOND_PX",hp!AR31, "SETTLE_DT", TEXT(ya!$C31,"YYYYMMDD")))</f>
        <v>0</v>
      </c>
      <c r="AS31" s="2" cm="1">
        <f t="array" ref="AS31">IF(hp!AS31=0,0,_xll.BDP(AS$4,"YAS_BOND_YLD", "YAS_BOND_PX",hp!AS31, "SETTLE_DT", TEXT(ya!$C31,"YYYYMMDD")))</f>
        <v>0</v>
      </c>
      <c r="AT31" s="2" cm="1">
        <f t="array" ref="AT31">IF(hp!AT31=0,0,_xll.BDP(AT$4,"YAS_BOND_YLD", "YAS_BOND_PX",hp!AT31, "SETTLE_DT", TEXT(ya!$C31,"YYYYMMDD")))</f>
        <v>0</v>
      </c>
      <c r="AU31" s="2" cm="1">
        <f t="array" ref="AU31">IF(hp!AU31=0,0,_xll.BDP(AU$4,"YAS_BOND_YLD", "YAS_BOND_PX",hp!AU31, "SETTLE_DT", TEXT(ya!$C31,"YYYYMMDD")))</f>
        <v>0</v>
      </c>
      <c r="AV31" s="2" cm="1">
        <f t="array" ref="AV31">IF(hp!AV31=0,0,_xll.BDP(AV$4,"YAS_BOND_YLD", "YAS_BOND_PX",hp!AV31, "SETTLE_DT", TEXT(ya!$C31,"YYYYMMDD")))</f>
        <v>0</v>
      </c>
      <c r="AW31" s="2" cm="1">
        <f t="array" ref="AW31">IF(hp!AW31=0,0,_xll.BDP(AW$4,"YAS_BOND_YLD", "YAS_BOND_PX",hp!AW31, "SETTLE_DT", TEXT(ya!$C31,"YYYYMMDD")))</f>
        <v>0</v>
      </c>
      <c r="AX31" s="2" cm="1">
        <f t="array" ref="AX31">IF(hp!AX31=0,0,_xll.BDP(AX$4,"YAS_BOND_YLD", "YAS_BOND_PX",hp!AX31, "SETTLE_DT", TEXT(ya!$C31,"YYYYMMDD")))</f>
        <v>0</v>
      </c>
      <c r="AY31" s="2" cm="1">
        <f t="array" ref="AY31">IF(hp!AY31=0,0,_xll.BDP(AY$4,"YAS_BOND_YLD", "YAS_BOND_PX",hp!AY31, "SETTLE_DT", TEXT(ya!$C31,"YYYYMMDD")))</f>
        <v>0</v>
      </c>
      <c r="AZ31" s="2" cm="1">
        <f t="array" ref="AZ31">IF(hp!AZ31=0,0,_xll.BDP(AZ$4,"YAS_BOND_YLD", "YAS_BOND_PX",hp!AZ31, "SETTLE_DT", TEXT(ya!$C31,"YYYYMMDD")))</f>
        <v>0</v>
      </c>
    </row>
    <row r="32" spans="1:52" x14ac:dyDescent="0.25">
      <c r="A32" s="1"/>
      <c r="B32" s="2"/>
      <c r="C32" s="1">
        <v>42886</v>
      </c>
      <c r="D32" s="2" cm="1">
        <f t="array" ref="D32">IF(hp!D32=0,0,_xll.BDP(D$4,"YAS_BOND_YLD", "YAS_BOND_PX",hp!D32, "SETTLE_DT", TEXT(ya!$C32,"YYYYMMDD")))</f>
        <v>0</v>
      </c>
      <c r="E32" s="2" cm="1">
        <f t="array" ref="E32">IF(hp!E32=0,0,_xll.BDP(E$4,"YAS_BOND_YLD", "YAS_BOND_PX",hp!E32, "SETTLE_DT", TEXT(ya!$C32,"YYYYMMDD")))</f>
        <v>0</v>
      </c>
      <c r="F32" s="2" cm="1">
        <f t="array" ref="F32">IF(hp!F32=0,0,_xll.BDP(F$4,"YAS_BOND_YLD", "YAS_BOND_PX",hp!F32, "SETTLE_DT", TEXT(ya!$C32,"YYYYMMDD")))</f>
        <v>10.7097</v>
      </c>
      <c r="G32" s="2" cm="1">
        <f t="array" ref="G32">IF(hp!G32=0,0,_xll.BDP(G$4,"YAS_BOND_YLD", "YAS_BOND_PX",hp!G32, "SETTLE_DT", TEXT(ya!$C32,"YYYYMMDD")))</f>
        <v>5.5911999999999997</v>
      </c>
      <c r="H32" s="2" cm="1">
        <f t="array" ref="H32">IF(hp!H32=0,0,_xll.BDP(H$4,"YAS_BOND_YLD", "YAS_BOND_PX",hp!H32, "SETTLE_DT", TEXT(ya!$C32,"YYYYMMDD")))</f>
        <v>0</v>
      </c>
      <c r="I32" s="2" cm="1">
        <f t="array" ref="I32">IF(hp!I32=0,0,_xll.BDP(I$4,"YAS_BOND_YLD", "YAS_BOND_PX",hp!I32, "SETTLE_DT", TEXT(ya!$C32,"YYYYMMDD")))</f>
        <v>0</v>
      </c>
      <c r="J32" s="2" cm="1">
        <f t="array" ref="J32">IF(hp!J32=0,0,_xll.BDP(J$4,"YAS_BOND_YLD", "YAS_BOND_PX",hp!J32, "SETTLE_DT", TEXT(ya!$C32,"YYYYMMDD")))</f>
        <v>5.6013999999999999</v>
      </c>
      <c r="K32" s="2" cm="1">
        <f t="array" ref="K32">IF(hp!K32=0,0,_xll.BDP(K$4,"YAS_BOND_YLD", "YAS_BOND_PX",hp!K32, "SETTLE_DT", TEXT(ya!$C32,"YYYYMMDD")))</f>
        <v>0</v>
      </c>
      <c r="L32" s="2" cm="1">
        <f t="array" ref="L32">IF(hp!L32=0,0,_xll.BDP(L$4,"YAS_BOND_YLD", "YAS_BOND_PX",hp!L32, "SETTLE_DT", TEXT(ya!$C32,"YYYYMMDD")))</f>
        <v>5.5864000000000003</v>
      </c>
      <c r="M32" s="2" cm="1">
        <f t="array" ref="M32">IF(hp!M32=0,0,_xll.BDP(M$4,"YAS_BOND_YLD", "YAS_BOND_PX",hp!M32, "SETTLE_DT", TEXT(ya!$C32,"YYYYMMDD")))</f>
        <v>0</v>
      </c>
      <c r="N32" s="2" cm="1">
        <f t="array" ref="N32">IF(hp!N32=0,0,_xll.BDP(N$4,"YAS_BOND_YLD", "YAS_BOND_PX",hp!N32, "SETTLE_DT", TEXT(ya!$C32,"YYYYMMDD")))</f>
        <v>5.6257999999999999</v>
      </c>
      <c r="O32" s="2" cm="1">
        <f t="array" ref="O32">IF(hp!O32=0,0,_xll.BDP(O$4,"YAS_BOND_YLD", "YAS_BOND_PX",hp!O32, "SETTLE_DT", TEXT(ya!$C32,"YYYYMMDD")))</f>
        <v>0</v>
      </c>
      <c r="P32" s="2" cm="1">
        <f t="array" ref="P32">IF(hp!P32=0,0,_xll.BDP(P$4,"YAS_BOND_YLD", "YAS_BOND_PX",hp!P32, "SETTLE_DT", TEXT(ya!$C32,"YYYYMMDD")))</f>
        <v>0</v>
      </c>
      <c r="Q32" s="2" cm="1">
        <f t="array" ref="Q32">IF(hp!Q32=0,0,_xll.BDP(Q$4,"YAS_BOND_YLD", "YAS_BOND_PX",hp!Q32, "SETTLE_DT", TEXT(ya!$C32,"YYYYMMDD")))</f>
        <v>5.6370000000000005</v>
      </c>
      <c r="R32" s="2" cm="1">
        <f t="array" ref="R32">IF(hp!R32=0,0,_xll.BDP(R$4,"YAS_BOND_YLD", "YAS_BOND_PX",hp!R32, "SETTLE_DT", TEXT(ya!$C32,"YYYYMMDD")))</f>
        <v>0</v>
      </c>
      <c r="S32" s="2" cm="1">
        <f t="array" ref="S32">IF(hp!S32=0,0,_xll.BDP(S$4,"YAS_BOND_YLD", "YAS_BOND_PX",hp!S32, "SETTLE_DT", TEXT(ya!$C32,"YYYYMMDD")))</f>
        <v>0</v>
      </c>
      <c r="T32" s="2" cm="1">
        <f t="array" ref="T32">IF(hp!T32=0,0,_xll.BDP(T$4,"YAS_BOND_YLD", "YAS_BOND_PX",hp!T32, "SETTLE_DT", TEXT(ya!$C32,"YYYYMMDD")))</f>
        <v>0</v>
      </c>
      <c r="U32" s="2" cm="1">
        <f t="array" ref="U32">IF(hp!U32=0,0,_xll.BDP(U$4,"YAS_BOND_YLD", "YAS_BOND_PX",hp!U32, "SETTLE_DT", TEXT(ya!$C32,"YYYYMMDD")))</f>
        <v>5.5725999999999996</v>
      </c>
      <c r="V32" s="2" cm="1">
        <f t="array" ref="V32">IF(hp!V32=0,0,_xll.BDP(V$4,"YAS_BOND_YLD", "YAS_BOND_PX",hp!V32, "SETTLE_DT", TEXT(ya!$C32,"YYYYMMDD")))</f>
        <v>0</v>
      </c>
      <c r="W32" s="2" cm="1">
        <f t="array" ref="W32">IF(hp!W32=0,0,_xll.BDP(W$4,"YAS_BOND_YLD", "YAS_BOND_PX",hp!W32, "SETTLE_DT", TEXT(ya!$C32,"YYYYMMDD")))</f>
        <v>0</v>
      </c>
      <c r="X32" s="2" cm="1">
        <f t="array" ref="X32">IF(hp!X32=0,0,_xll.BDP(X$4,"YAS_BOND_YLD", "YAS_BOND_PX",hp!X32, "SETTLE_DT", TEXT(ya!$C32,"YYYYMMDD")))</f>
        <v>0</v>
      </c>
      <c r="Y32" s="2" cm="1">
        <f t="array" ref="Y32">IF(hp!Y32=0,0,_xll.BDP(Y$4,"YAS_BOND_YLD", "YAS_BOND_PX",hp!Y32, "SETTLE_DT", TEXT(ya!$C32,"YYYYMMDD")))</f>
        <v>0</v>
      </c>
      <c r="Z32" s="2" cm="1">
        <f t="array" ref="Z32">IF(hp!Z32=0,0,_xll.BDP(Z$4,"YAS_BOND_YLD", "YAS_BOND_PX",hp!Z32, "SETTLE_DT", TEXT(ya!$C32,"YYYYMMDD")))</f>
        <v>0</v>
      </c>
      <c r="AA32" s="2" cm="1">
        <f t="array" ref="AA32">IF(hp!AA32=0,0,_xll.BDP(AA$4,"YAS_BOND_YLD", "YAS_BOND_PX",hp!AA32, "SETTLE_DT", TEXT(ya!$C32,"YYYYMMDD")))</f>
        <v>0</v>
      </c>
      <c r="AB32" s="2" cm="1">
        <f t="array" ref="AB32">IF(hp!AB32=0,0,_xll.BDP(AB$4,"YAS_BOND_YLD", "YAS_BOND_PX",hp!AB32, "SETTLE_DT", TEXT(ya!$C32,"YYYYMMDD")))</f>
        <v>0</v>
      </c>
      <c r="AC32" s="2" cm="1">
        <f t="array" ref="AC32">IF(hp!AC32=0,0,_xll.BDP(AC$4,"YAS_BOND_YLD", "YAS_BOND_PX",hp!AC32, "SETTLE_DT", TEXT(ya!$C32,"YYYYMMDD")))</f>
        <v>0</v>
      </c>
      <c r="AD32" s="2" cm="1">
        <f t="array" ref="AD32">IF(hp!AD32=0,0,_xll.BDP(AD$4,"YAS_BOND_YLD", "YAS_BOND_PX",hp!AD32, "SETTLE_DT", TEXT(ya!$C32,"YYYYMMDD")))</f>
        <v>5.5713999999999997</v>
      </c>
      <c r="AE32" s="2" cm="1">
        <f t="array" ref="AE32">IF(hp!AE32=0,0,_xll.BDP(AE$4,"YAS_BOND_YLD", "YAS_BOND_PX",hp!AE32, "SETTLE_DT", TEXT(ya!$C32,"YYYYMMDD")))</f>
        <v>0</v>
      </c>
      <c r="AF32" s="2" cm="1">
        <f t="array" ref="AF32">IF(hp!AF32=0,0,_xll.BDP(AF$4,"YAS_BOND_YLD", "YAS_BOND_PX",hp!AF32, "SETTLE_DT", TEXT(ya!$C32,"YYYYMMDD")))</f>
        <v>0</v>
      </c>
      <c r="AG32" s="2" cm="1">
        <f t="array" ref="AG32">IF(hp!AG32=0,0,_xll.BDP(AG$4,"YAS_BOND_YLD", "YAS_BOND_PX",hp!AG32, "SETTLE_DT", TEXT(ya!$C32,"YYYYMMDD")))</f>
        <v>0</v>
      </c>
      <c r="AH32" s="2" cm="1">
        <f t="array" ref="AH32">IF(hp!AH32=0,0,_xll.BDP(AH$4,"YAS_BOND_YLD", "YAS_BOND_PX",hp!AH32, "SETTLE_DT", TEXT(ya!$C32,"YYYYMMDD")))</f>
        <v>0</v>
      </c>
      <c r="AI32" s="2" cm="1">
        <f t="array" ref="AI32">IF(hp!AI32=0,0,_xll.BDP(AI$4,"YAS_BOND_YLD", "YAS_BOND_PX",hp!AI32, "SETTLE_DT", TEXT(ya!$C32,"YYYYMMDD")))</f>
        <v>0</v>
      </c>
      <c r="AJ32" s="2" cm="1">
        <f t="array" ref="AJ32">IF(hp!AJ32=0,0,_xll.BDP(AJ$4,"YAS_BOND_YLD", "YAS_BOND_PX",hp!AJ32, "SETTLE_DT", TEXT(ya!$C32,"YYYYMMDD")))</f>
        <v>0</v>
      </c>
      <c r="AK32" s="2" cm="1">
        <f t="array" ref="AK32">IF(hp!AK32=0,0,_xll.BDP(AK$4,"YAS_BOND_YLD", "YAS_BOND_PX",hp!AK32, "SETTLE_DT", TEXT(ya!$C32,"YYYYMMDD")))</f>
        <v>0</v>
      </c>
      <c r="AL32" s="2" cm="1">
        <f t="array" ref="AL32">IF(hp!AL32=0,0,_xll.BDP(AL$4,"YAS_BOND_YLD", "YAS_BOND_PX",hp!AL32, "SETTLE_DT", TEXT(ya!$C32,"YYYYMMDD")))</f>
        <v>0</v>
      </c>
      <c r="AM32" s="2" cm="1">
        <f t="array" ref="AM32">IF(hp!AM32=0,0,_xll.BDP(AM$4,"YAS_BOND_YLD", "YAS_BOND_PX",hp!AM32, "SETTLE_DT", TEXT(ya!$C32,"YYYYMMDD")))</f>
        <v>0</v>
      </c>
      <c r="AN32" s="2" cm="1">
        <f t="array" ref="AN32">IF(hp!AN32=0,0,_xll.BDP(AN$4,"YAS_BOND_YLD", "YAS_BOND_PX",hp!AN32, "SETTLE_DT", TEXT(ya!$C32,"YYYYMMDD")))</f>
        <v>0</v>
      </c>
      <c r="AO32" s="2" cm="1">
        <f t="array" ref="AO32">IF(hp!AO32=0,0,_xll.BDP(AO$4,"YAS_BOND_YLD", "YAS_BOND_PX",hp!AO32, "SETTLE_DT", TEXT(ya!$C32,"YYYYMMDD")))</f>
        <v>0</v>
      </c>
      <c r="AP32" s="2" cm="1">
        <f t="array" ref="AP32">IF(hp!AP32=0,0,_xll.BDP(AP$4,"YAS_BOND_YLD", "YAS_BOND_PX",hp!AP32, "SETTLE_DT", TEXT(ya!$C32,"YYYYMMDD")))</f>
        <v>0</v>
      </c>
      <c r="AQ32" s="2" cm="1">
        <f t="array" ref="AQ32">IF(hp!AQ32=0,0,_xll.BDP(AQ$4,"YAS_BOND_YLD", "YAS_BOND_PX",hp!AQ32, "SETTLE_DT", TEXT(ya!$C32,"YYYYMMDD")))</f>
        <v>0</v>
      </c>
      <c r="AR32" s="2" cm="1">
        <f t="array" ref="AR32">IF(hp!AR32=0,0,_xll.BDP(AR$4,"YAS_BOND_YLD", "YAS_BOND_PX",hp!AR32, "SETTLE_DT", TEXT(ya!$C32,"YYYYMMDD")))</f>
        <v>7.2225000000000001</v>
      </c>
      <c r="AS32" s="2" cm="1">
        <f t="array" ref="AS32">IF(hp!AS32=0,0,_xll.BDP(AS$4,"YAS_BOND_YLD", "YAS_BOND_PX",hp!AS32, "SETTLE_DT", TEXT(ya!$C32,"YYYYMMDD")))</f>
        <v>0</v>
      </c>
      <c r="AT32" s="2" cm="1">
        <f t="array" ref="AT32">IF(hp!AT32=0,0,_xll.BDP(AT$4,"YAS_BOND_YLD", "YAS_BOND_PX",hp!AT32, "SETTLE_DT", TEXT(ya!$C32,"YYYYMMDD")))</f>
        <v>0</v>
      </c>
      <c r="AU32" s="2" cm="1">
        <f t="array" ref="AU32">IF(hp!AU32=0,0,_xll.BDP(AU$4,"YAS_BOND_YLD", "YAS_BOND_PX",hp!AU32, "SETTLE_DT", TEXT(ya!$C32,"YYYYMMDD")))</f>
        <v>0</v>
      </c>
      <c r="AV32" s="2" cm="1">
        <f t="array" ref="AV32">IF(hp!AV32=0,0,_xll.BDP(AV$4,"YAS_BOND_YLD", "YAS_BOND_PX",hp!AV32, "SETTLE_DT", TEXT(ya!$C32,"YYYYMMDD")))</f>
        <v>0</v>
      </c>
      <c r="AW32" s="2" cm="1">
        <f t="array" ref="AW32">IF(hp!AW32=0,0,_xll.BDP(AW$4,"YAS_BOND_YLD", "YAS_BOND_PX",hp!AW32, "SETTLE_DT", TEXT(ya!$C32,"YYYYMMDD")))</f>
        <v>0</v>
      </c>
      <c r="AX32" s="2" cm="1">
        <f t="array" ref="AX32">IF(hp!AX32=0,0,_xll.BDP(AX$4,"YAS_BOND_YLD", "YAS_BOND_PX",hp!AX32, "SETTLE_DT", TEXT(ya!$C32,"YYYYMMDD")))</f>
        <v>0</v>
      </c>
      <c r="AY32" s="2" cm="1">
        <f t="array" ref="AY32">IF(hp!AY32=0,0,_xll.BDP(AY$4,"YAS_BOND_YLD", "YAS_BOND_PX",hp!AY32, "SETTLE_DT", TEXT(ya!$C32,"YYYYMMDD")))</f>
        <v>0</v>
      </c>
      <c r="AZ32" s="2" cm="1">
        <f t="array" ref="AZ32">IF(hp!AZ32=0,0,_xll.BDP(AZ$4,"YAS_BOND_YLD", "YAS_BOND_PX",hp!AZ32, "SETTLE_DT", TEXT(ya!$C32,"YYYYMMDD")))</f>
        <v>0</v>
      </c>
    </row>
    <row r="33" spans="1:52" x14ac:dyDescent="0.25">
      <c r="A33" s="1"/>
      <c r="B33" s="2"/>
      <c r="C33" s="1">
        <v>42916</v>
      </c>
      <c r="D33" s="2" cm="1">
        <f t="array" ref="D33">IF(hp!D33=0,0,_xll.BDP(D$4,"YAS_BOND_YLD", "YAS_BOND_PX",hp!D33, "SETTLE_DT", TEXT(ya!$C33,"YYYYMMDD")))</f>
        <v>0</v>
      </c>
      <c r="E33" s="2" cm="1">
        <f t="array" ref="E33">IF(hp!E33=0,0,_xll.BDP(E$4,"YAS_BOND_YLD", "YAS_BOND_PX",hp!E33, "SETTLE_DT", TEXT(ya!$C33,"YYYYMMDD")))</f>
        <v>0</v>
      </c>
      <c r="F33" s="2" cm="1">
        <f t="array" ref="F33">IF(hp!F33=0,0,_xll.BDP(F$4,"YAS_BOND_YLD", "YAS_BOND_PX",hp!F33, "SETTLE_DT", TEXT(ya!$C33,"YYYYMMDD")))</f>
        <v>11.4428</v>
      </c>
      <c r="G33" s="2" cm="1">
        <f t="array" ref="G33">IF(hp!G33=0,0,_xll.BDP(G$4,"YAS_BOND_YLD", "YAS_BOND_PX",hp!G33, "SETTLE_DT", TEXT(ya!$C33,"YYYYMMDD")))</f>
        <v>5.6287000000000003</v>
      </c>
      <c r="H33" s="2" cm="1">
        <f t="array" ref="H33">IF(hp!H33=0,0,_xll.BDP(H$4,"YAS_BOND_YLD", "YAS_BOND_PX",hp!H33, "SETTLE_DT", TEXT(ya!$C33,"YYYYMMDD")))</f>
        <v>0</v>
      </c>
      <c r="I33" s="2" cm="1">
        <f t="array" ref="I33">IF(hp!I33=0,0,_xll.BDP(I$4,"YAS_BOND_YLD", "YAS_BOND_PX",hp!I33, "SETTLE_DT", TEXT(ya!$C33,"YYYYMMDD")))</f>
        <v>0</v>
      </c>
      <c r="J33" s="2" cm="1">
        <f t="array" ref="J33">IF(hp!J33=0,0,_xll.BDP(J$4,"YAS_BOND_YLD", "YAS_BOND_PX",hp!J33, "SETTLE_DT", TEXT(ya!$C33,"YYYYMMDD")))</f>
        <v>5.6536</v>
      </c>
      <c r="K33" s="2" cm="1">
        <f t="array" ref="K33">IF(hp!K33=0,0,_xll.BDP(K$4,"YAS_BOND_YLD", "YAS_BOND_PX",hp!K33, "SETTLE_DT", TEXT(ya!$C33,"YYYYMMDD")))</f>
        <v>0</v>
      </c>
      <c r="L33" s="2" cm="1">
        <f t="array" ref="L33">IF(hp!L33=0,0,_xll.BDP(L$4,"YAS_BOND_YLD", "YAS_BOND_PX",hp!L33, "SETTLE_DT", TEXT(ya!$C33,"YYYYMMDD")))</f>
        <v>5.6059999999999999</v>
      </c>
      <c r="M33" s="2" cm="1">
        <f t="array" ref="M33">IF(hp!M33=0,0,_xll.BDP(M$4,"YAS_BOND_YLD", "YAS_BOND_PX",hp!M33, "SETTLE_DT", TEXT(ya!$C33,"YYYYMMDD")))</f>
        <v>0</v>
      </c>
      <c r="N33" s="2" cm="1">
        <f t="array" ref="N33">IF(hp!N33=0,0,_xll.BDP(N$4,"YAS_BOND_YLD", "YAS_BOND_PX",hp!N33, "SETTLE_DT", TEXT(ya!$C33,"YYYYMMDD")))</f>
        <v>5.6440000000000001</v>
      </c>
      <c r="O33" s="2" cm="1">
        <f t="array" ref="O33">IF(hp!O33=0,0,_xll.BDP(O$4,"YAS_BOND_YLD", "YAS_BOND_PX",hp!O33, "SETTLE_DT", TEXT(ya!$C33,"YYYYMMDD")))</f>
        <v>0</v>
      </c>
      <c r="P33" s="2" cm="1">
        <f t="array" ref="P33">IF(hp!P33=0,0,_xll.BDP(P$4,"YAS_BOND_YLD", "YAS_BOND_PX",hp!P33, "SETTLE_DT", TEXT(ya!$C33,"YYYYMMDD")))</f>
        <v>0</v>
      </c>
      <c r="Q33" s="2" cm="1">
        <f t="array" ref="Q33">IF(hp!Q33=0,0,_xll.BDP(Q$4,"YAS_BOND_YLD", "YAS_BOND_PX",hp!Q33, "SETTLE_DT", TEXT(ya!$C33,"YYYYMMDD")))</f>
        <v>5.7031999999999998</v>
      </c>
      <c r="R33" s="2" cm="1">
        <f t="array" ref="R33">IF(hp!R33=0,0,_xll.BDP(R$4,"YAS_BOND_YLD", "YAS_BOND_PX",hp!R33, "SETTLE_DT", TEXT(ya!$C33,"YYYYMMDD")))</f>
        <v>0</v>
      </c>
      <c r="S33" s="2" cm="1">
        <f t="array" ref="S33">IF(hp!S33=0,0,_xll.BDP(S$4,"YAS_BOND_YLD", "YAS_BOND_PX",hp!S33, "SETTLE_DT", TEXT(ya!$C33,"YYYYMMDD")))</f>
        <v>0</v>
      </c>
      <c r="T33" s="2" cm="1">
        <f t="array" ref="T33">IF(hp!T33=0,0,_xll.BDP(T$4,"YAS_BOND_YLD", "YAS_BOND_PX",hp!T33, "SETTLE_DT", TEXT(ya!$C33,"YYYYMMDD")))</f>
        <v>0</v>
      </c>
      <c r="U33" s="2" cm="1">
        <f t="array" ref="U33">IF(hp!U33=0,0,_xll.BDP(U$4,"YAS_BOND_YLD", "YAS_BOND_PX",hp!U33, "SETTLE_DT", TEXT(ya!$C33,"YYYYMMDD")))</f>
        <v>5.5955000000000004</v>
      </c>
      <c r="V33" s="2" cm="1">
        <f t="array" ref="V33">IF(hp!V33=0,0,_xll.BDP(V$4,"YAS_BOND_YLD", "YAS_BOND_PX",hp!V33, "SETTLE_DT", TEXT(ya!$C33,"YYYYMMDD")))</f>
        <v>0</v>
      </c>
      <c r="W33" s="2" cm="1">
        <f t="array" ref="W33">IF(hp!W33=0,0,_xll.BDP(W$4,"YAS_BOND_YLD", "YAS_BOND_PX",hp!W33, "SETTLE_DT", TEXT(ya!$C33,"YYYYMMDD")))</f>
        <v>0</v>
      </c>
      <c r="X33" s="2" cm="1">
        <f t="array" ref="X33">IF(hp!X33=0,0,_xll.BDP(X$4,"YAS_BOND_YLD", "YAS_BOND_PX",hp!X33, "SETTLE_DT", TEXT(ya!$C33,"YYYYMMDD")))</f>
        <v>0</v>
      </c>
      <c r="Y33" s="2" cm="1">
        <f t="array" ref="Y33">IF(hp!Y33=0,0,_xll.BDP(Y$4,"YAS_BOND_YLD", "YAS_BOND_PX",hp!Y33, "SETTLE_DT", TEXT(ya!$C33,"YYYYMMDD")))</f>
        <v>0</v>
      </c>
      <c r="Z33" s="2" cm="1">
        <f t="array" ref="Z33">IF(hp!Z33=0,0,_xll.BDP(Z$4,"YAS_BOND_YLD", "YAS_BOND_PX",hp!Z33, "SETTLE_DT", TEXT(ya!$C33,"YYYYMMDD")))</f>
        <v>0</v>
      </c>
      <c r="AA33" s="2" cm="1">
        <f t="array" ref="AA33">IF(hp!AA33=0,0,_xll.BDP(AA$4,"YAS_BOND_YLD", "YAS_BOND_PX",hp!AA33, "SETTLE_DT", TEXT(ya!$C33,"YYYYMMDD")))</f>
        <v>0</v>
      </c>
      <c r="AB33" s="2" cm="1">
        <f t="array" ref="AB33">IF(hp!AB33=0,0,_xll.BDP(AB$4,"YAS_BOND_YLD", "YAS_BOND_PX",hp!AB33, "SETTLE_DT", TEXT(ya!$C33,"YYYYMMDD")))</f>
        <v>0</v>
      </c>
      <c r="AC33" s="2" cm="1">
        <f t="array" ref="AC33">IF(hp!AC33=0,0,_xll.BDP(AC$4,"YAS_BOND_YLD", "YAS_BOND_PX",hp!AC33, "SETTLE_DT", TEXT(ya!$C33,"YYYYMMDD")))</f>
        <v>0</v>
      </c>
      <c r="AD33" s="2" cm="1">
        <f t="array" ref="AD33">IF(hp!AD33=0,0,_xll.BDP(AD$4,"YAS_BOND_YLD", "YAS_BOND_PX",hp!AD33, "SETTLE_DT", TEXT(ya!$C33,"YYYYMMDD")))</f>
        <v>5.6189999999999998</v>
      </c>
      <c r="AE33" s="2" cm="1">
        <f t="array" ref="AE33">IF(hp!AE33=0,0,_xll.BDP(AE$4,"YAS_BOND_YLD", "YAS_BOND_PX",hp!AE33, "SETTLE_DT", TEXT(ya!$C33,"YYYYMMDD")))</f>
        <v>0</v>
      </c>
      <c r="AF33" s="2" cm="1">
        <f t="array" ref="AF33">IF(hp!AF33=0,0,_xll.BDP(AF$4,"YAS_BOND_YLD", "YAS_BOND_PX",hp!AF33, "SETTLE_DT", TEXT(ya!$C33,"YYYYMMDD")))</f>
        <v>0</v>
      </c>
      <c r="AG33" s="2" cm="1">
        <f t="array" ref="AG33">IF(hp!AG33=0,0,_xll.BDP(AG$4,"YAS_BOND_YLD", "YAS_BOND_PX",hp!AG33, "SETTLE_DT", TEXT(ya!$C33,"YYYYMMDD")))</f>
        <v>0</v>
      </c>
      <c r="AH33" s="2" cm="1">
        <f t="array" ref="AH33">IF(hp!AH33=0,0,_xll.BDP(AH$4,"YAS_BOND_YLD", "YAS_BOND_PX",hp!AH33, "SETTLE_DT", TEXT(ya!$C33,"YYYYMMDD")))</f>
        <v>0</v>
      </c>
      <c r="AI33" s="2" cm="1">
        <f t="array" ref="AI33">IF(hp!AI33=0,0,_xll.BDP(AI$4,"YAS_BOND_YLD", "YAS_BOND_PX",hp!AI33, "SETTLE_DT", TEXT(ya!$C33,"YYYYMMDD")))</f>
        <v>0</v>
      </c>
      <c r="AJ33" s="2" cm="1">
        <f t="array" ref="AJ33">IF(hp!AJ33=0,0,_xll.BDP(AJ$4,"YAS_BOND_YLD", "YAS_BOND_PX",hp!AJ33, "SETTLE_DT", TEXT(ya!$C33,"YYYYMMDD")))</f>
        <v>0</v>
      </c>
      <c r="AK33" s="2" cm="1">
        <f t="array" ref="AK33">IF(hp!AK33=0,0,_xll.BDP(AK$4,"YAS_BOND_YLD", "YAS_BOND_PX",hp!AK33, "SETTLE_DT", TEXT(ya!$C33,"YYYYMMDD")))</f>
        <v>0</v>
      </c>
      <c r="AL33" s="2" cm="1">
        <f t="array" ref="AL33">IF(hp!AL33=0,0,_xll.BDP(AL$4,"YAS_BOND_YLD", "YAS_BOND_PX",hp!AL33, "SETTLE_DT", TEXT(ya!$C33,"YYYYMMDD")))</f>
        <v>0</v>
      </c>
      <c r="AM33" s="2" cm="1">
        <f t="array" ref="AM33">IF(hp!AM33=0,0,_xll.BDP(AM$4,"YAS_BOND_YLD", "YAS_BOND_PX",hp!AM33, "SETTLE_DT", TEXT(ya!$C33,"YYYYMMDD")))</f>
        <v>0</v>
      </c>
      <c r="AN33" s="2" cm="1">
        <f t="array" ref="AN33">IF(hp!AN33=0,0,_xll.BDP(AN$4,"YAS_BOND_YLD", "YAS_BOND_PX",hp!AN33, "SETTLE_DT", TEXT(ya!$C33,"YYYYMMDD")))</f>
        <v>0</v>
      </c>
      <c r="AO33" s="2" cm="1">
        <f t="array" ref="AO33">IF(hp!AO33=0,0,_xll.BDP(AO$4,"YAS_BOND_YLD", "YAS_BOND_PX",hp!AO33, "SETTLE_DT", TEXT(ya!$C33,"YYYYMMDD")))</f>
        <v>0</v>
      </c>
      <c r="AP33" s="2" cm="1">
        <f t="array" ref="AP33">IF(hp!AP33=0,0,_xll.BDP(AP$4,"YAS_BOND_YLD", "YAS_BOND_PX",hp!AP33, "SETTLE_DT", TEXT(ya!$C33,"YYYYMMDD")))</f>
        <v>0</v>
      </c>
      <c r="AQ33" s="2" cm="1">
        <f t="array" ref="AQ33">IF(hp!AQ33=0,0,_xll.BDP(AQ$4,"YAS_BOND_YLD", "YAS_BOND_PX",hp!AQ33, "SETTLE_DT", TEXT(ya!$C33,"YYYYMMDD")))</f>
        <v>0</v>
      </c>
      <c r="AR33" s="2" cm="1">
        <f t="array" ref="AR33">IF(hp!AR33=0,0,_xll.BDP(AR$4,"YAS_BOND_YLD", "YAS_BOND_PX",hp!AR33, "SETTLE_DT", TEXT(ya!$C33,"YYYYMMDD")))</f>
        <v>7.2851999999999997</v>
      </c>
      <c r="AS33" s="2" cm="1">
        <f t="array" ref="AS33">IF(hp!AS33=0,0,_xll.BDP(AS$4,"YAS_BOND_YLD", "YAS_BOND_PX",hp!AS33, "SETTLE_DT", TEXT(ya!$C33,"YYYYMMDD")))</f>
        <v>0</v>
      </c>
      <c r="AT33" s="2" cm="1">
        <f t="array" ref="AT33">IF(hp!AT33=0,0,_xll.BDP(AT$4,"YAS_BOND_YLD", "YAS_BOND_PX",hp!AT33, "SETTLE_DT", TEXT(ya!$C33,"YYYYMMDD")))</f>
        <v>0</v>
      </c>
      <c r="AU33" s="2" cm="1">
        <f t="array" ref="AU33">IF(hp!AU33=0,0,_xll.BDP(AU$4,"YAS_BOND_YLD", "YAS_BOND_PX",hp!AU33, "SETTLE_DT", TEXT(ya!$C33,"YYYYMMDD")))</f>
        <v>0</v>
      </c>
      <c r="AV33" s="2" cm="1">
        <f t="array" ref="AV33">IF(hp!AV33=0,0,_xll.BDP(AV$4,"YAS_BOND_YLD", "YAS_BOND_PX",hp!AV33, "SETTLE_DT", TEXT(ya!$C33,"YYYYMMDD")))</f>
        <v>0</v>
      </c>
      <c r="AW33" s="2" cm="1">
        <f t="array" ref="AW33">IF(hp!AW33=0,0,_xll.BDP(AW$4,"YAS_BOND_YLD", "YAS_BOND_PX",hp!AW33, "SETTLE_DT", TEXT(ya!$C33,"YYYYMMDD")))</f>
        <v>0</v>
      </c>
      <c r="AX33" s="2" cm="1">
        <f t="array" ref="AX33">IF(hp!AX33=0,0,_xll.BDP(AX$4,"YAS_BOND_YLD", "YAS_BOND_PX",hp!AX33, "SETTLE_DT", TEXT(ya!$C33,"YYYYMMDD")))</f>
        <v>0</v>
      </c>
      <c r="AY33" s="2" cm="1">
        <f t="array" ref="AY33">IF(hp!AY33=0,0,_xll.BDP(AY$4,"YAS_BOND_YLD", "YAS_BOND_PX",hp!AY33, "SETTLE_DT", TEXT(ya!$C33,"YYYYMMDD")))</f>
        <v>0</v>
      </c>
      <c r="AZ33" s="2" cm="1">
        <f t="array" ref="AZ33">IF(hp!AZ33=0,0,_xll.BDP(AZ$4,"YAS_BOND_YLD", "YAS_BOND_PX",hp!AZ33, "SETTLE_DT", TEXT(ya!$C33,"YYYYMMDD")))</f>
        <v>0</v>
      </c>
    </row>
    <row r="34" spans="1:52" x14ac:dyDescent="0.25">
      <c r="A34" s="1"/>
      <c r="B34" s="2"/>
      <c r="C34" s="1">
        <v>42947</v>
      </c>
      <c r="D34" s="2" cm="1">
        <f t="array" ref="D34">IF(hp!D34=0,0,_xll.BDP(D$4,"YAS_BOND_YLD", "YAS_BOND_PX",hp!D34, "SETTLE_DT", TEXT(ya!$C34,"YYYYMMDD")))</f>
        <v>0</v>
      </c>
      <c r="E34" s="2" cm="1">
        <f t="array" ref="E34">IF(hp!E34=0,0,_xll.BDP(E$4,"YAS_BOND_YLD", "YAS_BOND_PX",hp!E34, "SETTLE_DT", TEXT(ya!$C34,"YYYYMMDD")))</f>
        <v>0</v>
      </c>
      <c r="F34" s="2" cm="1">
        <f t="array" ref="F34">IF(hp!F34=0,0,_xll.BDP(F$4,"YAS_BOND_YLD", "YAS_BOND_PX",hp!F34, "SETTLE_DT", TEXT(ya!$C34,"YYYYMMDD")))</f>
        <v>9.9751999999999992</v>
      </c>
      <c r="G34" s="2" cm="1">
        <f t="array" ref="G34">IF(hp!G34=0,0,_xll.BDP(G$4,"YAS_BOND_YLD", "YAS_BOND_PX",hp!G34, "SETTLE_DT", TEXT(ya!$C34,"YYYYMMDD")))</f>
        <v>5.2434000000000003</v>
      </c>
      <c r="H34" s="2" cm="1">
        <f t="array" ref="H34">IF(hp!H34=0,0,_xll.BDP(H$4,"YAS_BOND_YLD", "YAS_BOND_PX",hp!H34, "SETTLE_DT", TEXT(ya!$C34,"YYYYMMDD")))</f>
        <v>0</v>
      </c>
      <c r="I34" s="2" cm="1">
        <f t="array" ref="I34">IF(hp!I34=0,0,_xll.BDP(I$4,"YAS_BOND_YLD", "YAS_BOND_PX",hp!I34, "SETTLE_DT", TEXT(ya!$C34,"YYYYMMDD")))</f>
        <v>0</v>
      </c>
      <c r="J34" s="2" cm="1">
        <f t="array" ref="J34">IF(hp!J34=0,0,_xll.BDP(J$4,"YAS_BOND_YLD", "YAS_BOND_PX",hp!J34, "SETTLE_DT", TEXT(ya!$C34,"YYYYMMDD")))</f>
        <v>5.3312999999999997</v>
      </c>
      <c r="K34" s="2" cm="1">
        <f t="array" ref="K34">IF(hp!K34=0,0,_xll.BDP(K$4,"YAS_BOND_YLD", "YAS_BOND_PX",hp!K34, "SETTLE_DT", TEXT(ya!$C34,"YYYYMMDD")))</f>
        <v>0</v>
      </c>
      <c r="L34" s="2" cm="1">
        <f t="array" ref="L34">IF(hp!L34=0,0,_xll.BDP(L$4,"YAS_BOND_YLD", "YAS_BOND_PX",hp!L34, "SETTLE_DT", TEXT(ya!$C34,"YYYYMMDD")))</f>
        <v>5.2</v>
      </c>
      <c r="M34" s="2" cm="1">
        <f t="array" ref="M34">IF(hp!M34=0,0,_xll.BDP(M$4,"YAS_BOND_YLD", "YAS_BOND_PX",hp!M34, "SETTLE_DT", TEXT(ya!$C34,"YYYYMMDD")))</f>
        <v>0</v>
      </c>
      <c r="N34" s="2" cm="1">
        <f t="array" ref="N34">IF(hp!N34=0,0,_xll.BDP(N$4,"YAS_BOND_YLD", "YAS_BOND_PX",hp!N34, "SETTLE_DT", TEXT(ya!$C34,"YYYYMMDD")))</f>
        <v>5.0831</v>
      </c>
      <c r="O34" s="2" cm="1">
        <f t="array" ref="O34">IF(hp!O34=0,0,_xll.BDP(O$4,"YAS_BOND_YLD", "YAS_BOND_PX",hp!O34, "SETTLE_DT", TEXT(ya!$C34,"YYYYMMDD")))</f>
        <v>0</v>
      </c>
      <c r="P34" s="2" cm="1">
        <f t="array" ref="P34">IF(hp!P34=0,0,_xll.BDP(P$4,"YAS_BOND_YLD", "YAS_BOND_PX",hp!P34, "SETTLE_DT", TEXT(ya!$C34,"YYYYMMDD")))</f>
        <v>0</v>
      </c>
      <c r="Q34" s="2" cm="1">
        <f t="array" ref="Q34">IF(hp!Q34=0,0,_xll.BDP(Q$4,"YAS_BOND_YLD", "YAS_BOND_PX",hp!Q34, "SETTLE_DT", TEXT(ya!$C34,"YYYYMMDD")))</f>
        <v>5.3480999999999996</v>
      </c>
      <c r="R34" s="2" cm="1">
        <f t="array" ref="R34">IF(hp!R34=0,0,_xll.BDP(R$4,"YAS_BOND_YLD", "YAS_BOND_PX",hp!R34, "SETTLE_DT", TEXT(ya!$C34,"YYYYMMDD")))</f>
        <v>0</v>
      </c>
      <c r="S34" s="2" cm="1">
        <f t="array" ref="S34">IF(hp!S34=0,0,_xll.BDP(S$4,"YAS_BOND_YLD", "YAS_BOND_PX",hp!S34, "SETTLE_DT", TEXT(ya!$C34,"YYYYMMDD")))</f>
        <v>0</v>
      </c>
      <c r="T34" s="2" cm="1">
        <f t="array" ref="T34">IF(hp!T34=0,0,_xll.BDP(T$4,"YAS_BOND_YLD", "YAS_BOND_PX",hp!T34, "SETTLE_DT", TEXT(ya!$C34,"YYYYMMDD")))</f>
        <v>0</v>
      </c>
      <c r="U34" s="2" cm="1">
        <f t="array" ref="U34">IF(hp!U34=0,0,_xll.BDP(U$4,"YAS_BOND_YLD", "YAS_BOND_PX",hp!U34, "SETTLE_DT", TEXT(ya!$C34,"YYYYMMDD")))</f>
        <v>5.2462999999999997</v>
      </c>
      <c r="V34" s="2" cm="1">
        <f t="array" ref="V34">IF(hp!V34=0,0,_xll.BDP(V$4,"YAS_BOND_YLD", "YAS_BOND_PX",hp!V34, "SETTLE_DT", TEXT(ya!$C34,"YYYYMMDD")))</f>
        <v>0</v>
      </c>
      <c r="W34" s="2" cm="1">
        <f t="array" ref="W34">IF(hp!W34=0,0,_xll.BDP(W$4,"YAS_BOND_YLD", "YAS_BOND_PX",hp!W34, "SETTLE_DT", TEXT(ya!$C34,"YYYYMMDD")))</f>
        <v>0</v>
      </c>
      <c r="X34" s="2" cm="1">
        <f t="array" ref="X34">IF(hp!X34=0,0,_xll.BDP(X$4,"YAS_BOND_YLD", "YAS_BOND_PX",hp!X34, "SETTLE_DT", TEXT(ya!$C34,"YYYYMMDD")))</f>
        <v>0</v>
      </c>
      <c r="Y34" s="2" cm="1">
        <f t="array" ref="Y34">IF(hp!Y34=0,0,_xll.BDP(Y$4,"YAS_BOND_YLD", "YAS_BOND_PX",hp!Y34, "SETTLE_DT", TEXT(ya!$C34,"YYYYMMDD")))</f>
        <v>0</v>
      </c>
      <c r="Z34" s="2" cm="1">
        <f t="array" ref="Z34">IF(hp!Z34=0,0,_xll.BDP(Z$4,"YAS_BOND_YLD", "YAS_BOND_PX",hp!Z34, "SETTLE_DT", TEXT(ya!$C34,"YYYYMMDD")))</f>
        <v>0</v>
      </c>
      <c r="AA34" s="2" cm="1">
        <f t="array" ref="AA34">IF(hp!AA34=0,0,_xll.BDP(AA$4,"YAS_BOND_YLD", "YAS_BOND_PX",hp!AA34, "SETTLE_DT", TEXT(ya!$C34,"YYYYMMDD")))</f>
        <v>0</v>
      </c>
      <c r="AB34" s="2" cm="1">
        <f t="array" ref="AB34">IF(hp!AB34=0,0,_xll.BDP(AB$4,"YAS_BOND_YLD", "YAS_BOND_PX",hp!AB34, "SETTLE_DT", TEXT(ya!$C34,"YYYYMMDD")))</f>
        <v>0</v>
      </c>
      <c r="AC34" s="2" cm="1">
        <f t="array" ref="AC34">IF(hp!AC34=0,0,_xll.BDP(AC$4,"YAS_BOND_YLD", "YAS_BOND_PX",hp!AC34, "SETTLE_DT", TEXT(ya!$C34,"YYYYMMDD")))</f>
        <v>0</v>
      </c>
      <c r="AD34" s="2" cm="1">
        <f t="array" ref="AD34">IF(hp!AD34=0,0,_xll.BDP(AD$4,"YAS_BOND_YLD", "YAS_BOND_PX",hp!AD34, "SETTLE_DT", TEXT(ya!$C34,"YYYYMMDD")))</f>
        <v>5.2846000000000002</v>
      </c>
      <c r="AE34" s="2" cm="1">
        <f t="array" ref="AE34">IF(hp!AE34=0,0,_xll.BDP(AE$4,"YAS_BOND_YLD", "YAS_BOND_PX",hp!AE34, "SETTLE_DT", TEXT(ya!$C34,"YYYYMMDD")))</f>
        <v>0</v>
      </c>
      <c r="AF34" s="2" cm="1">
        <f t="array" ref="AF34">IF(hp!AF34=0,0,_xll.BDP(AF$4,"YAS_BOND_YLD", "YAS_BOND_PX",hp!AF34, "SETTLE_DT", TEXT(ya!$C34,"YYYYMMDD")))</f>
        <v>0</v>
      </c>
      <c r="AG34" s="2" cm="1">
        <f t="array" ref="AG34">IF(hp!AG34=0,0,_xll.BDP(AG$4,"YAS_BOND_YLD", "YAS_BOND_PX",hp!AG34, "SETTLE_DT", TEXT(ya!$C34,"YYYYMMDD")))</f>
        <v>0</v>
      </c>
      <c r="AH34" s="2" cm="1">
        <f t="array" ref="AH34">IF(hp!AH34=0,0,_xll.BDP(AH$4,"YAS_BOND_YLD", "YAS_BOND_PX",hp!AH34, "SETTLE_DT", TEXT(ya!$C34,"YYYYMMDD")))</f>
        <v>0</v>
      </c>
      <c r="AI34" s="2" cm="1">
        <f t="array" ref="AI34">IF(hp!AI34=0,0,_xll.BDP(AI$4,"YAS_BOND_YLD", "YAS_BOND_PX",hp!AI34, "SETTLE_DT", TEXT(ya!$C34,"YYYYMMDD")))</f>
        <v>0</v>
      </c>
      <c r="AJ34" s="2" cm="1">
        <f t="array" ref="AJ34">IF(hp!AJ34=0,0,_xll.BDP(AJ$4,"YAS_BOND_YLD", "YAS_BOND_PX",hp!AJ34, "SETTLE_DT", TEXT(ya!$C34,"YYYYMMDD")))</f>
        <v>0</v>
      </c>
      <c r="AK34" s="2" cm="1">
        <f t="array" ref="AK34">IF(hp!AK34=0,0,_xll.BDP(AK$4,"YAS_BOND_YLD", "YAS_BOND_PX",hp!AK34, "SETTLE_DT", TEXT(ya!$C34,"YYYYMMDD")))</f>
        <v>0</v>
      </c>
      <c r="AL34" s="2" cm="1">
        <f t="array" ref="AL34">IF(hp!AL34=0,0,_xll.BDP(AL$4,"YAS_BOND_YLD", "YAS_BOND_PX",hp!AL34, "SETTLE_DT", TEXT(ya!$C34,"YYYYMMDD")))</f>
        <v>0</v>
      </c>
      <c r="AM34" s="2" cm="1">
        <f t="array" ref="AM34">IF(hp!AM34=0,0,_xll.BDP(AM$4,"YAS_BOND_YLD", "YAS_BOND_PX",hp!AM34, "SETTLE_DT", TEXT(ya!$C34,"YYYYMMDD")))</f>
        <v>0</v>
      </c>
      <c r="AN34" s="2" cm="1">
        <f t="array" ref="AN34">IF(hp!AN34=0,0,_xll.BDP(AN$4,"YAS_BOND_YLD", "YAS_BOND_PX",hp!AN34, "SETTLE_DT", TEXT(ya!$C34,"YYYYMMDD")))</f>
        <v>0</v>
      </c>
      <c r="AO34" s="2" cm="1">
        <f t="array" ref="AO34">IF(hp!AO34=0,0,_xll.BDP(AO$4,"YAS_BOND_YLD", "YAS_BOND_PX",hp!AO34, "SETTLE_DT", TEXT(ya!$C34,"YYYYMMDD")))</f>
        <v>0</v>
      </c>
      <c r="AP34" s="2" cm="1">
        <f t="array" ref="AP34">IF(hp!AP34=0,0,_xll.BDP(AP$4,"YAS_BOND_YLD", "YAS_BOND_PX",hp!AP34, "SETTLE_DT", TEXT(ya!$C34,"YYYYMMDD")))</f>
        <v>0</v>
      </c>
      <c r="AQ34" s="2" cm="1">
        <f t="array" ref="AQ34">IF(hp!AQ34=0,0,_xll.BDP(AQ$4,"YAS_BOND_YLD", "YAS_BOND_PX",hp!AQ34, "SETTLE_DT", TEXT(ya!$C34,"YYYYMMDD")))</f>
        <v>0</v>
      </c>
      <c r="AR34" s="2" cm="1">
        <f t="array" ref="AR34">IF(hp!AR34=0,0,_xll.BDP(AR$4,"YAS_BOND_YLD", "YAS_BOND_PX",hp!AR34, "SETTLE_DT", TEXT(ya!$C34,"YYYYMMDD")))</f>
        <v>0</v>
      </c>
      <c r="AS34" s="2" cm="1">
        <f t="array" ref="AS34">IF(hp!AS34=0,0,_xll.BDP(AS$4,"YAS_BOND_YLD", "YAS_BOND_PX",hp!AS34, "SETTLE_DT", TEXT(ya!$C34,"YYYYMMDD")))</f>
        <v>0</v>
      </c>
      <c r="AT34" s="2" cm="1">
        <f t="array" ref="AT34">IF(hp!AT34=0,0,_xll.BDP(AT$4,"YAS_BOND_YLD", "YAS_BOND_PX",hp!AT34, "SETTLE_DT", TEXT(ya!$C34,"YYYYMMDD")))</f>
        <v>0</v>
      </c>
      <c r="AU34" s="2" cm="1">
        <f t="array" ref="AU34">IF(hp!AU34=0,0,_xll.BDP(AU$4,"YAS_BOND_YLD", "YAS_BOND_PX",hp!AU34, "SETTLE_DT", TEXT(ya!$C34,"YYYYMMDD")))</f>
        <v>0</v>
      </c>
      <c r="AV34" s="2" cm="1">
        <f t="array" ref="AV34">IF(hp!AV34=0,0,_xll.BDP(AV$4,"YAS_BOND_YLD", "YAS_BOND_PX",hp!AV34, "SETTLE_DT", TEXT(ya!$C34,"YYYYMMDD")))</f>
        <v>0</v>
      </c>
      <c r="AW34" s="2" cm="1">
        <f t="array" ref="AW34">IF(hp!AW34=0,0,_xll.BDP(AW$4,"YAS_BOND_YLD", "YAS_BOND_PX",hp!AW34, "SETTLE_DT", TEXT(ya!$C34,"YYYYMMDD")))</f>
        <v>0</v>
      </c>
      <c r="AX34" s="2" cm="1">
        <f t="array" ref="AX34">IF(hp!AX34=0,0,_xll.BDP(AX$4,"YAS_BOND_YLD", "YAS_BOND_PX",hp!AX34, "SETTLE_DT", TEXT(ya!$C34,"YYYYMMDD")))</f>
        <v>0</v>
      </c>
      <c r="AY34" s="2" cm="1">
        <f t="array" ref="AY34">IF(hp!AY34=0,0,_xll.BDP(AY$4,"YAS_BOND_YLD", "YAS_BOND_PX",hp!AY34, "SETTLE_DT", TEXT(ya!$C34,"YYYYMMDD")))</f>
        <v>0</v>
      </c>
      <c r="AZ34" s="2" cm="1">
        <f t="array" ref="AZ34">IF(hp!AZ34=0,0,_xll.BDP(AZ$4,"YAS_BOND_YLD", "YAS_BOND_PX",hp!AZ34, "SETTLE_DT", TEXT(ya!$C34,"YYYYMMDD")))</f>
        <v>0</v>
      </c>
    </row>
    <row r="35" spans="1:52" x14ac:dyDescent="0.25">
      <c r="A35" s="1"/>
      <c r="B35" s="2"/>
      <c r="C35" s="1">
        <v>42978</v>
      </c>
      <c r="D35" s="2" cm="1">
        <f t="array" ref="D35">IF(hp!D35=0,0,_xll.BDP(D$4,"YAS_BOND_YLD", "YAS_BOND_PX",hp!D35, "SETTLE_DT", TEXT(ya!$C35,"YYYYMMDD")))</f>
        <v>0</v>
      </c>
      <c r="E35" s="2" cm="1">
        <f t="array" ref="E35">IF(hp!E35=0,0,_xll.BDP(E$4,"YAS_BOND_YLD", "YAS_BOND_PX",hp!E35, "SETTLE_DT", TEXT(ya!$C35,"YYYYMMDD")))</f>
        <v>0</v>
      </c>
      <c r="F35" s="2" cm="1">
        <f t="array" ref="F35">IF(hp!F35=0,0,_xll.BDP(F$4,"YAS_BOND_YLD", "YAS_BOND_PX",hp!F35, "SETTLE_DT", TEXT(ya!$C35,"YYYYMMDD")))</f>
        <v>9.9756</v>
      </c>
      <c r="G35" s="2" cm="1">
        <f t="array" ref="G35">IF(hp!G35=0,0,_xll.BDP(G$4,"YAS_BOND_YLD", "YAS_BOND_PX",hp!G35, "SETTLE_DT", TEXT(ya!$C35,"YYYYMMDD")))</f>
        <v>5.1635999999999997</v>
      </c>
      <c r="H35" s="2" cm="1">
        <f t="array" ref="H35">IF(hp!H35=0,0,_xll.BDP(H$4,"YAS_BOND_YLD", "YAS_BOND_PX",hp!H35, "SETTLE_DT", TEXT(ya!$C35,"YYYYMMDD")))</f>
        <v>0</v>
      </c>
      <c r="I35" s="2" cm="1">
        <f t="array" ref="I35">IF(hp!I35=0,0,_xll.BDP(I$4,"YAS_BOND_YLD", "YAS_BOND_PX",hp!I35, "SETTLE_DT", TEXT(ya!$C35,"YYYYMMDD")))</f>
        <v>0</v>
      </c>
      <c r="J35" s="2" cm="1">
        <f t="array" ref="J35">IF(hp!J35=0,0,_xll.BDP(J$4,"YAS_BOND_YLD", "YAS_BOND_PX",hp!J35, "SETTLE_DT", TEXT(ya!$C35,"YYYYMMDD")))</f>
        <v>5.2941000000000003</v>
      </c>
      <c r="K35" s="2" cm="1">
        <f t="array" ref="K35">IF(hp!K35=0,0,_xll.BDP(K$4,"YAS_BOND_YLD", "YAS_BOND_PX",hp!K35, "SETTLE_DT", TEXT(ya!$C35,"YYYYMMDD")))</f>
        <v>0</v>
      </c>
      <c r="L35" s="2" cm="1">
        <f t="array" ref="L35">IF(hp!L35=0,0,_xll.BDP(L$4,"YAS_BOND_YLD", "YAS_BOND_PX",hp!L35, "SETTLE_DT", TEXT(ya!$C35,"YYYYMMDD")))</f>
        <v>5.1128999999999998</v>
      </c>
      <c r="M35" s="2" cm="1">
        <f t="array" ref="M35">IF(hp!M35=0,0,_xll.BDP(M$4,"YAS_BOND_YLD", "YAS_BOND_PX",hp!M35, "SETTLE_DT", TEXT(ya!$C35,"YYYYMMDD")))</f>
        <v>0</v>
      </c>
      <c r="N35" s="2" cm="1">
        <f t="array" ref="N35">IF(hp!N35=0,0,_xll.BDP(N$4,"YAS_BOND_YLD", "YAS_BOND_PX",hp!N35, "SETTLE_DT", TEXT(ya!$C35,"YYYYMMDD")))</f>
        <v>4.9401000000000002</v>
      </c>
      <c r="O35" s="2" cm="1">
        <f t="array" ref="O35">IF(hp!O35=0,0,_xll.BDP(O$4,"YAS_BOND_YLD", "YAS_BOND_PX",hp!O35, "SETTLE_DT", TEXT(ya!$C35,"YYYYMMDD")))</f>
        <v>0</v>
      </c>
      <c r="P35" s="2" cm="1">
        <f t="array" ref="P35">IF(hp!P35=0,0,_xll.BDP(P$4,"YAS_BOND_YLD", "YAS_BOND_PX",hp!P35, "SETTLE_DT", TEXT(ya!$C35,"YYYYMMDD")))</f>
        <v>0</v>
      </c>
      <c r="Q35" s="2" cm="1">
        <f t="array" ref="Q35">IF(hp!Q35=0,0,_xll.BDP(Q$4,"YAS_BOND_YLD", "YAS_BOND_PX",hp!Q35, "SETTLE_DT", TEXT(ya!$C35,"YYYYMMDD")))</f>
        <v>5.3324999999999996</v>
      </c>
      <c r="R35" s="2" cm="1">
        <f t="array" ref="R35">IF(hp!R35=0,0,_xll.BDP(R$4,"YAS_BOND_YLD", "YAS_BOND_PX",hp!R35, "SETTLE_DT", TEXT(ya!$C35,"YYYYMMDD")))</f>
        <v>0</v>
      </c>
      <c r="S35" s="2" cm="1">
        <f t="array" ref="S35">IF(hp!S35=0,0,_xll.BDP(S$4,"YAS_BOND_YLD", "YAS_BOND_PX",hp!S35, "SETTLE_DT", TEXT(ya!$C35,"YYYYMMDD")))</f>
        <v>0</v>
      </c>
      <c r="T35" s="2" cm="1">
        <f t="array" ref="T35">IF(hp!T35=0,0,_xll.BDP(T$4,"YAS_BOND_YLD", "YAS_BOND_PX",hp!T35, "SETTLE_DT", TEXT(ya!$C35,"YYYYMMDD")))</f>
        <v>0</v>
      </c>
      <c r="U35" s="2" cm="1">
        <f t="array" ref="U35">IF(hp!U35=0,0,_xll.BDP(U$4,"YAS_BOND_YLD", "YAS_BOND_PX",hp!U35, "SETTLE_DT", TEXT(ya!$C35,"YYYYMMDD")))</f>
        <v>5.2083000000000004</v>
      </c>
      <c r="V35" s="2" cm="1">
        <f t="array" ref="V35">IF(hp!V35=0,0,_xll.BDP(V$4,"YAS_BOND_YLD", "YAS_BOND_PX",hp!V35, "SETTLE_DT", TEXT(ya!$C35,"YYYYMMDD")))</f>
        <v>0</v>
      </c>
      <c r="W35" s="2" cm="1">
        <f t="array" ref="W35">IF(hp!W35=0,0,_xll.BDP(W$4,"YAS_BOND_YLD", "YAS_BOND_PX",hp!W35, "SETTLE_DT", TEXT(ya!$C35,"YYYYMMDD")))</f>
        <v>0</v>
      </c>
      <c r="X35" s="2" cm="1">
        <f t="array" ref="X35">IF(hp!X35=0,0,_xll.BDP(X$4,"YAS_BOND_YLD", "YAS_BOND_PX",hp!X35, "SETTLE_DT", TEXT(ya!$C35,"YYYYMMDD")))</f>
        <v>0</v>
      </c>
      <c r="Y35" s="2" cm="1">
        <f t="array" ref="Y35">IF(hp!Y35=0,0,_xll.BDP(Y$4,"YAS_BOND_YLD", "YAS_BOND_PX",hp!Y35, "SETTLE_DT", TEXT(ya!$C35,"YYYYMMDD")))</f>
        <v>0</v>
      </c>
      <c r="Z35" s="2" cm="1">
        <f t="array" ref="Z35">IF(hp!Z35=0,0,_xll.BDP(Z$4,"YAS_BOND_YLD", "YAS_BOND_PX",hp!Z35, "SETTLE_DT", TEXT(ya!$C35,"YYYYMMDD")))</f>
        <v>0</v>
      </c>
      <c r="AA35" s="2" cm="1">
        <f t="array" ref="AA35">IF(hp!AA35=0,0,_xll.BDP(AA$4,"YAS_BOND_YLD", "YAS_BOND_PX",hp!AA35, "SETTLE_DT", TEXT(ya!$C35,"YYYYMMDD")))</f>
        <v>0</v>
      </c>
      <c r="AB35" s="2" cm="1">
        <f t="array" ref="AB35">IF(hp!AB35=0,0,_xll.BDP(AB$4,"YAS_BOND_YLD", "YAS_BOND_PX",hp!AB35, "SETTLE_DT", TEXT(ya!$C35,"YYYYMMDD")))</f>
        <v>0</v>
      </c>
      <c r="AC35" s="2" cm="1">
        <f t="array" ref="AC35">IF(hp!AC35=0,0,_xll.BDP(AC$4,"YAS_BOND_YLD", "YAS_BOND_PX",hp!AC35, "SETTLE_DT", TEXT(ya!$C35,"YYYYMMDD")))</f>
        <v>0</v>
      </c>
      <c r="AD35" s="2" cm="1">
        <f t="array" ref="AD35">IF(hp!AD35=0,0,_xll.BDP(AD$4,"YAS_BOND_YLD", "YAS_BOND_PX",hp!AD35, "SETTLE_DT", TEXT(ya!$C35,"YYYYMMDD")))</f>
        <v>5.2690999999999999</v>
      </c>
      <c r="AE35" s="2" cm="1">
        <f t="array" ref="AE35">IF(hp!AE35=0,0,_xll.BDP(AE$4,"YAS_BOND_YLD", "YAS_BOND_PX",hp!AE35, "SETTLE_DT", TEXT(ya!$C35,"YYYYMMDD")))</f>
        <v>0</v>
      </c>
      <c r="AF35" s="2" cm="1">
        <f t="array" ref="AF35">IF(hp!AF35=0,0,_xll.BDP(AF$4,"YAS_BOND_YLD", "YAS_BOND_PX",hp!AF35, "SETTLE_DT", TEXT(ya!$C35,"YYYYMMDD")))</f>
        <v>0</v>
      </c>
      <c r="AG35" s="2" cm="1">
        <f t="array" ref="AG35">IF(hp!AG35=0,0,_xll.BDP(AG$4,"YAS_BOND_YLD", "YAS_BOND_PX",hp!AG35, "SETTLE_DT", TEXT(ya!$C35,"YYYYMMDD")))</f>
        <v>0</v>
      </c>
      <c r="AH35" s="2" cm="1">
        <f t="array" ref="AH35">IF(hp!AH35=0,0,_xll.BDP(AH$4,"YAS_BOND_YLD", "YAS_BOND_PX",hp!AH35, "SETTLE_DT", TEXT(ya!$C35,"YYYYMMDD")))</f>
        <v>0</v>
      </c>
      <c r="AI35" s="2" cm="1">
        <f t="array" ref="AI35">IF(hp!AI35=0,0,_xll.BDP(AI$4,"YAS_BOND_YLD", "YAS_BOND_PX",hp!AI35, "SETTLE_DT", TEXT(ya!$C35,"YYYYMMDD")))</f>
        <v>0</v>
      </c>
      <c r="AJ35" s="2" cm="1">
        <f t="array" ref="AJ35">IF(hp!AJ35=0,0,_xll.BDP(AJ$4,"YAS_BOND_YLD", "YAS_BOND_PX",hp!AJ35, "SETTLE_DT", TEXT(ya!$C35,"YYYYMMDD")))</f>
        <v>0</v>
      </c>
      <c r="AK35" s="2" cm="1">
        <f t="array" ref="AK35">IF(hp!AK35=0,0,_xll.BDP(AK$4,"YAS_BOND_YLD", "YAS_BOND_PX",hp!AK35, "SETTLE_DT", TEXT(ya!$C35,"YYYYMMDD")))</f>
        <v>0</v>
      </c>
      <c r="AL35" s="2" cm="1">
        <f t="array" ref="AL35">IF(hp!AL35=0,0,_xll.BDP(AL$4,"YAS_BOND_YLD", "YAS_BOND_PX",hp!AL35, "SETTLE_DT", TEXT(ya!$C35,"YYYYMMDD")))</f>
        <v>0</v>
      </c>
      <c r="AM35" s="2" cm="1">
        <f t="array" ref="AM35">IF(hp!AM35=0,0,_xll.BDP(AM$4,"YAS_BOND_YLD", "YAS_BOND_PX",hp!AM35, "SETTLE_DT", TEXT(ya!$C35,"YYYYMMDD")))</f>
        <v>0</v>
      </c>
      <c r="AN35" s="2" cm="1">
        <f t="array" ref="AN35">IF(hp!AN35=0,0,_xll.BDP(AN$4,"YAS_BOND_YLD", "YAS_BOND_PX",hp!AN35, "SETTLE_DT", TEXT(ya!$C35,"YYYYMMDD")))</f>
        <v>0</v>
      </c>
      <c r="AO35" s="2" cm="1">
        <f t="array" ref="AO35">IF(hp!AO35=0,0,_xll.BDP(AO$4,"YAS_BOND_YLD", "YAS_BOND_PX",hp!AO35, "SETTLE_DT", TEXT(ya!$C35,"YYYYMMDD")))</f>
        <v>0</v>
      </c>
      <c r="AP35" s="2" cm="1">
        <f t="array" ref="AP35">IF(hp!AP35=0,0,_xll.BDP(AP$4,"YAS_BOND_YLD", "YAS_BOND_PX",hp!AP35, "SETTLE_DT", TEXT(ya!$C35,"YYYYMMDD")))</f>
        <v>0</v>
      </c>
      <c r="AQ35" s="2" cm="1">
        <f t="array" ref="AQ35">IF(hp!AQ35=0,0,_xll.BDP(AQ$4,"YAS_BOND_YLD", "YAS_BOND_PX",hp!AQ35, "SETTLE_DT", TEXT(ya!$C35,"YYYYMMDD")))</f>
        <v>0</v>
      </c>
      <c r="AR35" s="2" cm="1">
        <f t="array" ref="AR35">IF(hp!AR35=0,0,_xll.BDP(AR$4,"YAS_BOND_YLD", "YAS_BOND_PX",hp!AR35, "SETTLE_DT", TEXT(ya!$C35,"YYYYMMDD")))</f>
        <v>6.3063000000000002</v>
      </c>
      <c r="AS35" s="2" cm="1">
        <f t="array" ref="AS35">IF(hp!AS35=0,0,_xll.BDP(AS$4,"YAS_BOND_YLD", "YAS_BOND_PX",hp!AS35, "SETTLE_DT", TEXT(ya!$C35,"YYYYMMDD")))</f>
        <v>0</v>
      </c>
      <c r="AT35" s="2" cm="1">
        <f t="array" ref="AT35">IF(hp!AT35=0,0,_xll.BDP(AT$4,"YAS_BOND_YLD", "YAS_BOND_PX",hp!AT35, "SETTLE_DT", TEXT(ya!$C35,"YYYYMMDD")))</f>
        <v>0</v>
      </c>
      <c r="AU35" s="2" cm="1">
        <f t="array" ref="AU35">IF(hp!AU35=0,0,_xll.BDP(AU$4,"YAS_BOND_YLD", "YAS_BOND_PX",hp!AU35, "SETTLE_DT", TEXT(ya!$C35,"YYYYMMDD")))</f>
        <v>0</v>
      </c>
      <c r="AV35" s="2" cm="1">
        <f t="array" ref="AV35">IF(hp!AV35=0,0,_xll.BDP(AV$4,"YAS_BOND_YLD", "YAS_BOND_PX",hp!AV35, "SETTLE_DT", TEXT(ya!$C35,"YYYYMMDD")))</f>
        <v>0</v>
      </c>
      <c r="AW35" s="2" cm="1">
        <f t="array" ref="AW35">IF(hp!AW35=0,0,_xll.BDP(AW$4,"YAS_BOND_YLD", "YAS_BOND_PX",hp!AW35, "SETTLE_DT", TEXT(ya!$C35,"YYYYMMDD")))</f>
        <v>0</v>
      </c>
      <c r="AX35" s="2" cm="1">
        <f t="array" ref="AX35">IF(hp!AX35=0,0,_xll.BDP(AX$4,"YAS_BOND_YLD", "YAS_BOND_PX",hp!AX35, "SETTLE_DT", TEXT(ya!$C35,"YYYYMMDD")))</f>
        <v>0</v>
      </c>
      <c r="AY35" s="2" cm="1">
        <f t="array" ref="AY35">IF(hp!AY35=0,0,_xll.BDP(AY$4,"YAS_BOND_YLD", "YAS_BOND_PX",hp!AY35, "SETTLE_DT", TEXT(ya!$C35,"YYYYMMDD")))</f>
        <v>0</v>
      </c>
      <c r="AZ35" s="2" cm="1">
        <f t="array" ref="AZ35">IF(hp!AZ35=0,0,_xll.BDP(AZ$4,"YAS_BOND_YLD", "YAS_BOND_PX",hp!AZ35, "SETTLE_DT", TEXT(ya!$C35,"YYYYMMDD")))</f>
        <v>0</v>
      </c>
    </row>
    <row r="36" spans="1:52" x14ac:dyDescent="0.25">
      <c r="A36" s="1"/>
      <c r="B36" s="2"/>
      <c r="C36" s="1">
        <v>43007</v>
      </c>
      <c r="D36" s="2" cm="1">
        <f t="array" ref="D36">IF(hp!D36=0,0,_xll.BDP(D$4,"YAS_BOND_YLD", "YAS_BOND_PX",hp!D36, "SETTLE_DT", TEXT(ya!$C36,"YYYYMMDD")))</f>
        <v>0</v>
      </c>
      <c r="E36" s="2" cm="1">
        <f t="array" ref="E36">IF(hp!E36=0,0,_xll.BDP(E$4,"YAS_BOND_YLD", "YAS_BOND_PX",hp!E36, "SETTLE_DT", TEXT(ya!$C36,"YYYYMMDD")))</f>
        <v>0</v>
      </c>
      <c r="F36" s="2" cm="1">
        <f t="array" ref="F36">IF(hp!F36=0,0,_xll.BDP(F$4,"YAS_BOND_YLD", "YAS_BOND_PX",hp!F36, "SETTLE_DT", TEXT(ya!$C36,"YYYYMMDD")))</f>
        <v>9.6889000000000003</v>
      </c>
      <c r="G36" s="2" cm="1">
        <f t="array" ref="G36">IF(hp!G36=0,0,_xll.BDP(G$4,"YAS_BOND_YLD", "YAS_BOND_PX",hp!G36, "SETTLE_DT", TEXT(ya!$C36,"YYYYMMDD")))</f>
        <v>5.0076999999999998</v>
      </c>
      <c r="H36" s="2" cm="1">
        <f t="array" ref="H36">IF(hp!H36=0,0,_xll.BDP(H$4,"YAS_BOND_YLD", "YAS_BOND_PX",hp!H36, "SETTLE_DT", TEXT(ya!$C36,"YYYYMMDD")))</f>
        <v>0</v>
      </c>
      <c r="I36" s="2" cm="1">
        <f t="array" ref="I36">IF(hp!I36=0,0,_xll.BDP(I$4,"YAS_BOND_YLD", "YAS_BOND_PX",hp!I36, "SETTLE_DT", TEXT(ya!$C36,"YYYYMMDD")))</f>
        <v>0</v>
      </c>
      <c r="J36" s="2" cm="1">
        <f t="array" ref="J36">IF(hp!J36=0,0,_xll.BDP(J$4,"YAS_BOND_YLD", "YAS_BOND_PX",hp!J36, "SETTLE_DT", TEXT(ya!$C36,"YYYYMMDD")))</f>
        <v>5.1242999999999999</v>
      </c>
      <c r="K36" s="2" cm="1">
        <f t="array" ref="K36">IF(hp!K36=0,0,_xll.BDP(K$4,"YAS_BOND_YLD", "YAS_BOND_PX",hp!K36, "SETTLE_DT", TEXT(ya!$C36,"YYYYMMDD")))</f>
        <v>0</v>
      </c>
      <c r="L36" s="2" cm="1">
        <f t="array" ref="L36">IF(hp!L36=0,0,_xll.BDP(L$4,"YAS_BOND_YLD", "YAS_BOND_PX",hp!L36, "SETTLE_DT", TEXT(ya!$C36,"YYYYMMDD")))</f>
        <v>4.9462000000000002</v>
      </c>
      <c r="M36" s="2" cm="1">
        <f t="array" ref="M36">IF(hp!M36=0,0,_xll.BDP(M$4,"YAS_BOND_YLD", "YAS_BOND_PX",hp!M36, "SETTLE_DT", TEXT(ya!$C36,"YYYYMMDD")))</f>
        <v>0</v>
      </c>
      <c r="N36" s="2" cm="1">
        <f t="array" ref="N36">IF(hp!N36=0,0,_xll.BDP(N$4,"YAS_BOND_YLD", "YAS_BOND_PX",hp!N36, "SETTLE_DT", TEXT(ya!$C36,"YYYYMMDD")))</f>
        <v>4.7865000000000002</v>
      </c>
      <c r="O36" s="2" cm="1">
        <f t="array" ref="O36">IF(hp!O36=0,0,_xll.BDP(O$4,"YAS_BOND_YLD", "YAS_BOND_PX",hp!O36, "SETTLE_DT", TEXT(ya!$C36,"YYYYMMDD")))</f>
        <v>0</v>
      </c>
      <c r="P36" s="2" cm="1">
        <f t="array" ref="P36">IF(hp!P36=0,0,_xll.BDP(P$4,"YAS_BOND_YLD", "YAS_BOND_PX",hp!P36, "SETTLE_DT", TEXT(ya!$C36,"YYYYMMDD")))</f>
        <v>0</v>
      </c>
      <c r="Q36" s="2" cm="1">
        <f t="array" ref="Q36">IF(hp!Q36=0,0,_xll.BDP(Q$4,"YAS_BOND_YLD", "YAS_BOND_PX",hp!Q36, "SETTLE_DT", TEXT(ya!$C36,"YYYYMMDD")))</f>
        <v>5.1375000000000002</v>
      </c>
      <c r="R36" s="2" cm="1">
        <f t="array" ref="R36">IF(hp!R36=0,0,_xll.BDP(R$4,"YAS_BOND_YLD", "YAS_BOND_PX",hp!R36, "SETTLE_DT", TEXT(ya!$C36,"YYYYMMDD")))</f>
        <v>0</v>
      </c>
      <c r="S36" s="2" cm="1">
        <f t="array" ref="S36">IF(hp!S36=0,0,_xll.BDP(S$4,"YAS_BOND_YLD", "YAS_BOND_PX",hp!S36, "SETTLE_DT", TEXT(ya!$C36,"YYYYMMDD")))</f>
        <v>0</v>
      </c>
      <c r="T36" s="2" cm="1">
        <f t="array" ref="T36">IF(hp!T36=0,0,_xll.BDP(T$4,"YAS_BOND_YLD", "YAS_BOND_PX",hp!T36, "SETTLE_DT", TEXT(ya!$C36,"YYYYMMDD")))</f>
        <v>0</v>
      </c>
      <c r="U36" s="2" cm="1">
        <f t="array" ref="U36">IF(hp!U36=0,0,_xll.BDP(U$4,"YAS_BOND_YLD", "YAS_BOND_PX",hp!U36, "SETTLE_DT", TEXT(ya!$C36,"YYYYMMDD")))</f>
        <v>5.0381</v>
      </c>
      <c r="V36" s="2" cm="1">
        <f t="array" ref="V36">IF(hp!V36=0,0,_xll.BDP(V$4,"YAS_BOND_YLD", "YAS_BOND_PX",hp!V36, "SETTLE_DT", TEXT(ya!$C36,"YYYYMMDD")))</f>
        <v>0</v>
      </c>
      <c r="W36" s="2" cm="1">
        <f t="array" ref="W36">IF(hp!W36=0,0,_xll.BDP(W$4,"YAS_BOND_YLD", "YAS_BOND_PX",hp!W36, "SETTLE_DT", TEXT(ya!$C36,"YYYYMMDD")))</f>
        <v>0</v>
      </c>
      <c r="X36" s="2" cm="1">
        <f t="array" ref="X36">IF(hp!X36=0,0,_xll.BDP(X$4,"YAS_BOND_YLD", "YAS_BOND_PX",hp!X36, "SETTLE_DT", TEXT(ya!$C36,"YYYYMMDD")))</f>
        <v>0</v>
      </c>
      <c r="Y36" s="2" cm="1">
        <f t="array" ref="Y36">IF(hp!Y36=0,0,_xll.BDP(Y$4,"YAS_BOND_YLD", "YAS_BOND_PX",hp!Y36, "SETTLE_DT", TEXT(ya!$C36,"YYYYMMDD")))</f>
        <v>0</v>
      </c>
      <c r="Z36" s="2" cm="1">
        <f t="array" ref="Z36">IF(hp!Z36=0,0,_xll.BDP(Z$4,"YAS_BOND_YLD", "YAS_BOND_PX",hp!Z36, "SETTLE_DT", TEXT(ya!$C36,"YYYYMMDD")))</f>
        <v>0</v>
      </c>
      <c r="AA36" s="2" cm="1">
        <f t="array" ref="AA36">IF(hp!AA36=0,0,_xll.BDP(AA$4,"YAS_BOND_YLD", "YAS_BOND_PX",hp!AA36, "SETTLE_DT", TEXT(ya!$C36,"YYYYMMDD")))</f>
        <v>0</v>
      </c>
      <c r="AB36" s="2" cm="1">
        <f t="array" ref="AB36">IF(hp!AB36=0,0,_xll.BDP(AB$4,"YAS_BOND_YLD", "YAS_BOND_PX",hp!AB36, "SETTLE_DT", TEXT(ya!$C36,"YYYYMMDD")))</f>
        <v>0</v>
      </c>
      <c r="AC36" s="2" cm="1">
        <f t="array" ref="AC36">IF(hp!AC36=0,0,_xll.BDP(AC$4,"YAS_BOND_YLD", "YAS_BOND_PX",hp!AC36, "SETTLE_DT", TEXT(ya!$C36,"YYYYMMDD")))</f>
        <v>0</v>
      </c>
      <c r="AD36" s="2" cm="1">
        <f t="array" ref="AD36">IF(hp!AD36=0,0,_xll.BDP(AD$4,"YAS_BOND_YLD", "YAS_BOND_PX",hp!AD36, "SETTLE_DT", TEXT(ya!$C36,"YYYYMMDD")))</f>
        <v>5.0899000000000001</v>
      </c>
      <c r="AE36" s="2" cm="1">
        <f t="array" ref="AE36">IF(hp!AE36=0,0,_xll.BDP(AE$4,"YAS_BOND_YLD", "YAS_BOND_PX",hp!AE36, "SETTLE_DT", TEXT(ya!$C36,"YYYYMMDD")))</f>
        <v>0</v>
      </c>
      <c r="AF36" s="2" cm="1">
        <f t="array" ref="AF36">IF(hp!AF36=0,0,_xll.BDP(AF$4,"YAS_BOND_YLD", "YAS_BOND_PX",hp!AF36, "SETTLE_DT", TEXT(ya!$C36,"YYYYMMDD")))</f>
        <v>0</v>
      </c>
      <c r="AG36" s="2" cm="1">
        <f t="array" ref="AG36">IF(hp!AG36=0,0,_xll.BDP(AG$4,"YAS_BOND_YLD", "YAS_BOND_PX",hp!AG36, "SETTLE_DT", TEXT(ya!$C36,"YYYYMMDD")))</f>
        <v>0</v>
      </c>
      <c r="AH36" s="2" cm="1">
        <f t="array" ref="AH36">IF(hp!AH36=0,0,_xll.BDP(AH$4,"YAS_BOND_YLD", "YAS_BOND_PX",hp!AH36, "SETTLE_DT", TEXT(ya!$C36,"YYYYMMDD")))</f>
        <v>0</v>
      </c>
      <c r="AI36" s="2" cm="1">
        <f t="array" ref="AI36">IF(hp!AI36=0,0,_xll.BDP(AI$4,"YAS_BOND_YLD", "YAS_BOND_PX",hp!AI36, "SETTLE_DT", TEXT(ya!$C36,"YYYYMMDD")))</f>
        <v>0</v>
      </c>
      <c r="AJ36" s="2" cm="1">
        <f t="array" ref="AJ36">IF(hp!AJ36=0,0,_xll.BDP(AJ$4,"YAS_BOND_YLD", "YAS_BOND_PX",hp!AJ36, "SETTLE_DT", TEXT(ya!$C36,"YYYYMMDD")))</f>
        <v>0</v>
      </c>
      <c r="AK36" s="2" cm="1">
        <f t="array" ref="AK36">IF(hp!AK36=0,0,_xll.BDP(AK$4,"YAS_BOND_YLD", "YAS_BOND_PX",hp!AK36, "SETTLE_DT", TEXT(ya!$C36,"YYYYMMDD")))</f>
        <v>0</v>
      </c>
      <c r="AL36" s="2" cm="1">
        <f t="array" ref="AL36">IF(hp!AL36=0,0,_xll.BDP(AL$4,"YAS_BOND_YLD", "YAS_BOND_PX",hp!AL36, "SETTLE_DT", TEXT(ya!$C36,"YYYYMMDD")))</f>
        <v>0</v>
      </c>
      <c r="AM36" s="2" cm="1">
        <f t="array" ref="AM36">IF(hp!AM36=0,0,_xll.BDP(AM$4,"YAS_BOND_YLD", "YAS_BOND_PX",hp!AM36, "SETTLE_DT", TEXT(ya!$C36,"YYYYMMDD")))</f>
        <v>0</v>
      </c>
      <c r="AN36" s="2" cm="1">
        <f t="array" ref="AN36">IF(hp!AN36=0,0,_xll.BDP(AN$4,"YAS_BOND_YLD", "YAS_BOND_PX",hp!AN36, "SETTLE_DT", TEXT(ya!$C36,"YYYYMMDD")))</f>
        <v>0</v>
      </c>
      <c r="AO36" s="2" cm="1">
        <f t="array" ref="AO36">IF(hp!AO36=0,0,_xll.BDP(AO$4,"YAS_BOND_YLD", "YAS_BOND_PX",hp!AO36, "SETTLE_DT", TEXT(ya!$C36,"YYYYMMDD")))</f>
        <v>0</v>
      </c>
      <c r="AP36" s="2" cm="1">
        <f t="array" ref="AP36">IF(hp!AP36=0,0,_xll.BDP(AP$4,"YAS_BOND_YLD", "YAS_BOND_PX",hp!AP36, "SETTLE_DT", TEXT(ya!$C36,"YYYYMMDD")))</f>
        <v>0</v>
      </c>
      <c r="AQ36" s="2" cm="1">
        <f t="array" ref="AQ36">IF(hp!AQ36=0,0,_xll.BDP(AQ$4,"YAS_BOND_YLD", "YAS_BOND_PX",hp!AQ36, "SETTLE_DT", TEXT(ya!$C36,"YYYYMMDD")))</f>
        <v>0</v>
      </c>
      <c r="AR36" s="2" cm="1">
        <f t="array" ref="AR36">IF(hp!AR36=0,0,_xll.BDP(AR$4,"YAS_BOND_YLD", "YAS_BOND_PX",hp!AR36, "SETTLE_DT", TEXT(ya!$C36,"YYYYMMDD")))</f>
        <v>0</v>
      </c>
      <c r="AS36" s="2" cm="1">
        <f t="array" ref="AS36">IF(hp!AS36=0,0,_xll.BDP(AS$4,"YAS_BOND_YLD", "YAS_BOND_PX",hp!AS36, "SETTLE_DT", TEXT(ya!$C36,"YYYYMMDD")))</f>
        <v>0</v>
      </c>
      <c r="AT36" s="2" cm="1">
        <f t="array" ref="AT36">IF(hp!AT36=0,0,_xll.BDP(AT$4,"YAS_BOND_YLD", "YAS_BOND_PX",hp!AT36, "SETTLE_DT", TEXT(ya!$C36,"YYYYMMDD")))</f>
        <v>0</v>
      </c>
      <c r="AU36" s="2" cm="1">
        <f t="array" ref="AU36">IF(hp!AU36=0,0,_xll.BDP(AU$4,"YAS_BOND_YLD", "YAS_BOND_PX",hp!AU36, "SETTLE_DT", TEXT(ya!$C36,"YYYYMMDD")))</f>
        <v>0</v>
      </c>
      <c r="AV36" s="2" cm="1">
        <f t="array" ref="AV36">IF(hp!AV36=0,0,_xll.BDP(AV$4,"YAS_BOND_YLD", "YAS_BOND_PX",hp!AV36, "SETTLE_DT", TEXT(ya!$C36,"YYYYMMDD")))</f>
        <v>0</v>
      </c>
      <c r="AW36" s="2" cm="1">
        <f t="array" ref="AW36">IF(hp!AW36=0,0,_xll.BDP(AW$4,"YAS_BOND_YLD", "YAS_BOND_PX",hp!AW36, "SETTLE_DT", TEXT(ya!$C36,"YYYYMMDD")))</f>
        <v>0</v>
      </c>
      <c r="AX36" s="2" cm="1">
        <f t="array" ref="AX36">IF(hp!AX36=0,0,_xll.BDP(AX$4,"YAS_BOND_YLD", "YAS_BOND_PX",hp!AX36, "SETTLE_DT", TEXT(ya!$C36,"YYYYMMDD")))</f>
        <v>0</v>
      </c>
      <c r="AY36" s="2" cm="1">
        <f t="array" ref="AY36">IF(hp!AY36=0,0,_xll.BDP(AY$4,"YAS_BOND_YLD", "YAS_BOND_PX",hp!AY36, "SETTLE_DT", TEXT(ya!$C36,"YYYYMMDD")))</f>
        <v>0</v>
      </c>
      <c r="AZ36" s="2" cm="1">
        <f t="array" ref="AZ36">IF(hp!AZ36=0,0,_xll.BDP(AZ$4,"YAS_BOND_YLD", "YAS_BOND_PX",hp!AZ36, "SETTLE_DT", TEXT(ya!$C36,"YYYYMMDD")))</f>
        <v>0</v>
      </c>
    </row>
    <row r="37" spans="1:52" x14ac:dyDescent="0.25">
      <c r="A37" s="1"/>
      <c r="B37" s="2"/>
      <c r="C37" s="1">
        <v>43039</v>
      </c>
      <c r="D37" s="2" cm="1">
        <f t="array" ref="D37">IF(hp!D37=0,0,_xll.BDP(D$4,"YAS_BOND_YLD", "YAS_BOND_PX",hp!D37, "SETTLE_DT", TEXT(ya!$C37,"YYYYMMDD")))</f>
        <v>0</v>
      </c>
      <c r="E37" s="2" cm="1">
        <f t="array" ref="E37">IF(hp!E37=0,0,_xll.BDP(E$4,"YAS_BOND_YLD", "YAS_BOND_PX",hp!E37, "SETTLE_DT", TEXT(ya!$C37,"YYYYMMDD")))</f>
        <v>0</v>
      </c>
      <c r="F37" s="2" cm="1">
        <f t="array" ref="F37">IF(hp!F37=0,0,_xll.BDP(F$4,"YAS_BOND_YLD", "YAS_BOND_PX",hp!F37, "SETTLE_DT", TEXT(ya!$C37,"YYYYMMDD")))</f>
        <v>9.8747000000000007</v>
      </c>
      <c r="G37" s="2" cm="1">
        <f t="array" ref="G37">IF(hp!G37=0,0,_xll.BDP(G$4,"YAS_BOND_YLD", "YAS_BOND_PX",hp!G37, "SETTLE_DT", TEXT(ya!$C37,"YYYYMMDD")))</f>
        <v>5.1703000000000001</v>
      </c>
      <c r="H37" s="2" cm="1">
        <f t="array" ref="H37">IF(hp!H37=0,0,_xll.BDP(H$4,"YAS_BOND_YLD", "YAS_BOND_PX",hp!H37, "SETTLE_DT", TEXT(ya!$C37,"YYYYMMDD")))</f>
        <v>0</v>
      </c>
      <c r="I37" s="2" cm="1">
        <f t="array" ref="I37">IF(hp!I37=0,0,_xll.BDP(I$4,"YAS_BOND_YLD", "YAS_BOND_PX",hp!I37, "SETTLE_DT", TEXT(ya!$C37,"YYYYMMDD")))</f>
        <v>0</v>
      </c>
      <c r="J37" s="2" cm="1">
        <f t="array" ref="J37">IF(hp!J37=0,0,_xll.BDP(J$4,"YAS_BOND_YLD", "YAS_BOND_PX",hp!J37, "SETTLE_DT", TEXT(ya!$C37,"YYYYMMDD")))</f>
        <v>5.2892999999999999</v>
      </c>
      <c r="K37" s="2" cm="1">
        <f t="array" ref="K37">IF(hp!K37=0,0,_xll.BDP(K$4,"YAS_BOND_YLD", "YAS_BOND_PX",hp!K37, "SETTLE_DT", TEXT(ya!$C37,"YYYYMMDD")))</f>
        <v>0</v>
      </c>
      <c r="L37" s="2" cm="1">
        <f t="array" ref="L37">IF(hp!L37=0,0,_xll.BDP(L$4,"YAS_BOND_YLD", "YAS_BOND_PX",hp!L37, "SETTLE_DT", TEXT(ya!$C37,"YYYYMMDD")))</f>
        <v>5.1074000000000002</v>
      </c>
      <c r="M37" s="2" cm="1">
        <f t="array" ref="M37">IF(hp!M37=0,0,_xll.BDP(M$4,"YAS_BOND_YLD", "YAS_BOND_PX",hp!M37, "SETTLE_DT", TEXT(ya!$C37,"YYYYMMDD")))</f>
        <v>0</v>
      </c>
      <c r="N37" s="2" cm="1">
        <f t="array" ref="N37">IF(hp!N37=0,0,_xll.BDP(N$4,"YAS_BOND_YLD", "YAS_BOND_PX",hp!N37, "SETTLE_DT", TEXT(ya!$C37,"YYYYMMDD")))</f>
        <v>4.9627999999999997</v>
      </c>
      <c r="O37" s="2" cm="1">
        <f t="array" ref="O37">IF(hp!O37=0,0,_xll.BDP(O$4,"YAS_BOND_YLD", "YAS_BOND_PX",hp!O37, "SETTLE_DT", TEXT(ya!$C37,"YYYYMMDD")))</f>
        <v>0</v>
      </c>
      <c r="P37" s="2" cm="1">
        <f t="array" ref="P37">IF(hp!P37=0,0,_xll.BDP(P$4,"YAS_BOND_YLD", "YAS_BOND_PX",hp!P37, "SETTLE_DT", TEXT(ya!$C37,"YYYYMMDD")))</f>
        <v>0</v>
      </c>
      <c r="Q37" s="2" cm="1">
        <f t="array" ref="Q37">IF(hp!Q37=0,0,_xll.BDP(Q$4,"YAS_BOND_YLD", "YAS_BOND_PX",hp!Q37, "SETTLE_DT", TEXT(ya!$C37,"YYYYMMDD")))</f>
        <v>5.3003</v>
      </c>
      <c r="R37" s="2" cm="1">
        <f t="array" ref="R37">IF(hp!R37=0,0,_xll.BDP(R$4,"YAS_BOND_YLD", "YAS_BOND_PX",hp!R37, "SETTLE_DT", TEXT(ya!$C37,"YYYYMMDD")))</f>
        <v>0</v>
      </c>
      <c r="S37" s="2" cm="1">
        <f t="array" ref="S37">IF(hp!S37=0,0,_xll.BDP(S$4,"YAS_BOND_YLD", "YAS_BOND_PX",hp!S37, "SETTLE_DT", TEXT(ya!$C37,"YYYYMMDD")))</f>
        <v>0</v>
      </c>
      <c r="T37" s="2" cm="1">
        <f t="array" ref="T37">IF(hp!T37=0,0,_xll.BDP(T$4,"YAS_BOND_YLD", "YAS_BOND_PX",hp!T37, "SETTLE_DT", TEXT(ya!$C37,"YYYYMMDD")))</f>
        <v>0</v>
      </c>
      <c r="U37" s="2" cm="1">
        <f t="array" ref="U37">IF(hp!U37=0,0,_xll.BDP(U$4,"YAS_BOND_YLD", "YAS_BOND_PX",hp!U37, "SETTLE_DT", TEXT(ya!$C37,"YYYYMMDD")))</f>
        <v>5.2020999999999997</v>
      </c>
      <c r="V37" s="2" cm="1">
        <f t="array" ref="V37">IF(hp!V37=0,0,_xll.BDP(V$4,"YAS_BOND_YLD", "YAS_BOND_PX",hp!V37, "SETTLE_DT", TEXT(ya!$C37,"YYYYMMDD")))</f>
        <v>0</v>
      </c>
      <c r="W37" s="2" cm="1">
        <f t="array" ref="W37">IF(hp!W37=0,0,_xll.BDP(W$4,"YAS_BOND_YLD", "YAS_BOND_PX",hp!W37, "SETTLE_DT", TEXT(ya!$C37,"YYYYMMDD")))</f>
        <v>0</v>
      </c>
      <c r="X37" s="2" cm="1">
        <f t="array" ref="X37">IF(hp!X37=0,0,_xll.BDP(X$4,"YAS_BOND_YLD", "YAS_BOND_PX",hp!X37, "SETTLE_DT", TEXT(ya!$C37,"YYYYMMDD")))</f>
        <v>0</v>
      </c>
      <c r="Y37" s="2" cm="1">
        <f t="array" ref="Y37">IF(hp!Y37=0,0,_xll.BDP(Y$4,"YAS_BOND_YLD", "YAS_BOND_PX",hp!Y37, "SETTLE_DT", TEXT(ya!$C37,"YYYYMMDD")))</f>
        <v>0</v>
      </c>
      <c r="Z37" s="2" cm="1">
        <f t="array" ref="Z37">IF(hp!Z37=0,0,_xll.BDP(Z$4,"YAS_BOND_YLD", "YAS_BOND_PX",hp!Z37, "SETTLE_DT", TEXT(ya!$C37,"YYYYMMDD")))</f>
        <v>0</v>
      </c>
      <c r="AA37" s="2" cm="1">
        <f t="array" ref="AA37">IF(hp!AA37=0,0,_xll.BDP(AA$4,"YAS_BOND_YLD", "YAS_BOND_PX",hp!AA37, "SETTLE_DT", TEXT(ya!$C37,"YYYYMMDD")))</f>
        <v>0</v>
      </c>
      <c r="AB37" s="2" cm="1">
        <f t="array" ref="AB37">IF(hp!AB37=0,0,_xll.BDP(AB$4,"YAS_BOND_YLD", "YAS_BOND_PX",hp!AB37, "SETTLE_DT", TEXT(ya!$C37,"YYYYMMDD")))</f>
        <v>0</v>
      </c>
      <c r="AC37" s="2" cm="1">
        <f t="array" ref="AC37">IF(hp!AC37=0,0,_xll.BDP(AC$4,"YAS_BOND_YLD", "YAS_BOND_PX",hp!AC37, "SETTLE_DT", TEXT(ya!$C37,"YYYYMMDD")))</f>
        <v>0</v>
      </c>
      <c r="AD37" s="2" cm="1">
        <f t="array" ref="AD37">IF(hp!AD37=0,0,_xll.BDP(AD$4,"YAS_BOND_YLD", "YAS_BOND_PX",hp!AD37, "SETTLE_DT", TEXT(ya!$C37,"YYYYMMDD")))</f>
        <v>5.2446000000000002</v>
      </c>
      <c r="AE37" s="2" cm="1">
        <f t="array" ref="AE37">IF(hp!AE37=0,0,_xll.BDP(AE$4,"YAS_BOND_YLD", "YAS_BOND_PX",hp!AE37, "SETTLE_DT", TEXT(ya!$C37,"YYYYMMDD")))</f>
        <v>0</v>
      </c>
      <c r="AF37" s="2" cm="1">
        <f t="array" ref="AF37">IF(hp!AF37=0,0,_xll.BDP(AF$4,"YAS_BOND_YLD", "YAS_BOND_PX",hp!AF37, "SETTLE_DT", TEXT(ya!$C37,"YYYYMMDD")))</f>
        <v>0</v>
      </c>
      <c r="AG37" s="2" cm="1">
        <f t="array" ref="AG37">IF(hp!AG37=0,0,_xll.BDP(AG$4,"YAS_BOND_YLD", "YAS_BOND_PX",hp!AG37, "SETTLE_DT", TEXT(ya!$C37,"YYYYMMDD")))</f>
        <v>0</v>
      </c>
      <c r="AH37" s="2" cm="1">
        <f t="array" ref="AH37">IF(hp!AH37=0,0,_xll.BDP(AH$4,"YAS_BOND_YLD", "YAS_BOND_PX",hp!AH37, "SETTLE_DT", TEXT(ya!$C37,"YYYYMMDD")))</f>
        <v>0</v>
      </c>
      <c r="AI37" s="2" cm="1">
        <f t="array" ref="AI37">IF(hp!AI37=0,0,_xll.BDP(AI$4,"YAS_BOND_YLD", "YAS_BOND_PX",hp!AI37, "SETTLE_DT", TEXT(ya!$C37,"YYYYMMDD")))</f>
        <v>0</v>
      </c>
      <c r="AJ37" s="2" cm="1">
        <f t="array" ref="AJ37">IF(hp!AJ37=0,0,_xll.BDP(AJ$4,"YAS_BOND_YLD", "YAS_BOND_PX",hp!AJ37, "SETTLE_DT", TEXT(ya!$C37,"YYYYMMDD")))</f>
        <v>0</v>
      </c>
      <c r="AK37" s="2" cm="1">
        <f t="array" ref="AK37">IF(hp!AK37=0,0,_xll.BDP(AK$4,"YAS_BOND_YLD", "YAS_BOND_PX",hp!AK37, "SETTLE_DT", TEXT(ya!$C37,"YYYYMMDD")))</f>
        <v>0</v>
      </c>
      <c r="AL37" s="2" cm="1">
        <f t="array" ref="AL37">IF(hp!AL37=0,0,_xll.BDP(AL$4,"YAS_BOND_YLD", "YAS_BOND_PX",hp!AL37, "SETTLE_DT", TEXT(ya!$C37,"YYYYMMDD")))</f>
        <v>0</v>
      </c>
      <c r="AM37" s="2" cm="1">
        <f t="array" ref="AM37">IF(hp!AM37=0,0,_xll.BDP(AM$4,"YAS_BOND_YLD", "YAS_BOND_PX",hp!AM37, "SETTLE_DT", TEXT(ya!$C37,"YYYYMMDD")))</f>
        <v>0</v>
      </c>
      <c r="AN37" s="2" cm="1">
        <f t="array" ref="AN37">IF(hp!AN37=0,0,_xll.BDP(AN$4,"YAS_BOND_YLD", "YAS_BOND_PX",hp!AN37, "SETTLE_DT", TEXT(ya!$C37,"YYYYMMDD")))</f>
        <v>0</v>
      </c>
      <c r="AO37" s="2" cm="1">
        <f t="array" ref="AO37">IF(hp!AO37=0,0,_xll.BDP(AO$4,"YAS_BOND_YLD", "YAS_BOND_PX",hp!AO37, "SETTLE_DT", TEXT(ya!$C37,"YYYYMMDD")))</f>
        <v>0</v>
      </c>
      <c r="AP37" s="2" cm="1">
        <f t="array" ref="AP37">IF(hp!AP37=0,0,_xll.BDP(AP$4,"YAS_BOND_YLD", "YAS_BOND_PX",hp!AP37, "SETTLE_DT", TEXT(ya!$C37,"YYYYMMDD")))</f>
        <v>0</v>
      </c>
      <c r="AQ37" s="2" cm="1">
        <f t="array" ref="AQ37">IF(hp!AQ37=0,0,_xll.BDP(AQ$4,"YAS_BOND_YLD", "YAS_BOND_PX",hp!AQ37, "SETTLE_DT", TEXT(ya!$C37,"YYYYMMDD")))</f>
        <v>0</v>
      </c>
      <c r="AR37" s="2" cm="1">
        <f t="array" ref="AR37">IF(hp!AR37=0,0,_xll.BDP(AR$4,"YAS_BOND_YLD", "YAS_BOND_PX",hp!AR37, "SETTLE_DT", TEXT(ya!$C37,"YYYYMMDD")))</f>
        <v>0</v>
      </c>
      <c r="AS37" s="2" cm="1">
        <f t="array" ref="AS37">IF(hp!AS37=0,0,_xll.BDP(AS$4,"YAS_BOND_YLD", "YAS_BOND_PX",hp!AS37, "SETTLE_DT", TEXT(ya!$C37,"YYYYMMDD")))</f>
        <v>0</v>
      </c>
      <c r="AT37" s="2" cm="1">
        <f t="array" ref="AT37">IF(hp!AT37=0,0,_xll.BDP(AT$4,"YAS_BOND_YLD", "YAS_BOND_PX",hp!AT37, "SETTLE_DT", TEXT(ya!$C37,"YYYYMMDD")))</f>
        <v>0</v>
      </c>
      <c r="AU37" s="2" cm="1">
        <f t="array" ref="AU37">IF(hp!AU37=0,0,_xll.BDP(AU$4,"YAS_BOND_YLD", "YAS_BOND_PX",hp!AU37, "SETTLE_DT", TEXT(ya!$C37,"YYYYMMDD")))</f>
        <v>0</v>
      </c>
      <c r="AV37" s="2" cm="1">
        <f t="array" ref="AV37">IF(hp!AV37=0,0,_xll.BDP(AV$4,"YAS_BOND_YLD", "YAS_BOND_PX",hp!AV37, "SETTLE_DT", TEXT(ya!$C37,"YYYYMMDD")))</f>
        <v>0</v>
      </c>
      <c r="AW37" s="2" cm="1">
        <f t="array" ref="AW37">IF(hp!AW37=0,0,_xll.BDP(AW$4,"YAS_BOND_YLD", "YAS_BOND_PX",hp!AW37, "SETTLE_DT", TEXT(ya!$C37,"YYYYMMDD")))</f>
        <v>0</v>
      </c>
      <c r="AX37" s="2" cm="1">
        <f t="array" ref="AX37">IF(hp!AX37=0,0,_xll.BDP(AX$4,"YAS_BOND_YLD", "YAS_BOND_PX",hp!AX37, "SETTLE_DT", TEXT(ya!$C37,"YYYYMMDD")))</f>
        <v>0</v>
      </c>
      <c r="AY37" s="2" cm="1">
        <f t="array" ref="AY37">IF(hp!AY37=0,0,_xll.BDP(AY$4,"YAS_BOND_YLD", "YAS_BOND_PX",hp!AY37, "SETTLE_DT", TEXT(ya!$C37,"YYYYMMDD")))</f>
        <v>0</v>
      </c>
      <c r="AZ37" s="2" cm="1">
        <f t="array" ref="AZ37">IF(hp!AZ37=0,0,_xll.BDP(AZ$4,"YAS_BOND_YLD", "YAS_BOND_PX",hp!AZ37, "SETTLE_DT", TEXT(ya!$C37,"YYYYMMDD")))</f>
        <v>0</v>
      </c>
    </row>
    <row r="38" spans="1:52" x14ac:dyDescent="0.25">
      <c r="A38" s="1"/>
      <c r="B38" s="2"/>
      <c r="C38" s="1">
        <v>43069</v>
      </c>
      <c r="D38" s="2" cm="1">
        <f t="array" ref="D38">IF(hp!D38=0,0,_xll.BDP(D$4,"YAS_BOND_YLD", "YAS_BOND_PX",hp!D38, "SETTLE_DT", TEXT(ya!$C38,"YYYYMMDD")))</f>
        <v>0</v>
      </c>
      <c r="E38" s="2" cm="1">
        <f t="array" ref="E38">IF(hp!E38=0,0,_xll.BDP(E$4,"YAS_BOND_YLD", "YAS_BOND_PX",hp!E38, "SETTLE_DT", TEXT(ya!$C38,"YYYYMMDD")))</f>
        <v>0</v>
      </c>
      <c r="F38" s="2" cm="1">
        <f t="array" ref="F38">IF(hp!F38=0,0,_xll.BDP(F$4,"YAS_BOND_YLD", "YAS_BOND_PX",hp!F38, "SETTLE_DT", TEXT(ya!$C38,"YYYYMMDD")))</f>
        <v>10.3864</v>
      </c>
      <c r="G38" s="2" cm="1">
        <f t="array" ref="G38">IF(hp!G38=0,0,_xll.BDP(G$4,"YAS_BOND_YLD", "YAS_BOND_PX",hp!G38, "SETTLE_DT", TEXT(ya!$C38,"YYYYMMDD")))</f>
        <v>5.3935000000000004</v>
      </c>
      <c r="H38" s="2" cm="1">
        <f t="array" ref="H38">IF(hp!H38=0,0,_xll.BDP(H$4,"YAS_BOND_YLD", "YAS_BOND_PX",hp!H38, "SETTLE_DT", TEXT(ya!$C38,"YYYYMMDD")))</f>
        <v>0</v>
      </c>
      <c r="I38" s="2" cm="1">
        <f t="array" ref="I38">IF(hp!I38=0,0,_xll.BDP(I$4,"YAS_BOND_YLD", "YAS_BOND_PX",hp!I38, "SETTLE_DT", TEXT(ya!$C38,"YYYYMMDD")))</f>
        <v>0</v>
      </c>
      <c r="J38" s="2" cm="1">
        <f t="array" ref="J38">IF(hp!J38=0,0,_xll.BDP(J$4,"YAS_BOND_YLD", "YAS_BOND_PX",hp!J38, "SETTLE_DT", TEXT(ya!$C38,"YYYYMMDD")))</f>
        <v>5.4611000000000001</v>
      </c>
      <c r="K38" s="2" cm="1">
        <f t="array" ref="K38">IF(hp!K38=0,0,_xll.BDP(K$4,"YAS_BOND_YLD", "YAS_BOND_PX",hp!K38, "SETTLE_DT", TEXT(ya!$C38,"YYYYMMDD")))</f>
        <v>0</v>
      </c>
      <c r="L38" s="2" cm="1">
        <f t="array" ref="L38">IF(hp!L38=0,0,_xll.BDP(L$4,"YAS_BOND_YLD", "YAS_BOND_PX",hp!L38, "SETTLE_DT", TEXT(ya!$C38,"YYYYMMDD")))</f>
        <v>5.2954999999999997</v>
      </c>
      <c r="M38" s="2" cm="1">
        <f t="array" ref="M38">IF(hp!M38=0,0,_xll.BDP(M$4,"YAS_BOND_YLD", "YAS_BOND_PX",hp!M38, "SETTLE_DT", TEXT(ya!$C38,"YYYYMMDD")))</f>
        <v>0</v>
      </c>
      <c r="N38" s="2" cm="1">
        <f t="array" ref="N38">IF(hp!N38=0,0,_xll.BDP(N$4,"YAS_BOND_YLD", "YAS_BOND_PX",hp!N38, "SETTLE_DT", TEXT(ya!$C38,"YYYYMMDD")))</f>
        <v>5.1467000000000001</v>
      </c>
      <c r="O38" s="2" cm="1">
        <f t="array" ref="O38">IF(hp!O38=0,0,_xll.BDP(O$4,"YAS_BOND_YLD", "YAS_BOND_PX",hp!O38, "SETTLE_DT", TEXT(ya!$C38,"YYYYMMDD")))</f>
        <v>0</v>
      </c>
      <c r="P38" s="2" cm="1">
        <f t="array" ref="P38">IF(hp!P38=0,0,_xll.BDP(P$4,"YAS_BOND_YLD", "YAS_BOND_PX",hp!P38, "SETTLE_DT", TEXT(ya!$C38,"YYYYMMDD")))</f>
        <v>0</v>
      </c>
      <c r="Q38" s="2" cm="1">
        <f t="array" ref="Q38">IF(hp!Q38=0,0,_xll.BDP(Q$4,"YAS_BOND_YLD", "YAS_BOND_PX",hp!Q38, "SETTLE_DT", TEXT(ya!$C38,"YYYYMMDD")))</f>
        <v>5.4718999999999998</v>
      </c>
      <c r="R38" s="2" cm="1">
        <f t="array" ref="R38">IF(hp!R38=0,0,_xll.BDP(R$4,"YAS_BOND_YLD", "YAS_BOND_PX",hp!R38, "SETTLE_DT", TEXT(ya!$C38,"YYYYMMDD")))</f>
        <v>0</v>
      </c>
      <c r="S38" s="2" cm="1">
        <f t="array" ref="S38">IF(hp!S38=0,0,_xll.BDP(S$4,"YAS_BOND_YLD", "YAS_BOND_PX",hp!S38, "SETTLE_DT", TEXT(ya!$C38,"YYYYMMDD")))</f>
        <v>0</v>
      </c>
      <c r="T38" s="2" cm="1">
        <f t="array" ref="T38">IF(hp!T38=0,0,_xll.BDP(T$4,"YAS_BOND_YLD", "YAS_BOND_PX",hp!T38, "SETTLE_DT", TEXT(ya!$C38,"YYYYMMDD")))</f>
        <v>0</v>
      </c>
      <c r="U38" s="2" cm="1">
        <f t="array" ref="U38">IF(hp!U38=0,0,_xll.BDP(U$4,"YAS_BOND_YLD", "YAS_BOND_PX",hp!U38, "SETTLE_DT", TEXT(ya!$C38,"YYYYMMDD")))</f>
        <v>5.4261999999999997</v>
      </c>
      <c r="V38" s="2" cm="1">
        <f t="array" ref="V38">IF(hp!V38=0,0,_xll.BDP(V$4,"YAS_BOND_YLD", "YAS_BOND_PX",hp!V38, "SETTLE_DT", TEXT(ya!$C38,"YYYYMMDD")))</f>
        <v>0</v>
      </c>
      <c r="W38" s="2" cm="1">
        <f t="array" ref="W38">IF(hp!W38=0,0,_xll.BDP(W$4,"YAS_BOND_YLD", "YAS_BOND_PX",hp!W38, "SETTLE_DT", TEXT(ya!$C38,"YYYYMMDD")))</f>
        <v>0</v>
      </c>
      <c r="X38" s="2" cm="1">
        <f t="array" ref="X38">IF(hp!X38=0,0,_xll.BDP(X$4,"YAS_BOND_YLD", "YAS_BOND_PX",hp!X38, "SETTLE_DT", TEXT(ya!$C38,"YYYYMMDD")))</f>
        <v>0</v>
      </c>
      <c r="Y38" s="2" cm="1">
        <f t="array" ref="Y38">IF(hp!Y38=0,0,_xll.BDP(Y$4,"YAS_BOND_YLD", "YAS_BOND_PX",hp!Y38, "SETTLE_DT", TEXT(ya!$C38,"YYYYMMDD")))</f>
        <v>0</v>
      </c>
      <c r="Z38" s="2" cm="1">
        <f t="array" ref="Z38">IF(hp!Z38=0,0,_xll.BDP(Z$4,"YAS_BOND_YLD", "YAS_BOND_PX",hp!Z38, "SETTLE_DT", TEXT(ya!$C38,"YYYYMMDD")))</f>
        <v>0</v>
      </c>
      <c r="AA38" s="2" cm="1">
        <f t="array" ref="AA38">IF(hp!AA38=0,0,_xll.BDP(AA$4,"YAS_BOND_YLD", "YAS_BOND_PX",hp!AA38, "SETTLE_DT", TEXT(ya!$C38,"YYYYMMDD")))</f>
        <v>0</v>
      </c>
      <c r="AB38" s="2" cm="1">
        <f t="array" ref="AB38">IF(hp!AB38=0,0,_xll.BDP(AB$4,"YAS_BOND_YLD", "YAS_BOND_PX",hp!AB38, "SETTLE_DT", TEXT(ya!$C38,"YYYYMMDD")))</f>
        <v>0</v>
      </c>
      <c r="AC38" s="2" cm="1">
        <f t="array" ref="AC38">IF(hp!AC38=0,0,_xll.BDP(AC$4,"YAS_BOND_YLD", "YAS_BOND_PX",hp!AC38, "SETTLE_DT", TEXT(ya!$C38,"YYYYMMDD")))</f>
        <v>0</v>
      </c>
      <c r="AD38" s="2" cm="1">
        <f t="array" ref="AD38">IF(hp!AD38=0,0,_xll.BDP(AD$4,"YAS_BOND_YLD", "YAS_BOND_PX",hp!AD38, "SETTLE_DT", TEXT(ya!$C38,"YYYYMMDD")))</f>
        <v>5.4420000000000002</v>
      </c>
      <c r="AE38" s="2" cm="1">
        <f t="array" ref="AE38">IF(hp!AE38=0,0,_xll.BDP(AE$4,"YAS_BOND_YLD", "YAS_BOND_PX",hp!AE38, "SETTLE_DT", TEXT(ya!$C38,"YYYYMMDD")))</f>
        <v>0</v>
      </c>
      <c r="AF38" s="2" cm="1">
        <f t="array" ref="AF38">IF(hp!AF38=0,0,_xll.BDP(AF$4,"YAS_BOND_YLD", "YAS_BOND_PX",hp!AF38, "SETTLE_DT", TEXT(ya!$C38,"YYYYMMDD")))</f>
        <v>0</v>
      </c>
      <c r="AG38" s="2" cm="1">
        <f t="array" ref="AG38">IF(hp!AG38=0,0,_xll.BDP(AG$4,"YAS_BOND_YLD", "YAS_BOND_PX",hp!AG38, "SETTLE_DT", TEXT(ya!$C38,"YYYYMMDD")))</f>
        <v>0</v>
      </c>
      <c r="AH38" s="2" cm="1">
        <f t="array" ref="AH38">IF(hp!AH38=0,0,_xll.BDP(AH$4,"YAS_BOND_YLD", "YAS_BOND_PX",hp!AH38, "SETTLE_DT", TEXT(ya!$C38,"YYYYMMDD")))</f>
        <v>0</v>
      </c>
      <c r="AI38" s="2" cm="1">
        <f t="array" ref="AI38">IF(hp!AI38=0,0,_xll.BDP(AI$4,"YAS_BOND_YLD", "YAS_BOND_PX",hp!AI38, "SETTLE_DT", TEXT(ya!$C38,"YYYYMMDD")))</f>
        <v>0</v>
      </c>
      <c r="AJ38" s="2" cm="1">
        <f t="array" ref="AJ38">IF(hp!AJ38=0,0,_xll.BDP(AJ$4,"YAS_BOND_YLD", "YAS_BOND_PX",hp!AJ38, "SETTLE_DT", TEXT(ya!$C38,"YYYYMMDD")))</f>
        <v>0</v>
      </c>
      <c r="AK38" s="2" cm="1">
        <f t="array" ref="AK38">IF(hp!AK38=0,0,_xll.BDP(AK$4,"YAS_BOND_YLD", "YAS_BOND_PX",hp!AK38, "SETTLE_DT", TEXT(ya!$C38,"YYYYMMDD")))</f>
        <v>0</v>
      </c>
      <c r="AL38" s="2" cm="1">
        <f t="array" ref="AL38">IF(hp!AL38=0,0,_xll.BDP(AL$4,"YAS_BOND_YLD", "YAS_BOND_PX",hp!AL38, "SETTLE_DT", TEXT(ya!$C38,"YYYYMMDD")))</f>
        <v>0</v>
      </c>
      <c r="AM38" s="2" cm="1">
        <f t="array" ref="AM38">IF(hp!AM38=0,0,_xll.BDP(AM$4,"YAS_BOND_YLD", "YAS_BOND_PX",hp!AM38, "SETTLE_DT", TEXT(ya!$C38,"YYYYMMDD")))</f>
        <v>0</v>
      </c>
      <c r="AN38" s="2" cm="1">
        <f t="array" ref="AN38">IF(hp!AN38=0,0,_xll.BDP(AN$4,"YAS_BOND_YLD", "YAS_BOND_PX",hp!AN38, "SETTLE_DT", TEXT(ya!$C38,"YYYYMMDD")))</f>
        <v>0</v>
      </c>
      <c r="AO38" s="2" cm="1">
        <f t="array" ref="AO38">IF(hp!AO38=0,0,_xll.BDP(AO$4,"YAS_BOND_YLD", "YAS_BOND_PX",hp!AO38, "SETTLE_DT", TEXT(ya!$C38,"YYYYMMDD")))</f>
        <v>0</v>
      </c>
      <c r="AP38" s="2" cm="1">
        <f t="array" ref="AP38">IF(hp!AP38=0,0,_xll.BDP(AP$4,"YAS_BOND_YLD", "YAS_BOND_PX",hp!AP38, "SETTLE_DT", TEXT(ya!$C38,"YYYYMMDD")))</f>
        <v>0</v>
      </c>
      <c r="AQ38" s="2" cm="1">
        <f t="array" ref="AQ38">IF(hp!AQ38=0,0,_xll.BDP(AQ$4,"YAS_BOND_YLD", "YAS_BOND_PX",hp!AQ38, "SETTLE_DT", TEXT(ya!$C38,"YYYYMMDD")))</f>
        <v>0</v>
      </c>
      <c r="AR38" s="2" cm="1">
        <f t="array" ref="AR38">IF(hp!AR38=0,0,_xll.BDP(AR$4,"YAS_BOND_YLD", "YAS_BOND_PX",hp!AR38, "SETTLE_DT", TEXT(ya!$C38,"YYYYMMDD")))</f>
        <v>0</v>
      </c>
      <c r="AS38" s="2" cm="1">
        <f t="array" ref="AS38">IF(hp!AS38=0,0,_xll.BDP(AS$4,"YAS_BOND_YLD", "YAS_BOND_PX",hp!AS38, "SETTLE_DT", TEXT(ya!$C38,"YYYYMMDD")))</f>
        <v>0</v>
      </c>
      <c r="AT38" s="2" cm="1">
        <f t="array" ref="AT38">IF(hp!AT38=0,0,_xll.BDP(AT$4,"YAS_BOND_YLD", "YAS_BOND_PX",hp!AT38, "SETTLE_DT", TEXT(ya!$C38,"YYYYMMDD")))</f>
        <v>0</v>
      </c>
      <c r="AU38" s="2" cm="1">
        <f t="array" ref="AU38">IF(hp!AU38=0,0,_xll.BDP(AU$4,"YAS_BOND_YLD", "YAS_BOND_PX",hp!AU38, "SETTLE_DT", TEXT(ya!$C38,"YYYYMMDD")))</f>
        <v>0</v>
      </c>
      <c r="AV38" s="2" cm="1">
        <f t="array" ref="AV38">IF(hp!AV38=0,0,_xll.BDP(AV$4,"YAS_BOND_YLD", "YAS_BOND_PX",hp!AV38, "SETTLE_DT", TEXT(ya!$C38,"YYYYMMDD")))</f>
        <v>0</v>
      </c>
      <c r="AW38" s="2" cm="1">
        <f t="array" ref="AW38">IF(hp!AW38=0,0,_xll.BDP(AW$4,"YAS_BOND_YLD", "YAS_BOND_PX",hp!AW38, "SETTLE_DT", TEXT(ya!$C38,"YYYYMMDD")))</f>
        <v>0</v>
      </c>
      <c r="AX38" s="2" cm="1">
        <f t="array" ref="AX38">IF(hp!AX38=0,0,_xll.BDP(AX$4,"YAS_BOND_YLD", "YAS_BOND_PX",hp!AX38, "SETTLE_DT", TEXT(ya!$C38,"YYYYMMDD")))</f>
        <v>0</v>
      </c>
      <c r="AY38" s="2" cm="1">
        <f t="array" ref="AY38">IF(hp!AY38=0,0,_xll.BDP(AY$4,"YAS_BOND_YLD", "YAS_BOND_PX",hp!AY38, "SETTLE_DT", TEXT(ya!$C38,"YYYYMMDD")))</f>
        <v>0</v>
      </c>
      <c r="AZ38" s="2" cm="1">
        <f t="array" ref="AZ38">IF(hp!AZ38=0,0,_xll.BDP(AZ$4,"YAS_BOND_YLD", "YAS_BOND_PX",hp!AZ38, "SETTLE_DT", TEXT(ya!$C38,"YYYYMMDD")))</f>
        <v>0</v>
      </c>
    </row>
    <row r="39" spans="1:52" x14ac:dyDescent="0.25">
      <c r="A39" s="1"/>
      <c r="B39" s="2"/>
      <c r="C39" s="1">
        <v>43098</v>
      </c>
      <c r="D39" s="2" cm="1">
        <f t="array" ref="D39">IF(hp!D39=0,0,_xll.BDP(D$4,"YAS_BOND_YLD", "YAS_BOND_PX",hp!D39, "SETTLE_DT", TEXT(ya!$C39,"YYYYMMDD")))</f>
        <v>0</v>
      </c>
      <c r="E39" s="2" cm="1">
        <f t="array" ref="E39">IF(hp!E39=0,0,_xll.BDP(E$4,"YAS_BOND_YLD", "YAS_BOND_PX",hp!E39, "SETTLE_DT", TEXT(ya!$C39,"YYYYMMDD")))</f>
        <v>0</v>
      </c>
      <c r="F39" s="2" cm="1">
        <f t="array" ref="F39">IF(hp!F39=0,0,_xll.BDP(F$4,"YAS_BOND_YLD", "YAS_BOND_PX",hp!F39, "SETTLE_DT", TEXT(ya!$C39,"YYYYMMDD")))</f>
        <v>10.208</v>
      </c>
      <c r="G39" s="2" cm="1">
        <f t="array" ref="G39">IF(hp!G39=0,0,_xll.BDP(G$4,"YAS_BOND_YLD", "YAS_BOND_PX",hp!G39, "SETTLE_DT", TEXT(ya!$C39,"YYYYMMDD")))</f>
        <v>5.3796999999999997</v>
      </c>
      <c r="H39" s="2" cm="1">
        <f t="array" ref="H39">IF(hp!H39=0,0,_xll.BDP(H$4,"YAS_BOND_YLD", "YAS_BOND_PX",hp!H39, "SETTLE_DT", TEXT(ya!$C39,"YYYYMMDD")))</f>
        <v>0</v>
      </c>
      <c r="I39" s="2" cm="1">
        <f t="array" ref="I39">IF(hp!I39=0,0,_xll.BDP(I$4,"YAS_BOND_YLD", "YAS_BOND_PX",hp!I39, "SETTLE_DT", TEXT(ya!$C39,"YYYYMMDD")))</f>
        <v>0</v>
      </c>
      <c r="J39" s="2" cm="1">
        <f t="array" ref="J39">IF(hp!J39=0,0,_xll.BDP(J$4,"YAS_BOND_YLD", "YAS_BOND_PX",hp!J39, "SETTLE_DT", TEXT(ya!$C39,"YYYYMMDD")))</f>
        <v>5.4626999999999999</v>
      </c>
      <c r="K39" s="2" cm="1">
        <f t="array" ref="K39">IF(hp!K39=0,0,_xll.BDP(K$4,"YAS_BOND_YLD", "YAS_BOND_PX",hp!K39, "SETTLE_DT", TEXT(ya!$C39,"YYYYMMDD")))</f>
        <v>0</v>
      </c>
      <c r="L39" s="2" cm="1">
        <f t="array" ref="L39">IF(hp!L39=0,0,_xll.BDP(L$4,"YAS_BOND_YLD", "YAS_BOND_PX",hp!L39, "SETTLE_DT", TEXT(ya!$C39,"YYYYMMDD")))</f>
        <v>5.2915000000000001</v>
      </c>
      <c r="M39" s="2" cm="1">
        <f t="array" ref="M39">IF(hp!M39=0,0,_xll.BDP(M$4,"YAS_BOND_YLD", "YAS_BOND_PX",hp!M39, "SETTLE_DT", TEXT(ya!$C39,"YYYYMMDD")))</f>
        <v>0</v>
      </c>
      <c r="N39" s="2" cm="1">
        <f t="array" ref="N39">IF(hp!N39=0,0,_xll.BDP(N$4,"YAS_BOND_YLD", "YAS_BOND_PX",hp!N39, "SETTLE_DT", TEXT(ya!$C39,"YYYYMMDD")))</f>
        <v>5.0830000000000002</v>
      </c>
      <c r="O39" s="2" cm="1">
        <f t="array" ref="O39">IF(hp!O39=0,0,_xll.BDP(O$4,"YAS_BOND_YLD", "YAS_BOND_PX",hp!O39, "SETTLE_DT", TEXT(ya!$C39,"YYYYMMDD")))</f>
        <v>0</v>
      </c>
      <c r="P39" s="2" cm="1">
        <f t="array" ref="P39">IF(hp!P39=0,0,_xll.BDP(P$4,"YAS_BOND_YLD", "YAS_BOND_PX",hp!P39, "SETTLE_DT", TEXT(ya!$C39,"YYYYMMDD")))</f>
        <v>0</v>
      </c>
      <c r="Q39" s="2" cm="1">
        <f t="array" ref="Q39">IF(hp!Q39=0,0,_xll.BDP(Q$4,"YAS_BOND_YLD", "YAS_BOND_PX",hp!Q39, "SETTLE_DT", TEXT(ya!$C39,"YYYYMMDD")))</f>
        <v>5.4747000000000003</v>
      </c>
      <c r="R39" s="2" cm="1">
        <f t="array" ref="R39">IF(hp!R39=0,0,_xll.BDP(R$4,"YAS_BOND_YLD", "YAS_BOND_PX",hp!R39, "SETTLE_DT", TEXT(ya!$C39,"YYYYMMDD")))</f>
        <v>0</v>
      </c>
      <c r="S39" s="2" cm="1">
        <f t="array" ref="S39">IF(hp!S39=0,0,_xll.BDP(S$4,"YAS_BOND_YLD", "YAS_BOND_PX",hp!S39, "SETTLE_DT", TEXT(ya!$C39,"YYYYMMDD")))</f>
        <v>0</v>
      </c>
      <c r="T39" s="2" cm="1">
        <f t="array" ref="T39">IF(hp!T39=0,0,_xll.BDP(T$4,"YAS_BOND_YLD", "YAS_BOND_PX",hp!T39, "SETTLE_DT", TEXT(ya!$C39,"YYYYMMDD")))</f>
        <v>0</v>
      </c>
      <c r="U39" s="2" cm="1">
        <f t="array" ref="U39">IF(hp!U39=0,0,_xll.BDP(U$4,"YAS_BOND_YLD", "YAS_BOND_PX",hp!U39, "SETTLE_DT", TEXT(ya!$C39,"YYYYMMDD")))</f>
        <v>5.4039000000000001</v>
      </c>
      <c r="V39" s="2" cm="1">
        <f t="array" ref="V39">IF(hp!V39=0,0,_xll.BDP(V$4,"YAS_BOND_YLD", "YAS_BOND_PX",hp!V39, "SETTLE_DT", TEXT(ya!$C39,"YYYYMMDD")))</f>
        <v>0</v>
      </c>
      <c r="W39" s="2" cm="1">
        <f t="array" ref="W39">IF(hp!W39=0,0,_xll.BDP(W$4,"YAS_BOND_YLD", "YAS_BOND_PX",hp!W39, "SETTLE_DT", TEXT(ya!$C39,"YYYYMMDD")))</f>
        <v>0</v>
      </c>
      <c r="X39" s="2" cm="1">
        <f t="array" ref="X39">IF(hp!X39=0,0,_xll.BDP(X$4,"YAS_BOND_YLD", "YAS_BOND_PX",hp!X39, "SETTLE_DT", TEXT(ya!$C39,"YYYYMMDD")))</f>
        <v>0</v>
      </c>
      <c r="Y39" s="2" cm="1">
        <f t="array" ref="Y39">IF(hp!Y39=0,0,_xll.BDP(Y$4,"YAS_BOND_YLD", "YAS_BOND_PX",hp!Y39, "SETTLE_DT", TEXT(ya!$C39,"YYYYMMDD")))</f>
        <v>0</v>
      </c>
      <c r="Z39" s="2" cm="1">
        <f t="array" ref="Z39">IF(hp!Z39=0,0,_xll.BDP(Z$4,"YAS_BOND_YLD", "YAS_BOND_PX",hp!Z39, "SETTLE_DT", TEXT(ya!$C39,"YYYYMMDD")))</f>
        <v>0</v>
      </c>
      <c r="AA39" s="2" cm="1">
        <f t="array" ref="AA39">IF(hp!AA39=0,0,_xll.BDP(AA$4,"YAS_BOND_YLD", "YAS_BOND_PX",hp!AA39, "SETTLE_DT", TEXT(ya!$C39,"YYYYMMDD")))</f>
        <v>0</v>
      </c>
      <c r="AB39" s="2" cm="1">
        <f t="array" ref="AB39">IF(hp!AB39=0,0,_xll.BDP(AB$4,"YAS_BOND_YLD", "YAS_BOND_PX",hp!AB39, "SETTLE_DT", TEXT(ya!$C39,"YYYYMMDD")))</f>
        <v>0</v>
      </c>
      <c r="AC39" s="2" cm="1">
        <f t="array" ref="AC39">IF(hp!AC39=0,0,_xll.BDP(AC$4,"YAS_BOND_YLD", "YAS_BOND_PX",hp!AC39, "SETTLE_DT", TEXT(ya!$C39,"YYYYMMDD")))</f>
        <v>0</v>
      </c>
      <c r="AD39" s="2" cm="1">
        <f t="array" ref="AD39">IF(hp!AD39=0,0,_xll.BDP(AD$4,"YAS_BOND_YLD", "YAS_BOND_PX",hp!AD39, "SETTLE_DT", TEXT(ya!$C39,"YYYYMMDD")))</f>
        <v>5.4435000000000002</v>
      </c>
      <c r="AE39" s="2" cm="1">
        <f t="array" ref="AE39">IF(hp!AE39=0,0,_xll.BDP(AE$4,"YAS_BOND_YLD", "YAS_BOND_PX",hp!AE39, "SETTLE_DT", TEXT(ya!$C39,"YYYYMMDD")))</f>
        <v>0</v>
      </c>
      <c r="AF39" s="2" cm="1">
        <f t="array" ref="AF39">IF(hp!AF39=0,0,_xll.BDP(AF$4,"YAS_BOND_YLD", "YAS_BOND_PX",hp!AF39, "SETTLE_DT", TEXT(ya!$C39,"YYYYMMDD")))</f>
        <v>0</v>
      </c>
      <c r="AG39" s="2" cm="1">
        <f t="array" ref="AG39">IF(hp!AG39=0,0,_xll.BDP(AG$4,"YAS_BOND_YLD", "YAS_BOND_PX",hp!AG39, "SETTLE_DT", TEXT(ya!$C39,"YYYYMMDD")))</f>
        <v>0</v>
      </c>
      <c r="AH39" s="2" cm="1">
        <f t="array" ref="AH39">IF(hp!AH39=0,0,_xll.BDP(AH$4,"YAS_BOND_YLD", "YAS_BOND_PX",hp!AH39, "SETTLE_DT", TEXT(ya!$C39,"YYYYMMDD")))</f>
        <v>0</v>
      </c>
      <c r="AI39" s="2" cm="1">
        <f t="array" ref="AI39">IF(hp!AI39=0,0,_xll.BDP(AI$4,"YAS_BOND_YLD", "YAS_BOND_PX",hp!AI39, "SETTLE_DT", TEXT(ya!$C39,"YYYYMMDD")))</f>
        <v>0</v>
      </c>
      <c r="AJ39" s="2" cm="1">
        <f t="array" ref="AJ39">IF(hp!AJ39=0,0,_xll.BDP(AJ$4,"YAS_BOND_YLD", "YAS_BOND_PX",hp!AJ39, "SETTLE_DT", TEXT(ya!$C39,"YYYYMMDD")))</f>
        <v>0</v>
      </c>
      <c r="AK39" s="2" cm="1">
        <f t="array" ref="AK39">IF(hp!AK39=0,0,_xll.BDP(AK$4,"YAS_BOND_YLD", "YAS_BOND_PX",hp!AK39, "SETTLE_DT", TEXT(ya!$C39,"YYYYMMDD")))</f>
        <v>0</v>
      </c>
      <c r="AL39" s="2" cm="1">
        <f t="array" ref="AL39">IF(hp!AL39=0,0,_xll.BDP(AL$4,"YAS_BOND_YLD", "YAS_BOND_PX",hp!AL39, "SETTLE_DT", TEXT(ya!$C39,"YYYYMMDD")))</f>
        <v>0</v>
      </c>
      <c r="AM39" s="2" cm="1">
        <f t="array" ref="AM39">IF(hp!AM39=0,0,_xll.BDP(AM$4,"YAS_BOND_YLD", "YAS_BOND_PX",hp!AM39, "SETTLE_DT", TEXT(ya!$C39,"YYYYMMDD")))</f>
        <v>0</v>
      </c>
      <c r="AN39" s="2" cm="1">
        <f t="array" ref="AN39">IF(hp!AN39=0,0,_xll.BDP(AN$4,"YAS_BOND_YLD", "YAS_BOND_PX",hp!AN39, "SETTLE_DT", TEXT(ya!$C39,"YYYYMMDD")))</f>
        <v>0</v>
      </c>
      <c r="AO39" s="2" cm="1">
        <f t="array" ref="AO39">IF(hp!AO39=0,0,_xll.BDP(AO$4,"YAS_BOND_YLD", "YAS_BOND_PX",hp!AO39, "SETTLE_DT", TEXT(ya!$C39,"YYYYMMDD")))</f>
        <v>0</v>
      </c>
      <c r="AP39" s="2" cm="1">
        <f t="array" ref="AP39">IF(hp!AP39=0,0,_xll.BDP(AP$4,"YAS_BOND_YLD", "YAS_BOND_PX",hp!AP39, "SETTLE_DT", TEXT(ya!$C39,"YYYYMMDD")))</f>
        <v>0</v>
      </c>
      <c r="AQ39" s="2" cm="1">
        <f t="array" ref="AQ39">IF(hp!AQ39=0,0,_xll.BDP(AQ$4,"YAS_BOND_YLD", "YAS_BOND_PX",hp!AQ39, "SETTLE_DT", TEXT(ya!$C39,"YYYYMMDD")))</f>
        <v>0</v>
      </c>
      <c r="AR39" s="2" cm="1">
        <f t="array" ref="AR39">IF(hp!AR39=0,0,_xll.BDP(AR$4,"YAS_BOND_YLD", "YAS_BOND_PX",hp!AR39, "SETTLE_DT", TEXT(ya!$C39,"YYYYMMDD")))</f>
        <v>0</v>
      </c>
      <c r="AS39" s="2" cm="1">
        <f t="array" ref="AS39">IF(hp!AS39=0,0,_xll.BDP(AS$4,"YAS_BOND_YLD", "YAS_BOND_PX",hp!AS39, "SETTLE_DT", TEXT(ya!$C39,"YYYYMMDD")))</f>
        <v>0</v>
      </c>
      <c r="AT39" s="2" cm="1">
        <f t="array" ref="AT39">IF(hp!AT39=0,0,_xll.BDP(AT$4,"YAS_BOND_YLD", "YAS_BOND_PX",hp!AT39, "SETTLE_DT", TEXT(ya!$C39,"YYYYMMDD")))</f>
        <v>0</v>
      </c>
      <c r="AU39" s="2" cm="1">
        <f t="array" ref="AU39">IF(hp!AU39=0,0,_xll.BDP(AU$4,"YAS_BOND_YLD", "YAS_BOND_PX",hp!AU39, "SETTLE_DT", TEXT(ya!$C39,"YYYYMMDD")))</f>
        <v>0</v>
      </c>
      <c r="AV39" s="2" cm="1">
        <f t="array" ref="AV39">IF(hp!AV39=0,0,_xll.BDP(AV$4,"YAS_BOND_YLD", "YAS_BOND_PX",hp!AV39, "SETTLE_DT", TEXT(ya!$C39,"YYYYMMDD")))</f>
        <v>0</v>
      </c>
      <c r="AW39" s="2" cm="1">
        <f t="array" ref="AW39">IF(hp!AW39=0,0,_xll.BDP(AW$4,"YAS_BOND_YLD", "YAS_BOND_PX",hp!AW39, "SETTLE_DT", TEXT(ya!$C39,"YYYYMMDD")))</f>
        <v>0</v>
      </c>
      <c r="AX39" s="2" cm="1">
        <f t="array" ref="AX39">IF(hp!AX39=0,0,_xll.BDP(AX$4,"YAS_BOND_YLD", "YAS_BOND_PX",hp!AX39, "SETTLE_DT", TEXT(ya!$C39,"YYYYMMDD")))</f>
        <v>0</v>
      </c>
      <c r="AY39" s="2" cm="1">
        <f t="array" ref="AY39">IF(hp!AY39=0,0,_xll.BDP(AY$4,"YAS_BOND_YLD", "YAS_BOND_PX",hp!AY39, "SETTLE_DT", TEXT(ya!$C39,"YYYYMMDD")))</f>
        <v>0</v>
      </c>
      <c r="AZ39" s="2" cm="1">
        <f t="array" ref="AZ39">IF(hp!AZ39=0,0,_xll.BDP(AZ$4,"YAS_BOND_YLD", "YAS_BOND_PX",hp!AZ39, "SETTLE_DT", TEXT(ya!$C39,"YYYYMMDD")))</f>
        <v>0</v>
      </c>
    </row>
    <row r="40" spans="1:52" x14ac:dyDescent="0.25">
      <c r="A40" s="1"/>
      <c r="B40" s="2"/>
      <c r="C40" s="1">
        <v>43131</v>
      </c>
      <c r="D40" s="2" cm="1">
        <f t="array" ref="D40">IF(hp!D40=0,0,_xll.BDP(D$4,"YAS_BOND_YLD", "YAS_BOND_PX",hp!D40, "SETTLE_DT", TEXT(ya!$C40,"YYYYMMDD")))</f>
        <v>0</v>
      </c>
      <c r="E40" s="2" cm="1">
        <f t="array" ref="E40">IF(hp!E40=0,0,_xll.BDP(E$4,"YAS_BOND_YLD", "YAS_BOND_PX",hp!E40, "SETTLE_DT", TEXT(ya!$C40,"YYYYMMDD")))</f>
        <v>0</v>
      </c>
      <c r="F40" s="2" cm="1">
        <f t="array" ref="F40">IF(hp!F40=0,0,_xll.BDP(F$4,"YAS_BOND_YLD", "YAS_BOND_PX",hp!F40, "SETTLE_DT", TEXT(ya!$C40,"YYYYMMDD")))</f>
        <v>9.7365999999999993</v>
      </c>
      <c r="G40" s="2" cm="1">
        <f t="array" ref="G40">IF(hp!G40=0,0,_xll.BDP(G$4,"YAS_BOND_YLD", "YAS_BOND_PX",hp!G40, "SETTLE_DT", TEXT(ya!$C40,"YYYYMMDD")))</f>
        <v>4.9958</v>
      </c>
      <c r="H40" s="2" cm="1">
        <f t="array" ref="H40">IF(hp!H40=0,0,_xll.BDP(H$4,"YAS_BOND_YLD", "YAS_BOND_PX",hp!H40, "SETTLE_DT", TEXT(ya!$C40,"YYYYMMDD")))</f>
        <v>9.9086999999999996</v>
      </c>
      <c r="I40" s="2" cm="1">
        <f t="array" ref="I40">IF(hp!I40=0,0,_xll.BDP(I$4,"YAS_BOND_YLD", "YAS_BOND_PX",hp!I40, "SETTLE_DT", TEXT(ya!$C40,"YYYYMMDD")))</f>
        <v>0</v>
      </c>
      <c r="J40" s="2" cm="1">
        <f t="array" ref="J40">IF(hp!J40=0,0,_xll.BDP(J$4,"YAS_BOND_YLD", "YAS_BOND_PX",hp!J40, "SETTLE_DT", TEXT(ya!$C40,"YYYYMMDD")))</f>
        <v>5.1220999999999997</v>
      </c>
      <c r="K40" s="2" cm="1">
        <f t="array" ref="K40">IF(hp!K40=0,0,_xll.BDP(K$4,"YAS_BOND_YLD", "YAS_BOND_PX",hp!K40, "SETTLE_DT", TEXT(ya!$C40,"YYYYMMDD")))</f>
        <v>0</v>
      </c>
      <c r="L40" s="2" cm="1">
        <f t="array" ref="L40">IF(hp!L40=0,0,_xll.BDP(L$4,"YAS_BOND_YLD", "YAS_BOND_PX",hp!L40, "SETTLE_DT", TEXT(ya!$C40,"YYYYMMDD")))</f>
        <v>4.8792999999999997</v>
      </c>
      <c r="M40" s="2" cm="1">
        <f t="array" ref="M40">IF(hp!M40=0,0,_xll.BDP(M$4,"YAS_BOND_YLD", "YAS_BOND_PX",hp!M40, "SETTLE_DT", TEXT(ya!$C40,"YYYYMMDD")))</f>
        <v>4.7652999999999999</v>
      </c>
      <c r="N40" s="2" cm="1">
        <f t="array" ref="N40">IF(hp!N40=0,0,_xll.BDP(N$4,"YAS_BOND_YLD", "YAS_BOND_PX",hp!N40, "SETTLE_DT", TEXT(ya!$C40,"YYYYMMDD")))</f>
        <v>4.6543000000000001</v>
      </c>
      <c r="O40" s="2" cm="1">
        <f t="array" ref="O40">IF(hp!O40=0,0,_xll.BDP(O$4,"YAS_BOND_YLD", "YAS_BOND_PX",hp!O40, "SETTLE_DT", TEXT(ya!$C40,"YYYYMMDD")))</f>
        <v>0</v>
      </c>
      <c r="P40" s="2" cm="1">
        <f t="array" ref="P40">IF(hp!P40=0,0,_xll.BDP(P$4,"YAS_BOND_YLD", "YAS_BOND_PX",hp!P40, "SETTLE_DT", TEXT(ya!$C40,"YYYYMMDD")))</f>
        <v>0</v>
      </c>
      <c r="Q40" s="2" cm="1">
        <f t="array" ref="Q40">IF(hp!Q40=0,0,_xll.BDP(Q$4,"YAS_BOND_YLD", "YAS_BOND_PX",hp!Q40, "SETTLE_DT", TEXT(ya!$C40,"YYYYMMDD")))</f>
        <v>5.1295999999999999</v>
      </c>
      <c r="R40" s="2" cm="1">
        <f t="array" ref="R40">IF(hp!R40=0,0,_xll.BDP(R$4,"YAS_BOND_YLD", "YAS_BOND_PX",hp!R40, "SETTLE_DT", TEXT(ya!$C40,"YYYYMMDD")))</f>
        <v>0</v>
      </c>
      <c r="S40" s="2" cm="1">
        <f t="array" ref="S40">IF(hp!S40=0,0,_xll.BDP(S$4,"YAS_BOND_YLD", "YAS_BOND_PX",hp!S40, "SETTLE_DT", TEXT(ya!$C40,"YYYYMMDD")))</f>
        <v>0</v>
      </c>
      <c r="T40" s="2" cm="1">
        <f t="array" ref="T40">IF(hp!T40=0,0,_xll.BDP(T$4,"YAS_BOND_YLD", "YAS_BOND_PX",hp!T40, "SETTLE_DT", TEXT(ya!$C40,"YYYYMMDD")))</f>
        <v>0</v>
      </c>
      <c r="U40" s="2" cm="1">
        <f t="array" ref="U40">IF(hp!U40=0,0,_xll.BDP(U$4,"YAS_BOND_YLD", "YAS_BOND_PX",hp!U40, "SETTLE_DT", TEXT(ya!$C40,"YYYYMMDD")))</f>
        <v>5.0228999999999999</v>
      </c>
      <c r="V40" s="2" cm="1">
        <f t="array" ref="V40">IF(hp!V40=0,0,_xll.BDP(V$4,"YAS_BOND_YLD", "YAS_BOND_PX",hp!V40, "SETTLE_DT", TEXT(ya!$C40,"YYYYMMDD")))</f>
        <v>0</v>
      </c>
      <c r="W40" s="2" cm="1">
        <f t="array" ref="W40">IF(hp!W40=0,0,_xll.BDP(W$4,"YAS_BOND_YLD", "YAS_BOND_PX",hp!W40, "SETTLE_DT", TEXT(ya!$C40,"YYYYMMDD")))</f>
        <v>0</v>
      </c>
      <c r="X40" s="2" cm="1">
        <f t="array" ref="X40">IF(hp!X40=0,0,_xll.BDP(X$4,"YAS_BOND_YLD", "YAS_BOND_PX",hp!X40, "SETTLE_DT", TEXT(ya!$C40,"YYYYMMDD")))</f>
        <v>0</v>
      </c>
      <c r="Y40" s="2" cm="1">
        <f t="array" ref="Y40">IF(hp!Y40=0,0,_xll.BDP(Y$4,"YAS_BOND_YLD", "YAS_BOND_PX",hp!Y40, "SETTLE_DT", TEXT(ya!$C40,"YYYYMMDD")))</f>
        <v>0</v>
      </c>
      <c r="Z40" s="2" cm="1">
        <f t="array" ref="Z40">IF(hp!Z40=0,0,_xll.BDP(Z$4,"YAS_BOND_YLD", "YAS_BOND_PX",hp!Z40, "SETTLE_DT", TEXT(ya!$C40,"YYYYMMDD")))</f>
        <v>0</v>
      </c>
      <c r="AA40" s="2" cm="1">
        <f t="array" ref="AA40">IF(hp!AA40=0,0,_xll.BDP(AA$4,"YAS_BOND_YLD", "YAS_BOND_PX",hp!AA40, "SETTLE_DT", TEXT(ya!$C40,"YYYYMMDD")))</f>
        <v>0</v>
      </c>
      <c r="AB40" s="2" cm="1">
        <f t="array" ref="AB40">IF(hp!AB40=0,0,_xll.BDP(AB$4,"YAS_BOND_YLD", "YAS_BOND_PX",hp!AB40, "SETTLE_DT", TEXT(ya!$C40,"YYYYMMDD")))</f>
        <v>0</v>
      </c>
      <c r="AC40" s="2" cm="1">
        <f t="array" ref="AC40">IF(hp!AC40=0,0,_xll.BDP(AC$4,"YAS_BOND_YLD", "YAS_BOND_PX",hp!AC40, "SETTLE_DT", TEXT(ya!$C40,"YYYYMMDD")))</f>
        <v>0</v>
      </c>
      <c r="AD40" s="2" cm="1">
        <f t="array" ref="AD40">IF(hp!AD40=0,0,_xll.BDP(AD$4,"YAS_BOND_YLD", "YAS_BOND_PX",hp!AD40, "SETTLE_DT", TEXT(ya!$C40,"YYYYMMDD")))</f>
        <v>5.1081000000000003</v>
      </c>
      <c r="AE40" s="2" cm="1">
        <f t="array" ref="AE40">IF(hp!AE40=0,0,_xll.BDP(AE$4,"YAS_BOND_YLD", "YAS_BOND_PX",hp!AE40, "SETTLE_DT", TEXT(ya!$C40,"YYYYMMDD")))</f>
        <v>0</v>
      </c>
      <c r="AF40" s="2" cm="1">
        <f t="array" ref="AF40">IF(hp!AF40=0,0,_xll.BDP(AF$4,"YAS_BOND_YLD", "YAS_BOND_PX",hp!AF40, "SETTLE_DT", TEXT(ya!$C40,"YYYYMMDD")))</f>
        <v>0</v>
      </c>
      <c r="AG40" s="2" cm="1">
        <f t="array" ref="AG40">IF(hp!AG40=0,0,_xll.BDP(AG$4,"YAS_BOND_YLD", "YAS_BOND_PX",hp!AG40, "SETTLE_DT", TEXT(ya!$C40,"YYYYMMDD")))</f>
        <v>0</v>
      </c>
      <c r="AH40" s="2" cm="1">
        <f t="array" ref="AH40">IF(hp!AH40=0,0,_xll.BDP(AH$4,"YAS_BOND_YLD", "YAS_BOND_PX",hp!AH40, "SETTLE_DT", TEXT(ya!$C40,"YYYYMMDD")))</f>
        <v>0</v>
      </c>
      <c r="AI40" s="2" cm="1">
        <f t="array" ref="AI40">IF(hp!AI40=0,0,_xll.BDP(AI$4,"YAS_BOND_YLD", "YAS_BOND_PX",hp!AI40, "SETTLE_DT", TEXT(ya!$C40,"YYYYMMDD")))</f>
        <v>0</v>
      </c>
      <c r="AJ40" s="2" cm="1">
        <f t="array" ref="AJ40">IF(hp!AJ40=0,0,_xll.BDP(AJ$4,"YAS_BOND_YLD", "YAS_BOND_PX",hp!AJ40, "SETTLE_DT", TEXT(ya!$C40,"YYYYMMDD")))</f>
        <v>0</v>
      </c>
      <c r="AK40" s="2" cm="1">
        <f t="array" ref="AK40">IF(hp!AK40=0,0,_xll.BDP(AK$4,"YAS_BOND_YLD", "YAS_BOND_PX",hp!AK40, "SETTLE_DT", TEXT(ya!$C40,"YYYYMMDD")))</f>
        <v>0</v>
      </c>
      <c r="AL40" s="2" cm="1">
        <f t="array" ref="AL40">IF(hp!AL40=0,0,_xll.BDP(AL$4,"YAS_BOND_YLD", "YAS_BOND_PX",hp!AL40, "SETTLE_DT", TEXT(ya!$C40,"YYYYMMDD")))</f>
        <v>0</v>
      </c>
      <c r="AM40" s="2" cm="1">
        <f t="array" ref="AM40">IF(hp!AM40=0,0,_xll.BDP(AM$4,"YAS_BOND_YLD", "YAS_BOND_PX",hp!AM40, "SETTLE_DT", TEXT(ya!$C40,"YYYYMMDD")))</f>
        <v>0</v>
      </c>
      <c r="AN40" s="2" cm="1">
        <f t="array" ref="AN40">IF(hp!AN40=0,0,_xll.BDP(AN$4,"YAS_BOND_YLD", "YAS_BOND_PX",hp!AN40, "SETTLE_DT", TEXT(ya!$C40,"YYYYMMDD")))</f>
        <v>0</v>
      </c>
      <c r="AO40" s="2" cm="1">
        <f t="array" ref="AO40">IF(hp!AO40=0,0,_xll.BDP(AO$4,"YAS_BOND_YLD", "YAS_BOND_PX",hp!AO40, "SETTLE_DT", TEXT(ya!$C40,"YYYYMMDD")))</f>
        <v>0</v>
      </c>
      <c r="AP40" s="2" cm="1">
        <f t="array" ref="AP40">IF(hp!AP40=0,0,_xll.BDP(AP$4,"YAS_BOND_YLD", "YAS_BOND_PX",hp!AP40, "SETTLE_DT", TEXT(ya!$C40,"YYYYMMDD")))</f>
        <v>0</v>
      </c>
      <c r="AQ40" s="2" cm="1">
        <f t="array" ref="AQ40">IF(hp!AQ40=0,0,_xll.BDP(AQ$4,"YAS_BOND_YLD", "YAS_BOND_PX",hp!AQ40, "SETTLE_DT", TEXT(ya!$C40,"YYYYMMDD")))</f>
        <v>0</v>
      </c>
      <c r="AR40" s="2" cm="1">
        <f t="array" ref="AR40">IF(hp!AR40=0,0,_xll.BDP(AR$4,"YAS_BOND_YLD", "YAS_BOND_PX",hp!AR40, "SETTLE_DT", TEXT(ya!$C40,"YYYYMMDD")))</f>
        <v>0</v>
      </c>
      <c r="AS40" s="2" cm="1">
        <f t="array" ref="AS40">IF(hp!AS40=0,0,_xll.BDP(AS$4,"YAS_BOND_YLD", "YAS_BOND_PX",hp!AS40, "SETTLE_DT", TEXT(ya!$C40,"YYYYMMDD")))</f>
        <v>0</v>
      </c>
      <c r="AT40" s="2" cm="1">
        <f t="array" ref="AT40">IF(hp!AT40=0,0,_xll.BDP(AT$4,"YAS_BOND_YLD", "YAS_BOND_PX",hp!AT40, "SETTLE_DT", TEXT(ya!$C40,"YYYYMMDD")))</f>
        <v>0</v>
      </c>
      <c r="AU40" s="2" cm="1">
        <f t="array" ref="AU40">IF(hp!AU40=0,0,_xll.BDP(AU$4,"YAS_BOND_YLD", "YAS_BOND_PX",hp!AU40, "SETTLE_DT", TEXT(ya!$C40,"YYYYMMDD")))</f>
        <v>0</v>
      </c>
      <c r="AV40" s="2" cm="1">
        <f t="array" ref="AV40">IF(hp!AV40=0,0,_xll.BDP(AV$4,"YAS_BOND_YLD", "YAS_BOND_PX",hp!AV40, "SETTLE_DT", TEXT(ya!$C40,"YYYYMMDD")))</f>
        <v>0</v>
      </c>
      <c r="AW40" s="2" cm="1">
        <f t="array" ref="AW40">IF(hp!AW40=0,0,_xll.BDP(AW$4,"YAS_BOND_YLD", "YAS_BOND_PX",hp!AW40, "SETTLE_DT", TEXT(ya!$C40,"YYYYMMDD")))</f>
        <v>0</v>
      </c>
      <c r="AX40" s="2" cm="1">
        <f t="array" ref="AX40">IF(hp!AX40=0,0,_xll.BDP(AX$4,"YAS_BOND_YLD", "YAS_BOND_PX",hp!AX40, "SETTLE_DT", TEXT(ya!$C40,"YYYYMMDD")))</f>
        <v>0</v>
      </c>
      <c r="AY40" s="2" cm="1">
        <f t="array" ref="AY40">IF(hp!AY40=0,0,_xll.BDP(AY$4,"YAS_BOND_YLD", "YAS_BOND_PX",hp!AY40, "SETTLE_DT", TEXT(ya!$C40,"YYYYMMDD")))</f>
        <v>0</v>
      </c>
      <c r="AZ40" s="2" cm="1">
        <f t="array" ref="AZ40">IF(hp!AZ40=0,0,_xll.BDP(AZ$4,"YAS_BOND_YLD", "YAS_BOND_PX",hp!AZ40, "SETTLE_DT", TEXT(ya!$C40,"YYYYMMDD")))</f>
        <v>0</v>
      </c>
    </row>
    <row r="41" spans="1:52" x14ac:dyDescent="0.25">
      <c r="A41" s="1"/>
      <c r="B41" s="2"/>
      <c r="C41" s="1">
        <v>43159</v>
      </c>
      <c r="D41" s="2" cm="1">
        <f t="array" ref="D41">IF(hp!D41=0,0,_xll.BDP(D$4,"YAS_BOND_YLD", "YAS_BOND_PX",hp!D41, "SETTLE_DT", TEXT(ya!$C41,"YYYYMMDD")))</f>
        <v>0</v>
      </c>
      <c r="E41" s="2" cm="1">
        <f t="array" ref="E41">IF(hp!E41=0,0,_xll.BDP(E$4,"YAS_BOND_YLD", "YAS_BOND_PX",hp!E41, "SETTLE_DT", TEXT(ya!$C41,"YYYYMMDD")))</f>
        <v>0</v>
      </c>
      <c r="F41" s="2" cm="1">
        <f t="array" ref="F41">IF(hp!F41=0,0,_xll.BDP(F$4,"YAS_BOND_YLD", "YAS_BOND_PX",hp!F41, "SETTLE_DT", TEXT(ya!$C41,"YYYYMMDD")))</f>
        <v>9.5687999999999995</v>
      </c>
      <c r="G41" s="2" cm="1">
        <f t="array" ref="G41">IF(hp!G41=0,0,_xll.BDP(G$4,"YAS_BOND_YLD", "YAS_BOND_PX",hp!G41, "SETTLE_DT", TEXT(ya!$C41,"YYYYMMDD")))</f>
        <v>5.0266000000000002</v>
      </c>
      <c r="H41" s="2" cm="1">
        <f t="array" ref="H41">IF(hp!H41=0,0,_xll.BDP(H$4,"YAS_BOND_YLD", "YAS_BOND_PX",hp!H41, "SETTLE_DT", TEXT(ya!$C41,"YYYYMMDD")))</f>
        <v>9.7374000000000009</v>
      </c>
      <c r="I41" s="2" cm="1">
        <f t="array" ref="I41">IF(hp!I41=0,0,_xll.BDP(I$4,"YAS_BOND_YLD", "YAS_BOND_PX",hp!I41, "SETTLE_DT", TEXT(ya!$C41,"YYYYMMDD")))</f>
        <v>0</v>
      </c>
      <c r="J41" s="2" cm="1">
        <f t="array" ref="J41">IF(hp!J41=0,0,_xll.BDP(J$4,"YAS_BOND_YLD", "YAS_BOND_PX",hp!J41, "SETTLE_DT", TEXT(ya!$C41,"YYYYMMDD")))</f>
        <v>5.0975000000000001</v>
      </c>
      <c r="K41" s="2" cm="1">
        <f t="array" ref="K41">IF(hp!K41=0,0,_xll.BDP(K$4,"YAS_BOND_YLD", "YAS_BOND_PX",hp!K41, "SETTLE_DT", TEXT(ya!$C41,"YYYYMMDD")))</f>
        <v>0</v>
      </c>
      <c r="L41" s="2" cm="1">
        <f t="array" ref="L41">IF(hp!L41=0,0,_xll.BDP(L$4,"YAS_BOND_YLD", "YAS_BOND_PX",hp!L41, "SETTLE_DT", TEXT(ya!$C41,"YYYYMMDD")))</f>
        <v>4.9058999999999999</v>
      </c>
      <c r="M41" s="2" cm="1">
        <f t="array" ref="M41">IF(hp!M41=0,0,_xll.BDP(M$4,"YAS_BOND_YLD", "YAS_BOND_PX",hp!M41, "SETTLE_DT", TEXT(ya!$C41,"YYYYMMDD")))</f>
        <v>4.8552999999999997</v>
      </c>
      <c r="N41" s="2" cm="1">
        <f t="array" ref="N41">IF(hp!N41=0,0,_xll.BDP(N$4,"YAS_BOND_YLD", "YAS_BOND_PX",hp!N41, "SETTLE_DT", TEXT(ya!$C41,"YYYYMMDD")))</f>
        <v>4.7346000000000004</v>
      </c>
      <c r="O41" s="2" cm="1">
        <f t="array" ref="O41">IF(hp!O41=0,0,_xll.BDP(O$4,"YAS_BOND_YLD", "YAS_BOND_PX",hp!O41, "SETTLE_DT", TEXT(ya!$C41,"YYYYMMDD")))</f>
        <v>0</v>
      </c>
      <c r="P41" s="2" cm="1">
        <f t="array" ref="P41">IF(hp!P41=0,0,_xll.BDP(P$4,"YAS_BOND_YLD", "YAS_BOND_PX",hp!P41, "SETTLE_DT", TEXT(ya!$C41,"YYYYMMDD")))</f>
        <v>0</v>
      </c>
      <c r="Q41" s="2" cm="1">
        <f t="array" ref="Q41">IF(hp!Q41=0,0,_xll.BDP(Q$4,"YAS_BOND_YLD", "YAS_BOND_PX",hp!Q41, "SETTLE_DT", TEXT(ya!$C41,"YYYYMMDD")))</f>
        <v>5.1022999999999996</v>
      </c>
      <c r="R41" s="2" cm="1">
        <f t="array" ref="R41">IF(hp!R41=0,0,_xll.BDP(R$4,"YAS_BOND_YLD", "YAS_BOND_PX",hp!R41, "SETTLE_DT", TEXT(ya!$C41,"YYYYMMDD")))</f>
        <v>0</v>
      </c>
      <c r="S41" s="2" cm="1">
        <f t="array" ref="S41">IF(hp!S41=0,0,_xll.BDP(S$4,"YAS_BOND_YLD", "YAS_BOND_PX",hp!S41, "SETTLE_DT", TEXT(ya!$C41,"YYYYMMDD")))</f>
        <v>0</v>
      </c>
      <c r="T41" s="2" cm="1">
        <f t="array" ref="T41">IF(hp!T41=0,0,_xll.BDP(T$4,"YAS_BOND_YLD", "YAS_BOND_PX",hp!T41, "SETTLE_DT", TEXT(ya!$C41,"YYYYMMDD")))</f>
        <v>0</v>
      </c>
      <c r="U41" s="2" cm="1">
        <f t="array" ref="U41">IF(hp!U41=0,0,_xll.BDP(U$4,"YAS_BOND_YLD", "YAS_BOND_PX",hp!U41, "SETTLE_DT", TEXT(ya!$C41,"YYYYMMDD")))</f>
        <v>5.0307000000000004</v>
      </c>
      <c r="V41" s="2" cm="1">
        <f t="array" ref="V41">IF(hp!V41=0,0,_xll.BDP(V$4,"YAS_BOND_YLD", "YAS_BOND_PX",hp!V41, "SETTLE_DT", TEXT(ya!$C41,"YYYYMMDD")))</f>
        <v>0</v>
      </c>
      <c r="W41" s="2" cm="1">
        <f t="array" ref="W41">IF(hp!W41=0,0,_xll.BDP(W$4,"YAS_BOND_YLD", "YAS_BOND_PX",hp!W41, "SETTLE_DT", TEXT(ya!$C41,"YYYYMMDD")))</f>
        <v>0</v>
      </c>
      <c r="X41" s="2" cm="1">
        <f t="array" ref="X41">IF(hp!X41=0,0,_xll.BDP(X$4,"YAS_BOND_YLD", "YAS_BOND_PX",hp!X41, "SETTLE_DT", TEXT(ya!$C41,"YYYYMMDD")))</f>
        <v>0</v>
      </c>
      <c r="Y41" s="2" cm="1">
        <f t="array" ref="Y41">IF(hp!Y41=0,0,_xll.BDP(Y$4,"YAS_BOND_YLD", "YAS_BOND_PX",hp!Y41, "SETTLE_DT", TEXT(ya!$C41,"YYYYMMDD")))</f>
        <v>0</v>
      </c>
      <c r="Z41" s="2" cm="1">
        <f t="array" ref="Z41">IF(hp!Z41=0,0,_xll.BDP(Z$4,"YAS_BOND_YLD", "YAS_BOND_PX",hp!Z41, "SETTLE_DT", TEXT(ya!$C41,"YYYYMMDD")))</f>
        <v>0</v>
      </c>
      <c r="AA41" s="2" cm="1">
        <f t="array" ref="AA41">IF(hp!AA41=0,0,_xll.BDP(AA$4,"YAS_BOND_YLD", "YAS_BOND_PX",hp!AA41, "SETTLE_DT", TEXT(ya!$C41,"YYYYMMDD")))</f>
        <v>0</v>
      </c>
      <c r="AB41" s="2" cm="1">
        <f t="array" ref="AB41">IF(hp!AB41=0,0,_xll.BDP(AB$4,"YAS_BOND_YLD", "YAS_BOND_PX",hp!AB41, "SETTLE_DT", TEXT(ya!$C41,"YYYYMMDD")))</f>
        <v>0</v>
      </c>
      <c r="AC41" s="2" cm="1">
        <f t="array" ref="AC41">IF(hp!AC41=0,0,_xll.BDP(AC$4,"YAS_BOND_YLD", "YAS_BOND_PX",hp!AC41, "SETTLE_DT", TEXT(ya!$C41,"YYYYMMDD")))</f>
        <v>0</v>
      </c>
      <c r="AD41" s="2" cm="1">
        <f t="array" ref="AD41">IF(hp!AD41=0,0,_xll.BDP(AD$4,"YAS_BOND_YLD", "YAS_BOND_PX",hp!AD41, "SETTLE_DT", TEXT(ya!$C41,"YYYYMMDD")))</f>
        <v>5.1128</v>
      </c>
      <c r="AE41" s="2" cm="1">
        <f t="array" ref="AE41">IF(hp!AE41=0,0,_xll.BDP(AE$4,"YAS_BOND_YLD", "YAS_BOND_PX",hp!AE41, "SETTLE_DT", TEXT(ya!$C41,"YYYYMMDD")))</f>
        <v>0</v>
      </c>
      <c r="AF41" s="2" cm="1">
        <f t="array" ref="AF41">IF(hp!AF41=0,0,_xll.BDP(AF$4,"YAS_BOND_YLD", "YAS_BOND_PX",hp!AF41, "SETTLE_DT", TEXT(ya!$C41,"YYYYMMDD")))</f>
        <v>0</v>
      </c>
      <c r="AG41" s="2" cm="1">
        <f t="array" ref="AG41">IF(hp!AG41=0,0,_xll.BDP(AG$4,"YAS_BOND_YLD", "YAS_BOND_PX",hp!AG41, "SETTLE_DT", TEXT(ya!$C41,"YYYYMMDD")))</f>
        <v>0</v>
      </c>
      <c r="AH41" s="2" cm="1">
        <f t="array" ref="AH41">IF(hp!AH41=0,0,_xll.BDP(AH$4,"YAS_BOND_YLD", "YAS_BOND_PX",hp!AH41, "SETTLE_DT", TEXT(ya!$C41,"YYYYMMDD")))</f>
        <v>0</v>
      </c>
      <c r="AI41" s="2" cm="1">
        <f t="array" ref="AI41">IF(hp!AI41=0,0,_xll.BDP(AI$4,"YAS_BOND_YLD", "YAS_BOND_PX",hp!AI41, "SETTLE_DT", TEXT(ya!$C41,"YYYYMMDD")))</f>
        <v>0</v>
      </c>
      <c r="AJ41" s="2" cm="1">
        <f t="array" ref="AJ41">IF(hp!AJ41=0,0,_xll.BDP(AJ$4,"YAS_BOND_YLD", "YAS_BOND_PX",hp!AJ41, "SETTLE_DT", TEXT(ya!$C41,"YYYYMMDD")))</f>
        <v>0</v>
      </c>
      <c r="AK41" s="2" cm="1">
        <f t="array" ref="AK41">IF(hp!AK41=0,0,_xll.BDP(AK$4,"YAS_BOND_YLD", "YAS_BOND_PX",hp!AK41, "SETTLE_DT", TEXT(ya!$C41,"YYYYMMDD")))</f>
        <v>0</v>
      </c>
      <c r="AL41" s="2" cm="1">
        <f t="array" ref="AL41">IF(hp!AL41=0,0,_xll.BDP(AL$4,"YAS_BOND_YLD", "YAS_BOND_PX",hp!AL41, "SETTLE_DT", TEXT(ya!$C41,"YYYYMMDD")))</f>
        <v>0</v>
      </c>
      <c r="AM41" s="2" cm="1">
        <f t="array" ref="AM41">IF(hp!AM41=0,0,_xll.BDP(AM$4,"YAS_BOND_YLD", "YAS_BOND_PX",hp!AM41, "SETTLE_DT", TEXT(ya!$C41,"YYYYMMDD")))</f>
        <v>0</v>
      </c>
      <c r="AN41" s="2" cm="1">
        <f t="array" ref="AN41">IF(hp!AN41=0,0,_xll.BDP(AN$4,"YAS_BOND_YLD", "YAS_BOND_PX",hp!AN41, "SETTLE_DT", TEXT(ya!$C41,"YYYYMMDD")))</f>
        <v>0</v>
      </c>
      <c r="AO41" s="2" cm="1">
        <f t="array" ref="AO41">IF(hp!AO41=0,0,_xll.BDP(AO$4,"YAS_BOND_YLD", "YAS_BOND_PX",hp!AO41, "SETTLE_DT", TEXT(ya!$C41,"YYYYMMDD")))</f>
        <v>0</v>
      </c>
      <c r="AP41" s="2" cm="1">
        <f t="array" ref="AP41">IF(hp!AP41=0,0,_xll.BDP(AP$4,"YAS_BOND_YLD", "YAS_BOND_PX",hp!AP41, "SETTLE_DT", TEXT(ya!$C41,"YYYYMMDD")))</f>
        <v>0</v>
      </c>
      <c r="AQ41" s="2" cm="1">
        <f t="array" ref="AQ41">IF(hp!AQ41=0,0,_xll.BDP(AQ$4,"YAS_BOND_YLD", "YAS_BOND_PX",hp!AQ41, "SETTLE_DT", TEXT(ya!$C41,"YYYYMMDD")))</f>
        <v>0</v>
      </c>
      <c r="AR41" s="2" cm="1">
        <f t="array" ref="AR41">IF(hp!AR41=0,0,_xll.BDP(AR$4,"YAS_BOND_YLD", "YAS_BOND_PX",hp!AR41, "SETTLE_DT", TEXT(ya!$C41,"YYYYMMDD")))</f>
        <v>0</v>
      </c>
      <c r="AS41" s="2" cm="1">
        <f t="array" ref="AS41">IF(hp!AS41=0,0,_xll.BDP(AS$4,"YAS_BOND_YLD", "YAS_BOND_PX",hp!AS41, "SETTLE_DT", TEXT(ya!$C41,"YYYYMMDD")))</f>
        <v>0</v>
      </c>
      <c r="AT41" s="2" cm="1">
        <f t="array" ref="AT41">IF(hp!AT41=0,0,_xll.BDP(AT$4,"YAS_BOND_YLD", "YAS_BOND_PX",hp!AT41, "SETTLE_DT", TEXT(ya!$C41,"YYYYMMDD")))</f>
        <v>0</v>
      </c>
      <c r="AU41" s="2" cm="1">
        <f t="array" ref="AU41">IF(hp!AU41=0,0,_xll.BDP(AU$4,"YAS_BOND_YLD", "YAS_BOND_PX",hp!AU41, "SETTLE_DT", TEXT(ya!$C41,"YYYYMMDD")))</f>
        <v>0</v>
      </c>
      <c r="AV41" s="2" cm="1">
        <f t="array" ref="AV41">IF(hp!AV41=0,0,_xll.BDP(AV$4,"YAS_BOND_YLD", "YAS_BOND_PX",hp!AV41, "SETTLE_DT", TEXT(ya!$C41,"YYYYMMDD")))</f>
        <v>0</v>
      </c>
      <c r="AW41" s="2" cm="1">
        <f t="array" ref="AW41">IF(hp!AW41=0,0,_xll.BDP(AW$4,"YAS_BOND_YLD", "YAS_BOND_PX",hp!AW41, "SETTLE_DT", TEXT(ya!$C41,"YYYYMMDD")))</f>
        <v>0</v>
      </c>
      <c r="AX41" s="2" cm="1">
        <f t="array" ref="AX41">IF(hp!AX41=0,0,_xll.BDP(AX$4,"YAS_BOND_YLD", "YAS_BOND_PX",hp!AX41, "SETTLE_DT", TEXT(ya!$C41,"YYYYMMDD")))</f>
        <v>0</v>
      </c>
      <c r="AY41" s="2" cm="1">
        <f t="array" ref="AY41">IF(hp!AY41=0,0,_xll.BDP(AY$4,"YAS_BOND_YLD", "YAS_BOND_PX",hp!AY41, "SETTLE_DT", TEXT(ya!$C41,"YYYYMMDD")))</f>
        <v>0</v>
      </c>
      <c r="AZ41" s="2" cm="1">
        <f t="array" ref="AZ41">IF(hp!AZ41=0,0,_xll.BDP(AZ$4,"YAS_BOND_YLD", "YAS_BOND_PX",hp!AZ41, "SETTLE_DT", TEXT(ya!$C41,"YYYYMMDD")))</f>
        <v>0</v>
      </c>
    </row>
    <row r="42" spans="1:52" x14ac:dyDescent="0.25">
      <c r="A42" s="1"/>
      <c r="B42" s="2"/>
      <c r="C42" s="1">
        <v>43189</v>
      </c>
      <c r="D42" s="2" cm="1">
        <f t="array" ref="D42">IF(hp!D42=0,0,_xll.BDP(D$4,"YAS_BOND_YLD", "YAS_BOND_PX",hp!D42, "SETTLE_DT", TEXT(ya!$C42,"YYYYMMDD")))</f>
        <v>0</v>
      </c>
      <c r="E42" s="2" cm="1">
        <f t="array" ref="E42">IF(hp!E42=0,0,_xll.BDP(E$4,"YAS_BOND_YLD", "YAS_BOND_PX",hp!E42, "SETTLE_DT", TEXT(ya!$C42,"YYYYMMDD")))</f>
        <v>0</v>
      </c>
      <c r="F42" s="2" cm="1">
        <f t="array" ref="F42">IF(hp!F42=0,0,_xll.BDP(F$4,"YAS_BOND_YLD", "YAS_BOND_PX",hp!F42, "SETTLE_DT", TEXT(ya!$C42,"YYYYMMDD")))</f>
        <v>9.4745000000000008</v>
      </c>
      <c r="G42" s="2" cm="1">
        <f t="array" ref="G42">IF(hp!G42=0,0,_xll.BDP(G$4,"YAS_BOND_YLD", "YAS_BOND_PX",hp!G42, "SETTLE_DT", TEXT(ya!$C42,"YYYYMMDD")))</f>
        <v>5.0561999999999996</v>
      </c>
      <c r="H42" s="2" cm="1">
        <f t="array" ref="H42">IF(hp!H42=0,0,_xll.BDP(H$4,"YAS_BOND_YLD", "YAS_BOND_PX",hp!H42, "SETTLE_DT", TEXT(ya!$C42,"YYYYMMDD")))</f>
        <v>9.6429000000000009</v>
      </c>
      <c r="I42" s="2" cm="1">
        <f t="array" ref="I42">IF(hp!I42=0,0,_xll.BDP(I$4,"YAS_BOND_YLD", "YAS_BOND_PX",hp!I42, "SETTLE_DT", TEXT(ya!$C42,"YYYYMMDD")))</f>
        <v>0</v>
      </c>
      <c r="J42" s="2" cm="1">
        <f t="array" ref="J42">IF(hp!J42=0,0,_xll.BDP(J$4,"YAS_BOND_YLD", "YAS_BOND_PX",hp!J42, "SETTLE_DT", TEXT(ya!$C42,"YYYYMMDD")))</f>
        <v>5.1849999999999996</v>
      </c>
      <c r="K42" s="2" cm="1">
        <f t="array" ref="K42">IF(hp!K42=0,0,_xll.BDP(K$4,"YAS_BOND_YLD", "YAS_BOND_PX",hp!K42, "SETTLE_DT", TEXT(ya!$C42,"YYYYMMDD")))</f>
        <v>0</v>
      </c>
      <c r="L42" s="2" cm="1">
        <f t="array" ref="L42">IF(hp!L42=0,0,_xll.BDP(L$4,"YAS_BOND_YLD", "YAS_BOND_PX",hp!L42, "SETTLE_DT", TEXT(ya!$C42,"YYYYMMDD")))</f>
        <v>4.9111000000000002</v>
      </c>
      <c r="M42" s="2" cm="1">
        <f t="array" ref="M42">IF(hp!M42=0,0,_xll.BDP(M$4,"YAS_BOND_YLD", "YAS_BOND_PX",hp!M42, "SETTLE_DT", TEXT(ya!$C42,"YYYYMMDD")))</f>
        <v>4.8164999999999996</v>
      </c>
      <c r="N42" s="2" cm="1">
        <f t="array" ref="N42">IF(hp!N42=0,0,_xll.BDP(N$4,"YAS_BOND_YLD", "YAS_BOND_PX",hp!N42, "SETTLE_DT", TEXT(ya!$C42,"YYYYMMDD")))</f>
        <v>4.5796999999999999</v>
      </c>
      <c r="O42" s="2" cm="1">
        <f t="array" ref="O42">IF(hp!O42=0,0,_xll.BDP(O$4,"YAS_BOND_YLD", "YAS_BOND_PX",hp!O42, "SETTLE_DT", TEXT(ya!$C42,"YYYYMMDD")))</f>
        <v>0</v>
      </c>
      <c r="P42" s="2" cm="1">
        <f t="array" ref="P42">IF(hp!P42=0,0,_xll.BDP(P$4,"YAS_BOND_YLD", "YAS_BOND_PX",hp!P42, "SETTLE_DT", TEXT(ya!$C42,"YYYYMMDD")))</f>
        <v>0</v>
      </c>
      <c r="Q42" s="2" cm="1">
        <f t="array" ref="Q42">IF(hp!Q42=0,0,_xll.BDP(Q$4,"YAS_BOND_YLD", "YAS_BOND_PX",hp!Q42, "SETTLE_DT", TEXT(ya!$C42,"YYYYMMDD")))</f>
        <v>5.1877000000000004</v>
      </c>
      <c r="R42" s="2" cm="1">
        <f t="array" ref="R42">IF(hp!R42=0,0,_xll.BDP(R$4,"YAS_BOND_YLD", "YAS_BOND_PX",hp!R42, "SETTLE_DT", TEXT(ya!$C42,"YYYYMMDD")))</f>
        <v>0</v>
      </c>
      <c r="S42" s="2" cm="1">
        <f t="array" ref="S42">IF(hp!S42=0,0,_xll.BDP(S$4,"YAS_BOND_YLD", "YAS_BOND_PX",hp!S42, "SETTLE_DT", TEXT(ya!$C42,"YYYYMMDD")))</f>
        <v>0</v>
      </c>
      <c r="T42" s="2" cm="1">
        <f t="array" ref="T42">IF(hp!T42=0,0,_xll.BDP(T$4,"YAS_BOND_YLD", "YAS_BOND_PX",hp!T42, "SETTLE_DT", TEXT(ya!$C42,"YYYYMMDD")))</f>
        <v>0</v>
      </c>
      <c r="U42" s="2" cm="1">
        <f t="array" ref="U42">IF(hp!U42=0,0,_xll.BDP(U$4,"YAS_BOND_YLD", "YAS_BOND_PX",hp!U42, "SETTLE_DT", TEXT(ya!$C42,"YYYYMMDD")))</f>
        <v>5.0925000000000002</v>
      </c>
      <c r="V42" s="2" cm="1">
        <f t="array" ref="V42">IF(hp!V42=0,0,_xll.BDP(V$4,"YAS_BOND_YLD", "YAS_BOND_PX",hp!V42, "SETTLE_DT", TEXT(ya!$C42,"YYYYMMDD")))</f>
        <v>0</v>
      </c>
      <c r="W42" s="2" cm="1">
        <f t="array" ref="W42">IF(hp!W42=0,0,_xll.BDP(W$4,"YAS_BOND_YLD", "YAS_BOND_PX",hp!W42, "SETTLE_DT", TEXT(ya!$C42,"YYYYMMDD")))</f>
        <v>0</v>
      </c>
      <c r="X42" s="2" cm="1">
        <f t="array" ref="X42">IF(hp!X42=0,0,_xll.BDP(X$4,"YAS_BOND_YLD", "YAS_BOND_PX",hp!X42, "SETTLE_DT", TEXT(ya!$C42,"YYYYMMDD")))</f>
        <v>0</v>
      </c>
      <c r="Y42" s="2" cm="1">
        <f t="array" ref="Y42">IF(hp!Y42=0,0,_xll.BDP(Y$4,"YAS_BOND_YLD", "YAS_BOND_PX",hp!Y42, "SETTLE_DT", TEXT(ya!$C42,"YYYYMMDD")))</f>
        <v>0</v>
      </c>
      <c r="Z42" s="2" cm="1">
        <f t="array" ref="Z42">IF(hp!Z42=0,0,_xll.BDP(Z$4,"YAS_BOND_YLD", "YAS_BOND_PX",hp!Z42, "SETTLE_DT", TEXT(ya!$C42,"YYYYMMDD")))</f>
        <v>0</v>
      </c>
      <c r="AA42" s="2" cm="1">
        <f t="array" ref="AA42">IF(hp!AA42=0,0,_xll.BDP(AA$4,"YAS_BOND_YLD", "YAS_BOND_PX",hp!AA42, "SETTLE_DT", TEXT(ya!$C42,"YYYYMMDD")))</f>
        <v>0</v>
      </c>
      <c r="AB42" s="2" cm="1">
        <f t="array" ref="AB42">IF(hp!AB42=0,0,_xll.BDP(AB$4,"YAS_BOND_YLD", "YAS_BOND_PX",hp!AB42, "SETTLE_DT", TEXT(ya!$C42,"YYYYMMDD")))</f>
        <v>0</v>
      </c>
      <c r="AC42" s="2" cm="1">
        <f t="array" ref="AC42">IF(hp!AC42=0,0,_xll.BDP(AC$4,"YAS_BOND_YLD", "YAS_BOND_PX",hp!AC42, "SETTLE_DT", TEXT(ya!$C42,"YYYYMMDD")))</f>
        <v>0</v>
      </c>
      <c r="AD42" s="2" cm="1">
        <f t="array" ref="AD42">IF(hp!AD42=0,0,_xll.BDP(AD$4,"YAS_BOND_YLD", "YAS_BOND_PX",hp!AD42, "SETTLE_DT", TEXT(ya!$C42,"YYYYMMDD")))</f>
        <v>5.1955</v>
      </c>
      <c r="AE42" s="2" cm="1">
        <f t="array" ref="AE42">IF(hp!AE42=0,0,_xll.BDP(AE$4,"YAS_BOND_YLD", "YAS_BOND_PX",hp!AE42, "SETTLE_DT", TEXT(ya!$C42,"YYYYMMDD")))</f>
        <v>0</v>
      </c>
      <c r="AF42" s="2" cm="1">
        <f t="array" ref="AF42">IF(hp!AF42=0,0,_xll.BDP(AF$4,"YAS_BOND_YLD", "YAS_BOND_PX",hp!AF42, "SETTLE_DT", TEXT(ya!$C42,"YYYYMMDD")))</f>
        <v>0</v>
      </c>
      <c r="AG42" s="2" cm="1">
        <f t="array" ref="AG42">IF(hp!AG42=0,0,_xll.BDP(AG$4,"YAS_BOND_YLD", "YAS_BOND_PX",hp!AG42, "SETTLE_DT", TEXT(ya!$C42,"YYYYMMDD")))</f>
        <v>0</v>
      </c>
      <c r="AH42" s="2" cm="1">
        <f t="array" ref="AH42">IF(hp!AH42=0,0,_xll.BDP(AH$4,"YAS_BOND_YLD", "YAS_BOND_PX",hp!AH42, "SETTLE_DT", TEXT(ya!$C42,"YYYYMMDD")))</f>
        <v>0</v>
      </c>
      <c r="AI42" s="2" cm="1">
        <f t="array" ref="AI42">IF(hp!AI42=0,0,_xll.BDP(AI$4,"YAS_BOND_YLD", "YAS_BOND_PX",hp!AI42, "SETTLE_DT", TEXT(ya!$C42,"YYYYMMDD")))</f>
        <v>0</v>
      </c>
      <c r="AJ42" s="2" cm="1">
        <f t="array" ref="AJ42">IF(hp!AJ42=0,0,_xll.BDP(AJ$4,"YAS_BOND_YLD", "YAS_BOND_PX",hp!AJ42, "SETTLE_DT", TEXT(ya!$C42,"YYYYMMDD")))</f>
        <v>0</v>
      </c>
      <c r="AK42" s="2" cm="1">
        <f t="array" ref="AK42">IF(hp!AK42=0,0,_xll.BDP(AK$4,"YAS_BOND_YLD", "YAS_BOND_PX",hp!AK42, "SETTLE_DT", TEXT(ya!$C42,"YYYYMMDD")))</f>
        <v>0</v>
      </c>
      <c r="AL42" s="2" cm="1">
        <f t="array" ref="AL42">IF(hp!AL42=0,0,_xll.BDP(AL$4,"YAS_BOND_YLD", "YAS_BOND_PX",hp!AL42, "SETTLE_DT", TEXT(ya!$C42,"YYYYMMDD")))</f>
        <v>0</v>
      </c>
      <c r="AM42" s="2" cm="1">
        <f t="array" ref="AM42">IF(hp!AM42=0,0,_xll.BDP(AM$4,"YAS_BOND_YLD", "YAS_BOND_PX",hp!AM42, "SETTLE_DT", TEXT(ya!$C42,"YYYYMMDD")))</f>
        <v>0</v>
      </c>
      <c r="AN42" s="2" cm="1">
        <f t="array" ref="AN42">IF(hp!AN42=0,0,_xll.BDP(AN$4,"YAS_BOND_YLD", "YAS_BOND_PX",hp!AN42, "SETTLE_DT", TEXT(ya!$C42,"YYYYMMDD")))</f>
        <v>0</v>
      </c>
      <c r="AO42" s="2" cm="1">
        <f t="array" ref="AO42">IF(hp!AO42=0,0,_xll.BDP(AO$4,"YAS_BOND_YLD", "YAS_BOND_PX",hp!AO42, "SETTLE_DT", TEXT(ya!$C42,"YYYYMMDD")))</f>
        <v>0</v>
      </c>
      <c r="AP42" s="2" cm="1">
        <f t="array" ref="AP42">IF(hp!AP42=0,0,_xll.BDP(AP$4,"YAS_BOND_YLD", "YAS_BOND_PX",hp!AP42, "SETTLE_DT", TEXT(ya!$C42,"YYYYMMDD")))</f>
        <v>0</v>
      </c>
      <c r="AQ42" s="2" cm="1">
        <f t="array" ref="AQ42">IF(hp!AQ42=0,0,_xll.BDP(AQ$4,"YAS_BOND_YLD", "YAS_BOND_PX",hp!AQ42, "SETTLE_DT", TEXT(ya!$C42,"YYYYMMDD")))</f>
        <v>0</v>
      </c>
      <c r="AR42" s="2" cm="1">
        <f t="array" ref="AR42">IF(hp!AR42=0,0,_xll.BDP(AR$4,"YAS_BOND_YLD", "YAS_BOND_PX",hp!AR42, "SETTLE_DT", TEXT(ya!$C42,"YYYYMMDD")))</f>
        <v>0</v>
      </c>
      <c r="AS42" s="2" cm="1">
        <f t="array" ref="AS42">IF(hp!AS42=0,0,_xll.BDP(AS$4,"YAS_BOND_YLD", "YAS_BOND_PX",hp!AS42, "SETTLE_DT", TEXT(ya!$C42,"YYYYMMDD")))</f>
        <v>0</v>
      </c>
      <c r="AT42" s="2" cm="1">
        <f t="array" ref="AT42">IF(hp!AT42=0,0,_xll.BDP(AT$4,"YAS_BOND_YLD", "YAS_BOND_PX",hp!AT42, "SETTLE_DT", TEXT(ya!$C42,"YYYYMMDD")))</f>
        <v>0</v>
      </c>
      <c r="AU42" s="2" cm="1">
        <f t="array" ref="AU42">IF(hp!AU42=0,0,_xll.BDP(AU$4,"YAS_BOND_YLD", "YAS_BOND_PX",hp!AU42, "SETTLE_DT", TEXT(ya!$C42,"YYYYMMDD")))</f>
        <v>0</v>
      </c>
      <c r="AV42" s="2" cm="1">
        <f t="array" ref="AV42">IF(hp!AV42=0,0,_xll.BDP(AV$4,"YAS_BOND_YLD", "YAS_BOND_PX",hp!AV42, "SETTLE_DT", TEXT(ya!$C42,"YYYYMMDD")))</f>
        <v>0</v>
      </c>
      <c r="AW42" s="2" cm="1">
        <f t="array" ref="AW42">IF(hp!AW42=0,0,_xll.BDP(AW$4,"YAS_BOND_YLD", "YAS_BOND_PX",hp!AW42, "SETTLE_DT", TEXT(ya!$C42,"YYYYMMDD")))</f>
        <v>0</v>
      </c>
      <c r="AX42" s="2" cm="1">
        <f t="array" ref="AX42">IF(hp!AX42=0,0,_xll.BDP(AX$4,"YAS_BOND_YLD", "YAS_BOND_PX",hp!AX42, "SETTLE_DT", TEXT(ya!$C42,"YYYYMMDD")))</f>
        <v>0</v>
      </c>
      <c r="AY42" s="2" cm="1">
        <f t="array" ref="AY42">IF(hp!AY42=0,0,_xll.BDP(AY$4,"YAS_BOND_YLD", "YAS_BOND_PX",hp!AY42, "SETTLE_DT", TEXT(ya!$C42,"YYYYMMDD")))</f>
        <v>0</v>
      </c>
      <c r="AZ42" s="2" cm="1">
        <f t="array" ref="AZ42">IF(hp!AZ42=0,0,_xll.BDP(AZ$4,"YAS_BOND_YLD", "YAS_BOND_PX",hp!AZ42, "SETTLE_DT", TEXT(ya!$C42,"YYYYMMDD")))</f>
        <v>0</v>
      </c>
    </row>
    <row r="43" spans="1:52" x14ac:dyDescent="0.25">
      <c r="A43" s="1"/>
      <c r="B43" s="2"/>
      <c r="C43" s="1">
        <v>43220</v>
      </c>
      <c r="D43" s="2" cm="1">
        <f t="array" ref="D43">IF(hp!D43=0,0,_xll.BDP(D$4,"YAS_BOND_YLD", "YAS_BOND_PX",hp!D43, "SETTLE_DT", TEXT(ya!$C43,"YYYYMMDD")))</f>
        <v>0</v>
      </c>
      <c r="E43" s="2" cm="1">
        <f t="array" ref="E43">IF(hp!E43=0,0,_xll.BDP(E$4,"YAS_BOND_YLD", "YAS_BOND_PX",hp!E43, "SETTLE_DT", TEXT(ya!$C43,"YYYYMMDD")))</f>
        <v>0</v>
      </c>
      <c r="F43" s="2" cm="1">
        <f t="array" ref="F43">IF(hp!F43=0,0,_xll.BDP(F$4,"YAS_BOND_YLD", "YAS_BOND_PX",hp!F43, "SETTLE_DT", TEXT(ya!$C43,"YYYYMMDD")))</f>
        <v>9.6470000000000002</v>
      </c>
      <c r="G43" s="2" cm="1">
        <f t="array" ref="G43">IF(hp!G43=0,0,_xll.BDP(G$4,"YAS_BOND_YLD", "YAS_BOND_PX",hp!G43, "SETTLE_DT", TEXT(ya!$C43,"YYYYMMDD")))</f>
        <v>5.1717000000000004</v>
      </c>
      <c r="H43" s="2" cm="1">
        <f t="array" ref="H43">IF(hp!H43=0,0,_xll.BDP(H$4,"YAS_BOND_YLD", "YAS_BOND_PX",hp!H43, "SETTLE_DT", TEXT(ya!$C43,"YYYYMMDD")))</f>
        <v>9.8126999999999995</v>
      </c>
      <c r="I43" s="2" cm="1">
        <f t="array" ref="I43">IF(hp!I43=0,0,_xll.BDP(I$4,"YAS_BOND_YLD", "YAS_BOND_PX",hp!I43, "SETTLE_DT", TEXT(ya!$C43,"YYYYMMDD")))</f>
        <v>0</v>
      </c>
      <c r="J43" s="2" cm="1">
        <f t="array" ref="J43">IF(hp!J43=0,0,_xll.BDP(J$4,"YAS_BOND_YLD", "YAS_BOND_PX",hp!J43, "SETTLE_DT", TEXT(ya!$C43,"YYYYMMDD")))</f>
        <v>5.2876000000000003</v>
      </c>
      <c r="K43" s="2" cm="1">
        <f t="array" ref="K43">IF(hp!K43=0,0,_xll.BDP(K$4,"YAS_BOND_YLD", "YAS_BOND_PX",hp!K43, "SETTLE_DT", TEXT(ya!$C43,"YYYYMMDD")))</f>
        <v>0</v>
      </c>
      <c r="L43" s="2" cm="1">
        <f t="array" ref="L43">IF(hp!L43=0,0,_xll.BDP(L$4,"YAS_BOND_YLD", "YAS_BOND_PX",hp!L43, "SETTLE_DT", TEXT(ya!$C43,"YYYYMMDD")))</f>
        <v>5.0067000000000004</v>
      </c>
      <c r="M43" s="2" cm="1">
        <f t="array" ref="M43">IF(hp!M43=0,0,_xll.BDP(M$4,"YAS_BOND_YLD", "YAS_BOND_PX",hp!M43, "SETTLE_DT", TEXT(ya!$C43,"YYYYMMDD")))</f>
        <v>4.9001000000000001</v>
      </c>
      <c r="N43" s="2" cm="1">
        <f t="array" ref="N43">IF(hp!N43=0,0,_xll.BDP(N$4,"YAS_BOND_YLD", "YAS_BOND_PX",hp!N43, "SETTLE_DT", TEXT(ya!$C43,"YYYYMMDD")))</f>
        <v>4.6848999999999998</v>
      </c>
      <c r="O43" s="2" cm="1">
        <f t="array" ref="O43">IF(hp!O43=0,0,_xll.BDP(O$4,"YAS_BOND_YLD", "YAS_BOND_PX",hp!O43, "SETTLE_DT", TEXT(ya!$C43,"YYYYMMDD")))</f>
        <v>0</v>
      </c>
      <c r="P43" s="2" cm="1">
        <f t="array" ref="P43">IF(hp!P43=0,0,_xll.BDP(P$4,"YAS_BOND_YLD", "YAS_BOND_PX",hp!P43, "SETTLE_DT", TEXT(ya!$C43,"YYYYMMDD")))</f>
        <v>0</v>
      </c>
      <c r="Q43" s="2" cm="1">
        <f t="array" ref="Q43">IF(hp!Q43=0,0,_xll.BDP(Q$4,"YAS_BOND_YLD", "YAS_BOND_PX",hp!Q43, "SETTLE_DT", TEXT(ya!$C43,"YYYYMMDD")))</f>
        <v>5.2897999999999996</v>
      </c>
      <c r="R43" s="2" cm="1">
        <f t="array" ref="R43">IF(hp!R43=0,0,_xll.BDP(R$4,"YAS_BOND_YLD", "YAS_BOND_PX",hp!R43, "SETTLE_DT", TEXT(ya!$C43,"YYYYMMDD")))</f>
        <v>0</v>
      </c>
      <c r="S43" s="2" cm="1">
        <f t="array" ref="S43">IF(hp!S43=0,0,_xll.BDP(S$4,"YAS_BOND_YLD", "YAS_BOND_PX",hp!S43, "SETTLE_DT", TEXT(ya!$C43,"YYYYMMDD")))</f>
        <v>0</v>
      </c>
      <c r="T43" s="2" cm="1">
        <f t="array" ref="T43">IF(hp!T43=0,0,_xll.BDP(T$4,"YAS_BOND_YLD", "YAS_BOND_PX",hp!T43, "SETTLE_DT", TEXT(ya!$C43,"YYYYMMDD")))</f>
        <v>0</v>
      </c>
      <c r="U43" s="2" cm="1">
        <f t="array" ref="U43">IF(hp!U43=0,0,_xll.BDP(U$4,"YAS_BOND_YLD", "YAS_BOND_PX",hp!U43, "SETTLE_DT", TEXT(ya!$C43,"YYYYMMDD")))</f>
        <v>5.2001999999999997</v>
      </c>
      <c r="V43" s="2" cm="1">
        <f t="array" ref="V43">IF(hp!V43=0,0,_xll.BDP(V$4,"YAS_BOND_YLD", "YAS_BOND_PX",hp!V43, "SETTLE_DT", TEXT(ya!$C43,"YYYYMMDD")))</f>
        <v>0</v>
      </c>
      <c r="W43" s="2" cm="1">
        <f t="array" ref="W43">IF(hp!W43=0,0,_xll.BDP(W$4,"YAS_BOND_YLD", "YAS_BOND_PX",hp!W43, "SETTLE_DT", TEXT(ya!$C43,"YYYYMMDD")))</f>
        <v>0</v>
      </c>
      <c r="X43" s="2" cm="1">
        <f t="array" ref="X43">IF(hp!X43=0,0,_xll.BDP(X$4,"YAS_BOND_YLD", "YAS_BOND_PX",hp!X43, "SETTLE_DT", TEXT(ya!$C43,"YYYYMMDD")))</f>
        <v>0</v>
      </c>
      <c r="Y43" s="2" cm="1">
        <f t="array" ref="Y43">IF(hp!Y43=0,0,_xll.BDP(Y$4,"YAS_BOND_YLD", "YAS_BOND_PX",hp!Y43, "SETTLE_DT", TEXT(ya!$C43,"YYYYMMDD")))</f>
        <v>0</v>
      </c>
      <c r="Z43" s="2" cm="1">
        <f t="array" ref="Z43">IF(hp!Z43=0,0,_xll.BDP(Z$4,"YAS_BOND_YLD", "YAS_BOND_PX",hp!Z43, "SETTLE_DT", TEXT(ya!$C43,"YYYYMMDD")))</f>
        <v>0</v>
      </c>
      <c r="AA43" s="2" cm="1">
        <f t="array" ref="AA43">IF(hp!AA43=0,0,_xll.BDP(AA$4,"YAS_BOND_YLD", "YAS_BOND_PX",hp!AA43, "SETTLE_DT", TEXT(ya!$C43,"YYYYMMDD")))</f>
        <v>0</v>
      </c>
      <c r="AB43" s="2" cm="1">
        <f t="array" ref="AB43">IF(hp!AB43=0,0,_xll.BDP(AB$4,"YAS_BOND_YLD", "YAS_BOND_PX",hp!AB43, "SETTLE_DT", TEXT(ya!$C43,"YYYYMMDD")))</f>
        <v>0</v>
      </c>
      <c r="AC43" s="2" cm="1">
        <f t="array" ref="AC43">IF(hp!AC43=0,0,_xll.BDP(AC$4,"YAS_BOND_YLD", "YAS_BOND_PX",hp!AC43, "SETTLE_DT", TEXT(ya!$C43,"YYYYMMDD")))</f>
        <v>0</v>
      </c>
      <c r="AD43" s="2" cm="1">
        <f t="array" ref="AD43">IF(hp!AD43=0,0,_xll.BDP(AD$4,"YAS_BOND_YLD", "YAS_BOND_PX",hp!AD43, "SETTLE_DT", TEXT(ya!$C43,"YYYYMMDD")))</f>
        <v>5.2976999999999999</v>
      </c>
      <c r="AE43" s="2" cm="1">
        <f t="array" ref="AE43">IF(hp!AE43=0,0,_xll.BDP(AE$4,"YAS_BOND_YLD", "YAS_BOND_PX",hp!AE43, "SETTLE_DT", TEXT(ya!$C43,"YYYYMMDD")))</f>
        <v>0</v>
      </c>
      <c r="AF43" s="2" cm="1">
        <f t="array" ref="AF43">IF(hp!AF43=0,0,_xll.BDP(AF$4,"YAS_BOND_YLD", "YAS_BOND_PX",hp!AF43, "SETTLE_DT", TEXT(ya!$C43,"YYYYMMDD")))</f>
        <v>0</v>
      </c>
      <c r="AG43" s="2" cm="1">
        <f t="array" ref="AG43">IF(hp!AG43=0,0,_xll.BDP(AG$4,"YAS_BOND_YLD", "YAS_BOND_PX",hp!AG43, "SETTLE_DT", TEXT(ya!$C43,"YYYYMMDD")))</f>
        <v>0</v>
      </c>
      <c r="AH43" s="2" cm="1">
        <f t="array" ref="AH43">IF(hp!AH43=0,0,_xll.BDP(AH$4,"YAS_BOND_YLD", "YAS_BOND_PX",hp!AH43, "SETTLE_DT", TEXT(ya!$C43,"YYYYMMDD")))</f>
        <v>0</v>
      </c>
      <c r="AI43" s="2" cm="1">
        <f t="array" ref="AI43">IF(hp!AI43=0,0,_xll.BDP(AI$4,"YAS_BOND_YLD", "YAS_BOND_PX",hp!AI43, "SETTLE_DT", TEXT(ya!$C43,"YYYYMMDD")))</f>
        <v>0</v>
      </c>
      <c r="AJ43" s="2" cm="1">
        <f t="array" ref="AJ43">IF(hp!AJ43=0,0,_xll.BDP(AJ$4,"YAS_BOND_YLD", "YAS_BOND_PX",hp!AJ43, "SETTLE_DT", TEXT(ya!$C43,"YYYYMMDD")))</f>
        <v>0</v>
      </c>
      <c r="AK43" s="2" cm="1">
        <f t="array" ref="AK43">IF(hp!AK43=0,0,_xll.BDP(AK$4,"YAS_BOND_YLD", "YAS_BOND_PX",hp!AK43, "SETTLE_DT", TEXT(ya!$C43,"YYYYMMDD")))</f>
        <v>0</v>
      </c>
      <c r="AL43" s="2" cm="1">
        <f t="array" ref="AL43">IF(hp!AL43=0,0,_xll.BDP(AL$4,"YAS_BOND_YLD", "YAS_BOND_PX",hp!AL43, "SETTLE_DT", TEXT(ya!$C43,"YYYYMMDD")))</f>
        <v>0</v>
      </c>
      <c r="AM43" s="2" cm="1">
        <f t="array" ref="AM43">IF(hp!AM43=0,0,_xll.BDP(AM$4,"YAS_BOND_YLD", "YAS_BOND_PX",hp!AM43, "SETTLE_DT", TEXT(ya!$C43,"YYYYMMDD")))</f>
        <v>0</v>
      </c>
      <c r="AN43" s="2" cm="1">
        <f t="array" ref="AN43">IF(hp!AN43=0,0,_xll.BDP(AN$4,"YAS_BOND_YLD", "YAS_BOND_PX",hp!AN43, "SETTLE_DT", TEXT(ya!$C43,"YYYYMMDD")))</f>
        <v>0</v>
      </c>
      <c r="AO43" s="2" cm="1">
        <f t="array" ref="AO43">IF(hp!AO43=0,0,_xll.BDP(AO$4,"YAS_BOND_YLD", "YAS_BOND_PX",hp!AO43, "SETTLE_DT", TEXT(ya!$C43,"YYYYMMDD")))</f>
        <v>0</v>
      </c>
      <c r="AP43" s="2" cm="1">
        <f t="array" ref="AP43">IF(hp!AP43=0,0,_xll.BDP(AP$4,"YAS_BOND_YLD", "YAS_BOND_PX",hp!AP43, "SETTLE_DT", TEXT(ya!$C43,"YYYYMMDD")))</f>
        <v>0</v>
      </c>
      <c r="AQ43" s="2" cm="1">
        <f t="array" ref="AQ43">IF(hp!AQ43=0,0,_xll.BDP(AQ$4,"YAS_BOND_YLD", "YAS_BOND_PX",hp!AQ43, "SETTLE_DT", TEXT(ya!$C43,"YYYYMMDD")))</f>
        <v>0</v>
      </c>
      <c r="AR43" s="2" cm="1">
        <f t="array" ref="AR43">IF(hp!AR43=0,0,_xll.BDP(AR$4,"YAS_BOND_YLD", "YAS_BOND_PX",hp!AR43, "SETTLE_DT", TEXT(ya!$C43,"YYYYMMDD")))</f>
        <v>0</v>
      </c>
      <c r="AS43" s="2" cm="1">
        <f t="array" ref="AS43">IF(hp!AS43=0,0,_xll.BDP(AS$4,"YAS_BOND_YLD", "YAS_BOND_PX",hp!AS43, "SETTLE_DT", TEXT(ya!$C43,"YYYYMMDD")))</f>
        <v>0</v>
      </c>
      <c r="AT43" s="2" cm="1">
        <f t="array" ref="AT43">IF(hp!AT43=0,0,_xll.BDP(AT$4,"YAS_BOND_YLD", "YAS_BOND_PX",hp!AT43, "SETTLE_DT", TEXT(ya!$C43,"YYYYMMDD")))</f>
        <v>0</v>
      </c>
      <c r="AU43" s="2" cm="1">
        <f t="array" ref="AU43">IF(hp!AU43=0,0,_xll.BDP(AU$4,"YAS_BOND_YLD", "YAS_BOND_PX",hp!AU43, "SETTLE_DT", TEXT(ya!$C43,"YYYYMMDD")))</f>
        <v>0</v>
      </c>
      <c r="AV43" s="2" cm="1">
        <f t="array" ref="AV43">IF(hp!AV43=0,0,_xll.BDP(AV$4,"YAS_BOND_YLD", "YAS_BOND_PX",hp!AV43, "SETTLE_DT", TEXT(ya!$C43,"YYYYMMDD")))</f>
        <v>0</v>
      </c>
      <c r="AW43" s="2" cm="1">
        <f t="array" ref="AW43">IF(hp!AW43=0,0,_xll.BDP(AW$4,"YAS_BOND_YLD", "YAS_BOND_PX",hp!AW43, "SETTLE_DT", TEXT(ya!$C43,"YYYYMMDD")))</f>
        <v>0</v>
      </c>
      <c r="AX43" s="2" cm="1">
        <f t="array" ref="AX43">IF(hp!AX43=0,0,_xll.BDP(AX$4,"YAS_BOND_YLD", "YAS_BOND_PX",hp!AX43, "SETTLE_DT", TEXT(ya!$C43,"YYYYMMDD")))</f>
        <v>0</v>
      </c>
      <c r="AY43" s="2" cm="1">
        <f t="array" ref="AY43">IF(hp!AY43=0,0,_xll.BDP(AY$4,"YAS_BOND_YLD", "YAS_BOND_PX",hp!AY43, "SETTLE_DT", TEXT(ya!$C43,"YYYYMMDD")))</f>
        <v>0</v>
      </c>
      <c r="AZ43" s="2" cm="1">
        <f t="array" ref="AZ43">IF(hp!AZ43=0,0,_xll.BDP(AZ$4,"YAS_BOND_YLD", "YAS_BOND_PX",hp!AZ43, "SETTLE_DT", TEXT(ya!$C43,"YYYYMMDD")))</f>
        <v>0</v>
      </c>
    </row>
    <row r="44" spans="1:52" x14ac:dyDescent="0.25">
      <c r="A44" s="1"/>
      <c r="B44" s="2"/>
      <c r="C44" s="1">
        <v>43251</v>
      </c>
      <c r="D44" s="2" cm="1">
        <f t="array" ref="D44">IF(hp!D44=0,0,_xll.BDP(D$4,"YAS_BOND_YLD", "YAS_BOND_PX",hp!D44, "SETTLE_DT", TEXT(ya!$C44,"YYYYMMDD")))</f>
        <v>0</v>
      </c>
      <c r="E44" s="2" cm="1">
        <f t="array" ref="E44">IF(hp!E44=0,0,_xll.BDP(E$4,"YAS_BOND_YLD", "YAS_BOND_PX",hp!E44, "SETTLE_DT", TEXT(ya!$C44,"YYYYMMDD")))</f>
        <v>0</v>
      </c>
      <c r="F44" s="2" cm="1">
        <f t="array" ref="F44">IF(hp!F44=0,0,_xll.BDP(F$4,"YAS_BOND_YLD", "YAS_BOND_PX",hp!F44, "SETTLE_DT", TEXT(ya!$C44,"YYYYMMDD")))</f>
        <v>11.3162</v>
      </c>
      <c r="G44" s="2" cm="1">
        <f t="array" ref="G44">IF(hp!G44=0,0,_xll.BDP(G$4,"YAS_BOND_YLD", "YAS_BOND_PX",hp!G44, "SETTLE_DT", TEXT(ya!$C44,"YYYYMMDD")))</f>
        <v>5.6494999999999997</v>
      </c>
      <c r="H44" s="2" cm="1">
        <f t="array" ref="H44">IF(hp!H44=0,0,_xll.BDP(H$4,"YAS_BOND_YLD", "YAS_BOND_PX",hp!H44, "SETTLE_DT", TEXT(ya!$C44,"YYYYMMDD")))</f>
        <v>11.468999999999999</v>
      </c>
      <c r="I44" s="2" cm="1">
        <f t="array" ref="I44">IF(hp!I44=0,0,_xll.BDP(I$4,"YAS_BOND_YLD", "YAS_BOND_PX",hp!I44, "SETTLE_DT", TEXT(ya!$C44,"YYYYMMDD")))</f>
        <v>0</v>
      </c>
      <c r="J44" s="2" cm="1">
        <f t="array" ref="J44">IF(hp!J44=0,0,_xll.BDP(J$4,"YAS_BOND_YLD", "YAS_BOND_PX",hp!J44, "SETTLE_DT", TEXT(ya!$C44,"YYYYMMDD")))</f>
        <v>5.7187999999999999</v>
      </c>
      <c r="K44" s="2" cm="1">
        <f t="array" ref="K44">IF(hp!K44=0,0,_xll.BDP(K$4,"YAS_BOND_YLD", "YAS_BOND_PX",hp!K44, "SETTLE_DT", TEXT(ya!$C44,"YYYYMMDD")))</f>
        <v>0</v>
      </c>
      <c r="L44" s="2" cm="1">
        <f t="array" ref="L44">IF(hp!L44=0,0,_xll.BDP(L$4,"YAS_BOND_YLD", "YAS_BOND_PX",hp!L44, "SETTLE_DT", TEXT(ya!$C44,"YYYYMMDD")))</f>
        <v>5.5537000000000001</v>
      </c>
      <c r="M44" s="2" cm="1">
        <f t="array" ref="M44">IF(hp!M44=0,0,_xll.BDP(M$4,"YAS_BOND_YLD", "YAS_BOND_PX",hp!M44, "SETTLE_DT", TEXT(ya!$C44,"YYYYMMDD")))</f>
        <v>5.5197000000000003</v>
      </c>
      <c r="N44" s="2" cm="1">
        <f t="array" ref="N44">IF(hp!N44=0,0,_xll.BDP(N$4,"YAS_BOND_YLD", "YAS_BOND_PX",hp!N44, "SETTLE_DT", TEXT(ya!$C44,"YYYYMMDD")))</f>
        <v>5.3982999999999999</v>
      </c>
      <c r="O44" s="2" cm="1">
        <f t="array" ref="O44">IF(hp!O44=0,0,_xll.BDP(O$4,"YAS_BOND_YLD", "YAS_BOND_PX",hp!O44, "SETTLE_DT", TEXT(ya!$C44,"YYYYMMDD")))</f>
        <v>0</v>
      </c>
      <c r="P44" s="2" cm="1">
        <f t="array" ref="P44">IF(hp!P44=0,0,_xll.BDP(P$4,"YAS_BOND_YLD", "YAS_BOND_PX",hp!P44, "SETTLE_DT", TEXT(ya!$C44,"YYYYMMDD")))</f>
        <v>0</v>
      </c>
      <c r="Q44" s="2" cm="1">
        <f t="array" ref="Q44">IF(hp!Q44=0,0,_xll.BDP(Q$4,"YAS_BOND_YLD", "YAS_BOND_PX",hp!Q44, "SETTLE_DT", TEXT(ya!$C44,"YYYYMMDD")))</f>
        <v>5.7496999999999998</v>
      </c>
      <c r="R44" s="2" cm="1">
        <f t="array" ref="R44">IF(hp!R44=0,0,_xll.BDP(R$4,"YAS_BOND_YLD", "YAS_BOND_PX",hp!R44, "SETTLE_DT", TEXT(ya!$C44,"YYYYMMDD")))</f>
        <v>0</v>
      </c>
      <c r="S44" s="2" cm="1">
        <f t="array" ref="S44">IF(hp!S44=0,0,_xll.BDP(S$4,"YAS_BOND_YLD", "YAS_BOND_PX",hp!S44, "SETTLE_DT", TEXT(ya!$C44,"YYYYMMDD")))</f>
        <v>0</v>
      </c>
      <c r="T44" s="2" cm="1">
        <f t="array" ref="T44">IF(hp!T44=0,0,_xll.BDP(T$4,"YAS_BOND_YLD", "YAS_BOND_PX",hp!T44, "SETTLE_DT", TEXT(ya!$C44,"YYYYMMDD")))</f>
        <v>0</v>
      </c>
      <c r="U44" s="2" cm="1">
        <f t="array" ref="U44">IF(hp!U44=0,0,_xll.BDP(U$4,"YAS_BOND_YLD", "YAS_BOND_PX",hp!U44, "SETTLE_DT", TEXT(ya!$C44,"YYYYMMDD")))</f>
        <v>5.6754999999999995</v>
      </c>
      <c r="V44" s="2" cm="1">
        <f t="array" ref="V44">IF(hp!V44=0,0,_xll.BDP(V$4,"YAS_BOND_YLD", "YAS_BOND_PX",hp!V44, "SETTLE_DT", TEXT(ya!$C44,"YYYYMMDD")))</f>
        <v>0</v>
      </c>
      <c r="W44" s="2" cm="1">
        <f t="array" ref="W44">IF(hp!W44=0,0,_xll.BDP(W$4,"YAS_BOND_YLD", "YAS_BOND_PX",hp!W44, "SETTLE_DT", TEXT(ya!$C44,"YYYYMMDD")))</f>
        <v>0</v>
      </c>
      <c r="X44" s="2" cm="1">
        <f t="array" ref="X44">IF(hp!X44=0,0,_xll.BDP(X$4,"YAS_BOND_YLD", "YAS_BOND_PX",hp!X44, "SETTLE_DT", TEXT(ya!$C44,"YYYYMMDD")))</f>
        <v>0</v>
      </c>
      <c r="Y44" s="2" cm="1">
        <f t="array" ref="Y44">IF(hp!Y44=0,0,_xll.BDP(Y$4,"YAS_BOND_YLD", "YAS_BOND_PX",hp!Y44, "SETTLE_DT", TEXT(ya!$C44,"YYYYMMDD")))</f>
        <v>0</v>
      </c>
      <c r="Z44" s="2" cm="1">
        <f t="array" ref="Z44">IF(hp!Z44=0,0,_xll.BDP(Z$4,"YAS_BOND_YLD", "YAS_BOND_PX",hp!Z44, "SETTLE_DT", TEXT(ya!$C44,"YYYYMMDD")))</f>
        <v>0</v>
      </c>
      <c r="AA44" s="2" cm="1">
        <f t="array" ref="AA44">IF(hp!AA44=0,0,_xll.BDP(AA$4,"YAS_BOND_YLD", "YAS_BOND_PX",hp!AA44, "SETTLE_DT", TEXT(ya!$C44,"YYYYMMDD")))</f>
        <v>0</v>
      </c>
      <c r="AB44" s="2" cm="1">
        <f t="array" ref="AB44">IF(hp!AB44=0,0,_xll.BDP(AB$4,"YAS_BOND_YLD", "YAS_BOND_PX",hp!AB44, "SETTLE_DT", TEXT(ya!$C44,"YYYYMMDD")))</f>
        <v>0</v>
      </c>
      <c r="AC44" s="2" cm="1">
        <f t="array" ref="AC44">IF(hp!AC44=0,0,_xll.BDP(AC$4,"YAS_BOND_YLD", "YAS_BOND_PX",hp!AC44, "SETTLE_DT", TEXT(ya!$C44,"YYYYMMDD")))</f>
        <v>0</v>
      </c>
      <c r="AD44" s="2" cm="1">
        <f t="array" ref="AD44">IF(hp!AD44=0,0,_xll.BDP(AD$4,"YAS_BOND_YLD", "YAS_BOND_PX",hp!AD44, "SETTLE_DT", TEXT(ya!$C44,"YYYYMMDD")))</f>
        <v>5.7282999999999999</v>
      </c>
      <c r="AE44" s="2" cm="1">
        <f t="array" ref="AE44">IF(hp!AE44=0,0,_xll.BDP(AE$4,"YAS_BOND_YLD", "YAS_BOND_PX",hp!AE44, "SETTLE_DT", TEXT(ya!$C44,"YYYYMMDD")))</f>
        <v>0</v>
      </c>
      <c r="AF44" s="2" cm="1">
        <f t="array" ref="AF44">IF(hp!AF44=0,0,_xll.BDP(AF$4,"YAS_BOND_YLD", "YAS_BOND_PX",hp!AF44, "SETTLE_DT", TEXT(ya!$C44,"YYYYMMDD")))</f>
        <v>0</v>
      </c>
      <c r="AG44" s="2" cm="1">
        <f t="array" ref="AG44">IF(hp!AG44=0,0,_xll.BDP(AG$4,"YAS_BOND_YLD", "YAS_BOND_PX",hp!AG44, "SETTLE_DT", TEXT(ya!$C44,"YYYYMMDD")))</f>
        <v>0</v>
      </c>
      <c r="AH44" s="2" cm="1">
        <f t="array" ref="AH44">IF(hp!AH44=0,0,_xll.BDP(AH$4,"YAS_BOND_YLD", "YAS_BOND_PX",hp!AH44, "SETTLE_DT", TEXT(ya!$C44,"YYYYMMDD")))</f>
        <v>0</v>
      </c>
      <c r="AI44" s="2" cm="1">
        <f t="array" ref="AI44">IF(hp!AI44=0,0,_xll.BDP(AI$4,"YAS_BOND_YLD", "YAS_BOND_PX",hp!AI44, "SETTLE_DT", TEXT(ya!$C44,"YYYYMMDD")))</f>
        <v>0</v>
      </c>
      <c r="AJ44" s="2" cm="1">
        <f t="array" ref="AJ44">IF(hp!AJ44=0,0,_xll.BDP(AJ$4,"YAS_BOND_YLD", "YAS_BOND_PX",hp!AJ44, "SETTLE_DT", TEXT(ya!$C44,"YYYYMMDD")))</f>
        <v>0</v>
      </c>
      <c r="AK44" s="2" cm="1">
        <f t="array" ref="AK44">IF(hp!AK44=0,0,_xll.BDP(AK$4,"YAS_BOND_YLD", "YAS_BOND_PX",hp!AK44, "SETTLE_DT", TEXT(ya!$C44,"YYYYMMDD")))</f>
        <v>0</v>
      </c>
      <c r="AL44" s="2" cm="1">
        <f t="array" ref="AL44">IF(hp!AL44=0,0,_xll.BDP(AL$4,"YAS_BOND_YLD", "YAS_BOND_PX",hp!AL44, "SETTLE_DT", TEXT(ya!$C44,"YYYYMMDD")))</f>
        <v>0</v>
      </c>
      <c r="AM44" s="2" cm="1">
        <f t="array" ref="AM44">IF(hp!AM44=0,0,_xll.BDP(AM$4,"YAS_BOND_YLD", "YAS_BOND_PX",hp!AM44, "SETTLE_DT", TEXT(ya!$C44,"YYYYMMDD")))</f>
        <v>0</v>
      </c>
      <c r="AN44" s="2" cm="1">
        <f t="array" ref="AN44">IF(hp!AN44=0,0,_xll.BDP(AN$4,"YAS_BOND_YLD", "YAS_BOND_PX",hp!AN44, "SETTLE_DT", TEXT(ya!$C44,"YYYYMMDD")))</f>
        <v>0</v>
      </c>
      <c r="AO44" s="2" cm="1">
        <f t="array" ref="AO44">IF(hp!AO44=0,0,_xll.BDP(AO$4,"YAS_BOND_YLD", "YAS_BOND_PX",hp!AO44, "SETTLE_DT", TEXT(ya!$C44,"YYYYMMDD")))</f>
        <v>0</v>
      </c>
      <c r="AP44" s="2" cm="1">
        <f t="array" ref="AP44">IF(hp!AP44=0,0,_xll.BDP(AP$4,"YAS_BOND_YLD", "YAS_BOND_PX",hp!AP44, "SETTLE_DT", TEXT(ya!$C44,"YYYYMMDD")))</f>
        <v>0</v>
      </c>
      <c r="AQ44" s="2" cm="1">
        <f t="array" ref="AQ44">IF(hp!AQ44=0,0,_xll.BDP(AQ$4,"YAS_BOND_YLD", "YAS_BOND_PX",hp!AQ44, "SETTLE_DT", TEXT(ya!$C44,"YYYYMMDD")))</f>
        <v>0</v>
      </c>
      <c r="AR44" s="2" cm="1">
        <f t="array" ref="AR44">IF(hp!AR44=0,0,_xll.BDP(AR$4,"YAS_BOND_YLD", "YAS_BOND_PX",hp!AR44, "SETTLE_DT", TEXT(ya!$C44,"YYYYMMDD")))</f>
        <v>0</v>
      </c>
      <c r="AS44" s="2" cm="1">
        <f t="array" ref="AS44">IF(hp!AS44=0,0,_xll.BDP(AS$4,"YAS_BOND_YLD", "YAS_BOND_PX",hp!AS44, "SETTLE_DT", TEXT(ya!$C44,"YYYYMMDD")))</f>
        <v>0</v>
      </c>
      <c r="AT44" s="2" cm="1">
        <f t="array" ref="AT44">IF(hp!AT44=0,0,_xll.BDP(AT$4,"YAS_BOND_YLD", "YAS_BOND_PX",hp!AT44, "SETTLE_DT", TEXT(ya!$C44,"YYYYMMDD")))</f>
        <v>0</v>
      </c>
      <c r="AU44" s="2" cm="1">
        <f t="array" ref="AU44">IF(hp!AU44=0,0,_xll.BDP(AU$4,"YAS_BOND_YLD", "YAS_BOND_PX",hp!AU44, "SETTLE_DT", TEXT(ya!$C44,"YYYYMMDD")))</f>
        <v>0</v>
      </c>
      <c r="AV44" s="2" cm="1">
        <f t="array" ref="AV44">IF(hp!AV44=0,0,_xll.BDP(AV$4,"YAS_BOND_YLD", "YAS_BOND_PX",hp!AV44, "SETTLE_DT", TEXT(ya!$C44,"YYYYMMDD")))</f>
        <v>0</v>
      </c>
      <c r="AW44" s="2" cm="1">
        <f t="array" ref="AW44">IF(hp!AW44=0,0,_xll.BDP(AW$4,"YAS_BOND_YLD", "YAS_BOND_PX",hp!AW44, "SETTLE_DT", TEXT(ya!$C44,"YYYYMMDD")))</f>
        <v>0</v>
      </c>
      <c r="AX44" s="2" cm="1">
        <f t="array" ref="AX44">IF(hp!AX44=0,0,_xll.BDP(AX$4,"YAS_BOND_YLD", "YAS_BOND_PX",hp!AX44, "SETTLE_DT", TEXT(ya!$C44,"YYYYMMDD")))</f>
        <v>0</v>
      </c>
      <c r="AY44" s="2" cm="1">
        <f t="array" ref="AY44">IF(hp!AY44=0,0,_xll.BDP(AY$4,"YAS_BOND_YLD", "YAS_BOND_PX",hp!AY44, "SETTLE_DT", TEXT(ya!$C44,"YYYYMMDD")))</f>
        <v>0</v>
      </c>
      <c r="AZ44" s="2" cm="1">
        <f t="array" ref="AZ44">IF(hp!AZ44=0,0,_xll.BDP(AZ$4,"YAS_BOND_YLD", "YAS_BOND_PX",hp!AZ44, "SETTLE_DT", TEXT(ya!$C44,"YYYYMMDD")))</f>
        <v>0</v>
      </c>
    </row>
    <row r="45" spans="1:52" x14ac:dyDescent="0.25">
      <c r="A45" s="1"/>
      <c r="B45" s="2"/>
      <c r="C45" s="1">
        <v>43280</v>
      </c>
      <c r="D45" s="2" cm="1">
        <f t="array" ref="D45">IF(hp!D45=0,0,_xll.BDP(D$4,"YAS_BOND_YLD", "YAS_BOND_PX",hp!D45, "SETTLE_DT", TEXT(ya!$C45,"YYYYMMDD")))</f>
        <v>0</v>
      </c>
      <c r="E45" s="2" cm="1">
        <f t="array" ref="E45">IF(hp!E45=0,0,_xll.BDP(E$4,"YAS_BOND_YLD", "YAS_BOND_PX",hp!E45, "SETTLE_DT", TEXT(ya!$C45,"YYYYMMDD")))</f>
        <v>0</v>
      </c>
      <c r="F45" s="2" cm="1">
        <f t="array" ref="F45">IF(hp!F45=0,0,_xll.BDP(F$4,"YAS_BOND_YLD", "YAS_BOND_PX",hp!F45, "SETTLE_DT", TEXT(ya!$C45,"YYYYMMDD")))</f>
        <v>11.731199999999999</v>
      </c>
      <c r="G45" s="2" cm="1">
        <f t="array" ref="G45">IF(hp!G45=0,0,_xll.BDP(G$4,"YAS_BOND_YLD", "YAS_BOND_PX",hp!G45, "SETTLE_DT", TEXT(ya!$C45,"YYYYMMDD")))</f>
        <v>5.8768000000000002</v>
      </c>
      <c r="H45" s="2" cm="1">
        <f t="array" ref="H45">IF(hp!H45=0,0,_xll.BDP(H$4,"YAS_BOND_YLD", "YAS_BOND_PX",hp!H45, "SETTLE_DT", TEXT(ya!$C45,"YYYYMMDD")))</f>
        <v>11.855499999999999</v>
      </c>
      <c r="I45" s="2" cm="1">
        <f t="array" ref="I45">IF(hp!I45=0,0,_xll.BDP(I$4,"YAS_BOND_YLD", "YAS_BOND_PX",hp!I45, "SETTLE_DT", TEXT(ya!$C45,"YYYYMMDD")))</f>
        <v>0</v>
      </c>
      <c r="J45" s="2" cm="1">
        <f t="array" ref="J45">IF(hp!J45=0,0,_xll.BDP(J$4,"YAS_BOND_YLD", "YAS_BOND_PX",hp!J45, "SETTLE_DT", TEXT(ya!$C45,"YYYYMMDD")))</f>
        <v>5.9594000000000005</v>
      </c>
      <c r="K45" s="2" cm="1">
        <f t="array" ref="K45">IF(hp!K45=0,0,_xll.BDP(K$4,"YAS_BOND_YLD", "YAS_BOND_PX",hp!K45, "SETTLE_DT", TEXT(ya!$C45,"YYYYMMDD")))</f>
        <v>0</v>
      </c>
      <c r="L45" s="2" cm="1">
        <f t="array" ref="L45">IF(hp!L45=0,0,_xll.BDP(L$4,"YAS_BOND_YLD", "YAS_BOND_PX",hp!L45, "SETTLE_DT", TEXT(ya!$C45,"YYYYMMDD")))</f>
        <v>5.8571</v>
      </c>
      <c r="M45" s="2" cm="1">
        <f t="array" ref="M45">IF(hp!M45=0,0,_xll.BDP(M$4,"YAS_BOND_YLD", "YAS_BOND_PX",hp!M45, "SETTLE_DT", TEXT(ya!$C45,"YYYYMMDD")))</f>
        <v>5.7911999999999999</v>
      </c>
      <c r="N45" s="2" cm="1">
        <f t="array" ref="N45">IF(hp!N45=0,0,_xll.BDP(N$4,"YAS_BOND_YLD", "YAS_BOND_PX",hp!N45, "SETTLE_DT", TEXT(ya!$C45,"YYYYMMDD")))</f>
        <v>5.7312000000000003</v>
      </c>
      <c r="O45" s="2" cm="1">
        <f t="array" ref="O45">IF(hp!O45=0,0,_xll.BDP(O$4,"YAS_BOND_YLD", "YAS_BOND_PX",hp!O45, "SETTLE_DT", TEXT(ya!$C45,"YYYYMMDD")))</f>
        <v>0</v>
      </c>
      <c r="P45" s="2" cm="1">
        <f t="array" ref="P45">IF(hp!P45=0,0,_xll.BDP(P$4,"YAS_BOND_YLD", "YAS_BOND_PX",hp!P45, "SETTLE_DT", TEXT(ya!$C45,"YYYYMMDD")))</f>
        <v>0</v>
      </c>
      <c r="Q45" s="2" cm="1">
        <f t="array" ref="Q45">IF(hp!Q45=0,0,_xll.BDP(Q$4,"YAS_BOND_YLD", "YAS_BOND_PX",hp!Q45, "SETTLE_DT", TEXT(ya!$C45,"YYYYMMDD")))</f>
        <v>5.9572000000000003</v>
      </c>
      <c r="R45" s="2" cm="1">
        <f t="array" ref="R45">IF(hp!R45=0,0,_xll.BDP(R$4,"YAS_BOND_YLD", "YAS_BOND_PX",hp!R45, "SETTLE_DT", TEXT(ya!$C45,"YYYYMMDD")))</f>
        <v>0</v>
      </c>
      <c r="S45" s="2" cm="1">
        <f t="array" ref="S45">IF(hp!S45=0,0,_xll.BDP(S$4,"YAS_BOND_YLD", "YAS_BOND_PX",hp!S45, "SETTLE_DT", TEXT(ya!$C45,"YYYYMMDD")))</f>
        <v>0</v>
      </c>
      <c r="T45" s="2" cm="1">
        <f t="array" ref="T45">IF(hp!T45=0,0,_xll.BDP(T$4,"YAS_BOND_YLD", "YAS_BOND_PX",hp!T45, "SETTLE_DT", TEXT(ya!$C45,"YYYYMMDD")))</f>
        <v>0</v>
      </c>
      <c r="U45" s="2" cm="1">
        <f t="array" ref="U45">IF(hp!U45=0,0,_xll.BDP(U$4,"YAS_BOND_YLD", "YAS_BOND_PX",hp!U45, "SETTLE_DT", TEXT(ya!$C45,"YYYYMMDD")))</f>
        <v>5.9112</v>
      </c>
      <c r="V45" s="2" cm="1">
        <f t="array" ref="V45">IF(hp!V45=0,0,_xll.BDP(V$4,"YAS_BOND_YLD", "YAS_BOND_PX",hp!V45, "SETTLE_DT", TEXT(ya!$C45,"YYYYMMDD")))</f>
        <v>0</v>
      </c>
      <c r="W45" s="2" cm="1">
        <f t="array" ref="W45">IF(hp!W45=0,0,_xll.BDP(W$4,"YAS_BOND_YLD", "YAS_BOND_PX",hp!W45, "SETTLE_DT", TEXT(ya!$C45,"YYYYMMDD")))</f>
        <v>0</v>
      </c>
      <c r="X45" s="2" cm="1">
        <f t="array" ref="X45">IF(hp!X45=0,0,_xll.BDP(X$4,"YAS_BOND_YLD", "YAS_BOND_PX",hp!X45, "SETTLE_DT", TEXT(ya!$C45,"YYYYMMDD")))</f>
        <v>0</v>
      </c>
      <c r="Y45" s="2" cm="1">
        <f t="array" ref="Y45">IF(hp!Y45=0,0,_xll.BDP(Y$4,"YAS_BOND_YLD", "YAS_BOND_PX",hp!Y45, "SETTLE_DT", TEXT(ya!$C45,"YYYYMMDD")))</f>
        <v>0</v>
      </c>
      <c r="Z45" s="2" cm="1">
        <f t="array" ref="Z45">IF(hp!Z45=0,0,_xll.BDP(Z$4,"YAS_BOND_YLD", "YAS_BOND_PX",hp!Z45, "SETTLE_DT", TEXT(ya!$C45,"YYYYMMDD")))</f>
        <v>0</v>
      </c>
      <c r="AA45" s="2" cm="1">
        <f t="array" ref="AA45">IF(hp!AA45=0,0,_xll.BDP(AA$4,"YAS_BOND_YLD", "YAS_BOND_PX",hp!AA45, "SETTLE_DT", TEXT(ya!$C45,"YYYYMMDD")))</f>
        <v>0</v>
      </c>
      <c r="AB45" s="2" cm="1">
        <f t="array" ref="AB45">IF(hp!AB45=0,0,_xll.BDP(AB$4,"YAS_BOND_YLD", "YAS_BOND_PX",hp!AB45, "SETTLE_DT", TEXT(ya!$C45,"YYYYMMDD")))</f>
        <v>0</v>
      </c>
      <c r="AC45" s="2" cm="1">
        <f t="array" ref="AC45">IF(hp!AC45=0,0,_xll.BDP(AC$4,"YAS_BOND_YLD", "YAS_BOND_PX",hp!AC45, "SETTLE_DT", TEXT(ya!$C45,"YYYYMMDD")))</f>
        <v>0</v>
      </c>
      <c r="AD45" s="2" cm="1">
        <f t="array" ref="AD45">IF(hp!AD45=0,0,_xll.BDP(AD$4,"YAS_BOND_YLD", "YAS_BOND_PX",hp!AD45, "SETTLE_DT", TEXT(ya!$C45,"YYYYMMDD")))</f>
        <v>5.9638</v>
      </c>
      <c r="AE45" s="2" cm="1">
        <f t="array" ref="AE45">IF(hp!AE45=0,0,_xll.BDP(AE$4,"YAS_BOND_YLD", "YAS_BOND_PX",hp!AE45, "SETTLE_DT", TEXT(ya!$C45,"YYYYMMDD")))</f>
        <v>0</v>
      </c>
      <c r="AF45" s="2" cm="1">
        <f t="array" ref="AF45">IF(hp!AF45=0,0,_xll.BDP(AF$4,"YAS_BOND_YLD", "YAS_BOND_PX",hp!AF45, "SETTLE_DT", TEXT(ya!$C45,"YYYYMMDD")))</f>
        <v>0</v>
      </c>
      <c r="AG45" s="2" cm="1">
        <f t="array" ref="AG45">IF(hp!AG45=0,0,_xll.BDP(AG$4,"YAS_BOND_YLD", "YAS_BOND_PX",hp!AG45, "SETTLE_DT", TEXT(ya!$C45,"YYYYMMDD")))</f>
        <v>0</v>
      </c>
      <c r="AH45" s="2" cm="1">
        <f t="array" ref="AH45">IF(hp!AH45=0,0,_xll.BDP(AH$4,"YAS_BOND_YLD", "YAS_BOND_PX",hp!AH45, "SETTLE_DT", TEXT(ya!$C45,"YYYYMMDD")))</f>
        <v>0</v>
      </c>
      <c r="AI45" s="2" cm="1">
        <f t="array" ref="AI45">IF(hp!AI45=0,0,_xll.BDP(AI$4,"YAS_BOND_YLD", "YAS_BOND_PX",hp!AI45, "SETTLE_DT", TEXT(ya!$C45,"YYYYMMDD")))</f>
        <v>0</v>
      </c>
      <c r="AJ45" s="2" cm="1">
        <f t="array" ref="AJ45">IF(hp!AJ45=0,0,_xll.BDP(AJ$4,"YAS_BOND_YLD", "YAS_BOND_PX",hp!AJ45, "SETTLE_DT", TEXT(ya!$C45,"YYYYMMDD")))</f>
        <v>0</v>
      </c>
      <c r="AK45" s="2" cm="1">
        <f t="array" ref="AK45">IF(hp!AK45=0,0,_xll.BDP(AK$4,"YAS_BOND_YLD", "YAS_BOND_PX",hp!AK45, "SETTLE_DT", TEXT(ya!$C45,"YYYYMMDD")))</f>
        <v>0</v>
      </c>
      <c r="AL45" s="2" cm="1">
        <f t="array" ref="AL45">IF(hp!AL45=0,0,_xll.BDP(AL$4,"YAS_BOND_YLD", "YAS_BOND_PX",hp!AL45, "SETTLE_DT", TEXT(ya!$C45,"YYYYMMDD")))</f>
        <v>0</v>
      </c>
      <c r="AM45" s="2" cm="1">
        <f t="array" ref="AM45">IF(hp!AM45=0,0,_xll.BDP(AM$4,"YAS_BOND_YLD", "YAS_BOND_PX",hp!AM45, "SETTLE_DT", TEXT(ya!$C45,"YYYYMMDD")))</f>
        <v>0</v>
      </c>
      <c r="AN45" s="2" cm="1">
        <f t="array" ref="AN45">IF(hp!AN45=0,0,_xll.BDP(AN$4,"YAS_BOND_YLD", "YAS_BOND_PX",hp!AN45, "SETTLE_DT", TEXT(ya!$C45,"YYYYMMDD")))</f>
        <v>0</v>
      </c>
      <c r="AO45" s="2" cm="1">
        <f t="array" ref="AO45">IF(hp!AO45=0,0,_xll.BDP(AO$4,"YAS_BOND_YLD", "YAS_BOND_PX",hp!AO45, "SETTLE_DT", TEXT(ya!$C45,"YYYYMMDD")))</f>
        <v>0</v>
      </c>
      <c r="AP45" s="2" cm="1">
        <f t="array" ref="AP45">IF(hp!AP45=0,0,_xll.BDP(AP$4,"YAS_BOND_YLD", "YAS_BOND_PX",hp!AP45, "SETTLE_DT", TEXT(ya!$C45,"YYYYMMDD")))</f>
        <v>0</v>
      </c>
      <c r="AQ45" s="2" cm="1">
        <f t="array" ref="AQ45">IF(hp!AQ45=0,0,_xll.BDP(AQ$4,"YAS_BOND_YLD", "YAS_BOND_PX",hp!AQ45, "SETTLE_DT", TEXT(ya!$C45,"YYYYMMDD")))</f>
        <v>0</v>
      </c>
      <c r="AR45" s="2" cm="1">
        <f t="array" ref="AR45">IF(hp!AR45=0,0,_xll.BDP(AR$4,"YAS_BOND_YLD", "YAS_BOND_PX",hp!AR45, "SETTLE_DT", TEXT(ya!$C45,"YYYYMMDD")))</f>
        <v>0</v>
      </c>
      <c r="AS45" s="2" cm="1">
        <f t="array" ref="AS45">IF(hp!AS45=0,0,_xll.BDP(AS$4,"YAS_BOND_YLD", "YAS_BOND_PX",hp!AS45, "SETTLE_DT", TEXT(ya!$C45,"YYYYMMDD")))</f>
        <v>0</v>
      </c>
      <c r="AT45" s="2" cm="1">
        <f t="array" ref="AT45">IF(hp!AT45=0,0,_xll.BDP(AT$4,"YAS_BOND_YLD", "YAS_BOND_PX",hp!AT45, "SETTLE_DT", TEXT(ya!$C45,"YYYYMMDD")))</f>
        <v>0</v>
      </c>
      <c r="AU45" s="2" cm="1">
        <f t="array" ref="AU45">IF(hp!AU45=0,0,_xll.BDP(AU$4,"YAS_BOND_YLD", "YAS_BOND_PX",hp!AU45, "SETTLE_DT", TEXT(ya!$C45,"YYYYMMDD")))</f>
        <v>0</v>
      </c>
      <c r="AV45" s="2" cm="1">
        <f t="array" ref="AV45">IF(hp!AV45=0,0,_xll.BDP(AV$4,"YAS_BOND_YLD", "YAS_BOND_PX",hp!AV45, "SETTLE_DT", TEXT(ya!$C45,"YYYYMMDD")))</f>
        <v>0</v>
      </c>
      <c r="AW45" s="2" cm="1">
        <f t="array" ref="AW45">IF(hp!AW45=0,0,_xll.BDP(AW$4,"YAS_BOND_YLD", "YAS_BOND_PX",hp!AW45, "SETTLE_DT", TEXT(ya!$C45,"YYYYMMDD")))</f>
        <v>0</v>
      </c>
      <c r="AX45" s="2" cm="1">
        <f t="array" ref="AX45">IF(hp!AX45=0,0,_xll.BDP(AX$4,"YAS_BOND_YLD", "YAS_BOND_PX",hp!AX45, "SETTLE_DT", TEXT(ya!$C45,"YYYYMMDD")))</f>
        <v>0</v>
      </c>
      <c r="AY45" s="2" cm="1">
        <f t="array" ref="AY45">IF(hp!AY45=0,0,_xll.BDP(AY$4,"YAS_BOND_YLD", "YAS_BOND_PX",hp!AY45, "SETTLE_DT", TEXT(ya!$C45,"YYYYMMDD")))</f>
        <v>0</v>
      </c>
      <c r="AZ45" s="2" cm="1">
        <f t="array" ref="AZ45">IF(hp!AZ45=0,0,_xll.BDP(AZ$4,"YAS_BOND_YLD", "YAS_BOND_PX",hp!AZ45, "SETTLE_DT", TEXT(ya!$C45,"YYYYMMDD")))</f>
        <v>0</v>
      </c>
    </row>
    <row r="46" spans="1:52" x14ac:dyDescent="0.25">
      <c r="A46" s="1"/>
      <c r="B46" s="2"/>
      <c r="C46" s="1">
        <v>43312</v>
      </c>
      <c r="D46" s="2" cm="1">
        <f t="array" ref="D46">IF(hp!D46=0,0,_xll.BDP(D$4,"YAS_BOND_YLD", "YAS_BOND_PX",hp!D46, "SETTLE_DT", TEXT(ya!$C46,"YYYYMMDD")))</f>
        <v>0</v>
      </c>
      <c r="E46" s="2" cm="1">
        <f t="array" ref="E46">IF(hp!E46=0,0,_xll.BDP(E$4,"YAS_BOND_YLD", "YAS_BOND_PX",hp!E46, "SETTLE_DT", TEXT(ya!$C46,"YYYYMMDD")))</f>
        <v>0</v>
      </c>
      <c r="F46" s="2" cm="1">
        <f t="array" ref="F46">IF(hp!F46=0,0,_xll.BDP(F$4,"YAS_BOND_YLD", "YAS_BOND_PX",hp!F46, "SETTLE_DT", TEXT(ya!$C46,"YYYYMMDD")))</f>
        <v>11.0875</v>
      </c>
      <c r="G46" s="2" cm="1">
        <f t="array" ref="G46">IF(hp!G46=0,0,_xll.BDP(G$4,"YAS_BOND_YLD", "YAS_BOND_PX",hp!G46, "SETTLE_DT", TEXT(ya!$C46,"YYYYMMDD")))</f>
        <v>5.6966999999999999</v>
      </c>
      <c r="H46" s="2" cm="1">
        <f t="array" ref="H46">IF(hp!H46=0,0,_xll.BDP(H$4,"YAS_BOND_YLD", "YAS_BOND_PX",hp!H46, "SETTLE_DT", TEXT(ya!$C46,"YYYYMMDD")))</f>
        <v>11.190300000000001</v>
      </c>
      <c r="I46" s="2" cm="1">
        <f t="array" ref="I46">IF(hp!I46=0,0,_xll.BDP(I$4,"YAS_BOND_YLD", "YAS_BOND_PX",hp!I46, "SETTLE_DT", TEXT(ya!$C46,"YYYYMMDD")))</f>
        <v>0</v>
      </c>
      <c r="J46" s="2" cm="1">
        <f t="array" ref="J46">IF(hp!J46=0,0,_xll.BDP(J$4,"YAS_BOND_YLD", "YAS_BOND_PX",hp!J46, "SETTLE_DT", TEXT(ya!$C46,"YYYYMMDD")))</f>
        <v>5.7576000000000001</v>
      </c>
      <c r="K46" s="2" cm="1">
        <f t="array" ref="K46">IF(hp!K46=0,0,_xll.BDP(K$4,"YAS_BOND_YLD", "YAS_BOND_PX",hp!K46, "SETTLE_DT", TEXT(ya!$C46,"YYYYMMDD")))</f>
        <v>0</v>
      </c>
      <c r="L46" s="2" cm="1">
        <f t="array" ref="L46">IF(hp!L46=0,0,_xll.BDP(L$4,"YAS_BOND_YLD", "YAS_BOND_PX",hp!L46, "SETTLE_DT", TEXT(ya!$C46,"YYYYMMDD")))</f>
        <v>5.6741000000000001</v>
      </c>
      <c r="M46" s="2" cm="1">
        <f t="array" ref="M46">IF(hp!M46=0,0,_xll.BDP(M$4,"YAS_BOND_YLD", "YAS_BOND_PX",hp!M46, "SETTLE_DT", TEXT(ya!$C46,"YYYYMMDD")))</f>
        <v>5.585</v>
      </c>
      <c r="N46" s="2" cm="1">
        <f t="array" ref="N46">IF(hp!N46=0,0,_xll.BDP(N$4,"YAS_BOND_YLD", "YAS_BOND_PX",hp!N46, "SETTLE_DT", TEXT(ya!$C46,"YYYYMMDD")))</f>
        <v>5.5384000000000002</v>
      </c>
      <c r="O46" s="2" cm="1">
        <f t="array" ref="O46">IF(hp!O46=0,0,_xll.BDP(O$4,"YAS_BOND_YLD", "YAS_BOND_PX",hp!O46, "SETTLE_DT", TEXT(ya!$C46,"YYYYMMDD")))</f>
        <v>0</v>
      </c>
      <c r="P46" s="2" cm="1">
        <f t="array" ref="P46">IF(hp!P46=0,0,_xll.BDP(P$4,"YAS_BOND_YLD", "YAS_BOND_PX",hp!P46, "SETTLE_DT", TEXT(ya!$C46,"YYYYMMDD")))</f>
        <v>0</v>
      </c>
      <c r="Q46" s="2" cm="1">
        <f t="array" ref="Q46">IF(hp!Q46=0,0,_xll.BDP(Q$4,"YAS_BOND_YLD", "YAS_BOND_PX",hp!Q46, "SETTLE_DT", TEXT(ya!$C46,"YYYYMMDD")))</f>
        <v>5.7575000000000003</v>
      </c>
      <c r="R46" s="2" cm="1">
        <f t="array" ref="R46">IF(hp!R46=0,0,_xll.BDP(R$4,"YAS_BOND_YLD", "YAS_BOND_PX",hp!R46, "SETTLE_DT", TEXT(ya!$C46,"YYYYMMDD")))</f>
        <v>0</v>
      </c>
      <c r="S46" s="2" cm="1">
        <f t="array" ref="S46">IF(hp!S46=0,0,_xll.BDP(S$4,"YAS_BOND_YLD", "YAS_BOND_PX",hp!S46, "SETTLE_DT", TEXT(ya!$C46,"YYYYMMDD")))</f>
        <v>0</v>
      </c>
      <c r="T46" s="2" cm="1">
        <f t="array" ref="T46">IF(hp!T46=0,0,_xll.BDP(T$4,"YAS_BOND_YLD", "YAS_BOND_PX",hp!T46, "SETTLE_DT", TEXT(ya!$C46,"YYYYMMDD")))</f>
        <v>0</v>
      </c>
      <c r="U46" s="2" cm="1">
        <f t="array" ref="U46">IF(hp!U46=0,0,_xll.BDP(U$4,"YAS_BOND_YLD", "YAS_BOND_PX",hp!U46, "SETTLE_DT", TEXT(ya!$C46,"YYYYMMDD")))</f>
        <v>5.6982999999999997</v>
      </c>
      <c r="V46" s="2" cm="1">
        <f t="array" ref="V46">IF(hp!V46=0,0,_xll.BDP(V$4,"YAS_BOND_YLD", "YAS_BOND_PX",hp!V46, "SETTLE_DT", TEXT(ya!$C46,"YYYYMMDD")))</f>
        <v>0</v>
      </c>
      <c r="W46" s="2" cm="1">
        <f t="array" ref="W46">IF(hp!W46=0,0,_xll.BDP(W$4,"YAS_BOND_YLD", "YAS_BOND_PX",hp!W46, "SETTLE_DT", TEXT(ya!$C46,"YYYYMMDD")))</f>
        <v>0</v>
      </c>
      <c r="X46" s="2" cm="1">
        <f t="array" ref="X46">IF(hp!X46=0,0,_xll.BDP(X$4,"YAS_BOND_YLD", "YAS_BOND_PX",hp!X46, "SETTLE_DT", TEXT(ya!$C46,"YYYYMMDD")))</f>
        <v>0</v>
      </c>
      <c r="Y46" s="2" cm="1">
        <f t="array" ref="Y46">IF(hp!Y46=0,0,_xll.BDP(Y$4,"YAS_BOND_YLD", "YAS_BOND_PX",hp!Y46, "SETTLE_DT", TEXT(ya!$C46,"YYYYMMDD")))</f>
        <v>0</v>
      </c>
      <c r="Z46" s="2" cm="1">
        <f t="array" ref="Z46">IF(hp!Z46=0,0,_xll.BDP(Z$4,"YAS_BOND_YLD", "YAS_BOND_PX",hp!Z46, "SETTLE_DT", TEXT(ya!$C46,"YYYYMMDD")))</f>
        <v>0</v>
      </c>
      <c r="AA46" s="2" cm="1">
        <f t="array" ref="AA46">IF(hp!AA46=0,0,_xll.BDP(AA$4,"YAS_BOND_YLD", "YAS_BOND_PX",hp!AA46, "SETTLE_DT", TEXT(ya!$C46,"YYYYMMDD")))</f>
        <v>0</v>
      </c>
      <c r="AB46" s="2" cm="1">
        <f t="array" ref="AB46">IF(hp!AB46=0,0,_xll.BDP(AB$4,"YAS_BOND_YLD", "YAS_BOND_PX",hp!AB46, "SETTLE_DT", TEXT(ya!$C46,"YYYYMMDD")))</f>
        <v>0</v>
      </c>
      <c r="AC46" s="2" cm="1">
        <f t="array" ref="AC46">IF(hp!AC46=0,0,_xll.BDP(AC$4,"YAS_BOND_YLD", "YAS_BOND_PX",hp!AC46, "SETTLE_DT", TEXT(ya!$C46,"YYYYMMDD")))</f>
        <v>0</v>
      </c>
      <c r="AD46" s="2" cm="1">
        <f t="array" ref="AD46">IF(hp!AD46=0,0,_xll.BDP(AD$4,"YAS_BOND_YLD", "YAS_BOND_PX",hp!AD46, "SETTLE_DT", TEXT(ya!$C46,"YYYYMMDD")))</f>
        <v>5.7550999999999997</v>
      </c>
      <c r="AE46" s="2" cm="1">
        <f t="array" ref="AE46">IF(hp!AE46=0,0,_xll.BDP(AE$4,"YAS_BOND_YLD", "YAS_BOND_PX",hp!AE46, "SETTLE_DT", TEXT(ya!$C46,"YYYYMMDD")))</f>
        <v>0</v>
      </c>
      <c r="AF46" s="2" cm="1">
        <f t="array" ref="AF46">IF(hp!AF46=0,0,_xll.BDP(AF$4,"YAS_BOND_YLD", "YAS_BOND_PX",hp!AF46, "SETTLE_DT", TEXT(ya!$C46,"YYYYMMDD")))</f>
        <v>0</v>
      </c>
      <c r="AG46" s="2" cm="1">
        <f t="array" ref="AG46">IF(hp!AG46=0,0,_xll.BDP(AG$4,"YAS_BOND_YLD", "YAS_BOND_PX",hp!AG46, "SETTLE_DT", TEXT(ya!$C46,"YYYYMMDD")))</f>
        <v>0</v>
      </c>
      <c r="AH46" s="2" cm="1">
        <f t="array" ref="AH46">IF(hp!AH46=0,0,_xll.BDP(AH$4,"YAS_BOND_YLD", "YAS_BOND_PX",hp!AH46, "SETTLE_DT", TEXT(ya!$C46,"YYYYMMDD")))</f>
        <v>0</v>
      </c>
      <c r="AI46" s="2" cm="1">
        <f t="array" ref="AI46">IF(hp!AI46=0,0,_xll.BDP(AI$4,"YAS_BOND_YLD", "YAS_BOND_PX",hp!AI46, "SETTLE_DT", TEXT(ya!$C46,"YYYYMMDD")))</f>
        <v>0</v>
      </c>
      <c r="AJ46" s="2" cm="1">
        <f t="array" ref="AJ46">IF(hp!AJ46=0,0,_xll.BDP(AJ$4,"YAS_BOND_YLD", "YAS_BOND_PX",hp!AJ46, "SETTLE_DT", TEXT(ya!$C46,"YYYYMMDD")))</f>
        <v>0</v>
      </c>
      <c r="AK46" s="2" cm="1">
        <f t="array" ref="AK46">IF(hp!AK46=0,0,_xll.BDP(AK$4,"YAS_BOND_YLD", "YAS_BOND_PX",hp!AK46, "SETTLE_DT", TEXT(ya!$C46,"YYYYMMDD")))</f>
        <v>0</v>
      </c>
      <c r="AL46" s="2" cm="1">
        <f t="array" ref="AL46">IF(hp!AL46=0,0,_xll.BDP(AL$4,"YAS_BOND_YLD", "YAS_BOND_PX",hp!AL46, "SETTLE_DT", TEXT(ya!$C46,"YYYYMMDD")))</f>
        <v>0</v>
      </c>
      <c r="AM46" s="2" cm="1">
        <f t="array" ref="AM46">IF(hp!AM46=0,0,_xll.BDP(AM$4,"YAS_BOND_YLD", "YAS_BOND_PX",hp!AM46, "SETTLE_DT", TEXT(ya!$C46,"YYYYMMDD")))</f>
        <v>0</v>
      </c>
      <c r="AN46" s="2" cm="1">
        <f t="array" ref="AN46">IF(hp!AN46=0,0,_xll.BDP(AN$4,"YAS_BOND_YLD", "YAS_BOND_PX",hp!AN46, "SETTLE_DT", TEXT(ya!$C46,"YYYYMMDD")))</f>
        <v>0</v>
      </c>
      <c r="AO46" s="2" cm="1">
        <f t="array" ref="AO46">IF(hp!AO46=0,0,_xll.BDP(AO$4,"YAS_BOND_YLD", "YAS_BOND_PX",hp!AO46, "SETTLE_DT", TEXT(ya!$C46,"YYYYMMDD")))</f>
        <v>0</v>
      </c>
      <c r="AP46" s="2" cm="1">
        <f t="array" ref="AP46">IF(hp!AP46=0,0,_xll.BDP(AP$4,"YAS_BOND_YLD", "YAS_BOND_PX",hp!AP46, "SETTLE_DT", TEXT(ya!$C46,"YYYYMMDD")))</f>
        <v>0</v>
      </c>
      <c r="AQ46" s="2" cm="1">
        <f t="array" ref="AQ46">IF(hp!AQ46=0,0,_xll.BDP(AQ$4,"YAS_BOND_YLD", "YAS_BOND_PX",hp!AQ46, "SETTLE_DT", TEXT(ya!$C46,"YYYYMMDD")))</f>
        <v>0</v>
      </c>
      <c r="AR46" s="2" cm="1">
        <f t="array" ref="AR46">IF(hp!AR46=0,0,_xll.BDP(AR$4,"YAS_BOND_YLD", "YAS_BOND_PX",hp!AR46, "SETTLE_DT", TEXT(ya!$C46,"YYYYMMDD")))</f>
        <v>0</v>
      </c>
      <c r="AS46" s="2" cm="1">
        <f t="array" ref="AS46">IF(hp!AS46=0,0,_xll.BDP(AS$4,"YAS_BOND_YLD", "YAS_BOND_PX",hp!AS46, "SETTLE_DT", TEXT(ya!$C46,"YYYYMMDD")))</f>
        <v>0</v>
      </c>
      <c r="AT46" s="2" cm="1">
        <f t="array" ref="AT46">IF(hp!AT46=0,0,_xll.BDP(AT$4,"YAS_BOND_YLD", "YAS_BOND_PX",hp!AT46, "SETTLE_DT", TEXT(ya!$C46,"YYYYMMDD")))</f>
        <v>0</v>
      </c>
      <c r="AU46" s="2" cm="1">
        <f t="array" ref="AU46">IF(hp!AU46=0,0,_xll.BDP(AU$4,"YAS_BOND_YLD", "YAS_BOND_PX",hp!AU46, "SETTLE_DT", TEXT(ya!$C46,"YYYYMMDD")))</f>
        <v>0</v>
      </c>
      <c r="AV46" s="2" cm="1">
        <f t="array" ref="AV46">IF(hp!AV46=0,0,_xll.BDP(AV$4,"YAS_BOND_YLD", "YAS_BOND_PX",hp!AV46, "SETTLE_DT", TEXT(ya!$C46,"YYYYMMDD")))</f>
        <v>0</v>
      </c>
      <c r="AW46" s="2" cm="1">
        <f t="array" ref="AW46">IF(hp!AW46=0,0,_xll.BDP(AW$4,"YAS_BOND_YLD", "YAS_BOND_PX",hp!AW46, "SETTLE_DT", TEXT(ya!$C46,"YYYYMMDD")))</f>
        <v>0</v>
      </c>
      <c r="AX46" s="2" cm="1">
        <f t="array" ref="AX46">IF(hp!AX46=0,0,_xll.BDP(AX$4,"YAS_BOND_YLD", "YAS_BOND_PX",hp!AX46, "SETTLE_DT", TEXT(ya!$C46,"YYYYMMDD")))</f>
        <v>0</v>
      </c>
      <c r="AY46" s="2" cm="1">
        <f t="array" ref="AY46">IF(hp!AY46=0,0,_xll.BDP(AY$4,"YAS_BOND_YLD", "YAS_BOND_PX",hp!AY46, "SETTLE_DT", TEXT(ya!$C46,"YYYYMMDD")))</f>
        <v>0</v>
      </c>
      <c r="AZ46" s="2" cm="1">
        <f t="array" ref="AZ46">IF(hp!AZ46=0,0,_xll.BDP(AZ$4,"YAS_BOND_YLD", "YAS_BOND_PX",hp!AZ46, "SETTLE_DT", TEXT(ya!$C46,"YYYYMMDD")))</f>
        <v>0</v>
      </c>
    </row>
    <row r="47" spans="1:52" x14ac:dyDescent="0.25">
      <c r="A47" s="1"/>
      <c r="B47" s="2"/>
      <c r="C47" s="1">
        <v>43343</v>
      </c>
      <c r="D47" s="2" cm="1">
        <f t="array" ref="D47">IF(hp!D47=0,0,_xll.BDP(D$4,"YAS_BOND_YLD", "YAS_BOND_PX",hp!D47, "SETTLE_DT", TEXT(ya!$C47,"YYYYMMDD")))</f>
        <v>0</v>
      </c>
      <c r="E47" s="2" cm="1">
        <f t="array" ref="E47">IF(hp!E47=0,0,_xll.BDP(E$4,"YAS_BOND_YLD", "YAS_BOND_PX",hp!E47, "SETTLE_DT", TEXT(ya!$C47,"YYYYMMDD")))</f>
        <v>0</v>
      </c>
      <c r="F47" s="2" cm="1">
        <f t="array" ref="F47">IF(hp!F47=0,0,_xll.BDP(F$4,"YAS_BOND_YLD", "YAS_BOND_PX",hp!F47, "SETTLE_DT", TEXT(ya!$C47,"YYYYMMDD")))</f>
        <v>12.1326</v>
      </c>
      <c r="G47" s="2" cm="1">
        <f t="array" ref="G47">IF(hp!G47=0,0,_xll.BDP(G$4,"YAS_BOND_YLD", "YAS_BOND_PX",hp!G47, "SETTLE_DT", TEXT(ya!$C47,"YYYYMMDD")))</f>
        <v>5.7672999999999996</v>
      </c>
      <c r="H47" s="2" cm="1">
        <f t="array" ref="H47">IF(hp!H47=0,0,_xll.BDP(H$4,"YAS_BOND_YLD", "YAS_BOND_PX",hp!H47, "SETTLE_DT", TEXT(ya!$C47,"YYYYMMDD")))</f>
        <v>12.2051</v>
      </c>
      <c r="I47" s="2" cm="1">
        <f t="array" ref="I47">IF(hp!I47=0,0,_xll.BDP(I$4,"YAS_BOND_YLD", "YAS_BOND_PX",hp!I47, "SETTLE_DT", TEXT(ya!$C47,"YYYYMMDD")))</f>
        <v>0</v>
      </c>
      <c r="J47" s="2" cm="1">
        <f t="array" ref="J47">IF(hp!J47=0,0,_xll.BDP(J$4,"YAS_BOND_YLD", "YAS_BOND_PX",hp!J47, "SETTLE_DT", TEXT(ya!$C47,"YYYYMMDD")))</f>
        <v>5.8719000000000001</v>
      </c>
      <c r="K47" s="2" cm="1">
        <f t="array" ref="K47">IF(hp!K47=0,0,_xll.BDP(K$4,"YAS_BOND_YLD", "YAS_BOND_PX",hp!K47, "SETTLE_DT", TEXT(ya!$C47,"YYYYMMDD")))</f>
        <v>0</v>
      </c>
      <c r="L47" s="2" cm="1">
        <f t="array" ref="L47">IF(hp!L47=0,0,_xll.BDP(L$4,"YAS_BOND_YLD", "YAS_BOND_PX",hp!L47, "SETTLE_DT", TEXT(ya!$C47,"YYYYMMDD")))</f>
        <v>5.7506000000000004</v>
      </c>
      <c r="M47" s="2" cm="1">
        <f t="array" ref="M47">IF(hp!M47=0,0,_xll.BDP(M$4,"YAS_BOND_YLD", "YAS_BOND_PX",hp!M47, "SETTLE_DT", TEXT(ya!$C47,"YYYYMMDD")))</f>
        <v>5.6715999999999998</v>
      </c>
      <c r="N47" s="2" cm="1">
        <f t="array" ref="N47">IF(hp!N47=0,0,_xll.BDP(N$4,"YAS_BOND_YLD", "YAS_BOND_PX",hp!N47, "SETTLE_DT", TEXT(ya!$C47,"YYYYMMDD")))</f>
        <v>5.6332000000000004</v>
      </c>
      <c r="O47" s="2" cm="1">
        <f t="array" ref="O47">IF(hp!O47=0,0,_xll.BDP(O$4,"YAS_BOND_YLD", "YAS_BOND_PX",hp!O47, "SETTLE_DT", TEXT(ya!$C47,"YYYYMMDD")))</f>
        <v>0</v>
      </c>
      <c r="P47" s="2" cm="1">
        <f t="array" ref="P47">IF(hp!P47=0,0,_xll.BDP(P$4,"YAS_BOND_YLD", "YAS_BOND_PX",hp!P47, "SETTLE_DT", TEXT(ya!$C47,"YYYYMMDD")))</f>
        <v>0</v>
      </c>
      <c r="Q47" s="2" cm="1">
        <f t="array" ref="Q47">IF(hp!Q47=0,0,_xll.BDP(Q$4,"YAS_BOND_YLD", "YAS_BOND_PX",hp!Q47, "SETTLE_DT", TEXT(ya!$C47,"YYYYMMDD")))</f>
        <v>5.8689999999999998</v>
      </c>
      <c r="R47" s="2" cm="1">
        <f t="array" ref="R47">IF(hp!R47=0,0,_xll.BDP(R$4,"YAS_BOND_YLD", "YAS_BOND_PX",hp!R47, "SETTLE_DT", TEXT(ya!$C47,"YYYYMMDD")))</f>
        <v>0</v>
      </c>
      <c r="S47" s="2" cm="1">
        <f t="array" ref="S47">IF(hp!S47=0,0,_xll.BDP(S$4,"YAS_BOND_YLD", "YAS_BOND_PX",hp!S47, "SETTLE_DT", TEXT(ya!$C47,"YYYYMMDD")))</f>
        <v>0</v>
      </c>
      <c r="T47" s="2" cm="1">
        <f t="array" ref="T47">IF(hp!T47=0,0,_xll.BDP(T$4,"YAS_BOND_YLD", "YAS_BOND_PX",hp!T47, "SETTLE_DT", TEXT(ya!$C47,"YYYYMMDD")))</f>
        <v>0</v>
      </c>
      <c r="U47" s="2" cm="1">
        <f t="array" ref="U47">IF(hp!U47=0,0,_xll.BDP(U$4,"YAS_BOND_YLD", "YAS_BOND_PX",hp!U47, "SETTLE_DT", TEXT(ya!$C47,"YYYYMMDD")))</f>
        <v>5.7835999999999999</v>
      </c>
      <c r="V47" s="2" cm="1">
        <f t="array" ref="V47">IF(hp!V47=0,0,_xll.BDP(V$4,"YAS_BOND_YLD", "YAS_BOND_PX",hp!V47, "SETTLE_DT", TEXT(ya!$C47,"YYYYMMDD")))</f>
        <v>0</v>
      </c>
      <c r="W47" s="2" cm="1">
        <f t="array" ref="W47">IF(hp!W47=0,0,_xll.BDP(W$4,"YAS_BOND_YLD", "YAS_BOND_PX",hp!W47, "SETTLE_DT", TEXT(ya!$C47,"YYYYMMDD")))</f>
        <v>0</v>
      </c>
      <c r="X47" s="2" cm="1">
        <f t="array" ref="X47">IF(hp!X47=0,0,_xll.BDP(X$4,"YAS_BOND_YLD", "YAS_BOND_PX",hp!X47, "SETTLE_DT", TEXT(ya!$C47,"YYYYMMDD")))</f>
        <v>0</v>
      </c>
      <c r="Y47" s="2" cm="1">
        <f t="array" ref="Y47">IF(hp!Y47=0,0,_xll.BDP(Y$4,"YAS_BOND_YLD", "YAS_BOND_PX",hp!Y47, "SETTLE_DT", TEXT(ya!$C47,"YYYYMMDD")))</f>
        <v>0</v>
      </c>
      <c r="Z47" s="2" cm="1">
        <f t="array" ref="Z47">IF(hp!Z47=0,0,_xll.BDP(Z$4,"YAS_BOND_YLD", "YAS_BOND_PX",hp!Z47, "SETTLE_DT", TEXT(ya!$C47,"YYYYMMDD")))</f>
        <v>0</v>
      </c>
      <c r="AA47" s="2" cm="1">
        <f t="array" ref="AA47">IF(hp!AA47=0,0,_xll.BDP(AA$4,"YAS_BOND_YLD", "YAS_BOND_PX",hp!AA47, "SETTLE_DT", TEXT(ya!$C47,"YYYYMMDD")))</f>
        <v>0</v>
      </c>
      <c r="AB47" s="2" cm="1">
        <f t="array" ref="AB47">IF(hp!AB47=0,0,_xll.BDP(AB$4,"YAS_BOND_YLD", "YAS_BOND_PX",hp!AB47, "SETTLE_DT", TEXT(ya!$C47,"YYYYMMDD")))</f>
        <v>0</v>
      </c>
      <c r="AC47" s="2" cm="1">
        <f t="array" ref="AC47">IF(hp!AC47=0,0,_xll.BDP(AC$4,"YAS_BOND_YLD", "YAS_BOND_PX",hp!AC47, "SETTLE_DT", TEXT(ya!$C47,"YYYYMMDD")))</f>
        <v>0</v>
      </c>
      <c r="AD47" s="2" cm="1">
        <f t="array" ref="AD47">IF(hp!AD47=0,0,_xll.BDP(AD$4,"YAS_BOND_YLD", "YAS_BOND_PX",hp!AD47, "SETTLE_DT", TEXT(ya!$C47,"YYYYMMDD")))</f>
        <v>5.8722000000000003</v>
      </c>
      <c r="AE47" s="2" cm="1">
        <f t="array" ref="AE47">IF(hp!AE47=0,0,_xll.BDP(AE$4,"YAS_BOND_YLD", "YAS_BOND_PX",hp!AE47, "SETTLE_DT", TEXT(ya!$C47,"YYYYMMDD")))</f>
        <v>0</v>
      </c>
      <c r="AF47" s="2" cm="1">
        <f t="array" ref="AF47">IF(hp!AF47=0,0,_xll.BDP(AF$4,"YAS_BOND_YLD", "YAS_BOND_PX",hp!AF47, "SETTLE_DT", TEXT(ya!$C47,"YYYYMMDD")))</f>
        <v>0</v>
      </c>
      <c r="AG47" s="2" cm="1">
        <f t="array" ref="AG47">IF(hp!AG47=0,0,_xll.BDP(AG$4,"YAS_BOND_YLD", "YAS_BOND_PX",hp!AG47, "SETTLE_DT", TEXT(ya!$C47,"YYYYMMDD")))</f>
        <v>0</v>
      </c>
      <c r="AH47" s="2" cm="1">
        <f t="array" ref="AH47">IF(hp!AH47=0,0,_xll.BDP(AH$4,"YAS_BOND_YLD", "YAS_BOND_PX",hp!AH47, "SETTLE_DT", TEXT(ya!$C47,"YYYYMMDD")))</f>
        <v>0</v>
      </c>
      <c r="AI47" s="2" cm="1">
        <f t="array" ref="AI47">IF(hp!AI47=0,0,_xll.BDP(AI$4,"YAS_BOND_YLD", "YAS_BOND_PX",hp!AI47, "SETTLE_DT", TEXT(ya!$C47,"YYYYMMDD")))</f>
        <v>0</v>
      </c>
      <c r="AJ47" s="2" cm="1">
        <f t="array" ref="AJ47">IF(hp!AJ47=0,0,_xll.BDP(AJ$4,"YAS_BOND_YLD", "YAS_BOND_PX",hp!AJ47, "SETTLE_DT", TEXT(ya!$C47,"YYYYMMDD")))</f>
        <v>0</v>
      </c>
      <c r="AK47" s="2" cm="1">
        <f t="array" ref="AK47">IF(hp!AK47=0,0,_xll.BDP(AK$4,"YAS_BOND_YLD", "YAS_BOND_PX",hp!AK47, "SETTLE_DT", TEXT(ya!$C47,"YYYYMMDD")))</f>
        <v>0</v>
      </c>
      <c r="AL47" s="2" cm="1">
        <f t="array" ref="AL47">IF(hp!AL47=0,0,_xll.BDP(AL$4,"YAS_BOND_YLD", "YAS_BOND_PX",hp!AL47, "SETTLE_DT", TEXT(ya!$C47,"YYYYMMDD")))</f>
        <v>0</v>
      </c>
      <c r="AM47" s="2" cm="1">
        <f t="array" ref="AM47">IF(hp!AM47=0,0,_xll.BDP(AM$4,"YAS_BOND_YLD", "YAS_BOND_PX",hp!AM47, "SETTLE_DT", TEXT(ya!$C47,"YYYYMMDD")))</f>
        <v>0</v>
      </c>
      <c r="AN47" s="2" cm="1">
        <f t="array" ref="AN47">IF(hp!AN47=0,0,_xll.BDP(AN$4,"YAS_BOND_YLD", "YAS_BOND_PX",hp!AN47, "SETTLE_DT", TEXT(ya!$C47,"YYYYMMDD")))</f>
        <v>0</v>
      </c>
      <c r="AO47" s="2" cm="1">
        <f t="array" ref="AO47">IF(hp!AO47=0,0,_xll.BDP(AO$4,"YAS_BOND_YLD", "YAS_BOND_PX",hp!AO47, "SETTLE_DT", TEXT(ya!$C47,"YYYYMMDD")))</f>
        <v>0</v>
      </c>
      <c r="AP47" s="2" cm="1">
        <f t="array" ref="AP47">IF(hp!AP47=0,0,_xll.BDP(AP$4,"YAS_BOND_YLD", "YAS_BOND_PX",hp!AP47, "SETTLE_DT", TEXT(ya!$C47,"YYYYMMDD")))</f>
        <v>0</v>
      </c>
      <c r="AQ47" s="2" cm="1">
        <f t="array" ref="AQ47">IF(hp!AQ47=0,0,_xll.BDP(AQ$4,"YAS_BOND_YLD", "YAS_BOND_PX",hp!AQ47, "SETTLE_DT", TEXT(ya!$C47,"YYYYMMDD")))</f>
        <v>0</v>
      </c>
      <c r="AR47" s="2" cm="1">
        <f t="array" ref="AR47">IF(hp!AR47=0,0,_xll.BDP(AR$4,"YAS_BOND_YLD", "YAS_BOND_PX",hp!AR47, "SETTLE_DT", TEXT(ya!$C47,"YYYYMMDD")))</f>
        <v>0</v>
      </c>
      <c r="AS47" s="2" cm="1">
        <f t="array" ref="AS47">IF(hp!AS47=0,0,_xll.BDP(AS$4,"YAS_BOND_YLD", "YAS_BOND_PX",hp!AS47, "SETTLE_DT", TEXT(ya!$C47,"YYYYMMDD")))</f>
        <v>0</v>
      </c>
      <c r="AT47" s="2" cm="1">
        <f t="array" ref="AT47">IF(hp!AT47=0,0,_xll.BDP(AT$4,"YAS_BOND_YLD", "YAS_BOND_PX",hp!AT47, "SETTLE_DT", TEXT(ya!$C47,"YYYYMMDD")))</f>
        <v>0</v>
      </c>
      <c r="AU47" s="2" cm="1">
        <f t="array" ref="AU47">IF(hp!AU47=0,0,_xll.BDP(AU$4,"YAS_BOND_YLD", "YAS_BOND_PX",hp!AU47, "SETTLE_DT", TEXT(ya!$C47,"YYYYMMDD")))</f>
        <v>0</v>
      </c>
      <c r="AV47" s="2" cm="1">
        <f t="array" ref="AV47">IF(hp!AV47=0,0,_xll.BDP(AV$4,"YAS_BOND_YLD", "YAS_BOND_PX",hp!AV47, "SETTLE_DT", TEXT(ya!$C47,"YYYYMMDD")))</f>
        <v>0</v>
      </c>
      <c r="AW47" s="2" cm="1">
        <f t="array" ref="AW47">IF(hp!AW47=0,0,_xll.BDP(AW$4,"YAS_BOND_YLD", "YAS_BOND_PX",hp!AW47, "SETTLE_DT", TEXT(ya!$C47,"YYYYMMDD")))</f>
        <v>0</v>
      </c>
      <c r="AX47" s="2" cm="1">
        <f t="array" ref="AX47">IF(hp!AX47=0,0,_xll.BDP(AX$4,"YAS_BOND_YLD", "YAS_BOND_PX",hp!AX47, "SETTLE_DT", TEXT(ya!$C47,"YYYYMMDD")))</f>
        <v>0</v>
      </c>
      <c r="AY47" s="2" cm="1">
        <f t="array" ref="AY47">IF(hp!AY47=0,0,_xll.BDP(AY$4,"YAS_BOND_YLD", "YAS_BOND_PX",hp!AY47, "SETTLE_DT", TEXT(ya!$C47,"YYYYMMDD")))</f>
        <v>0</v>
      </c>
      <c r="AZ47" s="2" cm="1">
        <f t="array" ref="AZ47">IF(hp!AZ47=0,0,_xll.BDP(AZ$4,"YAS_BOND_YLD", "YAS_BOND_PX",hp!AZ47, "SETTLE_DT", TEXT(ya!$C47,"YYYYMMDD")))</f>
        <v>0</v>
      </c>
    </row>
    <row r="48" spans="1:52" x14ac:dyDescent="0.25">
      <c r="A48" s="1"/>
      <c r="B48" s="2"/>
      <c r="C48" s="1">
        <v>43371</v>
      </c>
      <c r="D48" s="2" cm="1">
        <f t="array" ref="D48">IF(hp!D48=0,0,_xll.BDP(D$4,"YAS_BOND_YLD", "YAS_BOND_PX",hp!D48, "SETTLE_DT", TEXT(ya!$C48,"YYYYMMDD")))</f>
        <v>0</v>
      </c>
      <c r="E48" s="2" cm="1">
        <f t="array" ref="E48">IF(hp!E48=0,0,_xll.BDP(E$4,"YAS_BOND_YLD", "YAS_BOND_PX",hp!E48, "SETTLE_DT", TEXT(ya!$C48,"YYYYMMDD")))</f>
        <v>0</v>
      </c>
      <c r="F48" s="2" cm="1">
        <f t="array" ref="F48">IF(hp!F48=0,0,_xll.BDP(F$4,"YAS_BOND_YLD", "YAS_BOND_PX",hp!F48, "SETTLE_DT", TEXT(ya!$C48,"YYYYMMDD")))</f>
        <v>11.661</v>
      </c>
      <c r="G48" s="2" cm="1">
        <f t="array" ref="G48">IF(hp!G48=0,0,_xll.BDP(G$4,"YAS_BOND_YLD", "YAS_BOND_PX",hp!G48, "SETTLE_DT", TEXT(ya!$C48,"YYYYMMDD")))</f>
        <v>5.9424999999999999</v>
      </c>
      <c r="H48" s="2" cm="1">
        <f t="array" ref="H48">IF(hp!H48=0,0,_xll.BDP(H$4,"YAS_BOND_YLD", "YAS_BOND_PX",hp!H48, "SETTLE_DT", TEXT(ya!$C48,"YYYYMMDD")))</f>
        <v>11.8005</v>
      </c>
      <c r="I48" s="2" cm="1">
        <f t="array" ref="I48">IF(hp!I48=0,0,_xll.BDP(I$4,"YAS_BOND_YLD", "YAS_BOND_PX",hp!I48, "SETTLE_DT", TEXT(ya!$C48,"YYYYMMDD")))</f>
        <v>0</v>
      </c>
      <c r="J48" s="2" cm="1">
        <f t="array" ref="J48">IF(hp!J48=0,0,_xll.BDP(J$4,"YAS_BOND_YLD", "YAS_BOND_PX",hp!J48, "SETTLE_DT", TEXT(ya!$C48,"YYYYMMDD")))</f>
        <v>5.9866999999999999</v>
      </c>
      <c r="K48" s="2" cm="1">
        <f t="array" ref="K48">IF(hp!K48=0,0,_xll.BDP(K$4,"YAS_BOND_YLD", "YAS_BOND_PX",hp!K48, "SETTLE_DT", TEXT(ya!$C48,"YYYYMMDD")))</f>
        <v>0</v>
      </c>
      <c r="L48" s="2" cm="1">
        <f t="array" ref="L48">IF(hp!L48=0,0,_xll.BDP(L$4,"YAS_BOND_YLD", "YAS_BOND_PX",hp!L48, "SETTLE_DT", TEXT(ya!$C48,"YYYYMMDD")))</f>
        <v>5.9203999999999999</v>
      </c>
      <c r="M48" s="2" cm="1">
        <f t="array" ref="M48">IF(hp!M48=0,0,_xll.BDP(M$4,"YAS_BOND_YLD", "YAS_BOND_PX",hp!M48, "SETTLE_DT", TEXT(ya!$C48,"YYYYMMDD")))</f>
        <v>5.9016000000000002</v>
      </c>
      <c r="N48" s="2" cm="1">
        <f t="array" ref="N48">IF(hp!N48=0,0,_xll.BDP(N$4,"YAS_BOND_YLD", "YAS_BOND_PX",hp!N48, "SETTLE_DT", TEXT(ya!$C48,"YYYYMMDD")))</f>
        <v>5.8631000000000002</v>
      </c>
      <c r="O48" s="2" cm="1">
        <f t="array" ref="O48">IF(hp!O48=0,0,_xll.BDP(O$4,"YAS_BOND_YLD", "YAS_BOND_PX",hp!O48, "SETTLE_DT", TEXT(ya!$C48,"YYYYMMDD")))</f>
        <v>0</v>
      </c>
      <c r="P48" s="2" cm="1">
        <f t="array" ref="P48">IF(hp!P48=0,0,_xll.BDP(P$4,"YAS_BOND_YLD", "YAS_BOND_PX",hp!P48, "SETTLE_DT", TEXT(ya!$C48,"YYYYMMDD")))</f>
        <v>0</v>
      </c>
      <c r="Q48" s="2" cm="1">
        <f t="array" ref="Q48">IF(hp!Q48=0,0,_xll.BDP(Q$4,"YAS_BOND_YLD", "YAS_BOND_PX",hp!Q48, "SETTLE_DT", TEXT(ya!$C48,"YYYYMMDD")))</f>
        <v>5.9867999999999997</v>
      </c>
      <c r="R48" s="2" cm="1">
        <f t="array" ref="R48">IF(hp!R48=0,0,_xll.BDP(R$4,"YAS_BOND_YLD", "YAS_BOND_PX",hp!R48, "SETTLE_DT", TEXT(ya!$C48,"YYYYMMDD")))</f>
        <v>0</v>
      </c>
      <c r="S48" s="2" cm="1">
        <f t="array" ref="S48">IF(hp!S48=0,0,_xll.BDP(S$4,"YAS_BOND_YLD", "YAS_BOND_PX",hp!S48, "SETTLE_DT", TEXT(ya!$C48,"YYYYMMDD")))</f>
        <v>0</v>
      </c>
      <c r="T48" s="2" cm="1">
        <f t="array" ref="T48">IF(hp!T48=0,0,_xll.BDP(T$4,"YAS_BOND_YLD", "YAS_BOND_PX",hp!T48, "SETTLE_DT", TEXT(ya!$C48,"YYYYMMDD")))</f>
        <v>0</v>
      </c>
      <c r="U48" s="2" cm="1">
        <f t="array" ref="U48">IF(hp!U48=0,0,_xll.BDP(U$4,"YAS_BOND_YLD", "YAS_BOND_PX",hp!U48, "SETTLE_DT", TEXT(ya!$C48,"YYYYMMDD")))</f>
        <v>5.9542999999999999</v>
      </c>
      <c r="V48" s="2" cm="1">
        <f t="array" ref="V48">IF(hp!V48=0,0,_xll.BDP(V$4,"YAS_BOND_YLD", "YAS_BOND_PX",hp!V48, "SETTLE_DT", TEXT(ya!$C48,"YYYYMMDD")))</f>
        <v>0</v>
      </c>
      <c r="W48" s="2" cm="1">
        <f t="array" ref="W48">IF(hp!W48=0,0,_xll.BDP(W$4,"YAS_BOND_YLD", "YAS_BOND_PX",hp!W48, "SETTLE_DT", TEXT(ya!$C48,"YYYYMMDD")))</f>
        <v>0</v>
      </c>
      <c r="X48" s="2" cm="1">
        <f t="array" ref="X48">IF(hp!X48=0,0,_xll.BDP(X$4,"YAS_BOND_YLD", "YAS_BOND_PX",hp!X48, "SETTLE_DT", TEXT(ya!$C48,"YYYYMMDD")))</f>
        <v>0</v>
      </c>
      <c r="Y48" s="2" cm="1">
        <f t="array" ref="Y48">IF(hp!Y48=0,0,_xll.BDP(Y$4,"YAS_BOND_YLD", "YAS_BOND_PX",hp!Y48, "SETTLE_DT", TEXT(ya!$C48,"YYYYMMDD")))</f>
        <v>0</v>
      </c>
      <c r="Z48" s="2" cm="1">
        <f t="array" ref="Z48">IF(hp!Z48=0,0,_xll.BDP(Z$4,"YAS_BOND_YLD", "YAS_BOND_PX",hp!Z48, "SETTLE_DT", TEXT(ya!$C48,"YYYYMMDD")))</f>
        <v>0</v>
      </c>
      <c r="AA48" s="2" cm="1">
        <f t="array" ref="AA48">IF(hp!AA48=0,0,_xll.BDP(AA$4,"YAS_BOND_YLD", "YAS_BOND_PX",hp!AA48, "SETTLE_DT", TEXT(ya!$C48,"YYYYMMDD")))</f>
        <v>0</v>
      </c>
      <c r="AB48" s="2" cm="1">
        <f t="array" ref="AB48">IF(hp!AB48=0,0,_xll.BDP(AB$4,"YAS_BOND_YLD", "YAS_BOND_PX",hp!AB48, "SETTLE_DT", TEXT(ya!$C48,"YYYYMMDD")))</f>
        <v>0</v>
      </c>
      <c r="AC48" s="2" cm="1">
        <f t="array" ref="AC48">IF(hp!AC48=0,0,_xll.BDP(AC$4,"YAS_BOND_YLD", "YAS_BOND_PX",hp!AC48, "SETTLE_DT", TEXT(ya!$C48,"YYYYMMDD")))</f>
        <v>0</v>
      </c>
      <c r="AD48" s="2" cm="1">
        <f t="array" ref="AD48">IF(hp!AD48=0,0,_xll.BDP(AD$4,"YAS_BOND_YLD", "YAS_BOND_PX",hp!AD48, "SETTLE_DT", TEXT(ya!$C48,"YYYYMMDD")))</f>
        <v>5.9820000000000002</v>
      </c>
      <c r="AE48" s="2" cm="1">
        <f t="array" ref="AE48">IF(hp!AE48=0,0,_xll.BDP(AE$4,"YAS_BOND_YLD", "YAS_BOND_PX",hp!AE48, "SETTLE_DT", TEXT(ya!$C48,"YYYYMMDD")))</f>
        <v>0</v>
      </c>
      <c r="AF48" s="2" cm="1">
        <f t="array" ref="AF48">IF(hp!AF48=0,0,_xll.BDP(AF$4,"YAS_BOND_YLD", "YAS_BOND_PX",hp!AF48, "SETTLE_DT", TEXT(ya!$C48,"YYYYMMDD")))</f>
        <v>0</v>
      </c>
      <c r="AG48" s="2" cm="1">
        <f t="array" ref="AG48">IF(hp!AG48=0,0,_xll.BDP(AG$4,"YAS_BOND_YLD", "YAS_BOND_PX",hp!AG48, "SETTLE_DT", TEXT(ya!$C48,"YYYYMMDD")))</f>
        <v>0</v>
      </c>
      <c r="AH48" s="2" cm="1">
        <f t="array" ref="AH48">IF(hp!AH48=0,0,_xll.BDP(AH$4,"YAS_BOND_YLD", "YAS_BOND_PX",hp!AH48, "SETTLE_DT", TEXT(ya!$C48,"YYYYMMDD")))</f>
        <v>0</v>
      </c>
      <c r="AI48" s="2" cm="1">
        <f t="array" ref="AI48">IF(hp!AI48=0,0,_xll.BDP(AI$4,"YAS_BOND_YLD", "YAS_BOND_PX",hp!AI48, "SETTLE_DT", TEXT(ya!$C48,"YYYYMMDD")))</f>
        <v>0</v>
      </c>
      <c r="AJ48" s="2" cm="1">
        <f t="array" ref="AJ48">IF(hp!AJ48=0,0,_xll.BDP(AJ$4,"YAS_BOND_YLD", "YAS_BOND_PX",hp!AJ48, "SETTLE_DT", TEXT(ya!$C48,"YYYYMMDD")))</f>
        <v>0</v>
      </c>
      <c r="AK48" s="2" cm="1">
        <f t="array" ref="AK48">IF(hp!AK48=0,0,_xll.BDP(AK$4,"YAS_BOND_YLD", "YAS_BOND_PX",hp!AK48, "SETTLE_DT", TEXT(ya!$C48,"YYYYMMDD")))</f>
        <v>0</v>
      </c>
      <c r="AL48" s="2" cm="1">
        <f t="array" ref="AL48">IF(hp!AL48=0,0,_xll.BDP(AL$4,"YAS_BOND_YLD", "YAS_BOND_PX",hp!AL48, "SETTLE_DT", TEXT(ya!$C48,"YYYYMMDD")))</f>
        <v>0</v>
      </c>
      <c r="AM48" s="2" cm="1">
        <f t="array" ref="AM48">IF(hp!AM48=0,0,_xll.BDP(AM$4,"YAS_BOND_YLD", "YAS_BOND_PX",hp!AM48, "SETTLE_DT", TEXT(ya!$C48,"YYYYMMDD")))</f>
        <v>0</v>
      </c>
      <c r="AN48" s="2" cm="1">
        <f t="array" ref="AN48">IF(hp!AN48=0,0,_xll.BDP(AN$4,"YAS_BOND_YLD", "YAS_BOND_PX",hp!AN48, "SETTLE_DT", TEXT(ya!$C48,"YYYYMMDD")))</f>
        <v>0</v>
      </c>
      <c r="AO48" s="2" cm="1">
        <f t="array" ref="AO48">IF(hp!AO48=0,0,_xll.BDP(AO$4,"YAS_BOND_YLD", "YAS_BOND_PX",hp!AO48, "SETTLE_DT", TEXT(ya!$C48,"YYYYMMDD")))</f>
        <v>0</v>
      </c>
      <c r="AP48" s="2" cm="1">
        <f t="array" ref="AP48">IF(hp!AP48=0,0,_xll.BDP(AP$4,"YAS_BOND_YLD", "YAS_BOND_PX",hp!AP48, "SETTLE_DT", TEXT(ya!$C48,"YYYYMMDD")))</f>
        <v>0</v>
      </c>
      <c r="AQ48" s="2" cm="1">
        <f t="array" ref="AQ48">IF(hp!AQ48=0,0,_xll.BDP(AQ$4,"YAS_BOND_YLD", "YAS_BOND_PX",hp!AQ48, "SETTLE_DT", TEXT(ya!$C48,"YYYYMMDD")))</f>
        <v>0</v>
      </c>
      <c r="AR48" s="2" cm="1">
        <f t="array" ref="AR48">IF(hp!AR48=0,0,_xll.BDP(AR$4,"YAS_BOND_YLD", "YAS_BOND_PX",hp!AR48, "SETTLE_DT", TEXT(ya!$C48,"YYYYMMDD")))</f>
        <v>0</v>
      </c>
      <c r="AS48" s="2" cm="1">
        <f t="array" ref="AS48">IF(hp!AS48=0,0,_xll.BDP(AS$4,"YAS_BOND_YLD", "YAS_BOND_PX",hp!AS48, "SETTLE_DT", TEXT(ya!$C48,"YYYYMMDD")))</f>
        <v>0</v>
      </c>
      <c r="AT48" s="2" cm="1">
        <f t="array" ref="AT48">IF(hp!AT48=0,0,_xll.BDP(AT$4,"YAS_BOND_YLD", "YAS_BOND_PX",hp!AT48, "SETTLE_DT", TEXT(ya!$C48,"YYYYMMDD")))</f>
        <v>0</v>
      </c>
      <c r="AU48" s="2" cm="1">
        <f t="array" ref="AU48">IF(hp!AU48=0,0,_xll.BDP(AU$4,"YAS_BOND_YLD", "YAS_BOND_PX",hp!AU48, "SETTLE_DT", TEXT(ya!$C48,"YYYYMMDD")))</f>
        <v>0</v>
      </c>
      <c r="AV48" s="2" cm="1">
        <f t="array" ref="AV48">IF(hp!AV48=0,0,_xll.BDP(AV$4,"YAS_BOND_YLD", "YAS_BOND_PX",hp!AV48, "SETTLE_DT", TEXT(ya!$C48,"YYYYMMDD")))</f>
        <v>0</v>
      </c>
      <c r="AW48" s="2" cm="1">
        <f t="array" ref="AW48">IF(hp!AW48=0,0,_xll.BDP(AW$4,"YAS_BOND_YLD", "YAS_BOND_PX",hp!AW48, "SETTLE_DT", TEXT(ya!$C48,"YYYYMMDD")))</f>
        <v>0</v>
      </c>
      <c r="AX48" s="2" cm="1">
        <f t="array" ref="AX48">IF(hp!AX48=0,0,_xll.BDP(AX$4,"YAS_BOND_YLD", "YAS_BOND_PX",hp!AX48, "SETTLE_DT", TEXT(ya!$C48,"YYYYMMDD")))</f>
        <v>0</v>
      </c>
      <c r="AY48" s="2" cm="1">
        <f t="array" ref="AY48">IF(hp!AY48=0,0,_xll.BDP(AY$4,"YAS_BOND_YLD", "YAS_BOND_PX",hp!AY48, "SETTLE_DT", TEXT(ya!$C48,"YYYYMMDD")))</f>
        <v>0</v>
      </c>
      <c r="AZ48" s="2" cm="1">
        <f t="array" ref="AZ48">IF(hp!AZ48=0,0,_xll.BDP(AZ$4,"YAS_BOND_YLD", "YAS_BOND_PX",hp!AZ48, "SETTLE_DT", TEXT(ya!$C48,"YYYYMMDD")))</f>
        <v>0</v>
      </c>
    </row>
    <row r="49" spans="1:52" x14ac:dyDescent="0.25">
      <c r="A49" s="1"/>
      <c r="B49" s="2"/>
      <c r="C49" s="1">
        <v>43404</v>
      </c>
      <c r="D49" s="2" cm="1">
        <f t="array" ref="D49">IF(hp!D49=0,0,_xll.BDP(D$4,"YAS_BOND_YLD", "YAS_BOND_PX",hp!D49, "SETTLE_DT", TEXT(ya!$C49,"YYYYMMDD")))</f>
        <v>0</v>
      </c>
      <c r="E49" s="2" cm="1">
        <f t="array" ref="E49">IF(hp!E49=0,0,_xll.BDP(E$4,"YAS_BOND_YLD", "YAS_BOND_PX",hp!E49, "SETTLE_DT", TEXT(ya!$C49,"YYYYMMDD")))</f>
        <v>0</v>
      </c>
      <c r="F49" s="2" cm="1">
        <f t="array" ref="F49">IF(hp!F49=0,0,_xll.BDP(F$4,"YAS_BOND_YLD", "YAS_BOND_PX",hp!F49, "SETTLE_DT", TEXT(ya!$C49,"YYYYMMDD")))</f>
        <v>10.049899999999999</v>
      </c>
      <c r="G49" s="2" cm="1">
        <f t="array" ref="G49">IF(hp!G49=0,0,_xll.BDP(G$4,"YAS_BOND_YLD", "YAS_BOND_PX",hp!G49, "SETTLE_DT", TEXT(ya!$C49,"YYYYMMDD")))</f>
        <v>5.1233000000000004</v>
      </c>
      <c r="H49" s="2" cm="1">
        <f t="array" ref="H49">IF(hp!H49=0,0,_xll.BDP(H$4,"YAS_BOND_YLD", "YAS_BOND_PX",hp!H49, "SETTLE_DT", TEXT(ya!$C49,"YYYYMMDD")))</f>
        <v>10.2301</v>
      </c>
      <c r="I49" s="2" cm="1">
        <f t="array" ref="I49">IF(hp!I49=0,0,_xll.BDP(I$4,"YAS_BOND_YLD", "YAS_BOND_PX",hp!I49, "SETTLE_DT", TEXT(ya!$C49,"YYYYMMDD")))</f>
        <v>0</v>
      </c>
      <c r="J49" s="2" cm="1">
        <f t="array" ref="J49">IF(hp!J49=0,0,_xll.BDP(J$4,"YAS_BOND_YLD", "YAS_BOND_PX",hp!J49, "SETTLE_DT", TEXT(ya!$C49,"YYYYMMDD")))</f>
        <v>5.21</v>
      </c>
      <c r="K49" s="2" cm="1">
        <f t="array" ref="K49">IF(hp!K49=0,0,_xll.BDP(K$4,"YAS_BOND_YLD", "YAS_BOND_PX",hp!K49, "SETTLE_DT", TEXT(ya!$C49,"YYYYMMDD")))</f>
        <v>0</v>
      </c>
      <c r="L49" s="2" cm="1">
        <f t="array" ref="L49">IF(hp!L49=0,0,_xll.BDP(L$4,"YAS_BOND_YLD", "YAS_BOND_PX",hp!L49, "SETTLE_DT", TEXT(ya!$C49,"YYYYMMDD")))</f>
        <v>4.9694000000000003</v>
      </c>
      <c r="M49" s="2" cm="1">
        <f t="array" ref="M49">IF(hp!M49=0,0,_xll.BDP(M$4,"YAS_BOND_YLD", "YAS_BOND_PX",hp!M49, "SETTLE_DT", TEXT(ya!$C49,"YYYYMMDD")))</f>
        <v>4.8536000000000001</v>
      </c>
      <c r="N49" s="2" cm="1">
        <f t="array" ref="N49">IF(hp!N49=0,0,_xll.BDP(N$4,"YAS_BOND_YLD", "YAS_BOND_PX",hp!N49, "SETTLE_DT", TEXT(ya!$C49,"YYYYMMDD")))</f>
        <v>4.7988999999999997</v>
      </c>
      <c r="O49" s="2" cm="1">
        <f t="array" ref="O49">IF(hp!O49=0,0,_xll.BDP(O$4,"YAS_BOND_YLD", "YAS_BOND_PX",hp!O49, "SETTLE_DT", TEXT(ya!$C49,"YYYYMMDD")))</f>
        <v>0</v>
      </c>
      <c r="P49" s="2" cm="1">
        <f t="array" ref="P49">IF(hp!P49=0,0,_xll.BDP(P$4,"YAS_BOND_YLD", "YAS_BOND_PX",hp!P49, "SETTLE_DT", TEXT(ya!$C49,"YYYYMMDD")))</f>
        <v>0</v>
      </c>
      <c r="Q49" s="2" cm="1">
        <f t="array" ref="Q49">IF(hp!Q49=0,0,_xll.BDP(Q$4,"YAS_BOND_YLD", "YAS_BOND_PX",hp!Q49, "SETTLE_DT", TEXT(ya!$C49,"YYYYMMDD")))</f>
        <v>5.2328000000000001</v>
      </c>
      <c r="R49" s="2" cm="1">
        <f t="array" ref="R49">IF(hp!R49=0,0,_xll.BDP(R$4,"YAS_BOND_YLD", "YAS_BOND_PX",hp!R49, "SETTLE_DT", TEXT(ya!$C49,"YYYYMMDD")))</f>
        <v>0</v>
      </c>
      <c r="S49" s="2" cm="1">
        <f t="array" ref="S49">IF(hp!S49=0,0,_xll.BDP(S$4,"YAS_BOND_YLD", "YAS_BOND_PX",hp!S49, "SETTLE_DT", TEXT(ya!$C49,"YYYYMMDD")))</f>
        <v>0</v>
      </c>
      <c r="T49" s="2" cm="1">
        <f t="array" ref="T49">IF(hp!T49=0,0,_xll.BDP(T$4,"YAS_BOND_YLD", "YAS_BOND_PX",hp!T49, "SETTLE_DT", TEXT(ya!$C49,"YYYYMMDD")))</f>
        <v>0</v>
      </c>
      <c r="U49" s="2" cm="1">
        <f t="array" ref="U49">IF(hp!U49=0,0,_xll.BDP(U$4,"YAS_BOND_YLD", "YAS_BOND_PX",hp!U49, "SETTLE_DT", TEXT(ya!$C49,"YYYYMMDD")))</f>
        <v>5.1710000000000003</v>
      </c>
      <c r="V49" s="2" cm="1">
        <f t="array" ref="V49">IF(hp!V49=0,0,_xll.BDP(V$4,"YAS_BOND_YLD", "YAS_BOND_PX",hp!V49, "SETTLE_DT", TEXT(ya!$C49,"YYYYMMDD")))</f>
        <v>0</v>
      </c>
      <c r="W49" s="2" cm="1">
        <f t="array" ref="W49">IF(hp!W49=0,0,_xll.BDP(W$4,"YAS_BOND_YLD", "YAS_BOND_PX",hp!W49, "SETTLE_DT", TEXT(ya!$C49,"YYYYMMDD")))</f>
        <v>0</v>
      </c>
      <c r="X49" s="2" cm="1">
        <f t="array" ref="X49">IF(hp!X49=0,0,_xll.BDP(X$4,"YAS_BOND_YLD", "YAS_BOND_PX",hp!X49, "SETTLE_DT", TEXT(ya!$C49,"YYYYMMDD")))</f>
        <v>0</v>
      </c>
      <c r="Y49" s="2" cm="1">
        <f t="array" ref="Y49">IF(hp!Y49=0,0,_xll.BDP(Y$4,"YAS_BOND_YLD", "YAS_BOND_PX",hp!Y49, "SETTLE_DT", TEXT(ya!$C49,"YYYYMMDD")))</f>
        <v>0</v>
      </c>
      <c r="Z49" s="2" cm="1">
        <f t="array" ref="Z49">IF(hp!Z49=0,0,_xll.BDP(Z$4,"YAS_BOND_YLD", "YAS_BOND_PX",hp!Z49, "SETTLE_DT", TEXT(ya!$C49,"YYYYMMDD")))</f>
        <v>0</v>
      </c>
      <c r="AA49" s="2" cm="1">
        <f t="array" ref="AA49">IF(hp!AA49=0,0,_xll.BDP(AA$4,"YAS_BOND_YLD", "YAS_BOND_PX",hp!AA49, "SETTLE_DT", TEXT(ya!$C49,"YYYYMMDD")))</f>
        <v>0</v>
      </c>
      <c r="AB49" s="2" cm="1">
        <f t="array" ref="AB49">IF(hp!AB49=0,0,_xll.BDP(AB$4,"YAS_BOND_YLD", "YAS_BOND_PX",hp!AB49, "SETTLE_DT", TEXT(ya!$C49,"YYYYMMDD")))</f>
        <v>0</v>
      </c>
      <c r="AC49" s="2" cm="1">
        <f t="array" ref="AC49">IF(hp!AC49=0,0,_xll.BDP(AC$4,"YAS_BOND_YLD", "YAS_BOND_PX",hp!AC49, "SETTLE_DT", TEXT(ya!$C49,"YYYYMMDD")))</f>
        <v>0</v>
      </c>
      <c r="AD49" s="2" cm="1">
        <f t="array" ref="AD49">IF(hp!AD49=0,0,_xll.BDP(AD$4,"YAS_BOND_YLD", "YAS_BOND_PX",hp!AD49, "SETTLE_DT", TEXT(ya!$C49,"YYYYMMDD")))</f>
        <v>5.2062999999999997</v>
      </c>
      <c r="AE49" s="2" cm="1">
        <f t="array" ref="AE49">IF(hp!AE49=0,0,_xll.BDP(AE$4,"YAS_BOND_YLD", "YAS_BOND_PX",hp!AE49, "SETTLE_DT", TEXT(ya!$C49,"YYYYMMDD")))</f>
        <v>0</v>
      </c>
      <c r="AF49" s="2" cm="1">
        <f t="array" ref="AF49">IF(hp!AF49=0,0,_xll.BDP(AF$4,"YAS_BOND_YLD", "YAS_BOND_PX",hp!AF49, "SETTLE_DT", TEXT(ya!$C49,"YYYYMMDD")))</f>
        <v>0</v>
      </c>
      <c r="AG49" s="2" cm="1">
        <f t="array" ref="AG49">IF(hp!AG49=0,0,_xll.BDP(AG$4,"YAS_BOND_YLD", "YAS_BOND_PX",hp!AG49, "SETTLE_DT", TEXT(ya!$C49,"YYYYMMDD")))</f>
        <v>0</v>
      </c>
      <c r="AH49" s="2" cm="1">
        <f t="array" ref="AH49">IF(hp!AH49=0,0,_xll.BDP(AH$4,"YAS_BOND_YLD", "YAS_BOND_PX",hp!AH49, "SETTLE_DT", TEXT(ya!$C49,"YYYYMMDD")))</f>
        <v>0</v>
      </c>
      <c r="AI49" s="2" cm="1">
        <f t="array" ref="AI49">IF(hp!AI49=0,0,_xll.BDP(AI$4,"YAS_BOND_YLD", "YAS_BOND_PX",hp!AI49, "SETTLE_DT", TEXT(ya!$C49,"YYYYMMDD")))</f>
        <v>0</v>
      </c>
      <c r="AJ49" s="2" cm="1">
        <f t="array" ref="AJ49">IF(hp!AJ49=0,0,_xll.BDP(AJ$4,"YAS_BOND_YLD", "YAS_BOND_PX",hp!AJ49, "SETTLE_DT", TEXT(ya!$C49,"YYYYMMDD")))</f>
        <v>0</v>
      </c>
      <c r="AK49" s="2" cm="1">
        <f t="array" ref="AK49">IF(hp!AK49=0,0,_xll.BDP(AK$4,"YAS_BOND_YLD", "YAS_BOND_PX",hp!AK49, "SETTLE_DT", TEXT(ya!$C49,"YYYYMMDD")))</f>
        <v>0</v>
      </c>
      <c r="AL49" s="2" cm="1">
        <f t="array" ref="AL49">IF(hp!AL49=0,0,_xll.BDP(AL$4,"YAS_BOND_YLD", "YAS_BOND_PX",hp!AL49, "SETTLE_DT", TEXT(ya!$C49,"YYYYMMDD")))</f>
        <v>0</v>
      </c>
      <c r="AM49" s="2" cm="1">
        <f t="array" ref="AM49">IF(hp!AM49=0,0,_xll.BDP(AM$4,"YAS_BOND_YLD", "YAS_BOND_PX",hp!AM49, "SETTLE_DT", TEXT(ya!$C49,"YYYYMMDD")))</f>
        <v>0</v>
      </c>
      <c r="AN49" s="2" cm="1">
        <f t="array" ref="AN49">IF(hp!AN49=0,0,_xll.BDP(AN$4,"YAS_BOND_YLD", "YAS_BOND_PX",hp!AN49, "SETTLE_DT", TEXT(ya!$C49,"YYYYMMDD")))</f>
        <v>0</v>
      </c>
      <c r="AO49" s="2" cm="1">
        <f t="array" ref="AO49">IF(hp!AO49=0,0,_xll.BDP(AO$4,"YAS_BOND_YLD", "YAS_BOND_PX",hp!AO49, "SETTLE_DT", TEXT(ya!$C49,"YYYYMMDD")))</f>
        <v>0</v>
      </c>
      <c r="AP49" s="2" cm="1">
        <f t="array" ref="AP49">IF(hp!AP49=0,0,_xll.BDP(AP$4,"YAS_BOND_YLD", "YAS_BOND_PX",hp!AP49, "SETTLE_DT", TEXT(ya!$C49,"YYYYMMDD")))</f>
        <v>0</v>
      </c>
      <c r="AQ49" s="2" cm="1">
        <f t="array" ref="AQ49">IF(hp!AQ49=0,0,_xll.BDP(AQ$4,"YAS_BOND_YLD", "YAS_BOND_PX",hp!AQ49, "SETTLE_DT", TEXT(ya!$C49,"YYYYMMDD")))</f>
        <v>0</v>
      </c>
      <c r="AR49" s="2" cm="1">
        <f t="array" ref="AR49">IF(hp!AR49=0,0,_xll.BDP(AR$4,"YAS_BOND_YLD", "YAS_BOND_PX",hp!AR49, "SETTLE_DT", TEXT(ya!$C49,"YYYYMMDD")))</f>
        <v>0</v>
      </c>
      <c r="AS49" s="2" cm="1">
        <f t="array" ref="AS49">IF(hp!AS49=0,0,_xll.BDP(AS$4,"YAS_BOND_YLD", "YAS_BOND_PX",hp!AS49, "SETTLE_DT", TEXT(ya!$C49,"YYYYMMDD")))</f>
        <v>0</v>
      </c>
      <c r="AT49" s="2" cm="1">
        <f t="array" ref="AT49">IF(hp!AT49=0,0,_xll.BDP(AT$4,"YAS_BOND_YLD", "YAS_BOND_PX",hp!AT49, "SETTLE_DT", TEXT(ya!$C49,"YYYYMMDD")))</f>
        <v>0</v>
      </c>
      <c r="AU49" s="2" cm="1">
        <f t="array" ref="AU49">IF(hp!AU49=0,0,_xll.BDP(AU$4,"YAS_BOND_YLD", "YAS_BOND_PX",hp!AU49, "SETTLE_DT", TEXT(ya!$C49,"YYYYMMDD")))</f>
        <v>0</v>
      </c>
      <c r="AV49" s="2" cm="1">
        <f t="array" ref="AV49">IF(hp!AV49=0,0,_xll.BDP(AV$4,"YAS_BOND_YLD", "YAS_BOND_PX",hp!AV49, "SETTLE_DT", TEXT(ya!$C49,"YYYYMMDD")))</f>
        <v>0</v>
      </c>
      <c r="AW49" s="2" cm="1">
        <f t="array" ref="AW49">IF(hp!AW49=0,0,_xll.BDP(AW$4,"YAS_BOND_YLD", "YAS_BOND_PX",hp!AW49, "SETTLE_DT", TEXT(ya!$C49,"YYYYMMDD")))</f>
        <v>0</v>
      </c>
      <c r="AX49" s="2" cm="1">
        <f t="array" ref="AX49">IF(hp!AX49=0,0,_xll.BDP(AX$4,"YAS_BOND_YLD", "YAS_BOND_PX",hp!AX49, "SETTLE_DT", TEXT(ya!$C49,"YYYYMMDD")))</f>
        <v>0</v>
      </c>
      <c r="AY49" s="2" cm="1">
        <f t="array" ref="AY49">IF(hp!AY49=0,0,_xll.BDP(AY$4,"YAS_BOND_YLD", "YAS_BOND_PX",hp!AY49, "SETTLE_DT", TEXT(ya!$C49,"YYYYMMDD")))</f>
        <v>0</v>
      </c>
      <c r="AZ49" s="2" cm="1">
        <f t="array" ref="AZ49">IF(hp!AZ49=0,0,_xll.BDP(AZ$4,"YAS_BOND_YLD", "YAS_BOND_PX",hp!AZ49, "SETTLE_DT", TEXT(ya!$C49,"YYYYMMDD")))</f>
        <v>0</v>
      </c>
    </row>
    <row r="50" spans="1:52" x14ac:dyDescent="0.25">
      <c r="A50" s="1"/>
      <c r="B50" s="2"/>
      <c r="C50" s="1">
        <v>43434</v>
      </c>
      <c r="D50" s="2" cm="1">
        <f t="array" ref="D50">IF(hp!D50=0,0,_xll.BDP(D$4,"YAS_BOND_YLD", "YAS_BOND_PX",hp!D50, "SETTLE_DT", TEXT(ya!$C50,"YYYYMMDD")))</f>
        <v>0</v>
      </c>
      <c r="E50" s="2" cm="1">
        <f t="array" ref="E50">IF(hp!E50=0,0,_xll.BDP(E$4,"YAS_BOND_YLD", "YAS_BOND_PX",hp!E50, "SETTLE_DT", TEXT(ya!$C50,"YYYYMMDD")))</f>
        <v>0</v>
      </c>
      <c r="F50" s="2" cm="1">
        <f t="array" ref="F50">IF(hp!F50=0,0,_xll.BDP(F$4,"YAS_BOND_YLD", "YAS_BOND_PX",hp!F50, "SETTLE_DT", TEXT(ya!$C50,"YYYYMMDD")))</f>
        <v>9.7577999999999996</v>
      </c>
      <c r="G50" s="2" cm="1">
        <f t="array" ref="G50">IF(hp!G50=0,0,_xll.BDP(G$4,"YAS_BOND_YLD", "YAS_BOND_PX",hp!G50, "SETTLE_DT", TEXT(ya!$C50,"YYYYMMDD")))</f>
        <v>5.0655000000000001</v>
      </c>
      <c r="H50" s="2" cm="1">
        <f t="array" ref="H50">IF(hp!H50=0,0,_xll.BDP(H$4,"YAS_BOND_YLD", "YAS_BOND_PX",hp!H50, "SETTLE_DT", TEXT(ya!$C50,"YYYYMMDD")))</f>
        <v>9.8961000000000006</v>
      </c>
      <c r="I50" s="2" cm="1">
        <f t="array" ref="I50">IF(hp!I50=0,0,_xll.BDP(I$4,"YAS_BOND_YLD", "YAS_BOND_PX",hp!I50, "SETTLE_DT", TEXT(ya!$C50,"YYYYMMDD")))</f>
        <v>0</v>
      </c>
      <c r="J50" s="2" cm="1">
        <f t="array" ref="J50">IF(hp!J50=0,0,_xll.BDP(J$4,"YAS_BOND_YLD", "YAS_BOND_PX",hp!J50, "SETTLE_DT", TEXT(ya!$C50,"YYYYMMDD")))</f>
        <v>5.0997000000000003</v>
      </c>
      <c r="K50" s="2" cm="1">
        <f t="array" ref="K50">IF(hp!K50=0,0,_xll.BDP(K$4,"YAS_BOND_YLD", "YAS_BOND_PX",hp!K50, "SETTLE_DT", TEXT(ya!$C50,"YYYYMMDD")))</f>
        <v>0</v>
      </c>
      <c r="L50" s="2" cm="1">
        <f t="array" ref="L50">IF(hp!L50=0,0,_xll.BDP(L$4,"YAS_BOND_YLD", "YAS_BOND_PX",hp!L50, "SETTLE_DT", TEXT(ya!$C50,"YYYYMMDD")))</f>
        <v>4.9432999999999998</v>
      </c>
      <c r="M50" s="2" cm="1">
        <f t="array" ref="M50">IF(hp!M50=0,0,_xll.BDP(M$4,"YAS_BOND_YLD", "YAS_BOND_PX",hp!M50, "SETTLE_DT", TEXT(ya!$C50,"YYYYMMDD")))</f>
        <v>4.8601999999999999</v>
      </c>
      <c r="N50" s="2" cm="1">
        <f t="array" ref="N50">IF(hp!N50=0,0,_xll.BDP(N$4,"YAS_BOND_YLD", "YAS_BOND_PX",hp!N50, "SETTLE_DT", TEXT(ya!$C50,"YYYYMMDD")))</f>
        <v>4.8320999999999996</v>
      </c>
      <c r="O50" s="2" cm="1">
        <f t="array" ref="O50">IF(hp!O50=0,0,_xll.BDP(O$4,"YAS_BOND_YLD", "YAS_BOND_PX",hp!O50, "SETTLE_DT", TEXT(ya!$C50,"YYYYMMDD")))</f>
        <v>0</v>
      </c>
      <c r="P50" s="2" cm="1">
        <f t="array" ref="P50">IF(hp!P50=0,0,_xll.BDP(P$4,"YAS_BOND_YLD", "YAS_BOND_PX",hp!P50, "SETTLE_DT", TEXT(ya!$C50,"YYYYMMDD")))</f>
        <v>0</v>
      </c>
      <c r="Q50" s="2" cm="1">
        <f t="array" ref="Q50">IF(hp!Q50=0,0,_xll.BDP(Q$4,"YAS_BOND_YLD", "YAS_BOND_PX",hp!Q50, "SETTLE_DT", TEXT(ya!$C50,"YYYYMMDD")))</f>
        <v>5.1284999999999998</v>
      </c>
      <c r="R50" s="2" cm="1">
        <f t="array" ref="R50">IF(hp!R50=0,0,_xll.BDP(R$4,"YAS_BOND_YLD", "YAS_BOND_PX",hp!R50, "SETTLE_DT", TEXT(ya!$C50,"YYYYMMDD")))</f>
        <v>0</v>
      </c>
      <c r="S50" s="2" cm="1">
        <f t="array" ref="S50">IF(hp!S50=0,0,_xll.BDP(S$4,"YAS_BOND_YLD", "YAS_BOND_PX",hp!S50, "SETTLE_DT", TEXT(ya!$C50,"YYYYMMDD")))</f>
        <v>0</v>
      </c>
      <c r="T50" s="2" cm="1">
        <f t="array" ref="T50">IF(hp!T50=0,0,_xll.BDP(T$4,"YAS_BOND_YLD", "YAS_BOND_PX",hp!T50, "SETTLE_DT", TEXT(ya!$C50,"YYYYMMDD")))</f>
        <v>0</v>
      </c>
      <c r="U50" s="2" cm="1">
        <f t="array" ref="U50">IF(hp!U50=0,0,_xll.BDP(U$4,"YAS_BOND_YLD", "YAS_BOND_PX",hp!U50, "SETTLE_DT", TEXT(ya!$C50,"YYYYMMDD")))</f>
        <v>5.0810000000000004</v>
      </c>
      <c r="V50" s="2" cm="1">
        <f t="array" ref="V50">IF(hp!V50=0,0,_xll.BDP(V$4,"YAS_BOND_YLD", "YAS_BOND_PX",hp!V50, "SETTLE_DT", TEXT(ya!$C50,"YYYYMMDD")))</f>
        <v>0</v>
      </c>
      <c r="W50" s="2" cm="1">
        <f t="array" ref="W50">IF(hp!W50=0,0,_xll.BDP(W$4,"YAS_BOND_YLD", "YAS_BOND_PX",hp!W50, "SETTLE_DT", TEXT(ya!$C50,"YYYYMMDD")))</f>
        <v>0</v>
      </c>
      <c r="X50" s="2" cm="1">
        <f t="array" ref="X50">IF(hp!X50=0,0,_xll.BDP(X$4,"YAS_BOND_YLD", "YAS_BOND_PX",hp!X50, "SETTLE_DT", TEXT(ya!$C50,"YYYYMMDD")))</f>
        <v>0</v>
      </c>
      <c r="Y50" s="2" cm="1">
        <f t="array" ref="Y50">IF(hp!Y50=0,0,_xll.BDP(Y$4,"YAS_BOND_YLD", "YAS_BOND_PX",hp!Y50, "SETTLE_DT", TEXT(ya!$C50,"YYYYMMDD")))</f>
        <v>0</v>
      </c>
      <c r="Z50" s="2" cm="1">
        <f t="array" ref="Z50">IF(hp!Z50=0,0,_xll.BDP(Z$4,"YAS_BOND_YLD", "YAS_BOND_PX",hp!Z50, "SETTLE_DT", TEXT(ya!$C50,"YYYYMMDD")))</f>
        <v>0</v>
      </c>
      <c r="AA50" s="2" cm="1">
        <f t="array" ref="AA50">IF(hp!AA50=0,0,_xll.BDP(AA$4,"YAS_BOND_YLD", "YAS_BOND_PX",hp!AA50, "SETTLE_DT", TEXT(ya!$C50,"YYYYMMDD")))</f>
        <v>0</v>
      </c>
      <c r="AB50" s="2" cm="1">
        <f t="array" ref="AB50">IF(hp!AB50=0,0,_xll.BDP(AB$4,"YAS_BOND_YLD", "YAS_BOND_PX",hp!AB50, "SETTLE_DT", TEXT(ya!$C50,"YYYYMMDD")))</f>
        <v>0</v>
      </c>
      <c r="AC50" s="2" cm="1">
        <f t="array" ref="AC50">IF(hp!AC50=0,0,_xll.BDP(AC$4,"YAS_BOND_YLD", "YAS_BOND_PX",hp!AC50, "SETTLE_DT", TEXT(ya!$C50,"YYYYMMDD")))</f>
        <v>0</v>
      </c>
      <c r="AD50" s="2" cm="1">
        <f t="array" ref="AD50">IF(hp!AD50=0,0,_xll.BDP(AD$4,"YAS_BOND_YLD", "YAS_BOND_PX",hp!AD50, "SETTLE_DT", TEXT(ya!$C50,"YYYYMMDD")))</f>
        <v>5.0964</v>
      </c>
      <c r="AE50" s="2" cm="1">
        <f t="array" ref="AE50">IF(hp!AE50=0,0,_xll.BDP(AE$4,"YAS_BOND_YLD", "YAS_BOND_PX",hp!AE50, "SETTLE_DT", TEXT(ya!$C50,"YYYYMMDD")))</f>
        <v>0</v>
      </c>
      <c r="AF50" s="2" cm="1">
        <f t="array" ref="AF50">IF(hp!AF50=0,0,_xll.BDP(AF$4,"YAS_BOND_YLD", "YAS_BOND_PX",hp!AF50, "SETTLE_DT", TEXT(ya!$C50,"YYYYMMDD")))</f>
        <v>0</v>
      </c>
      <c r="AG50" s="2" cm="1">
        <f t="array" ref="AG50">IF(hp!AG50=0,0,_xll.BDP(AG$4,"YAS_BOND_YLD", "YAS_BOND_PX",hp!AG50, "SETTLE_DT", TEXT(ya!$C50,"YYYYMMDD")))</f>
        <v>0</v>
      </c>
      <c r="AH50" s="2" cm="1">
        <f t="array" ref="AH50">IF(hp!AH50=0,0,_xll.BDP(AH$4,"YAS_BOND_YLD", "YAS_BOND_PX",hp!AH50, "SETTLE_DT", TEXT(ya!$C50,"YYYYMMDD")))</f>
        <v>0</v>
      </c>
      <c r="AI50" s="2" cm="1">
        <f t="array" ref="AI50">IF(hp!AI50=0,0,_xll.BDP(AI$4,"YAS_BOND_YLD", "YAS_BOND_PX",hp!AI50, "SETTLE_DT", TEXT(ya!$C50,"YYYYMMDD")))</f>
        <v>0</v>
      </c>
      <c r="AJ50" s="2" cm="1">
        <f t="array" ref="AJ50">IF(hp!AJ50=0,0,_xll.BDP(AJ$4,"YAS_BOND_YLD", "YAS_BOND_PX",hp!AJ50, "SETTLE_DT", TEXT(ya!$C50,"YYYYMMDD")))</f>
        <v>0</v>
      </c>
      <c r="AK50" s="2" cm="1">
        <f t="array" ref="AK50">IF(hp!AK50=0,0,_xll.BDP(AK$4,"YAS_BOND_YLD", "YAS_BOND_PX",hp!AK50, "SETTLE_DT", TEXT(ya!$C50,"YYYYMMDD")))</f>
        <v>0</v>
      </c>
      <c r="AL50" s="2" cm="1">
        <f t="array" ref="AL50">IF(hp!AL50=0,0,_xll.BDP(AL$4,"YAS_BOND_YLD", "YAS_BOND_PX",hp!AL50, "SETTLE_DT", TEXT(ya!$C50,"YYYYMMDD")))</f>
        <v>0</v>
      </c>
      <c r="AM50" s="2" cm="1">
        <f t="array" ref="AM50">IF(hp!AM50=0,0,_xll.BDP(AM$4,"YAS_BOND_YLD", "YAS_BOND_PX",hp!AM50, "SETTLE_DT", TEXT(ya!$C50,"YYYYMMDD")))</f>
        <v>0</v>
      </c>
      <c r="AN50" s="2" cm="1">
        <f t="array" ref="AN50">IF(hp!AN50=0,0,_xll.BDP(AN$4,"YAS_BOND_YLD", "YAS_BOND_PX",hp!AN50, "SETTLE_DT", TEXT(ya!$C50,"YYYYMMDD")))</f>
        <v>0</v>
      </c>
      <c r="AO50" s="2" cm="1">
        <f t="array" ref="AO50">IF(hp!AO50=0,0,_xll.BDP(AO$4,"YAS_BOND_YLD", "YAS_BOND_PX",hp!AO50, "SETTLE_DT", TEXT(ya!$C50,"YYYYMMDD")))</f>
        <v>0</v>
      </c>
      <c r="AP50" s="2" cm="1">
        <f t="array" ref="AP50">IF(hp!AP50=0,0,_xll.BDP(AP$4,"YAS_BOND_YLD", "YAS_BOND_PX",hp!AP50, "SETTLE_DT", TEXT(ya!$C50,"YYYYMMDD")))</f>
        <v>0</v>
      </c>
      <c r="AQ50" s="2" cm="1">
        <f t="array" ref="AQ50">IF(hp!AQ50=0,0,_xll.BDP(AQ$4,"YAS_BOND_YLD", "YAS_BOND_PX",hp!AQ50, "SETTLE_DT", TEXT(ya!$C50,"YYYYMMDD")))</f>
        <v>0</v>
      </c>
      <c r="AR50" s="2" cm="1">
        <f t="array" ref="AR50">IF(hp!AR50=0,0,_xll.BDP(AR$4,"YAS_BOND_YLD", "YAS_BOND_PX",hp!AR50, "SETTLE_DT", TEXT(ya!$C50,"YYYYMMDD")))</f>
        <v>5.2367999999999997</v>
      </c>
      <c r="AS50" s="2" cm="1">
        <f t="array" ref="AS50">IF(hp!AS50=0,0,_xll.BDP(AS$4,"YAS_BOND_YLD", "YAS_BOND_PX",hp!AS50, "SETTLE_DT", TEXT(ya!$C50,"YYYYMMDD")))</f>
        <v>0</v>
      </c>
      <c r="AT50" s="2" cm="1">
        <f t="array" ref="AT50">IF(hp!AT50=0,0,_xll.BDP(AT$4,"YAS_BOND_YLD", "YAS_BOND_PX",hp!AT50, "SETTLE_DT", TEXT(ya!$C50,"YYYYMMDD")))</f>
        <v>0</v>
      </c>
      <c r="AU50" s="2" cm="1">
        <f t="array" ref="AU50">IF(hp!AU50=0,0,_xll.BDP(AU$4,"YAS_BOND_YLD", "YAS_BOND_PX",hp!AU50, "SETTLE_DT", TEXT(ya!$C50,"YYYYMMDD")))</f>
        <v>0</v>
      </c>
      <c r="AV50" s="2" cm="1">
        <f t="array" ref="AV50">IF(hp!AV50=0,0,_xll.BDP(AV$4,"YAS_BOND_YLD", "YAS_BOND_PX",hp!AV50, "SETTLE_DT", TEXT(ya!$C50,"YYYYMMDD")))</f>
        <v>0</v>
      </c>
      <c r="AW50" s="2" cm="1">
        <f t="array" ref="AW50">IF(hp!AW50=0,0,_xll.BDP(AW$4,"YAS_BOND_YLD", "YAS_BOND_PX",hp!AW50, "SETTLE_DT", TEXT(ya!$C50,"YYYYMMDD")))</f>
        <v>0</v>
      </c>
      <c r="AX50" s="2" cm="1">
        <f t="array" ref="AX50">IF(hp!AX50=0,0,_xll.BDP(AX$4,"YAS_BOND_YLD", "YAS_BOND_PX",hp!AX50, "SETTLE_DT", TEXT(ya!$C50,"YYYYMMDD")))</f>
        <v>0</v>
      </c>
      <c r="AY50" s="2" cm="1">
        <f t="array" ref="AY50">IF(hp!AY50=0,0,_xll.BDP(AY$4,"YAS_BOND_YLD", "YAS_BOND_PX",hp!AY50, "SETTLE_DT", TEXT(ya!$C50,"YYYYMMDD")))</f>
        <v>0</v>
      </c>
      <c r="AZ50" s="2" cm="1">
        <f t="array" ref="AZ50">IF(hp!AZ50=0,0,_xll.BDP(AZ$4,"YAS_BOND_YLD", "YAS_BOND_PX",hp!AZ50, "SETTLE_DT", TEXT(ya!$C50,"YYYYMMDD")))</f>
        <v>0</v>
      </c>
    </row>
    <row r="51" spans="1:52" x14ac:dyDescent="0.25">
      <c r="A51" s="1"/>
      <c r="B51" s="2"/>
      <c r="C51" s="1">
        <v>43465</v>
      </c>
      <c r="D51" s="2" cm="1">
        <f t="array" ref="D51">IF(hp!D51=0,0,_xll.BDP(D$4,"YAS_BOND_YLD", "YAS_BOND_PX",hp!D51, "SETTLE_DT", TEXT(ya!$C51,"YYYYMMDD")))</f>
        <v>0</v>
      </c>
      <c r="E51" s="2" cm="1">
        <f t="array" ref="E51">IF(hp!E51=0,0,_xll.BDP(E$4,"YAS_BOND_YLD", "YAS_BOND_PX",hp!E51, "SETTLE_DT", TEXT(ya!$C51,"YYYYMMDD")))</f>
        <v>0</v>
      </c>
      <c r="F51" s="2" cm="1">
        <f t="array" ref="F51">IF(hp!F51=0,0,_xll.BDP(F$4,"YAS_BOND_YLD", "YAS_BOND_PX",hp!F51, "SETTLE_DT", TEXT(ya!$C51,"YYYYMMDD")))</f>
        <v>9.1752000000000002</v>
      </c>
      <c r="G51" s="2" cm="1">
        <f t="array" ref="G51">IF(hp!G51=0,0,_xll.BDP(G$4,"YAS_BOND_YLD", "YAS_BOND_PX",hp!G51, "SETTLE_DT", TEXT(ya!$C51,"YYYYMMDD")))</f>
        <v>4.8956999999999997</v>
      </c>
      <c r="H51" s="2" cm="1">
        <f t="array" ref="H51">IF(hp!H51=0,0,_xll.BDP(H$4,"YAS_BOND_YLD", "YAS_BOND_PX",hp!H51, "SETTLE_DT", TEXT(ya!$C51,"YYYYMMDD")))</f>
        <v>9.2276000000000007</v>
      </c>
      <c r="I51" s="2" cm="1">
        <f t="array" ref="I51">IF(hp!I51=0,0,_xll.BDP(I$4,"YAS_BOND_YLD", "YAS_BOND_PX",hp!I51, "SETTLE_DT", TEXT(ya!$C51,"YYYYMMDD")))</f>
        <v>0</v>
      </c>
      <c r="J51" s="2" cm="1">
        <f t="array" ref="J51">IF(hp!J51=0,0,_xll.BDP(J$4,"YAS_BOND_YLD", "YAS_BOND_PX",hp!J51, "SETTLE_DT", TEXT(ya!$C51,"YYYYMMDD")))</f>
        <v>4.9716000000000005</v>
      </c>
      <c r="K51" s="2" cm="1">
        <f t="array" ref="K51">IF(hp!K51=0,0,_xll.BDP(K$4,"YAS_BOND_YLD", "YAS_BOND_PX",hp!K51, "SETTLE_DT", TEXT(ya!$C51,"YYYYMMDD")))</f>
        <v>0</v>
      </c>
      <c r="L51" s="2" cm="1">
        <f t="array" ref="L51">IF(hp!L51=0,0,_xll.BDP(L$4,"YAS_BOND_YLD", "YAS_BOND_PX",hp!L51, "SETTLE_DT", TEXT(ya!$C51,"YYYYMMDD")))</f>
        <v>4.7620000000000005</v>
      </c>
      <c r="M51" s="2" cm="1">
        <f t="array" ref="M51">IF(hp!M51=0,0,_xll.BDP(M$4,"YAS_BOND_YLD", "YAS_BOND_PX",hp!M51, "SETTLE_DT", TEXT(ya!$C51,"YYYYMMDD")))</f>
        <v>4.6708999999999996</v>
      </c>
      <c r="N51" s="2" cm="1">
        <f t="array" ref="N51">IF(hp!N51=0,0,_xll.BDP(N$4,"YAS_BOND_YLD", "YAS_BOND_PX",hp!N51, "SETTLE_DT", TEXT(ya!$C51,"YYYYMMDD")))</f>
        <v>4.5705999999999998</v>
      </c>
      <c r="O51" s="2" cm="1">
        <f t="array" ref="O51">IF(hp!O51=0,0,_xll.BDP(O$4,"YAS_BOND_YLD", "YAS_BOND_PX",hp!O51, "SETTLE_DT", TEXT(ya!$C51,"YYYYMMDD")))</f>
        <v>0</v>
      </c>
      <c r="P51" s="2" cm="1">
        <f t="array" ref="P51">IF(hp!P51=0,0,_xll.BDP(P$4,"YAS_BOND_YLD", "YAS_BOND_PX",hp!P51, "SETTLE_DT", TEXT(ya!$C51,"YYYYMMDD")))</f>
        <v>0</v>
      </c>
      <c r="Q51" s="2" cm="1">
        <f t="array" ref="Q51">IF(hp!Q51=0,0,_xll.BDP(Q$4,"YAS_BOND_YLD", "YAS_BOND_PX",hp!Q51, "SETTLE_DT", TEXT(ya!$C51,"YYYYMMDD")))</f>
        <v>4.9719999999999995</v>
      </c>
      <c r="R51" s="2" cm="1">
        <f t="array" ref="R51">IF(hp!R51=0,0,_xll.BDP(R$4,"YAS_BOND_YLD", "YAS_BOND_PX",hp!R51, "SETTLE_DT", TEXT(ya!$C51,"YYYYMMDD")))</f>
        <v>0</v>
      </c>
      <c r="S51" s="2" cm="1">
        <f t="array" ref="S51">IF(hp!S51=0,0,_xll.BDP(S$4,"YAS_BOND_YLD", "YAS_BOND_PX",hp!S51, "SETTLE_DT", TEXT(ya!$C51,"YYYYMMDD")))</f>
        <v>0</v>
      </c>
      <c r="T51" s="2" cm="1">
        <f t="array" ref="T51">IF(hp!T51=0,0,_xll.BDP(T$4,"YAS_BOND_YLD", "YAS_BOND_PX",hp!T51, "SETTLE_DT", TEXT(ya!$C51,"YYYYMMDD")))</f>
        <v>0</v>
      </c>
      <c r="U51" s="2" cm="1">
        <f t="array" ref="U51">IF(hp!U51=0,0,_xll.BDP(U$4,"YAS_BOND_YLD", "YAS_BOND_PX",hp!U51, "SETTLE_DT", TEXT(ya!$C51,"YYYYMMDD")))</f>
        <v>4.9160000000000004</v>
      </c>
      <c r="V51" s="2" cm="1">
        <f t="array" ref="V51">IF(hp!V51=0,0,_xll.BDP(V$4,"YAS_BOND_YLD", "YAS_BOND_PX",hp!V51, "SETTLE_DT", TEXT(ya!$C51,"YYYYMMDD")))</f>
        <v>0</v>
      </c>
      <c r="W51" s="2" cm="1">
        <f t="array" ref="W51">IF(hp!W51=0,0,_xll.BDP(W$4,"YAS_BOND_YLD", "YAS_BOND_PX",hp!W51, "SETTLE_DT", TEXT(ya!$C51,"YYYYMMDD")))</f>
        <v>0</v>
      </c>
      <c r="X51" s="2" cm="1">
        <f t="array" ref="X51">IF(hp!X51=0,0,_xll.BDP(X$4,"YAS_BOND_YLD", "YAS_BOND_PX",hp!X51, "SETTLE_DT", TEXT(ya!$C51,"YYYYMMDD")))</f>
        <v>0</v>
      </c>
      <c r="Y51" s="2" cm="1">
        <f t="array" ref="Y51">IF(hp!Y51=0,0,_xll.BDP(Y$4,"YAS_BOND_YLD", "YAS_BOND_PX",hp!Y51, "SETTLE_DT", TEXT(ya!$C51,"YYYYMMDD")))</f>
        <v>0</v>
      </c>
      <c r="Z51" s="2" cm="1">
        <f t="array" ref="Z51">IF(hp!Z51=0,0,_xll.BDP(Z$4,"YAS_BOND_YLD", "YAS_BOND_PX",hp!Z51, "SETTLE_DT", TEXT(ya!$C51,"YYYYMMDD")))</f>
        <v>0</v>
      </c>
      <c r="AA51" s="2" cm="1">
        <f t="array" ref="AA51">IF(hp!AA51=0,0,_xll.BDP(AA$4,"YAS_BOND_YLD", "YAS_BOND_PX",hp!AA51, "SETTLE_DT", TEXT(ya!$C51,"YYYYMMDD")))</f>
        <v>0</v>
      </c>
      <c r="AB51" s="2" cm="1">
        <f t="array" ref="AB51">IF(hp!AB51=0,0,_xll.BDP(AB$4,"YAS_BOND_YLD", "YAS_BOND_PX",hp!AB51, "SETTLE_DT", TEXT(ya!$C51,"YYYYMMDD")))</f>
        <v>0</v>
      </c>
      <c r="AC51" s="2" cm="1">
        <f t="array" ref="AC51">IF(hp!AC51=0,0,_xll.BDP(AC$4,"YAS_BOND_YLD", "YAS_BOND_PX",hp!AC51, "SETTLE_DT", TEXT(ya!$C51,"YYYYMMDD")))</f>
        <v>0</v>
      </c>
      <c r="AD51" s="2" cm="1">
        <f t="array" ref="AD51">IF(hp!AD51=0,0,_xll.BDP(AD$4,"YAS_BOND_YLD", "YAS_BOND_PX",hp!AD51, "SETTLE_DT", TEXT(ya!$C51,"YYYYMMDD")))</f>
        <v>4.9470999999999998</v>
      </c>
      <c r="AE51" s="2" cm="1">
        <f t="array" ref="AE51">IF(hp!AE51=0,0,_xll.BDP(AE$4,"YAS_BOND_YLD", "YAS_BOND_PX",hp!AE51, "SETTLE_DT", TEXT(ya!$C51,"YYYYMMDD")))</f>
        <v>0</v>
      </c>
      <c r="AF51" s="2" cm="1">
        <f t="array" ref="AF51">IF(hp!AF51=0,0,_xll.BDP(AF$4,"YAS_BOND_YLD", "YAS_BOND_PX",hp!AF51, "SETTLE_DT", TEXT(ya!$C51,"YYYYMMDD")))</f>
        <v>0</v>
      </c>
      <c r="AG51" s="2" cm="1">
        <f t="array" ref="AG51">IF(hp!AG51=0,0,_xll.BDP(AG$4,"YAS_BOND_YLD", "YAS_BOND_PX",hp!AG51, "SETTLE_DT", TEXT(ya!$C51,"YYYYMMDD")))</f>
        <v>0</v>
      </c>
      <c r="AH51" s="2" cm="1">
        <f t="array" ref="AH51">IF(hp!AH51=0,0,_xll.BDP(AH$4,"YAS_BOND_YLD", "YAS_BOND_PX",hp!AH51, "SETTLE_DT", TEXT(ya!$C51,"YYYYMMDD")))</f>
        <v>0</v>
      </c>
      <c r="AI51" s="2" cm="1">
        <f t="array" ref="AI51">IF(hp!AI51=0,0,_xll.BDP(AI$4,"YAS_BOND_YLD", "YAS_BOND_PX",hp!AI51, "SETTLE_DT", TEXT(ya!$C51,"YYYYMMDD")))</f>
        <v>0</v>
      </c>
      <c r="AJ51" s="2" cm="1">
        <f t="array" ref="AJ51">IF(hp!AJ51=0,0,_xll.BDP(AJ$4,"YAS_BOND_YLD", "YAS_BOND_PX",hp!AJ51, "SETTLE_DT", TEXT(ya!$C51,"YYYYMMDD")))</f>
        <v>0</v>
      </c>
      <c r="AK51" s="2" cm="1">
        <f t="array" ref="AK51">IF(hp!AK51=0,0,_xll.BDP(AK$4,"YAS_BOND_YLD", "YAS_BOND_PX",hp!AK51, "SETTLE_DT", TEXT(ya!$C51,"YYYYMMDD")))</f>
        <v>0</v>
      </c>
      <c r="AL51" s="2" cm="1">
        <f t="array" ref="AL51">IF(hp!AL51=0,0,_xll.BDP(AL$4,"YAS_BOND_YLD", "YAS_BOND_PX",hp!AL51, "SETTLE_DT", TEXT(ya!$C51,"YYYYMMDD")))</f>
        <v>0</v>
      </c>
      <c r="AM51" s="2" cm="1">
        <f t="array" ref="AM51">IF(hp!AM51=0,0,_xll.BDP(AM$4,"YAS_BOND_YLD", "YAS_BOND_PX",hp!AM51, "SETTLE_DT", TEXT(ya!$C51,"YYYYMMDD")))</f>
        <v>0</v>
      </c>
      <c r="AN51" s="2" cm="1">
        <f t="array" ref="AN51">IF(hp!AN51=0,0,_xll.BDP(AN$4,"YAS_BOND_YLD", "YAS_BOND_PX",hp!AN51, "SETTLE_DT", TEXT(ya!$C51,"YYYYMMDD")))</f>
        <v>0</v>
      </c>
      <c r="AO51" s="2" cm="1">
        <f t="array" ref="AO51">IF(hp!AO51=0,0,_xll.BDP(AO$4,"YAS_BOND_YLD", "YAS_BOND_PX",hp!AO51, "SETTLE_DT", TEXT(ya!$C51,"YYYYMMDD")))</f>
        <v>0</v>
      </c>
      <c r="AP51" s="2" cm="1">
        <f t="array" ref="AP51">IF(hp!AP51=0,0,_xll.BDP(AP$4,"YAS_BOND_YLD", "YAS_BOND_PX",hp!AP51, "SETTLE_DT", TEXT(ya!$C51,"YYYYMMDD")))</f>
        <v>0</v>
      </c>
      <c r="AQ51" s="2" cm="1">
        <f t="array" ref="AQ51">IF(hp!AQ51=0,0,_xll.BDP(AQ$4,"YAS_BOND_YLD", "YAS_BOND_PX",hp!AQ51, "SETTLE_DT", TEXT(ya!$C51,"YYYYMMDD")))</f>
        <v>0</v>
      </c>
      <c r="AR51" s="2" cm="1">
        <f t="array" ref="AR51">IF(hp!AR51=0,0,_xll.BDP(AR$4,"YAS_BOND_YLD", "YAS_BOND_PX",hp!AR51, "SETTLE_DT", TEXT(ya!$C51,"YYYYMMDD")))</f>
        <v>0</v>
      </c>
      <c r="AS51" s="2" cm="1">
        <f t="array" ref="AS51">IF(hp!AS51=0,0,_xll.BDP(AS$4,"YAS_BOND_YLD", "YAS_BOND_PX",hp!AS51, "SETTLE_DT", TEXT(ya!$C51,"YYYYMMDD")))</f>
        <v>0</v>
      </c>
      <c r="AT51" s="2" cm="1">
        <f t="array" ref="AT51">IF(hp!AT51=0,0,_xll.BDP(AT$4,"YAS_BOND_YLD", "YAS_BOND_PX",hp!AT51, "SETTLE_DT", TEXT(ya!$C51,"YYYYMMDD")))</f>
        <v>0</v>
      </c>
      <c r="AU51" s="2" cm="1">
        <f t="array" ref="AU51">IF(hp!AU51=0,0,_xll.BDP(AU$4,"YAS_BOND_YLD", "YAS_BOND_PX",hp!AU51, "SETTLE_DT", TEXT(ya!$C51,"YYYYMMDD")))</f>
        <v>0</v>
      </c>
      <c r="AV51" s="2" cm="1">
        <f t="array" ref="AV51">IF(hp!AV51=0,0,_xll.BDP(AV$4,"YAS_BOND_YLD", "YAS_BOND_PX",hp!AV51, "SETTLE_DT", TEXT(ya!$C51,"YYYYMMDD")))</f>
        <v>0</v>
      </c>
      <c r="AW51" s="2" cm="1">
        <f t="array" ref="AW51">IF(hp!AW51=0,0,_xll.BDP(AW$4,"YAS_BOND_YLD", "YAS_BOND_PX",hp!AW51, "SETTLE_DT", TEXT(ya!$C51,"YYYYMMDD")))</f>
        <v>0</v>
      </c>
      <c r="AX51" s="2" cm="1">
        <f t="array" ref="AX51">IF(hp!AX51=0,0,_xll.BDP(AX$4,"YAS_BOND_YLD", "YAS_BOND_PX",hp!AX51, "SETTLE_DT", TEXT(ya!$C51,"YYYYMMDD")))</f>
        <v>0</v>
      </c>
      <c r="AY51" s="2" cm="1">
        <f t="array" ref="AY51">IF(hp!AY51=0,0,_xll.BDP(AY$4,"YAS_BOND_YLD", "YAS_BOND_PX",hp!AY51, "SETTLE_DT", TEXT(ya!$C51,"YYYYMMDD")))</f>
        <v>0</v>
      </c>
      <c r="AZ51" s="2" cm="1">
        <f t="array" ref="AZ51">IF(hp!AZ51=0,0,_xll.BDP(AZ$4,"YAS_BOND_YLD", "YAS_BOND_PX",hp!AZ51, "SETTLE_DT", TEXT(ya!$C51,"YYYYMMDD")))</f>
        <v>0</v>
      </c>
    </row>
    <row r="52" spans="1:52" x14ac:dyDescent="0.25">
      <c r="A52" s="1"/>
      <c r="B52" s="2"/>
      <c r="C52" s="1">
        <v>43496</v>
      </c>
      <c r="D52" s="2" cm="1">
        <f t="array" ref="D52">IF(hp!D52=0,0,_xll.BDP(D$4,"YAS_BOND_YLD", "YAS_BOND_PX",hp!D52, "SETTLE_DT", TEXT(ya!$C52,"YYYYMMDD")))</f>
        <v>0</v>
      </c>
      <c r="E52" s="2" cm="1">
        <f t="array" ref="E52">IF(hp!E52=0,0,_xll.BDP(E$4,"YAS_BOND_YLD", "YAS_BOND_PX",hp!E52, "SETTLE_DT", TEXT(ya!$C52,"YYYYMMDD")))</f>
        <v>0</v>
      </c>
      <c r="F52" s="2" cm="1">
        <f t="array" ref="F52">IF(hp!F52=0,0,_xll.BDP(F$4,"YAS_BOND_YLD", "YAS_BOND_PX",hp!F52, "SETTLE_DT", TEXT(ya!$C52,"YYYYMMDD")))</f>
        <v>8.7608999999999995</v>
      </c>
      <c r="G52" s="2" cm="1">
        <f t="array" ref="G52">IF(hp!G52=0,0,_xll.BDP(G$4,"YAS_BOND_YLD", "YAS_BOND_PX",hp!G52, "SETTLE_DT", TEXT(ya!$C52,"YYYYMMDD")))</f>
        <v>4.3917000000000002</v>
      </c>
      <c r="H52" s="2" cm="1">
        <f t="array" ref="H52">IF(hp!H52=0,0,_xll.BDP(H$4,"YAS_BOND_YLD", "YAS_BOND_PX",hp!H52, "SETTLE_DT", TEXT(ya!$C52,"YYYYMMDD")))</f>
        <v>8.8702000000000005</v>
      </c>
      <c r="I52" s="2" cm="1">
        <f t="array" ref="I52">IF(hp!I52=0,0,_xll.BDP(I$4,"YAS_BOND_YLD", "YAS_BOND_PX",hp!I52, "SETTLE_DT", TEXT(ya!$C52,"YYYYMMDD")))</f>
        <v>0</v>
      </c>
      <c r="J52" s="2" cm="1">
        <f t="array" ref="J52">IF(hp!J52=0,0,_xll.BDP(J$4,"YAS_BOND_YLD", "YAS_BOND_PX",hp!J52, "SETTLE_DT", TEXT(ya!$C52,"YYYYMMDD")))</f>
        <v>4.4745999999999997</v>
      </c>
      <c r="K52" s="2" cm="1">
        <f t="array" ref="K52">IF(hp!K52=0,0,_xll.BDP(K$4,"YAS_BOND_YLD", "YAS_BOND_PX",hp!K52, "SETTLE_DT", TEXT(ya!$C52,"YYYYMMDD")))</f>
        <v>0</v>
      </c>
      <c r="L52" s="2" cm="1">
        <f t="array" ref="L52">IF(hp!L52=0,0,_xll.BDP(L$4,"YAS_BOND_YLD", "YAS_BOND_PX",hp!L52, "SETTLE_DT", TEXT(ya!$C52,"YYYYMMDD")))</f>
        <v>4.2415000000000003</v>
      </c>
      <c r="M52" s="2" cm="1">
        <f t="array" ref="M52">IF(hp!M52=0,0,_xll.BDP(M$4,"YAS_BOND_YLD", "YAS_BOND_PX",hp!M52, "SETTLE_DT", TEXT(ya!$C52,"YYYYMMDD")))</f>
        <v>4.2134999999999998</v>
      </c>
      <c r="N52" s="2" cm="1">
        <f t="array" ref="N52">IF(hp!N52=0,0,_xll.BDP(N$4,"YAS_BOND_YLD", "YAS_BOND_PX",hp!N52, "SETTLE_DT", TEXT(ya!$C52,"YYYYMMDD")))</f>
        <v>4.1420000000000003</v>
      </c>
      <c r="O52" s="2" cm="1">
        <f t="array" ref="O52">IF(hp!O52=0,0,_xll.BDP(O$4,"YAS_BOND_YLD", "YAS_BOND_PX",hp!O52, "SETTLE_DT", TEXT(ya!$C52,"YYYYMMDD")))</f>
        <v>0</v>
      </c>
      <c r="P52" s="2" cm="1">
        <f t="array" ref="P52">IF(hp!P52=0,0,_xll.BDP(P$4,"YAS_BOND_YLD", "YAS_BOND_PX",hp!P52, "SETTLE_DT", TEXT(ya!$C52,"YYYYMMDD")))</f>
        <v>0</v>
      </c>
      <c r="Q52" s="2" cm="1">
        <f t="array" ref="Q52">IF(hp!Q52=0,0,_xll.BDP(Q$4,"YAS_BOND_YLD", "YAS_BOND_PX",hp!Q52, "SETTLE_DT", TEXT(ya!$C52,"YYYYMMDD")))</f>
        <v>4.4960000000000004</v>
      </c>
      <c r="R52" s="2" cm="1">
        <f t="array" ref="R52">IF(hp!R52=0,0,_xll.BDP(R$4,"YAS_BOND_YLD", "YAS_BOND_PX",hp!R52, "SETTLE_DT", TEXT(ya!$C52,"YYYYMMDD")))</f>
        <v>0</v>
      </c>
      <c r="S52" s="2" cm="1">
        <f t="array" ref="S52">IF(hp!S52=0,0,_xll.BDP(S$4,"YAS_BOND_YLD", "YAS_BOND_PX",hp!S52, "SETTLE_DT", TEXT(ya!$C52,"YYYYMMDD")))</f>
        <v>0</v>
      </c>
      <c r="T52" s="2" cm="1">
        <f t="array" ref="T52">IF(hp!T52=0,0,_xll.BDP(T$4,"YAS_BOND_YLD", "YAS_BOND_PX",hp!T52, "SETTLE_DT", TEXT(ya!$C52,"YYYYMMDD")))</f>
        <v>0</v>
      </c>
      <c r="U52" s="2" cm="1">
        <f t="array" ref="U52">IF(hp!U52=0,0,_xll.BDP(U$4,"YAS_BOND_YLD", "YAS_BOND_PX",hp!U52, "SETTLE_DT", TEXT(ya!$C52,"YYYYMMDD")))</f>
        <v>4.3940999999999999</v>
      </c>
      <c r="V52" s="2" cm="1">
        <f t="array" ref="V52">IF(hp!V52=0,0,_xll.BDP(V$4,"YAS_BOND_YLD", "YAS_BOND_PX",hp!V52, "SETTLE_DT", TEXT(ya!$C52,"YYYYMMDD")))</f>
        <v>0</v>
      </c>
      <c r="W52" s="2" cm="1">
        <f t="array" ref="W52">IF(hp!W52=0,0,_xll.BDP(W$4,"YAS_BOND_YLD", "YAS_BOND_PX",hp!W52, "SETTLE_DT", TEXT(ya!$C52,"YYYYMMDD")))</f>
        <v>0</v>
      </c>
      <c r="X52" s="2" cm="1">
        <f t="array" ref="X52">IF(hp!X52=0,0,_xll.BDP(X$4,"YAS_BOND_YLD", "YAS_BOND_PX",hp!X52, "SETTLE_DT", TEXT(ya!$C52,"YYYYMMDD")))</f>
        <v>0</v>
      </c>
      <c r="Y52" s="2" cm="1">
        <f t="array" ref="Y52">IF(hp!Y52=0,0,_xll.BDP(Y$4,"YAS_BOND_YLD", "YAS_BOND_PX",hp!Y52, "SETTLE_DT", TEXT(ya!$C52,"YYYYMMDD")))</f>
        <v>0</v>
      </c>
      <c r="Z52" s="2" cm="1">
        <f t="array" ref="Z52">IF(hp!Z52=0,0,_xll.BDP(Z$4,"YAS_BOND_YLD", "YAS_BOND_PX",hp!Z52, "SETTLE_DT", TEXT(ya!$C52,"YYYYMMDD")))</f>
        <v>0</v>
      </c>
      <c r="AA52" s="2" cm="1">
        <f t="array" ref="AA52">IF(hp!AA52=0,0,_xll.BDP(AA$4,"YAS_BOND_YLD", "YAS_BOND_PX",hp!AA52, "SETTLE_DT", TEXT(ya!$C52,"YYYYMMDD")))</f>
        <v>0</v>
      </c>
      <c r="AB52" s="2" cm="1">
        <f t="array" ref="AB52">IF(hp!AB52=0,0,_xll.BDP(AB$4,"YAS_BOND_YLD", "YAS_BOND_PX",hp!AB52, "SETTLE_DT", TEXT(ya!$C52,"YYYYMMDD")))</f>
        <v>0</v>
      </c>
      <c r="AC52" s="2" cm="1">
        <f t="array" ref="AC52">IF(hp!AC52=0,0,_xll.BDP(AC$4,"YAS_BOND_YLD", "YAS_BOND_PX",hp!AC52, "SETTLE_DT", TEXT(ya!$C52,"YYYYMMDD")))</f>
        <v>0</v>
      </c>
      <c r="AD52" s="2" cm="1">
        <f t="array" ref="AD52">IF(hp!AD52=0,0,_xll.BDP(AD$4,"YAS_BOND_YLD", "YAS_BOND_PX",hp!AD52, "SETTLE_DT", TEXT(ya!$C52,"YYYYMMDD")))</f>
        <v>4.4568000000000003</v>
      </c>
      <c r="AE52" s="2" cm="1">
        <f t="array" ref="AE52">IF(hp!AE52=0,0,_xll.BDP(AE$4,"YAS_BOND_YLD", "YAS_BOND_PX",hp!AE52, "SETTLE_DT", TEXT(ya!$C52,"YYYYMMDD")))</f>
        <v>0</v>
      </c>
      <c r="AF52" s="2" cm="1">
        <f t="array" ref="AF52">IF(hp!AF52=0,0,_xll.BDP(AF$4,"YAS_BOND_YLD", "YAS_BOND_PX",hp!AF52, "SETTLE_DT", TEXT(ya!$C52,"YYYYMMDD")))</f>
        <v>0</v>
      </c>
      <c r="AG52" s="2" cm="1">
        <f t="array" ref="AG52">IF(hp!AG52=0,0,_xll.BDP(AG$4,"YAS_BOND_YLD", "YAS_BOND_PX",hp!AG52, "SETTLE_DT", TEXT(ya!$C52,"YYYYMMDD")))</f>
        <v>0</v>
      </c>
      <c r="AH52" s="2" cm="1">
        <f t="array" ref="AH52">IF(hp!AH52=0,0,_xll.BDP(AH$4,"YAS_BOND_YLD", "YAS_BOND_PX",hp!AH52, "SETTLE_DT", TEXT(ya!$C52,"YYYYMMDD")))</f>
        <v>0</v>
      </c>
      <c r="AI52" s="2" cm="1">
        <f t="array" ref="AI52">IF(hp!AI52=0,0,_xll.BDP(AI$4,"YAS_BOND_YLD", "YAS_BOND_PX",hp!AI52, "SETTLE_DT", TEXT(ya!$C52,"YYYYMMDD")))</f>
        <v>0</v>
      </c>
      <c r="AJ52" s="2" cm="1">
        <f t="array" ref="AJ52">IF(hp!AJ52=0,0,_xll.BDP(AJ$4,"YAS_BOND_YLD", "YAS_BOND_PX",hp!AJ52, "SETTLE_DT", TEXT(ya!$C52,"YYYYMMDD")))</f>
        <v>0</v>
      </c>
      <c r="AK52" s="2" cm="1">
        <f t="array" ref="AK52">IF(hp!AK52=0,0,_xll.BDP(AK$4,"YAS_BOND_YLD", "YAS_BOND_PX",hp!AK52, "SETTLE_DT", TEXT(ya!$C52,"YYYYMMDD")))</f>
        <v>0</v>
      </c>
      <c r="AL52" s="2" cm="1">
        <f t="array" ref="AL52">IF(hp!AL52=0,0,_xll.BDP(AL$4,"YAS_BOND_YLD", "YAS_BOND_PX",hp!AL52, "SETTLE_DT", TEXT(ya!$C52,"YYYYMMDD")))</f>
        <v>0</v>
      </c>
      <c r="AM52" s="2" cm="1">
        <f t="array" ref="AM52">IF(hp!AM52=0,0,_xll.BDP(AM$4,"YAS_BOND_YLD", "YAS_BOND_PX",hp!AM52, "SETTLE_DT", TEXT(ya!$C52,"YYYYMMDD")))</f>
        <v>0</v>
      </c>
      <c r="AN52" s="2" cm="1">
        <f t="array" ref="AN52">IF(hp!AN52=0,0,_xll.BDP(AN$4,"YAS_BOND_YLD", "YAS_BOND_PX",hp!AN52, "SETTLE_DT", TEXT(ya!$C52,"YYYYMMDD")))</f>
        <v>0</v>
      </c>
      <c r="AO52" s="2" cm="1">
        <f t="array" ref="AO52">IF(hp!AO52=0,0,_xll.BDP(AO$4,"YAS_BOND_YLD", "YAS_BOND_PX",hp!AO52, "SETTLE_DT", TEXT(ya!$C52,"YYYYMMDD")))</f>
        <v>0</v>
      </c>
      <c r="AP52" s="2" cm="1">
        <f t="array" ref="AP52">IF(hp!AP52=0,0,_xll.BDP(AP$4,"YAS_BOND_YLD", "YAS_BOND_PX",hp!AP52, "SETTLE_DT", TEXT(ya!$C52,"YYYYMMDD")))</f>
        <v>0</v>
      </c>
      <c r="AQ52" s="2" cm="1">
        <f t="array" ref="AQ52">IF(hp!AQ52=0,0,_xll.BDP(AQ$4,"YAS_BOND_YLD", "YAS_BOND_PX",hp!AQ52, "SETTLE_DT", TEXT(ya!$C52,"YYYYMMDD")))</f>
        <v>0</v>
      </c>
      <c r="AR52" s="2" cm="1">
        <f t="array" ref="AR52">IF(hp!AR52=0,0,_xll.BDP(AR$4,"YAS_BOND_YLD", "YAS_BOND_PX",hp!AR52, "SETTLE_DT", TEXT(ya!$C52,"YYYYMMDD")))</f>
        <v>0</v>
      </c>
      <c r="AS52" s="2" cm="1">
        <f t="array" ref="AS52">IF(hp!AS52=0,0,_xll.BDP(AS$4,"YAS_BOND_YLD", "YAS_BOND_PX",hp!AS52, "SETTLE_DT", TEXT(ya!$C52,"YYYYMMDD")))</f>
        <v>0</v>
      </c>
      <c r="AT52" s="2" cm="1">
        <f t="array" ref="AT52">IF(hp!AT52=0,0,_xll.BDP(AT$4,"YAS_BOND_YLD", "YAS_BOND_PX",hp!AT52, "SETTLE_DT", TEXT(ya!$C52,"YYYYMMDD")))</f>
        <v>0</v>
      </c>
      <c r="AU52" s="2" cm="1">
        <f t="array" ref="AU52">IF(hp!AU52=0,0,_xll.BDP(AU$4,"YAS_BOND_YLD", "YAS_BOND_PX",hp!AU52, "SETTLE_DT", TEXT(ya!$C52,"YYYYMMDD")))</f>
        <v>0</v>
      </c>
      <c r="AV52" s="2" cm="1">
        <f t="array" ref="AV52">IF(hp!AV52=0,0,_xll.BDP(AV$4,"YAS_BOND_YLD", "YAS_BOND_PX",hp!AV52, "SETTLE_DT", TEXT(ya!$C52,"YYYYMMDD")))</f>
        <v>0</v>
      </c>
      <c r="AW52" s="2" cm="1">
        <f t="array" ref="AW52">IF(hp!AW52=0,0,_xll.BDP(AW$4,"YAS_BOND_YLD", "YAS_BOND_PX",hp!AW52, "SETTLE_DT", TEXT(ya!$C52,"YYYYMMDD")))</f>
        <v>0</v>
      </c>
      <c r="AX52" s="2" cm="1">
        <f t="array" ref="AX52">IF(hp!AX52=0,0,_xll.BDP(AX$4,"YAS_BOND_YLD", "YAS_BOND_PX",hp!AX52, "SETTLE_DT", TEXT(ya!$C52,"YYYYMMDD")))</f>
        <v>0</v>
      </c>
      <c r="AY52" s="2" cm="1">
        <f t="array" ref="AY52">IF(hp!AY52=0,0,_xll.BDP(AY$4,"YAS_BOND_YLD", "YAS_BOND_PX",hp!AY52, "SETTLE_DT", TEXT(ya!$C52,"YYYYMMDD")))</f>
        <v>0</v>
      </c>
      <c r="AZ52" s="2" cm="1">
        <f t="array" ref="AZ52">IF(hp!AZ52=0,0,_xll.BDP(AZ$4,"YAS_BOND_YLD", "YAS_BOND_PX",hp!AZ52, "SETTLE_DT", TEXT(ya!$C52,"YYYYMMDD")))</f>
        <v>0</v>
      </c>
    </row>
    <row r="53" spans="1:52" x14ac:dyDescent="0.25">
      <c r="A53" s="1"/>
      <c r="B53" s="2"/>
      <c r="C53" s="1">
        <v>43524</v>
      </c>
      <c r="D53" s="2" cm="1">
        <f t="array" ref="D53">IF(hp!D53=0,0,_xll.BDP(D$4,"YAS_BOND_YLD", "YAS_BOND_PX",hp!D53, "SETTLE_DT", TEXT(ya!$C53,"YYYYMMDD")))</f>
        <v>0</v>
      </c>
      <c r="E53" s="2" cm="1">
        <f t="array" ref="E53">IF(hp!E53=0,0,_xll.BDP(E$4,"YAS_BOND_YLD", "YAS_BOND_PX",hp!E53, "SETTLE_DT", TEXT(ya!$C53,"YYYYMMDD")))</f>
        <v>0</v>
      </c>
      <c r="F53" s="2" cm="1">
        <f t="array" ref="F53">IF(hp!F53=0,0,_xll.BDP(F$4,"YAS_BOND_YLD", "YAS_BOND_PX",hp!F53, "SETTLE_DT", TEXT(ya!$C53,"YYYYMMDD")))</f>
        <v>8.9068000000000005</v>
      </c>
      <c r="G53" s="2" cm="1">
        <f t="array" ref="G53">IF(hp!G53=0,0,_xll.BDP(G$4,"YAS_BOND_YLD", "YAS_BOND_PX",hp!G53, "SETTLE_DT", TEXT(ya!$C53,"YYYYMMDD")))</f>
        <v>4.3720999999999997</v>
      </c>
      <c r="H53" s="2" cm="1">
        <f t="array" ref="H53">IF(hp!H53=0,0,_xll.BDP(H$4,"YAS_BOND_YLD", "YAS_BOND_PX",hp!H53, "SETTLE_DT", TEXT(ya!$C53,"YYYYMMDD")))</f>
        <v>9.0046999999999997</v>
      </c>
      <c r="I53" s="2" cm="1">
        <f t="array" ref="I53">IF(hp!I53=0,0,_xll.BDP(I$4,"YAS_BOND_YLD", "YAS_BOND_PX",hp!I53, "SETTLE_DT", TEXT(ya!$C53,"YYYYMMDD")))</f>
        <v>0</v>
      </c>
      <c r="J53" s="2" cm="1">
        <f t="array" ref="J53">IF(hp!J53=0,0,_xll.BDP(J$4,"YAS_BOND_YLD", "YAS_BOND_PX",hp!J53, "SETTLE_DT", TEXT(ya!$C53,"YYYYMMDD")))</f>
        <v>4.4899000000000004</v>
      </c>
      <c r="K53" s="2" cm="1">
        <f t="array" ref="K53">IF(hp!K53=0,0,_xll.BDP(K$4,"YAS_BOND_YLD", "YAS_BOND_PX",hp!K53, "SETTLE_DT", TEXT(ya!$C53,"YYYYMMDD")))</f>
        <v>0</v>
      </c>
      <c r="L53" s="2" cm="1">
        <f t="array" ref="L53">IF(hp!L53=0,0,_xll.BDP(L$4,"YAS_BOND_YLD", "YAS_BOND_PX",hp!L53, "SETTLE_DT", TEXT(ya!$C53,"YYYYMMDD")))</f>
        <v>4.2385000000000002</v>
      </c>
      <c r="M53" s="2" cm="1">
        <f t="array" ref="M53">IF(hp!M53=0,0,_xll.BDP(M$4,"YAS_BOND_YLD", "YAS_BOND_PX",hp!M53, "SETTLE_DT", TEXT(ya!$C53,"YYYYMMDD")))</f>
        <v>4.2347000000000001</v>
      </c>
      <c r="N53" s="2" cm="1">
        <f t="array" ref="N53">IF(hp!N53=0,0,_xll.BDP(N$4,"YAS_BOND_YLD", "YAS_BOND_PX",hp!N53, "SETTLE_DT", TEXT(ya!$C53,"YYYYMMDD")))</f>
        <v>4.1345000000000001</v>
      </c>
      <c r="O53" s="2" cm="1">
        <f t="array" ref="O53">IF(hp!O53=0,0,_xll.BDP(O$4,"YAS_BOND_YLD", "YAS_BOND_PX",hp!O53, "SETTLE_DT", TEXT(ya!$C53,"YYYYMMDD")))</f>
        <v>0</v>
      </c>
      <c r="P53" s="2" cm="1">
        <f t="array" ref="P53">IF(hp!P53=0,0,_xll.BDP(P$4,"YAS_BOND_YLD", "YAS_BOND_PX",hp!P53, "SETTLE_DT", TEXT(ya!$C53,"YYYYMMDD")))</f>
        <v>0</v>
      </c>
      <c r="Q53" s="2" cm="1">
        <f t="array" ref="Q53">IF(hp!Q53=0,0,_xll.BDP(Q$4,"YAS_BOND_YLD", "YAS_BOND_PX",hp!Q53, "SETTLE_DT", TEXT(ya!$C53,"YYYYMMDD")))</f>
        <v>4.5114000000000001</v>
      </c>
      <c r="R53" s="2" cm="1">
        <f t="array" ref="R53">IF(hp!R53=0,0,_xll.BDP(R$4,"YAS_BOND_YLD", "YAS_BOND_PX",hp!R53, "SETTLE_DT", TEXT(ya!$C53,"YYYYMMDD")))</f>
        <v>0</v>
      </c>
      <c r="S53" s="2" cm="1">
        <f t="array" ref="S53">IF(hp!S53=0,0,_xll.BDP(S$4,"YAS_BOND_YLD", "YAS_BOND_PX",hp!S53, "SETTLE_DT", TEXT(ya!$C53,"YYYYMMDD")))</f>
        <v>0</v>
      </c>
      <c r="T53" s="2" cm="1">
        <f t="array" ref="T53">IF(hp!T53=0,0,_xll.BDP(T$4,"YAS_BOND_YLD", "YAS_BOND_PX",hp!T53, "SETTLE_DT", TEXT(ya!$C53,"YYYYMMDD")))</f>
        <v>0</v>
      </c>
      <c r="U53" s="2" cm="1">
        <f t="array" ref="U53">IF(hp!U53=0,0,_xll.BDP(U$4,"YAS_BOND_YLD", "YAS_BOND_PX",hp!U53, "SETTLE_DT", TEXT(ya!$C53,"YYYYMMDD")))</f>
        <v>4.3834</v>
      </c>
      <c r="V53" s="2" cm="1">
        <f t="array" ref="V53">IF(hp!V53=0,0,_xll.BDP(V$4,"YAS_BOND_YLD", "YAS_BOND_PX",hp!V53, "SETTLE_DT", TEXT(ya!$C53,"YYYYMMDD")))</f>
        <v>0</v>
      </c>
      <c r="W53" s="2" cm="1">
        <f t="array" ref="W53">IF(hp!W53=0,0,_xll.BDP(W$4,"YAS_BOND_YLD", "YAS_BOND_PX",hp!W53, "SETTLE_DT", TEXT(ya!$C53,"YYYYMMDD")))</f>
        <v>0</v>
      </c>
      <c r="X53" s="2" cm="1">
        <f t="array" ref="X53">IF(hp!X53=0,0,_xll.BDP(X$4,"YAS_BOND_YLD", "YAS_BOND_PX",hp!X53, "SETTLE_DT", TEXT(ya!$C53,"YYYYMMDD")))</f>
        <v>0</v>
      </c>
      <c r="Y53" s="2" cm="1">
        <f t="array" ref="Y53">IF(hp!Y53=0,0,_xll.BDP(Y$4,"YAS_BOND_YLD", "YAS_BOND_PX",hp!Y53, "SETTLE_DT", TEXT(ya!$C53,"YYYYMMDD")))</f>
        <v>0</v>
      </c>
      <c r="Z53" s="2" cm="1">
        <f t="array" ref="Z53">IF(hp!Z53=0,0,_xll.BDP(Z$4,"YAS_BOND_YLD", "YAS_BOND_PX",hp!Z53, "SETTLE_DT", TEXT(ya!$C53,"YYYYMMDD")))</f>
        <v>0</v>
      </c>
      <c r="AA53" s="2" cm="1">
        <f t="array" ref="AA53">IF(hp!AA53=0,0,_xll.BDP(AA$4,"YAS_BOND_YLD", "YAS_BOND_PX",hp!AA53, "SETTLE_DT", TEXT(ya!$C53,"YYYYMMDD")))</f>
        <v>0</v>
      </c>
      <c r="AB53" s="2" cm="1">
        <f t="array" ref="AB53">IF(hp!AB53=0,0,_xll.BDP(AB$4,"YAS_BOND_YLD", "YAS_BOND_PX",hp!AB53, "SETTLE_DT", TEXT(ya!$C53,"YYYYMMDD")))</f>
        <v>0</v>
      </c>
      <c r="AC53" s="2" cm="1">
        <f t="array" ref="AC53">IF(hp!AC53=0,0,_xll.BDP(AC$4,"YAS_BOND_YLD", "YAS_BOND_PX",hp!AC53, "SETTLE_DT", TEXT(ya!$C53,"YYYYMMDD")))</f>
        <v>0</v>
      </c>
      <c r="AD53" s="2" cm="1">
        <f t="array" ref="AD53">IF(hp!AD53=0,0,_xll.BDP(AD$4,"YAS_BOND_YLD", "YAS_BOND_PX",hp!AD53, "SETTLE_DT", TEXT(ya!$C53,"YYYYMMDD")))</f>
        <v>4.4734999999999996</v>
      </c>
      <c r="AE53" s="2" cm="1">
        <f t="array" ref="AE53">IF(hp!AE53=0,0,_xll.BDP(AE$4,"YAS_BOND_YLD", "YAS_BOND_PX",hp!AE53, "SETTLE_DT", TEXT(ya!$C53,"YYYYMMDD")))</f>
        <v>0</v>
      </c>
      <c r="AF53" s="2" cm="1">
        <f t="array" ref="AF53">IF(hp!AF53=0,0,_xll.BDP(AF$4,"YAS_BOND_YLD", "YAS_BOND_PX",hp!AF53, "SETTLE_DT", TEXT(ya!$C53,"YYYYMMDD")))</f>
        <v>0</v>
      </c>
      <c r="AG53" s="2" cm="1">
        <f t="array" ref="AG53">IF(hp!AG53=0,0,_xll.BDP(AG$4,"YAS_BOND_YLD", "YAS_BOND_PX",hp!AG53, "SETTLE_DT", TEXT(ya!$C53,"YYYYMMDD")))</f>
        <v>0</v>
      </c>
      <c r="AH53" s="2" cm="1">
        <f t="array" ref="AH53">IF(hp!AH53=0,0,_xll.BDP(AH$4,"YAS_BOND_YLD", "YAS_BOND_PX",hp!AH53, "SETTLE_DT", TEXT(ya!$C53,"YYYYMMDD")))</f>
        <v>0</v>
      </c>
      <c r="AI53" s="2" cm="1">
        <f t="array" ref="AI53">IF(hp!AI53=0,0,_xll.BDP(AI$4,"YAS_BOND_YLD", "YAS_BOND_PX",hp!AI53, "SETTLE_DT", TEXT(ya!$C53,"YYYYMMDD")))</f>
        <v>0</v>
      </c>
      <c r="AJ53" s="2" cm="1">
        <f t="array" ref="AJ53">IF(hp!AJ53=0,0,_xll.BDP(AJ$4,"YAS_BOND_YLD", "YAS_BOND_PX",hp!AJ53, "SETTLE_DT", TEXT(ya!$C53,"YYYYMMDD")))</f>
        <v>0</v>
      </c>
      <c r="AK53" s="2" cm="1">
        <f t="array" ref="AK53">IF(hp!AK53=0,0,_xll.BDP(AK$4,"YAS_BOND_YLD", "YAS_BOND_PX",hp!AK53, "SETTLE_DT", TEXT(ya!$C53,"YYYYMMDD")))</f>
        <v>0</v>
      </c>
      <c r="AL53" s="2" cm="1">
        <f t="array" ref="AL53">IF(hp!AL53=0,0,_xll.BDP(AL$4,"YAS_BOND_YLD", "YAS_BOND_PX",hp!AL53, "SETTLE_DT", TEXT(ya!$C53,"YYYYMMDD")))</f>
        <v>0</v>
      </c>
      <c r="AM53" s="2" cm="1">
        <f t="array" ref="AM53">IF(hp!AM53=0,0,_xll.BDP(AM$4,"YAS_BOND_YLD", "YAS_BOND_PX",hp!AM53, "SETTLE_DT", TEXT(ya!$C53,"YYYYMMDD")))</f>
        <v>0</v>
      </c>
      <c r="AN53" s="2" cm="1">
        <f t="array" ref="AN53">IF(hp!AN53=0,0,_xll.BDP(AN$4,"YAS_BOND_YLD", "YAS_BOND_PX",hp!AN53, "SETTLE_DT", TEXT(ya!$C53,"YYYYMMDD")))</f>
        <v>0</v>
      </c>
      <c r="AO53" s="2" cm="1">
        <f t="array" ref="AO53">IF(hp!AO53=0,0,_xll.BDP(AO$4,"YAS_BOND_YLD", "YAS_BOND_PX",hp!AO53, "SETTLE_DT", TEXT(ya!$C53,"YYYYMMDD")))</f>
        <v>0</v>
      </c>
      <c r="AP53" s="2" cm="1">
        <f t="array" ref="AP53">IF(hp!AP53=0,0,_xll.BDP(AP$4,"YAS_BOND_YLD", "YAS_BOND_PX",hp!AP53, "SETTLE_DT", TEXT(ya!$C53,"YYYYMMDD")))</f>
        <v>0</v>
      </c>
      <c r="AQ53" s="2" cm="1">
        <f t="array" ref="AQ53">IF(hp!AQ53=0,0,_xll.BDP(AQ$4,"YAS_BOND_YLD", "YAS_BOND_PX",hp!AQ53, "SETTLE_DT", TEXT(ya!$C53,"YYYYMMDD")))</f>
        <v>0</v>
      </c>
      <c r="AR53" s="2" cm="1">
        <f t="array" ref="AR53">IF(hp!AR53=0,0,_xll.BDP(AR$4,"YAS_BOND_YLD", "YAS_BOND_PX",hp!AR53, "SETTLE_DT", TEXT(ya!$C53,"YYYYMMDD")))</f>
        <v>3.8853</v>
      </c>
      <c r="AS53" s="2" cm="1">
        <f t="array" ref="AS53">IF(hp!AS53=0,0,_xll.BDP(AS$4,"YAS_BOND_YLD", "YAS_BOND_PX",hp!AS53, "SETTLE_DT", TEXT(ya!$C53,"YYYYMMDD")))</f>
        <v>0</v>
      </c>
      <c r="AT53" s="2" cm="1">
        <f t="array" ref="AT53">IF(hp!AT53=0,0,_xll.BDP(AT$4,"YAS_BOND_YLD", "YAS_BOND_PX",hp!AT53, "SETTLE_DT", TEXT(ya!$C53,"YYYYMMDD")))</f>
        <v>0</v>
      </c>
      <c r="AU53" s="2" cm="1">
        <f t="array" ref="AU53">IF(hp!AU53=0,0,_xll.BDP(AU$4,"YAS_BOND_YLD", "YAS_BOND_PX",hp!AU53, "SETTLE_DT", TEXT(ya!$C53,"YYYYMMDD")))</f>
        <v>0</v>
      </c>
      <c r="AV53" s="2" cm="1">
        <f t="array" ref="AV53">IF(hp!AV53=0,0,_xll.BDP(AV$4,"YAS_BOND_YLD", "YAS_BOND_PX",hp!AV53, "SETTLE_DT", TEXT(ya!$C53,"YYYYMMDD")))</f>
        <v>0</v>
      </c>
      <c r="AW53" s="2" cm="1">
        <f t="array" ref="AW53">IF(hp!AW53=0,0,_xll.BDP(AW$4,"YAS_BOND_YLD", "YAS_BOND_PX",hp!AW53, "SETTLE_DT", TEXT(ya!$C53,"YYYYMMDD")))</f>
        <v>0</v>
      </c>
      <c r="AX53" s="2" cm="1">
        <f t="array" ref="AX53">IF(hp!AX53=0,0,_xll.BDP(AX$4,"YAS_BOND_YLD", "YAS_BOND_PX",hp!AX53, "SETTLE_DT", TEXT(ya!$C53,"YYYYMMDD")))</f>
        <v>0</v>
      </c>
      <c r="AY53" s="2" cm="1">
        <f t="array" ref="AY53">IF(hp!AY53=0,0,_xll.BDP(AY$4,"YAS_BOND_YLD", "YAS_BOND_PX",hp!AY53, "SETTLE_DT", TEXT(ya!$C53,"YYYYMMDD")))</f>
        <v>0</v>
      </c>
      <c r="AZ53" s="2" cm="1">
        <f t="array" ref="AZ53">IF(hp!AZ53=0,0,_xll.BDP(AZ$4,"YAS_BOND_YLD", "YAS_BOND_PX",hp!AZ53, "SETTLE_DT", TEXT(ya!$C53,"YYYYMMDD")))</f>
        <v>0</v>
      </c>
    </row>
    <row r="54" spans="1:52" x14ac:dyDescent="0.25">
      <c r="A54" s="1"/>
      <c r="B54" s="2"/>
      <c r="C54" s="1">
        <v>43553</v>
      </c>
      <c r="D54" s="2" cm="1">
        <f t="array" ref="D54">IF(hp!D54=0,0,_xll.BDP(D$4,"YAS_BOND_YLD", "YAS_BOND_PX",hp!D54, "SETTLE_DT", TEXT(ya!$C54,"YYYYMMDD")))</f>
        <v>0</v>
      </c>
      <c r="E54" s="2" cm="1">
        <f t="array" ref="E54">IF(hp!E54=0,0,_xll.BDP(E$4,"YAS_BOND_YLD", "YAS_BOND_PX",hp!E54, "SETTLE_DT", TEXT(ya!$C54,"YYYYMMDD")))</f>
        <v>0</v>
      </c>
      <c r="F54" s="2" cm="1">
        <f t="array" ref="F54">IF(hp!F54=0,0,_xll.BDP(F$4,"YAS_BOND_YLD", "YAS_BOND_PX",hp!F54, "SETTLE_DT", TEXT(ya!$C54,"YYYYMMDD")))</f>
        <v>8.8884000000000007</v>
      </c>
      <c r="G54" s="2" cm="1">
        <f t="array" ref="G54">IF(hp!G54=0,0,_xll.BDP(G$4,"YAS_BOND_YLD", "YAS_BOND_PX",hp!G54, "SETTLE_DT", TEXT(ya!$C54,"YYYYMMDD")))</f>
        <v>4.3977000000000004</v>
      </c>
      <c r="H54" s="2" cm="1">
        <f t="array" ref="H54">IF(hp!H54=0,0,_xll.BDP(H$4,"YAS_BOND_YLD", "YAS_BOND_PX",hp!H54, "SETTLE_DT", TEXT(ya!$C54,"YYYYMMDD")))</f>
        <v>8.9695999999999998</v>
      </c>
      <c r="I54" s="2" cm="1">
        <f t="array" ref="I54">IF(hp!I54=0,0,_xll.BDP(I$4,"YAS_BOND_YLD", "YAS_BOND_PX",hp!I54, "SETTLE_DT", TEXT(ya!$C54,"YYYYMMDD")))</f>
        <v>0</v>
      </c>
      <c r="J54" s="2" cm="1">
        <f t="array" ref="J54">IF(hp!J54=0,0,_xll.BDP(J$4,"YAS_BOND_YLD", "YAS_BOND_PX",hp!J54, "SETTLE_DT", TEXT(ya!$C54,"YYYYMMDD")))</f>
        <v>4.5308999999999999</v>
      </c>
      <c r="K54" s="2" cm="1">
        <f t="array" ref="K54">IF(hp!K54=0,0,_xll.BDP(K$4,"YAS_BOND_YLD", "YAS_BOND_PX",hp!K54, "SETTLE_DT", TEXT(ya!$C54,"YYYYMMDD")))</f>
        <v>0</v>
      </c>
      <c r="L54" s="2" cm="1">
        <f t="array" ref="L54">IF(hp!L54=0,0,_xll.BDP(L$4,"YAS_BOND_YLD", "YAS_BOND_PX",hp!L54, "SETTLE_DT", TEXT(ya!$C54,"YYYYMMDD")))</f>
        <v>4.2614999999999998</v>
      </c>
      <c r="M54" s="2" cm="1">
        <f t="array" ref="M54">IF(hp!M54=0,0,_xll.BDP(M$4,"YAS_BOND_YLD", "YAS_BOND_PX",hp!M54, "SETTLE_DT", TEXT(ya!$C54,"YYYYMMDD")))</f>
        <v>4.2316000000000003</v>
      </c>
      <c r="N54" s="2" cm="1">
        <f t="array" ref="N54">IF(hp!N54=0,0,_xll.BDP(N$4,"YAS_BOND_YLD", "YAS_BOND_PX",hp!N54, "SETTLE_DT", TEXT(ya!$C54,"YYYYMMDD")))</f>
        <v>4.1311999999999998</v>
      </c>
      <c r="O54" s="2" cm="1">
        <f t="array" ref="O54">IF(hp!O54=0,0,_xll.BDP(O$4,"YAS_BOND_YLD", "YAS_BOND_PX",hp!O54, "SETTLE_DT", TEXT(ya!$C54,"YYYYMMDD")))</f>
        <v>0</v>
      </c>
      <c r="P54" s="2" cm="1">
        <f t="array" ref="P54">IF(hp!P54=0,0,_xll.BDP(P$4,"YAS_BOND_YLD", "YAS_BOND_PX",hp!P54, "SETTLE_DT", TEXT(ya!$C54,"YYYYMMDD")))</f>
        <v>0</v>
      </c>
      <c r="Q54" s="2" cm="1">
        <f t="array" ref="Q54">IF(hp!Q54=0,0,_xll.BDP(Q$4,"YAS_BOND_YLD", "YAS_BOND_PX",hp!Q54, "SETTLE_DT", TEXT(ya!$C54,"YYYYMMDD")))</f>
        <v>4.5396999999999998</v>
      </c>
      <c r="R54" s="2" cm="1">
        <f t="array" ref="R54">IF(hp!R54=0,0,_xll.BDP(R$4,"YAS_BOND_YLD", "YAS_BOND_PX",hp!R54, "SETTLE_DT", TEXT(ya!$C54,"YYYYMMDD")))</f>
        <v>0</v>
      </c>
      <c r="S54" s="2" cm="1">
        <f t="array" ref="S54">IF(hp!S54=0,0,_xll.BDP(S$4,"YAS_BOND_YLD", "YAS_BOND_PX",hp!S54, "SETTLE_DT", TEXT(ya!$C54,"YYYYMMDD")))</f>
        <v>0</v>
      </c>
      <c r="T54" s="2" cm="1">
        <f t="array" ref="T54">IF(hp!T54=0,0,_xll.BDP(T$4,"YAS_BOND_YLD", "YAS_BOND_PX",hp!T54, "SETTLE_DT", TEXT(ya!$C54,"YYYYMMDD")))</f>
        <v>0</v>
      </c>
      <c r="U54" s="2" cm="1">
        <f t="array" ref="U54">IF(hp!U54=0,0,_xll.BDP(U$4,"YAS_BOND_YLD", "YAS_BOND_PX",hp!U54, "SETTLE_DT", TEXT(ya!$C54,"YYYYMMDD")))</f>
        <v>4.3921999999999999</v>
      </c>
      <c r="V54" s="2" cm="1">
        <f t="array" ref="V54">IF(hp!V54=0,0,_xll.BDP(V$4,"YAS_BOND_YLD", "YAS_BOND_PX",hp!V54, "SETTLE_DT", TEXT(ya!$C54,"YYYYMMDD")))</f>
        <v>0</v>
      </c>
      <c r="W54" s="2" cm="1">
        <f t="array" ref="W54">IF(hp!W54=0,0,_xll.BDP(W$4,"YAS_BOND_YLD", "YAS_BOND_PX",hp!W54, "SETTLE_DT", TEXT(ya!$C54,"YYYYMMDD")))</f>
        <v>0</v>
      </c>
      <c r="X54" s="2" cm="1">
        <f t="array" ref="X54">IF(hp!X54=0,0,_xll.BDP(X$4,"YAS_BOND_YLD", "YAS_BOND_PX",hp!X54, "SETTLE_DT", TEXT(ya!$C54,"YYYYMMDD")))</f>
        <v>0</v>
      </c>
      <c r="Y54" s="2" cm="1">
        <f t="array" ref="Y54">IF(hp!Y54=0,0,_xll.BDP(Y$4,"YAS_BOND_YLD", "YAS_BOND_PX",hp!Y54, "SETTLE_DT", TEXT(ya!$C54,"YYYYMMDD")))</f>
        <v>0</v>
      </c>
      <c r="Z54" s="2" cm="1">
        <f t="array" ref="Z54">IF(hp!Z54=0,0,_xll.BDP(Z$4,"YAS_BOND_YLD", "YAS_BOND_PX",hp!Z54, "SETTLE_DT", TEXT(ya!$C54,"YYYYMMDD")))</f>
        <v>0</v>
      </c>
      <c r="AA54" s="2" cm="1">
        <f t="array" ref="AA54">IF(hp!AA54=0,0,_xll.BDP(AA$4,"YAS_BOND_YLD", "YAS_BOND_PX",hp!AA54, "SETTLE_DT", TEXT(ya!$C54,"YYYYMMDD")))</f>
        <v>0</v>
      </c>
      <c r="AB54" s="2" cm="1">
        <f t="array" ref="AB54">IF(hp!AB54=0,0,_xll.BDP(AB$4,"YAS_BOND_YLD", "YAS_BOND_PX",hp!AB54, "SETTLE_DT", TEXT(ya!$C54,"YYYYMMDD")))</f>
        <v>0</v>
      </c>
      <c r="AC54" s="2" cm="1">
        <f t="array" ref="AC54">IF(hp!AC54=0,0,_xll.BDP(AC$4,"YAS_BOND_YLD", "YAS_BOND_PX",hp!AC54, "SETTLE_DT", TEXT(ya!$C54,"YYYYMMDD")))</f>
        <v>0</v>
      </c>
      <c r="AD54" s="2" cm="1">
        <f t="array" ref="AD54">IF(hp!AD54=0,0,_xll.BDP(AD$4,"YAS_BOND_YLD", "YAS_BOND_PX",hp!AD54, "SETTLE_DT", TEXT(ya!$C54,"YYYYMMDD")))</f>
        <v>4.5240999999999998</v>
      </c>
      <c r="AE54" s="2" cm="1">
        <f t="array" ref="AE54">IF(hp!AE54=0,0,_xll.BDP(AE$4,"YAS_BOND_YLD", "YAS_BOND_PX",hp!AE54, "SETTLE_DT", TEXT(ya!$C54,"YYYYMMDD")))</f>
        <v>0</v>
      </c>
      <c r="AF54" s="2" cm="1">
        <f t="array" ref="AF54">IF(hp!AF54=0,0,_xll.BDP(AF$4,"YAS_BOND_YLD", "YAS_BOND_PX",hp!AF54, "SETTLE_DT", TEXT(ya!$C54,"YYYYMMDD")))</f>
        <v>0</v>
      </c>
      <c r="AG54" s="2" cm="1">
        <f t="array" ref="AG54">IF(hp!AG54=0,0,_xll.BDP(AG$4,"YAS_BOND_YLD", "YAS_BOND_PX",hp!AG54, "SETTLE_DT", TEXT(ya!$C54,"YYYYMMDD")))</f>
        <v>0</v>
      </c>
      <c r="AH54" s="2" cm="1">
        <f t="array" ref="AH54">IF(hp!AH54=0,0,_xll.BDP(AH$4,"YAS_BOND_YLD", "YAS_BOND_PX",hp!AH54, "SETTLE_DT", TEXT(ya!$C54,"YYYYMMDD")))</f>
        <v>0</v>
      </c>
      <c r="AI54" s="2" cm="1">
        <f t="array" ref="AI54">IF(hp!AI54=0,0,_xll.BDP(AI$4,"YAS_BOND_YLD", "YAS_BOND_PX",hp!AI54, "SETTLE_DT", TEXT(ya!$C54,"YYYYMMDD")))</f>
        <v>0</v>
      </c>
      <c r="AJ54" s="2" cm="1">
        <f t="array" ref="AJ54">IF(hp!AJ54=0,0,_xll.BDP(AJ$4,"YAS_BOND_YLD", "YAS_BOND_PX",hp!AJ54, "SETTLE_DT", TEXT(ya!$C54,"YYYYMMDD")))</f>
        <v>0</v>
      </c>
      <c r="AK54" s="2" cm="1">
        <f t="array" ref="AK54">IF(hp!AK54=0,0,_xll.BDP(AK$4,"YAS_BOND_YLD", "YAS_BOND_PX",hp!AK54, "SETTLE_DT", TEXT(ya!$C54,"YYYYMMDD")))</f>
        <v>0</v>
      </c>
      <c r="AL54" s="2" cm="1">
        <f t="array" ref="AL54">IF(hp!AL54=0,0,_xll.BDP(AL$4,"YAS_BOND_YLD", "YAS_BOND_PX",hp!AL54, "SETTLE_DT", TEXT(ya!$C54,"YYYYMMDD")))</f>
        <v>0</v>
      </c>
      <c r="AM54" s="2" cm="1">
        <f t="array" ref="AM54">IF(hp!AM54=0,0,_xll.BDP(AM$4,"YAS_BOND_YLD", "YAS_BOND_PX",hp!AM54, "SETTLE_DT", TEXT(ya!$C54,"YYYYMMDD")))</f>
        <v>0</v>
      </c>
      <c r="AN54" s="2" cm="1">
        <f t="array" ref="AN54">IF(hp!AN54=0,0,_xll.BDP(AN$4,"YAS_BOND_YLD", "YAS_BOND_PX",hp!AN54, "SETTLE_DT", TEXT(ya!$C54,"YYYYMMDD")))</f>
        <v>0</v>
      </c>
      <c r="AO54" s="2" cm="1">
        <f t="array" ref="AO54">IF(hp!AO54=0,0,_xll.BDP(AO$4,"YAS_BOND_YLD", "YAS_BOND_PX",hp!AO54, "SETTLE_DT", TEXT(ya!$C54,"YYYYMMDD")))</f>
        <v>0</v>
      </c>
      <c r="AP54" s="2" cm="1">
        <f t="array" ref="AP54">IF(hp!AP54=0,0,_xll.BDP(AP$4,"YAS_BOND_YLD", "YAS_BOND_PX",hp!AP54, "SETTLE_DT", TEXT(ya!$C54,"YYYYMMDD")))</f>
        <v>0</v>
      </c>
      <c r="AQ54" s="2" cm="1">
        <f t="array" ref="AQ54">IF(hp!AQ54=0,0,_xll.BDP(AQ$4,"YAS_BOND_YLD", "YAS_BOND_PX",hp!AQ54, "SETTLE_DT", TEXT(ya!$C54,"YYYYMMDD")))</f>
        <v>0</v>
      </c>
      <c r="AR54" s="2" cm="1">
        <f t="array" ref="AR54">IF(hp!AR54=0,0,_xll.BDP(AR$4,"YAS_BOND_YLD", "YAS_BOND_PX",hp!AR54, "SETTLE_DT", TEXT(ya!$C54,"YYYYMMDD")))</f>
        <v>3.8997000000000002</v>
      </c>
      <c r="AS54" s="2" cm="1">
        <f t="array" ref="AS54">IF(hp!AS54=0,0,_xll.BDP(AS$4,"YAS_BOND_YLD", "YAS_BOND_PX",hp!AS54, "SETTLE_DT", TEXT(ya!$C54,"YYYYMMDD")))</f>
        <v>0</v>
      </c>
      <c r="AT54" s="2" cm="1">
        <f t="array" ref="AT54">IF(hp!AT54=0,0,_xll.BDP(AT$4,"YAS_BOND_YLD", "YAS_BOND_PX",hp!AT54, "SETTLE_DT", TEXT(ya!$C54,"YYYYMMDD")))</f>
        <v>0</v>
      </c>
      <c r="AU54" s="2" cm="1">
        <f t="array" ref="AU54">IF(hp!AU54=0,0,_xll.BDP(AU$4,"YAS_BOND_YLD", "YAS_BOND_PX",hp!AU54, "SETTLE_DT", TEXT(ya!$C54,"YYYYMMDD")))</f>
        <v>0</v>
      </c>
      <c r="AV54" s="2" cm="1">
        <f t="array" ref="AV54">IF(hp!AV54=0,0,_xll.BDP(AV$4,"YAS_BOND_YLD", "YAS_BOND_PX",hp!AV54, "SETTLE_DT", TEXT(ya!$C54,"YYYYMMDD")))</f>
        <v>0</v>
      </c>
      <c r="AW54" s="2" cm="1">
        <f t="array" ref="AW54">IF(hp!AW54=0,0,_xll.BDP(AW$4,"YAS_BOND_YLD", "YAS_BOND_PX",hp!AW54, "SETTLE_DT", TEXT(ya!$C54,"YYYYMMDD")))</f>
        <v>0</v>
      </c>
      <c r="AX54" s="2" cm="1">
        <f t="array" ref="AX54">IF(hp!AX54=0,0,_xll.BDP(AX$4,"YAS_BOND_YLD", "YAS_BOND_PX",hp!AX54, "SETTLE_DT", TEXT(ya!$C54,"YYYYMMDD")))</f>
        <v>0</v>
      </c>
      <c r="AY54" s="2" cm="1">
        <f t="array" ref="AY54">IF(hp!AY54=0,0,_xll.BDP(AY$4,"YAS_BOND_YLD", "YAS_BOND_PX",hp!AY54, "SETTLE_DT", TEXT(ya!$C54,"YYYYMMDD")))</f>
        <v>0</v>
      </c>
      <c r="AZ54" s="2" cm="1">
        <f t="array" ref="AZ54">IF(hp!AZ54=0,0,_xll.BDP(AZ$4,"YAS_BOND_YLD", "YAS_BOND_PX",hp!AZ54, "SETTLE_DT", TEXT(ya!$C54,"YYYYMMDD")))</f>
        <v>0</v>
      </c>
    </row>
    <row r="55" spans="1:52" x14ac:dyDescent="0.25">
      <c r="A55" s="1"/>
      <c r="B55" s="2"/>
      <c r="C55" s="1">
        <v>43585</v>
      </c>
      <c r="D55" s="2" cm="1">
        <f t="array" ref="D55">IF(hp!D55=0,0,_xll.BDP(D$4,"YAS_BOND_YLD", "YAS_BOND_PX",hp!D55, "SETTLE_DT", TEXT(ya!$C55,"YYYYMMDD")))</f>
        <v>0</v>
      </c>
      <c r="E55" s="2" cm="1">
        <f t="array" ref="E55">IF(hp!E55=0,0,_xll.BDP(E$4,"YAS_BOND_YLD", "YAS_BOND_PX",hp!E55, "SETTLE_DT", TEXT(ya!$C55,"YYYYMMDD")))</f>
        <v>0</v>
      </c>
      <c r="F55" s="2" cm="1">
        <f t="array" ref="F55">IF(hp!F55=0,0,_xll.BDP(F$4,"YAS_BOND_YLD", "YAS_BOND_PX",hp!F55, "SETTLE_DT", TEXT(ya!$C55,"YYYYMMDD")))</f>
        <v>8.8539999999999992</v>
      </c>
      <c r="G55" s="2" cm="1">
        <f t="array" ref="G55">IF(hp!G55=0,0,_xll.BDP(G$4,"YAS_BOND_YLD", "YAS_BOND_PX",hp!G55, "SETTLE_DT", TEXT(ya!$C55,"YYYYMMDD")))</f>
        <v>4.3667999999999996</v>
      </c>
      <c r="H55" s="2" cm="1">
        <f t="array" ref="H55">IF(hp!H55=0,0,_xll.BDP(H$4,"YAS_BOND_YLD", "YAS_BOND_PX",hp!H55, "SETTLE_DT", TEXT(ya!$C55,"YYYYMMDD")))</f>
        <v>8.9581999999999997</v>
      </c>
      <c r="I55" s="2" cm="1">
        <f t="array" ref="I55">IF(hp!I55=0,0,_xll.BDP(I$4,"YAS_BOND_YLD", "YAS_BOND_PX",hp!I55, "SETTLE_DT", TEXT(ya!$C55,"YYYYMMDD")))</f>
        <v>0</v>
      </c>
      <c r="J55" s="2" cm="1">
        <f t="array" ref="J55">IF(hp!J55=0,0,_xll.BDP(J$4,"YAS_BOND_YLD", "YAS_BOND_PX",hp!J55, "SETTLE_DT", TEXT(ya!$C55,"YYYYMMDD")))</f>
        <v>4.4706999999999999</v>
      </c>
      <c r="K55" s="2" cm="1">
        <f t="array" ref="K55">IF(hp!K55=0,0,_xll.BDP(K$4,"YAS_BOND_YLD", "YAS_BOND_PX",hp!K55, "SETTLE_DT", TEXT(ya!$C55,"YYYYMMDD")))</f>
        <v>0</v>
      </c>
      <c r="L55" s="2" cm="1">
        <f t="array" ref="L55">IF(hp!L55=0,0,_xll.BDP(L$4,"YAS_BOND_YLD", "YAS_BOND_PX",hp!L55, "SETTLE_DT", TEXT(ya!$C55,"YYYYMMDD")))</f>
        <v>4.2417999999999996</v>
      </c>
      <c r="M55" s="2" cm="1">
        <f t="array" ref="M55">IF(hp!M55=0,0,_xll.BDP(M$4,"YAS_BOND_YLD", "YAS_BOND_PX",hp!M55, "SETTLE_DT", TEXT(ya!$C55,"YYYYMMDD")))</f>
        <v>4.2210999999999999</v>
      </c>
      <c r="N55" s="2" cm="1">
        <f t="array" ref="N55">IF(hp!N55=0,0,_xll.BDP(N$4,"YAS_BOND_YLD", "YAS_BOND_PX",hp!N55, "SETTLE_DT", TEXT(ya!$C55,"YYYYMMDD")))</f>
        <v>4.1464999999999996</v>
      </c>
      <c r="O55" s="2" cm="1">
        <f t="array" ref="O55">IF(hp!O55=0,0,_xll.BDP(O$4,"YAS_BOND_YLD", "YAS_BOND_PX",hp!O55, "SETTLE_DT", TEXT(ya!$C55,"YYYYMMDD")))</f>
        <v>0</v>
      </c>
      <c r="P55" s="2" cm="1">
        <f t="array" ref="P55">IF(hp!P55=0,0,_xll.BDP(P$4,"YAS_BOND_YLD", "YAS_BOND_PX",hp!P55, "SETTLE_DT", TEXT(ya!$C55,"YYYYMMDD")))</f>
        <v>0</v>
      </c>
      <c r="Q55" s="2" cm="1">
        <f t="array" ref="Q55">IF(hp!Q55=0,0,_xll.BDP(Q$4,"YAS_BOND_YLD", "YAS_BOND_PX",hp!Q55, "SETTLE_DT", TEXT(ya!$C55,"YYYYMMDD")))</f>
        <v>4.4709000000000003</v>
      </c>
      <c r="R55" s="2" cm="1">
        <f t="array" ref="R55">IF(hp!R55=0,0,_xll.BDP(R$4,"YAS_BOND_YLD", "YAS_BOND_PX",hp!R55, "SETTLE_DT", TEXT(ya!$C55,"YYYYMMDD")))</f>
        <v>0</v>
      </c>
      <c r="S55" s="2" cm="1">
        <f t="array" ref="S55">IF(hp!S55=0,0,_xll.BDP(S$4,"YAS_BOND_YLD", "YAS_BOND_PX",hp!S55, "SETTLE_DT", TEXT(ya!$C55,"YYYYMMDD")))</f>
        <v>0</v>
      </c>
      <c r="T55" s="2" cm="1">
        <f t="array" ref="T55">IF(hp!T55=0,0,_xll.BDP(T$4,"YAS_BOND_YLD", "YAS_BOND_PX",hp!T55, "SETTLE_DT", TEXT(ya!$C55,"YYYYMMDD")))</f>
        <v>0</v>
      </c>
      <c r="U55" s="2" cm="1">
        <f t="array" ref="U55">IF(hp!U55=0,0,_xll.BDP(U$4,"YAS_BOND_YLD", "YAS_BOND_PX",hp!U55, "SETTLE_DT", TEXT(ya!$C55,"YYYYMMDD")))</f>
        <v>4.3681000000000001</v>
      </c>
      <c r="V55" s="2" cm="1">
        <f t="array" ref="V55">IF(hp!V55=0,0,_xll.BDP(V$4,"YAS_BOND_YLD", "YAS_BOND_PX",hp!V55, "SETTLE_DT", TEXT(ya!$C55,"YYYYMMDD")))</f>
        <v>0</v>
      </c>
      <c r="W55" s="2" cm="1">
        <f t="array" ref="W55">IF(hp!W55=0,0,_xll.BDP(W$4,"YAS_BOND_YLD", "YAS_BOND_PX",hp!W55, "SETTLE_DT", TEXT(ya!$C55,"YYYYMMDD")))</f>
        <v>0</v>
      </c>
      <c r="X55" s="2" cm="1">
        <f t="array" ref="X55">IF(hp!X55=0,0,_xll.BDP(X$4,"YAS_BOND_YLD", "YAS_BOND_PX",hp!X55, "SETTLE_DT", TEXT(ya!$C55,"YYYYMMDD")))</f>
        <v>0</v>
      </c>
      <c r="Y55" s="2" cm="1">
        <f t="array" ref="Y55">IF(hp!Y55=0,0,_xll.BDP(Y$4,"YAS_BOND_YLD", "YAS_BOND_PX",hp!Y55, "SETTLE_DT", TEXT(ya!$C55,"YYYYMMDD")))</f>
        <v>0</v>
      </c>
      <c r="Z55" s="2" cm="1">
        <f t="array" ref="Z55">IF(hp!Z55=0,0,_xll.BDP(Z$4,"YAS_BOND_YLD", "YAS_BOND_PX",hp!Z55, "SETTLE_DT", TEXT(ya!$C55,"YYYYMMDD")))</f>
        <v>0</v>
      </c>
      <c r="AA55" s="2" cm="1">
        <f t="array" ref="AA55">IF(hp!AA55=0,0,_xll.BDP(AA$4,"YAS_BOND_YLD", "YAS_BOND_PX",hp!AA55, "SETTLE_DT", TEXT(ya!$C55,"YYYYMMDD")))</f>
        <v>0</v>
      </c>
      <c r="AB55" s="2" cm="1">
        <f t="array" ref="AB55">IF(hp!AB55=0,0,_xll.BDP(AB$4,"YAS_BOND_YLD", "YAS_BOND_PX",hp!AB55, "SETTLE_DT", TEXT(ya!$C55,"YYYYMMDD")))</f>
        <v>0</v>
      </c>
      <c r="AC55" s="2" cm="1">
        <f t="array" ref="AC55">IF(hp!AC55=0,0,_xll.BDP(AC$4,"YAS_BOND_YLD", "YAS_BOND_PX",hp!AC55, "SETTLE_DT", TEXT(ya!$C55,"YYYYMMDD")))</f>
        <v>0</v>
      </c>
      <c r="AD55" s="2" cm="1">
        <f t="array" ref="AD55">IF(hp!AD55=0,0,_xll.BDP(AD$4,"YAS_BOND_YLD", "YAS_BOND_PX",hp!AD55, "SETTLE_DT", TEXT(ya!$C55,"YYYYMMDD")))</f>
        <v>4.4615</v>
      </c>
      <c r="AE55" s="2" cm="1">
        <f t="array" ref="AE55">IF(hp!AE55=0,0,_xll.BDP(AE$4,"YAS_BOND_YLD", "YAS_BOND_PX",hp!AE55, "SETTLE_DT", TEXT(ya!$C55,"YYYYMMDD")))</f>
        <v>0</v>
      </c>
      <c r="AF55" s="2" cm="1">
        <f t="array" ref="AF55">IF(hp!AF55=0,0,_xll.BDP(AF$4,"YAS_BOND_YLD", "YAS_BOND_PX",hp!AF55, "SETTLE_DT", TEXT(ya!$C55,"YYYYMMDD")))</f>
        <v>0</v>
      </c>
      <c r="AG55" s="2" cm="1">
        <f t="array" ref="AG55">IF(hp!AG55=0,0,_xll.BDP(AG$4,"YAS_BOND_YLD", "YAS_BOND_PX",hp!AG55, "SETTLE_DT", TEXT(ya!$C55,"YYYYMMDD")))</f>
        <v>0</v>
      </c>
      <c r="AH55" s="2" cm="1">
        <f t="array" ref="AH55">IF(hp!AH55=0,0,_xll.BDP(AH$4,"YAS_BOND_YLD", "YAS_BOND_PX",hp!AH55, "SETTLE_DT", TEXT(ya!$C55,"YYYYMMDD")))</f>
        <v>0</v>
      </c>
      <c r="AI55" s="2" cm="1">
        <f t="array" ref="AI55">IF(hp!AI55=0,0,_xll.BDP(AI$4,"YAS_BOND_YLD", "YAS_BOND_PX",hp!AI55, "SETTLE_DT", TEXT(ya!$C55,"YYYYMMDD")))</f>
        <v>0</v>
      </c>
      <c r="AJ55" s="2" cm="1">
        <f t="array" ref="AJ55">IF(hp!AJ55=0,0,_xll.BDP(AJ$4,"YAS_BOND_YLD", "YAS_BOND_PX",hp!AJ55, "SETTLE_DT", TEXT(ya!$C55,"YYYYMMDD")))</f>
        <v>0</v>
      </c>
      <c r="AK55" s="2" cm="1">
        <f t="array" ref="AK55">IF(hp!AK55=0,0,_xll.BDP(AK$4,"YAS_BOND_YLD", "YAS_BOND_PX",hp!AK55, "SETTLE_DT", TEXT(ya!$C55,"YYYYMMDD")))</f>
        <v>0</v>
      </c>
      <c r="AL55" s="2" cm="1">
        <f t="array" ref="AL55">IF(hp!AL55=0,0,_xll.BDP(AL$4,"YAS_BOND_YLD", "YAS_BOND_PX",hp!AL55, "SETTLE_DT", TEXT(ya!$C55,"YYYYMMDD")))</f>
        <v>0</v>
      </c>
      <c r="AM55" s="2" cm="1">
        <f t="array" ref="AM55">IF(hp!AM55=0,0,_xll.BDP(AM$4,"YAS_BOND_YLD", "YAS_BOND_PX",hp!AM55, "SETTLE_DT", TEXT(ya!$C55,"YYYYMMDD")))</f>
        <v>0</v>
      </c>
      <c r="AN55" s="2" cm="1">
        <f t="array" ref="AN55">IF(hp!AN55=0,0,_xll.BDP(AN$4,"YAS_BOND_YLD", "YAS_BOND_PX",hp!AN55, "SETTLE_DT", TEXT(ya!$C55,"YYYYMMDD")))</f>
        <v>0</v>
      </c>
      <c r="AO55" s="2" cm="1">
        <f t="array" ref="AO55">IF(hp!AO55=0,0,_xll.BDP(AO$4,"YAS_BOND_YLD", "YAS_BOND_PX",hp!AO55, "SETTLE_DT", TEXT(ya!$C55,"YYYYMMDD")))</f>
        <v>0</v>
      </c>
      <c r="AP55" s="2" cm="1">
        <f t="array" ref="AP55">IF(hp!AP55=0,0,_xll.BDP(AP$4,"YAS_BOND_YLD", "YAS_BOND_PX",hp!AP55, "SETTLE_DT", TEXT(ya!$C55,"YYYYMMDD")))</f>
        <v>0</v>
      </c>
      <c r="AQ55" s="2" cm="1">
        <f t="array" ref="AQ55">IF(hp!AQ55=0,0,_xll.BDP(AQ$4,"YAS_BOND_YLD", "YAS_BOND_PX",hp!AQ55, "SETTLE_DT", TEXT(ya!$C55,"YYYYMMDD")))</f>
        <v>0</v>
      </c>
      <c r="AR55" s="2" cm="1">
        <f t="array" ref="AR55">IF(hp!AR55=0,0,_xll.BDP(AR$4,"YAS_BOND_YLD", "YAS_BOND_PX",hp!AR55, "SETTLE_DT", TEXT(ya!$C55,"YYYYMMDD")))</f>
        <v>3.9173999999999998</v>
      </c>
      <c r="AS55" s="2" cm="1">
        <f t="array" ref="AS55">IF(hp!AS55=0,0,_xll.BDP(AS$4,"YAS_BOND_YLD", "YAS_BOND_PX",hp!AS55, "SETTLE_DT", TEXT(ya!$C55,"YYYYMMDD")))</f>
        <v>0</v>
      </c>
      <c r="AT55" s="2" cm="1">
        <f t="array" ref="AT55">IF(hp!AT55=0,0,_xll.BDP(AT$4,"YAS_BOND_YLD", "YAS_BOND_PX",hp!AT55, "SETTLE_DT", TEXT(ya!$C55,"YYYYMMDD")))</f>
        <v>0</v>
      </c>
      <c r="AU55" s="2" cm="1">
        <f t="array" ref="AU55">IF(hp!AU55=0,0,_xll.BDP(AU$4,"YAS_BOND_YLD", "YAS_BOND_PX",hp!AU55, "SETTLE_DT", TEXT(ya!$C55,"YYYYMMDD")))</f>
        <v>0</v>
      </c>
      <c r="AV55" s="2" cm="1">
        <f t="array" ref="AV55">IF(hp!AV55=0,0,_xll.BDP(AV$4,"YAS_BOND_YLD", "YAS_BOND_PX",hp!AV55, "SETTLE_DT", TEXT(ya!$C55,"YYYYMMDD")))</f>
        <v>0</v>
      </c>
      <c r="AW55" s="2" cm="1">
        <f t="array" ref="AW55">IF(hp!AW55=0,0,_xll.BDP(AW$4,"YAS_BOND_YLD", "YAS_BOND_PX",hp!AW55, "SETTLE_DT", TEXT(ya!$C55,"YYYYMMDD")))</f>
        <v>0</v>
      </c>
      <c r="AX55" s="2" cm="1">
        <f t="array" ref="AX55">IF(hp!AX55=0,0,_xll.BDP(AX$4,"YAS_BOND_YLD", "YAS_BOND_PX",hp!AX55, "SETTLE_DT", TEXT(ya!$C55,"YYYYMMDD")))</f>
        <v>0</v>
      </c>
      <c r="AY55" s="2" cm="1">
        <f t="array" ref="AY55">IF(hp!AY55=0,0,_xll.BDP(AY$4,"YAS_BOND_YLD", "YAS_BOND_PX",hp!AY55, "SETTLE_DT", TEXT(ya!$C55,"YYYYMMDD")))</f>
        <v>0</v>
      </c>
      <c r="AZ55" s="2" cm="1">
        <f t="array" ref="AZ55">IF(hp!AZ55=0,0,_xll.BDP(AZ$4,"YAS_BOND_YLD", "YAS_BOND_PX",hp!AZ55, "SETTLE_DT", TEXT(ya!$C55,"YYYYMMDD")))</f>
        <v>0</v>
      </c>
    </row>
    <row r="56" spans="1:52" x14ac:dyDescent="0.25">
      <c r="A56" s="1"/>
      <c r="B56" s="2"/>
      <c r="C56" s="1">
        <v>43616</v>
      </c>
      <c r="D56" s="2" cm="1">
        <f t="array" ref="D56">IF(hp!D56=0,0,_xll.BDP(D$4,"YAS_BOND_YLD", "YAS_BOND_PX",hp!D56, "SETTLE_DT", TEXT(ya!$C56,"YYYYMMDD")))</f>
        <v>0</v>
      </c>
      <c r="E56" s="2" cm="1">
        <f t="array" ref="E56">IF(hp!E56=0,0,_xll.BDP(E$4,"YAS_BOND_YLD", "YAS_BOND_PX",hp!E56, "SETTLE_DT", TEXT(ya!$C56,"YYYYMMDD")))</f>
        <v>0</v>
      </c>
      <c r="F56" s="2" cm="1">
        <f t="array" ref="F56">IF(hp!F56=0,0,_xll.BDP(F$4,"YAS_BOND_YLD", "YAS_BOND_PX",hp!F56, "SETTLE_DT", TEXT(ya!$C56,"YYYYMMDD")))</f>
        <v>8.3175000000000008</v>
      </c>
      <c r="G56" s="2" cm="1">
        <f t="array" ref="G56">IF(hp!G56=0,0,_xll.BDP(G$4,"YAS_BOND_YLD", "YAS_BOND_PX",hp!G56, "SETTLE_DT", TEXT(ya!$C56,"YYYYMMDD")))</f>
        <v>3.9374000000000002</v>
      </c>
      <c r="H56" s="2" cm="1">
        <f t="array" ref="H56">IF(hp!H56=0,0,_xll.BDP(H$4,"YAS_BOND_YLD", "YAS_BOND_PX",hp!H56, "SETTLE_DT", TEXT(ya!$C56,"YYYYMMDD")))</f>
        <v>8.4682999999999993</v>
      </c>
      <c r="I56" s="2" cm="1">
        <f t="array" ref="I56">IF(hp!I56=0,0,_xll.BDP(I$4,"YAS_BOND_YLD", "YAS_BOND_PX",hp!I56, "SETTLE_DT", TEXT(ya!$C56,"YYYYMMDD")))</f>
        <v>0</v>
      </c>
      <c r="J56" s="2" cm="1">
        <f t="array" ref="J56">IF(hp!J56=0,0,_xll.BDP(J$4,"YAS_BOND_YLD", "YAS_BOND_PX",hp!J56, "SETTLE_DT", TEXT(ya!$C56,"YYYYMMDD")))</f>
        <v>4.1349</v>
      </c>
      <c r="K56" s="2" cm="1">
        <f t="array" ref="K56">IF(hp!K56=0,0,_xll.BDP(K$4,"YAS_BOND_YLD", "YAS_BOND_PX",hp!K56, "SETTLE_DT", TEXT(ya!$C56,"YYYYMMDD")))</f>
        <v>0</v>
      </c>
      <c r="L56" s="2" cm="1">
        <f t="array" ref="L56">IF(hp!L56=0,0,_xll.BDP(L$4,"YAS_BOND_YLD", "YAS_BOND_PX",hp!L56, "SETTLE_DT", TEXT(ya!$C56,"YYYYMMDD")))</f>
        <v>3.8188</v>
      </c>
      <c r="M56" s="2" cm="1">
        <f t="array" ref="M56">IF(hp!M56=0,0,_xll.BDP(M$4,"YAS_BOND_YLD", "YAS_BOND_PX",hp!M56, "SETTLE_DT", TEXT(ya!$C56,"YYYYMMDD")))</f>
        <v>3.8303000000000003</v>
      </c>
      <c r="N56" s="2" cm="1">
        <f t="array" ref="N56">IF(hp!N56=0,0,_xll.BDP(N$4,"YAS_BOND_YLD", "YAS_BOND_PX",hp!N56, "SETTLE_DT", TEXT(ya!$C56,"YYYYMMDD")))</f>
        <v>3.7414000000000001</v>
      </c>
      <c r="O56" s="2" cm="1">
        <f t="array" ref="O56">IF(hp!O56=0,0,_xll.BDP(O$4,"YAS_BOND_YLD", "YAS_BOND_PX",hp!O56, "SETTLE_DT", TEXT(ya!$C56,"YYYYMMDD")))</f>
        <v>0</v>
      </c>
      <c r="P56" s="2" cm="1">
        <f t="array" ref="P56">IF(hp!P56=0,0,_xll.BDP(P$4,"YAS_BOND_YLD", "YAS_BOND_PX",hp!P56, "SETTLE_DT", TEXT(ya!$C56,"YYYYMMDD")))</f>
        <v>0</v>
      </c>
      <c r="Q56" s="2" cm="1">
        <f t="array" ref="Q56">IF(hp!Q56=0,0,_xll.BDP(Q$4,"YAS_BOND_YLD", "YAS_BOND_PX",hp!Q56, "SETTLE_DT", TEXT(ya!$C56,"YYYYMMDD")))</f>
        <v>4.1395999999999997</v>
      </c>
      <c r="R56" s="2" cm="1">
        <f t="array" ref="R56">IF(hp!R56=0,0,_xll.BDP(R$4,"YAS_BOND_YLD", "YAS_BOND_PX",hp!R56, "SETTLE_DT", TEXT(ya!$C56,"YYYYMMDD")))</f>
        <v>0</v>
      </c>
      <c r="S56" s="2" cm="1">
        <f t="array" ref="S56">IF(hp!S56=0,0,_xll.BDP(S$4,"YAS_BOND_YLD", "YAS_BOND_PX",hp!S56, "SETTLE_DT", TEXT(ya!$C56,"YYYYMMDD")))</f>
        <v>0</v>
      </c>
      <c r="T56" s="2" cm="1">
        <f t="array" ref="T56">IF(hp!T56=0,0,_xll.BDP(T$4,"YAS_BOND_YLD", "YAS_BOND_PX",hp!T56, "SETTLE_DT", TEXT(ya!$C56,"YYYYMMDD")))</f>
        <v>0</v>
      </c>
      <c r="U56" s="2" cm="1">
        <f t="array" ref="U56">IF(hp!U56=0,0,_xll.BDP(U$4,"YAS_BOND_YLD", "YAS_BOND_PX",hp!U56, "SETTLE_DT", TEXT(ya!$C56,"YYYYMMDD")))</f>
        <v>3.9851000000000001</v>
      </c>
      <c r="V56" s="2" cm="1">
        <f t="array" ref="V56">IF(hp!V56=0,0,_xll.BDP(V$4,"YAS_BOND_YLD", "YAS_BOND_PX",hp!V56, "SETTLE_DT", TEXT(ya!$C56,"YYYYMMDD")))</f>
        <v>0</v>
      </c>
      <c r="W56" s="2" cm="1">
        <f t="array" ref="W56">IF(hp!W56=0,0,_xll.BDP(W$4,"YAS_BOND_YLD", "YAS_BOND_PX",hp!W56, "SETTLE_DT", TEXT(ya!$C56,"YYYYMMDD")))</f>
        <v>0</v>
      </c>
      <c r="X56" s="2" cm="1">
        <f t="array" ref="X56">IF(hp!X56=0,0,_xll.BDP(X$4,"YAS_BOND_YLD", "YAS_BOND_PX",hp!X56, "SETTLE_DT", TEXT(ya!$C56,"YYYYMMDD")))</f>
        <v>0</v>
      </c>
      <c r="Y56" s="2" cm="1">
        <f t="array" ref="Y56">IF(hp!Y56=0,0,_xll.BDP(Y$4,"YAS_BOND_YLD", "YAS_BOND_PX",hp!Y56, "SETTLE_DT", TEXT(ya!$C56,"YYYYMMDD")))</f>
        <v>0</v>
      </c>
      <c r="Z56" s="2" cm="1">
        <f t="array" ref="Z56">IF(hp!Z56=0,0,_xll.BDP(Z$4,"YAS_BOND_YLD", "YAS_BOND_PX",hp!Z56, "SETTLE_DT", TEXT(ya!$C56,"YYYYMMDD")))</f>
        <v>0</v>
      </c>
      <c r="AA56" s="2" cm="1">
        <f t="array" ref="AA56">IF(hp!AA56=0,0,_xll.BDP(AA$4,"YAS_BOND_YLD", "YAS_BOND_PX",hp!AA56, "SETTLE_DT", TEXT(ya!$C56,"YYYYMMDD")))</f>
        <v>0</v>
      </c>
      <c r="AB56" s="2" cm="1">
        <f t="array" ref="AB56">IF(hp!AB56=0,0,_xll.BDP(AB$4,"YAS_BOND_YLD", "YAS_BOND_PX",hp!AB56, "SETTLE_DT", TEXT(ya!$C56,"YYYYMMDD")))</f>
        <v>0</v>
      </c>
      <c r="AC56" s="2" cm="1">
        <f t="array" ref="AC56">IF(hp!AC56=0,0,_xll.BDP(AC$4,"YAS_BOND_YLD", "YAS_BOND_PX",hp!AC56, "SETTLE_DT", TEXT(ya!$C56,"YYYYMMDD")))</f>
        <v>0</v>
      </c>
      <c r="AD56" s="2" cm="1">
        <f t="array" ref="AD56">IF(hp!AD56=0,0,_xll.BDP(AD$4,"YAS_BOND_YLD", "YAS_BOND_PX",hp!AD56, "SETTLE_DT", TEXT(ya!$C56,"YYYYMMDD")))</f>
        <v>4.1254999999999997</v>
      </c>
      <c r="AE56" s="2" cm="1">
        <f t="array" ref="AE56">IF(hp!AE56=0,0,_xll.BDP(AE$4,"YAS_BOND_YLD", "YAS_BOND_PX",hp!AE56, "SETTLE_DT", TEXT(ya!$C56,"YYYYMMDD")))</f>
        <v>0</v>
      </c>
      <c r="AF56" s="2" cm="1">
        <f t="array" ref="AF56">IF(hp!AF56=0,0,_xll.BDP(AF$4,"YAS_BOND_YLD", "YAS_BOND_PX",hp!AF56, "SETTLE_DT", TEXT(ya!$C56,"YYYYMMDD")))</f>
        <v>0</v>
      </c>
      <c r="AG56" s="2" cm="1">
        <f t="array" ref="AG56">IF(hp!AG56=0,0,_xll.BDP(AG$4,"YAS_BOND_YLD", "YAS_BOND_PX",hp!AG56, "SETTLE_DT", TEXT(ya!$C56,"YYYYMMDD")))</f>
        <v>0</v>
      </c>
      <c r="AH56" s="2" cm="1">
        <f t="array" ref="AH56">IF(hp!AH56=0,0,_xll.BDP(AH$4,"YAS_BOND_YLD", "YAS_BOND_PX",hp!AH56, "SETTLE_DT", TEXT(ya!$C56,"YYYYMMDD")))</f>
        <v>0</v>
      </c>
      <c r="AI56" s="2" cm="1">
        <f t="array" ref="AI56">IF(hp!AI56=0,0,_xll.BDP(AI$4,"YAS_BOND_YLD", "YAS_BOND_PX",hp!AI56, "SETTLE_DT", TEXT(ya!$C56,"YYYYMMDD")))</f>
        <v>0</v>
      </c>
      <c r="AJ56" s="2" cm="1">
        <f t="array" ref="AJ56">IF(hp!AJ56=0,0,_xll.BDP(AJ$4,"YAS_BOND_YLD", "YAS_BOND_PX",hp!AJ56, "SETTLE_DT", TEXT(ya!$C56,"YYYYMMDD")))</f>
        <v>0</v>
      </c>
      <c r="AK56" s="2" cm="1">
        <f t="array" ref="AK56">IF(hp!AK56=0,0,_xll.BDP(AK$4,"YAS_BOND_YLD", "YAS_BOND_PX",hp!AK56, "SETTLE_DT", TEXT(ya!$C56,"YYYYMMDD")))</f>
        <v>0</v>
      </c>
      <c r="AL56" s="2" cm="1">
        <f t="array" ref="AL56">IF(hp!AL56=0,0,_xll.BDP(AL$4,"YAS_BOND_YLD", "YAS_BOND_PX",hp!AL56, "SETTLE_DT", TEXT(ya!$C56,"YYYYMMDD")))</f>
        <v>0</v>
      </c>
      <c r="AM56" s="2" cm="1">
        <f t="array" ref="AM56">IF(hp!AM56=0,0,_xll.BDP(AM$4,"YAS_BOND_YLD", "YAS_BOND_PX",hp!AM56, "SETTLE_DT", TEXT(ya!$C56,"YYYYMMDD")))</f>
        <v>0</v>
      </c>
      <c r="AN56" s="2" cm="1">
        <f t="array" ref="AN56">IF(hp!AN56=0,0,_xll.BDP(AN$4,"YAS_BOND_YLD", "YAS_BOND_PX",hp!AN56, "SETTLE_DT", TEXT(ya!$C56,"YYYYMMDD")))</f>
        <v>0</v>
      </c>
      <c r="AO56" s="2" cm="1">
        <f t="array" ref="AO56">IF(hp!AO56=0,0,_xll.BDP(AO$4,"YAS_BOND_YLD", "YAS_BOND_PX",hp!AO56, "SETTLE_DT", TEXT(ya!$C56,"YYYYMMDD")))</f>
        <v>0</v>
      </c>
      <c r="AP56" s="2" cm="1">
        <f t="array" ref="AP56">IF(hp!AP56=0,0,_xll.BDP(AP$4,"YAS_BOND_YLD", "YAS_BOND_PX",hp!AP56, "SETTLE_DT", TEXT(ya!$C56,"YYYYMMDD")))</f>
        <v>0</v>
      </c>
      <c r="AQ56" s="2" cm="1">
        <f t="array" ref="AQ56">IF(hp!AQ56=0,0,_xll.BDP(AQ$4,"YAS_BOND_YLD", "YAS_BOND_PX",hp!AQ56, "SETTLE_DT", TEXT(ya!$C56,"YYYYMMDD")))</f>
        <v>0</v>
      </c>
      <c r="AR56" s="2" cm="1">
        <f t="array" ref="AR56">IF(hp!AR56=0,0,_xll.BDP(AR$4,"YAS_BOND_YLD", "YAS_BOND_PX",hp!AR56, "SETTLE_DT", TEXT(ya!$C56,"YYYYMMDD")))</f>
        <v>3.6442000000000001</v>
      </c>
      <c r="AS56" s="2" cm="1">
        <f t="array" ref="AS56">IF(hp!AS56=0,0,_xll.BDP(AS$4,"YAS_BOND_YLD", "YAS_BOND_PX",hp!AS56, "SETTLE_DT", TEXT(ya!$C56,"YYYYMMDD")))</f>
        <v>0</v>
      </c>
      <c r="AT56" s="2" cm="1">
        <f t="array" ref="AT56">IF(hp!AT56=0,0,_xll.BDP(AT$4,"YAS_BOND_YLD", "YAS_BOND_PX",hp!AT56, "SETTLE_DT", TEXT(ya!$C56,"YYYYMMDD")))</f>
        <v>0</v>
      </c>
      <c r="AU56" s="2" cm="1">
        <f t="array" ref="AU56">IF(hp!AU56=0,0,_xll.BDP(AU$4,"YAS_BOND_YLD", "YAS_BOND_PX",hp!AU56, "SETTLE_DT", TEXT(ya!$C56,"YYYYMMDD")))</f>
        <v>0</v>
      </c>
      <c r="AV56" s="2" cm="1">
        <f t="array" ref="AV56">IF(hp!AV56=0,0,_xll.BDP(AV$4,"YAS_BOND_YLD", "YAS_BOND_PX",hp!AV56, "SETTLE_DT", TEXT(ya!$C56,"YYYYMMDD")))</f>
        <v>0</v>
      </c>
      <c r="AW56" s="2" cm="1">
        <f t="array" ref="AW56">IF(hp!AW56=0,0,_xll.BDP(AW$4,"YAS_BOND_YLD", "YAS_BOND_PX",hp!AW56, "SETTLE_DT", TEXT(ya!$C56,"YYYYMMDD")))</f>
        <v>0</v>
      </c>
      <c r="AX56" s="2" cm="1">
        <f t="array" ref="AX56">IF(hp!AX56=0,0,_xll.BDP(AX$4,"YAS_BOND_YLD", "YAS_BOND_PX",hp!AX56, "SETTLE_DT", TEXT(ya!$C56,"YYYYMMDD")))</f>
        <v>0</v>
      </c>
      <c r="AY56" s="2" cm="1">
        <f t="array" ref="AY56">IF(hp!AY56=0,0,_xll.BDP(AY$4,"YAS_BOND_YLD", "YAS_BOND_PX",hp!AY56, "SETTLE_DT", TEXT(ya!$C56,"YYYYMMDD")))</f>
        <v>0</v>
      </c>
      <c r="AZ56" s="2" cm="1">
        <f t="array" ref="AZ56">IF(hp!AZ56=0,0,_xll.BDP(AZ$4,"YAS_BOND_YLD", "YAS_BOND_PX",hp!AZ56, "SETTLE_DT", TEXT(ya!$C56,"YYYYMMDD")))</f>
        <v>0</v>
      </c>
    </row>
    <row r="57" spans="1:52" x14ac:dyDescent="0.25">
      <c r="A57" s="1"/>
      <c r="B57" s="2"/>
      <c r="C57" s="1">
        <v>43644</v>
      </c>
      <c r="D57" s="2" cm="1">
        <f t="array" ref="D57">IF(hp!D57=0,0,_xll.BDP(D$4,"YAS_BOND_YLD", "YAS_BOND_PX",hp!D57, "SETTLE_DT", TEXT(ya!$C57,"YYYYMMDD")))</f>
        <v>0</v>
      </c>
      <c r="E57" s="2" cm="1">
        <f t="array" ref="E57">IF(hp!E57=0,0,_xll.BDP(E$4,"YAS_BOND_YLD", "YAS_BOND_PX",hp!E57, "SETTLE_DT", TEXT(ya!$C57,"YYYYMMDD")))</f>
        <v>0</v>
      </c>
      <c r="F57" s="2" cm="1">
        <f t="array" ref="F57">IF(hp!F57=0,0,_xll.BDP(F$4,"YAS_BOND_YLD", "YAS_BOND_PX",hp!F57, "SETTLE_DT", TEXT(ya!$C57,"YYYYMMDD")))</f>
        <v>8.1071000000000009</v>
      </c>
      <c r="G57" s="2" cm="1">
        <f t="array" ref="G57">IF(hp!G57=0,0,_xll.BDP(G$4,"YAS_BOND_YLD", "YAS_BOND_PX",hp!G57, "SETTLE_DT", TEXT(ya!$C57,"YYYYMMDD")))</f>
        <v>3.5488</v>
      </c>
      <c r="H57" s="2" cm="1">
        <f t="array" ref="H57">IF(hp!H57=0,0,_xll.BDP(H$4,"YAS_BOND_YLD", "YAS_BOND_PX",hp!H57, "SETTLE_DT", TEXT(ya!$C57,"YYYYMMDD")))</f>
        <v>8.1478999999999999</v>
      </c>
      <c r="I57" s="2" cm="1">
        <f t="array" ref="I57">IF(hp!I57=0,0,_xll.BDP(I$4,"YAS_BOND_YLD", "YAS_BOND_PX",hp!I57, "SETTLE_DT", TEXT(ya!$C57,"YYYYMMDD")))</f>
        <v>0</v>
      </c>
      <c r="J57" s="2" cm="1">
        <f t="array" ref="J57">IF(hp!J57=0,0,_xll.BDP(J$4,"YAS_BOND_YLD", "YAS_BOND_PX",hp!J57, "SETTLE_DT", TEXT(ya!$C57,"YYYYMMDD")))</f>
        <v>3.7782999999999998</v>
      </c>
      <c r="K57" s="2" cm="1">
        <f t="array" ref="K57">IF(hp!K57=0,0,_xll.BDP(K$4,"YAS_BOND_YLD", "YAS_BOND_PX",hp!K57, "SETTLE_DT", TEXT(ya!$C57,"YYYYMMDD")))</f>
        <v>0</v>
      </c>
      <c r="L57" s="2" cm="1">
        <f t="array" ref="L57">IF(hp!L57=0,0,_xll.BDP(L$4,"YAS_BOND_YLD", "YAS_BOND_PX",hp!L57, "SETTLE_DT", TEXT(ya!$C57,"YYYYMMDD")))</f>
        <v>3.415</v>
      </c>
      <c r="M57" s="2" cm="1">
        <f t="array" ref="M57">IF(hp!M57=0,0,_xll.BDP(M$4,"YAS_BOND_YLD", "YAS_BOND_PX",hp!M57, "SETTLE_DT", TEXT(ya!$C57,"YYYYMMDD")))</f>
        <v>3.3902000000000001</v>
      </c>
      <c r="N57" s="2" cm="1">
        <f t="array" ref="N57">IF(hp!N57=0,0,_xll.BDP(N$4,"YAS_BOND_YLD", "YAS_BOND_PX",hp!N57, "SETTLE_DT", TEXT(ya!$C57,"YYYYMMDD")))</f>
        <v>3.2052999999999998</v>
      </c>
      <c r="O57" s="2" cm="1">
        <f t="array" ref="O57">IF(hp!O57=0,0,_xll.BDP(O$4,"YAS_BOND_YLD", "YAS_BOND_PX",hp!O57, "SETTLE_DT", TEXT(ya!$C57,"YYYYMMDD")))</f>
        <v>0</v>
      </c>
      <c r="P57" s="2" cm="1">
        <f t="array" ref="P57">IF(hp!P57=0,0,_xll.BDP(P$4,"YAS_BOND_YLD", "YAS_BOND_PX",hp!P57, "SETTLE_DT", TEXT(ya!$C57,"YYYYMMDD")))</f>
        <v>0</v>
      </c>
      <c r="Q57" s="2" cm="1">
        <f t="array" ref="Q57">IF(hp!Q57=0,0,_xll.BDP(Q$4,"YAS_BOND_YLD", "YAS_BOND_PX",hp!Q57, "SETTLE_DT", TEXT(ya!$C57,"YYYYMMDD")))</f>
        <v>3.7833000000000001</v>
      </c>
      <c r="R57" s="2" cm="1">
        <f t="array" ref="R57">IF(hp!R57=0,0,_xll.BDP(R$4,"YAS_BOND_YLD", "YAS_BOND_PX",hp!R57, "SETTLE_DT", TEXT(ya!$C57,"YYYYMMDD")))</f>
        <v>0</v>
      </c>
      <c r="S57" s="2" cm="1">
        <f t="array" ref="S57">IF(hp!S57=0,0,_xll.BDP(S$4,"YAS_BOND_YLD", "YAS_BOND_PX",hp!S57, "SETTLE_DT", TEXT(ya!$C57,"YYYYMMDD")))</f>
        <v>0</v>
      </c>
      <c r="T57" s="2" cm="1">
        <f t="array" ref="T57">IF(hp!T57=0,0,_xll.BDP(T$4,"YAS_BOND_YLD", "YAS_BOND_PX",hp!T57, "SETTLE_DT", TEXT(ya!$C57,"YYYYMMDD")))</f>
        <v>0</v>
      </c>
      <c r="U57" s="2" cm="1">
        <f t="array" ref="U57">IF(hp!U57=0,0,_xll.BDP(U$4,"YAS_BOND_YLD", "YAS_BOND_PX",hp!U57, "SETTLE_DT", TEXT(ya!$C57,"YYYYMMDD")))</f>
        <v>3.6263999999999998</v>
      </c>
      <c r="V57" s="2" cm="1">
        <f t="array" ref="V57">IF(hp!V57=0,0,_xll.BDP(V$4,"YAS_BOND_YLD", "YAS_BOND_PX",hp!V57, "SETTLE_DT", TEXT(ya!$C57,"YYYYMMDD")))</f>
        <v>0</v>
      </c>
      <c r="W57" s="2" cm="1">
        <f t="array" ref="W57">IF(hp!W57=0,0,_xll.BDP(W$4,"YAS_BOND_YLD", "YAS_BOND_PX",hp!W57, "SETTLE_DT", TEXT(ya!$C57,"YYYYMMDD")))</f>
        <v>0</v>
      </c>
      <c r="X57" s="2" cm="1">
        <f t="array" ref="X57">IF(hp!X57=0,0,_xll.BDP(X$4,"YAS_BOND_YLD", "YAS_BOND_PX",hp!X57, "SETTLE_DT", TEXT(ya!$C57,"YYYYMMDD")))</f>
        <v>0</v>
      </c>
      <c r="Y57" s="2" cm="1">
        <f t="array" ref="Y57">IF(hp!Y57=0,0,_xll.BDP(Y$4,"YAS_BOND_YLD", "YAS_BOND_PX",hp!Y57, "SETTLE_DT", TEXT(ya!$C57,"YYYYMMDD")))</f>
        <v>0</v>
      </c>
      <c r="Z57" s="2" cm="1">
        <f t="array" ref="Z57">IF(hp!Z57=0,0,_xll.BDP(Z$4,"YAS_BOND_YLD", "YAS_BOND_PX",hp!Z57, "SETTLE_DT", TEXT(ya!$C57,"YYYYMMDD")))</f>
        <v>0</v>
      </c>
      <c r="AA57" s="2" cm="1">
        <f t="array" ref="AA57">IF(hp!AA57=0,0,_xll.BDP(AA$4,"YAS_BOND_YLD", "YAS_BOND_PX",hp!AA57, "SETTLE_DT", TEXT(ya!$C57,"YYYYMMDD")))</f>
        <v>0</v>
      </c>
      <c r="AB57" s="2" cm="1">
        <f t="array" ref="AB57">IF(hp!AB57=0,0,_xll.BDP(AB$4,"YAS_BOND_YLD", "YAS_BOND_PX",hp!AB57, "SETTLE_DT", TEXT(ya!$C57,"YYYYMMDD")))</f>
        <v>0</v>
      </c>
      <c r="AC57" s="2" cm="1">
        <f t="array" ref="AC57">IF(hp!AC57=0,0,_xll.BDP(AC$4,"YAS_BOND_YLD", "YAS_BOND_PX",hp!AC57, "SETTLE_DT", TEXT(ya!$C57,"YYYYMMDD")))</f>
        <v>0</v>
      </c>
      <c r="AD57" s="2" cm="1">
        <f t="array" ref="AD57">IF(hp!AD57=0,0,_xll.BDP(AD$4,"YAS_BOND_YLD", "YAS_BOND_PX",hp!AD57, "SETTLE_DT", TEXT(ya!$C57,"YYYYMMDD")))</f>
        <v>3.7686000000000002</v>
      </c>
      <c r="AE57" s="2" cm="1">
        <f t="array" ref="AE57">IF(hp!AE57=0,0,_xll.BDP(AE$4,"YAS_BOND_YLD", "YAS_BOND_PX",hp!AE57, "SETTLE_DT", TEXT(ya!$C57,"YYYYMMDD")))</f>
        <v>0</v>
      </c>
      <c r="AF57" s="2" cm="1">
        <f t="array" ref="AF57">IF(hp!AF57=0,0,_xll.BDP(AF$4,"YAS_BOND_YLD", "YAS_BOND_PX",hp!AF57, "SETTLE_DT", TEXT(ya!$C57,"YYYYMMDD")))</f>
        <v>0</v>
      </c>
      <c r="AG57" s="2" cm="1">
        <f t="array" ref="AG57">IF(hp!AG57=0,0,_xll.BDP(AG$4,"YAS_BOND_YLD", "YAS_BOND_PX",hp!AG57, "SETTLE_DT", TEXT(ya!$C57,"YYYYMMDD")))</f>
        <v>0</v>
      </c>
      <c r="AH57" s="2" cm="1">
        <f t="array" ref="AH57">IF(hp!AH57=0,0,_xll.BDP(AH$4,"YAS_BOND_YLD", "YAS_BOND_PX",hp!AH57, "SETTLE_DT", TEXT(ya!$C57,"YYYYMMDD")))</f>
        <v>0</v>
      </c>
      <c r="AI57" s="2" cm="1">
        <f t="array" ref="AI57">IF(hp!AI57=0,0,_xll.BDP(AI$4,"YAS_BOND_YLD", "YAS_BOND_PX",hp!AI57, "SETTLE_DT", TEXT(ya!$C57,"YYYYMMDD")))</f>
        <v>0</v>
      </c>
      <c r="AJ57" s="2" cm="1">
        <f t="array" ref="AJ57">IF(hp!AJ57=0,0,_xll.BDP(AJ$4,"YAS_BOND_YLD", "YAS_BOND_PX",hp!AJ57, "SETTLE_DT", TEXT(ya!$C57,"YYYYMMDD")))</f>
        <v>0</v>
      </c>
      <c r="AK57" s="2" cm="1">
        <f t="array" ref="AK57">IF(hp!AK57=0,0,_xll.BDP(AK$4,"YAS_BOND_YLD", "YAS_BOND_PX",hp!AK57, "SETTLE_DT", TEXT(ya!$C57,"YYYYMMDD")))</f>
        <v>0</v>
      </c>
      <c r="AL57" s="2" cm="1">
        <f t="array" ref="AL57">IF(hp!AL57=0,0,_xll.BDP(AL$4,"YAS_BOND_YLD", "YAS_BOND_PX",hp!AL57, "SETTLE_DT", TEXT(ya!$C57,"YYYYMMDD")))</f>
        <v>0</v>
      </c>
      <c r="AM57" s="2" cm="1">
        <f t="array" ref="AM57">IF(hp!AM57=0,0,_xll.BDP(AM$4,"YAS_BOND_YLD", "YAS_BOND_PX",hp!AM57, "SETTLE_DT", TEXT(ya!$C57,"YYYYMMDD")))</f>
        <v>0</v>
      </c>
      <c r="AN57" s="2" cm="1">
        <f t="array" ref="AN57">IF(hp!AN57=0,0,_xll.BDP(AN$4,"YAS_BOND_YLD", "YAS_BOND_PX",hp!AN57, "SETTLE_DT", TEXT(ya!$C57,"YYYYMMDD")))</f>
        <v>0</v>
      </c>
      <c r="AO57" s="2" cm="1">
        <f t="array" ref="AO57">IF(hp!AO57=0,0,_xll.BDP(AO$4,"YAS_BOND_YLD", "YAS_BOND_PX",hp!AO57, "SETTLE_DT", TEXT(ya!$C57,"YYYYMMDD")))</f>
        <v>0</v>
      </c>
      <c r="AP57" s="2" cm="1">
        <f t="array" ref="AP57">IF(hp!AP57=0,0,_xll.BDP(AP$4,"YAS_BOND_YLD", "YAS_BOND_PX",hp!AP57, "SETTLE_DT", TEXT(ya!$C57,"YYYYMMDD")))</f>
        <v>0</v>
      </c>
      <c r="AQ57" s="2" cm="1">
        <f t="array" ref="AQ57">IF(hp!AQ57=0,0,_xll.BDP(AQ$4,"YAS_BOND_YLD", "YAS_BOND_PX",hp!AQ57, "SETTLE_DT", TEXT(ya!$C57,"YYYYMMDD")))</f>
        <v>0</v>
      </c>
      <c r="AR57" s="2" cm="1">
        <f t="array" ref="AR57">IF(hp!AR57=0,0,_xll.BDP(AR$4,"YAS_BOND_YLD", "YAS_BOND_PX",hp!AR57, "SETTLE_DT", TEXT(ya!$C57,"YYYYMMDD")))</f>
        <v>3.5045000000000002</v>
      </c>
      <c r="AS57" s="2" cm="1">
        <f t="array" ref="AS57">IF(hp!AS57=0,0,_xll.BDP(AS$4,"YAS_BOND_YLD", "YAS_BOND_PX",hp!AS57, "SETTLE_DT", TEXT(ya!$C57,"YYYYMMDD")))</f>
        <v>0</v>
      </c>
      <c r="AT57" s="2" cm="1">
        <f t="array" ref="AT57">IF(hp!AT57=0,0,_xll.BDP(AT$4,"YAS_BOND_YLD", "YAS_BOND_PX",hp!AT57, "SETTLE_DT", TEXT(ya!$C57,"YYYYMMDD")))</f>
        <v>0</v>
      </c>
      <c r="AU57" s="2" cm="1">
        <f t="array" ref="AU57">IF(hp!AU57=0,0,_xll.BDP(AU$4,"YAS_BOND_YLD", "YAS_BOND_PX",hp!AU57, "SETTLE_DT", TEXT(ya!$C57,"YYYYMMDD")))</f>
        <v>0</v>
      </c>
      <c r="AV57" s="2" cm="1">
        <f t="array" ref="AV57">IF(hp!AV57=0,0,_xll.BDP(AV$4,"YAS_BOND_YLD", "YAS_BOND_PX",hp!AV57, "SETTLE_DT", TEXT(ya!$C57,"YYYYMMDD")))</f>
        <v>0</v>
      </c>
      <c r="AW57" s="2" cm="1">
        <f t="array" ref="AW57">IF(hp!AW57=0,0,_xll.BDP(AW$4,"YAS_BOND_YLD", "YAS_BOND_PX",hp!AW57, "SETTLE_DT", TEXT(ya!$C57,"YYYYMMDD")))</f>
        <v>0</v>
      </c>
      <c r="AX57" s="2" cm="1">
        <f t="array" ref="AX57">IF(hp!AX57=0,0,_xll.BDP(AX$4,"YAS_BOND_YLD", "YAS_BOND_PX",hp!AX57, "SETTLE_DT", TEXT(ya!$C57,"YYYYMMDD")))</f>
        <v>0</v>
      </c>
      <c r="AY57" s="2" cm="1">
        <f t="array" ref="AY57">IF(hp!AY57=0,0,_xll.BDP(AY$4,"YAS_BOND_YLD", "YAS_BOND_PX",hp!AY57, "SETTLE_DT", TEXT(ya!$C57,"YYYYMMDD")))</f>
        <v>0</v>
      </c>
      <c r="AZ57" s="2" cm="1">
        <f t="array" ref="AZ57">IF(hp!AZ57=0,0,_xll.BDP(AZ$4,"YAS_BOND_YLD", "YAS_BOND_PX",hp!AZ57, "SETTLE_DT", TEXT(ya!$C57,"YYYYMMDD")))</f>
        <v>0</v>
      </c>
    </row>
    <row r="58" spans="1:52" x14ac:dyDescent="0.25">
      <c r="A58" s="1"/>
      <c r="B58" s="2"/>
      <c r="C58" s="1">
        <v>43677</v>
      </c>
      <c r="D58" s="2" cm="1">
        <f t="array" ref="D58">IF(hp!D58=0,0,_xll.BDP(D$4,"YAS_BOND_YLD", "YAS_BOND_PX",hp!D58, "SETTLE_DT", TEXT(ya!$C58,"YYYYMMDD")))</f>
        <v>0</v>
      </c>
      <c r="E58" s="2" cm="1">
        <f t="array" ref="E58">IF(hp!E58=0,0,_xll.BDP(E$4,"YAS_BOND_YLD", "YAS_BOND_PX",hp!E58, "SETTLE_DT", TEXT(ya!$C58,"YYYYMMDD")))</f>
        <v>0</v>
      </c>
      <c r="F58" s="2" cm="1">
        <f t="array" ref="F58">IF(hp!F58=0,0,_xll.BDP(F$4,"YAS_BOND_YLD", "YAS_BOND_PX",hp!F58, "SETTLE_DT", TEXT(ya!$C58,"YYYYMMDD")))</f>
        <v>7.0824999999999996</v>
      </c>
      <c r="G58" s="2" cm="1">
        <f t="array" ref="G58">IF(hp!G58=0,0,_xll.BDP(G$4,"YAS_BOND_YLD", "YAS_BOND_PX",hp!G58, "SETTLE_DT", TEXT(ya!$C58,"YYYYMMDD")))</f>
        <v>3.5388000000000002</v>
      </c>
      <c r="H58" s="2" cm="1">
        <f t="array" ref="H58">IF(hp!H58=0,0,_xll.BDP(H$4,"YAS_BOND_YLD", "YAS_BOND_PX",hp!H58, "SETTLE_DT", TEXT(ya!$C58,"YYYYMMDD")))</f>
        <v>7.2417999999999996</v>
      </c>
      <c r="I58" s="2" cm="1">
        <f t="array" ref="I58">IF(hp!I58=0,0,_xll.BDP(I$4,"YAS_BOND_YLD", "YAS_BOND_PX",hp!I58, "SETTLE_DT", TEXT(ya!$C58,"YYYYMMDD")))</f>
        <v>0</v>
      </c>
      <c r="J58" s="2" cm="1">
        <f t="array" ref="J58">IF(hp!J58=0,0,_xll.BDP(J$4,"YAS_BOND_YLD", "YAS_BOND_PX",hp!J58, "SETTLE_DT", TEXT(ya!$C58,"YYYYMMDD")))</f>
        <v>3.6890999999999998</v>
      </c>
      <c r="K58" s="2" cm="1">
        <f t="array" ref="K58">IF(hp!K58=0,0,_xll.BDP(K$4,"YAS_BOND_YLD", "YAS_BOND_PX",hp!K58, "SETTLE_DT", TEXT(ya!$C58,"YYYYMMDD")))</f>
        <v>0</v>
      </c>
      <c r="L58" s="2" cm="1">
        <f t="array" ref="L58">IF(hp!L58=0,0,_xll.BDP(L$4,"YAS_BOND_YLD", "YAS_BOND_PX",hp!L58, "SETTLE_DT", TEXT(ya!$C58,"YYYYMMDD")))</f>
        <v>3.3559999999999999</v>
      </c>
      <c r="M58" s="2" cm="1">
        <f t="array" ref="M58">IF(hp!M58=0,0,_xll.BDP(M$4,"YAS_BOND_YLD", "YAS_BOND_PX",hp!M58, "SETTLE_DT", TEXT(ya!$C58,"YYYYMMDD")))</f>
        <v>3.3113999999999999</v>
      </c>
      <c r="N58" s="2" cm="1">
        <f t="array" ref="N58">IF(hp!N58=0,0,_xll.BDP(N$4,"YAS_BOND_YLD", "YAS_BOND_PX",hp!N58, "SETTLE_DT", TEXT(ya!$C58,"YYYYMMDD")))</f>
        <v>3.1139000000000001</v>
      </c>
      <c r="O58" s="2" cm="1">
        <f t="array" ref="O58">IF(hp!O58=0,0,_xll.BDP(O$4,"YAS_BOND_YLD", "YAS_BOND_PX",hp!O58, "SETTLE_DT", TEXT(ya!$C58,"YYYYMMDD")))</f>
        <v>0</v>
      </c>
      <c r="P58" s="2" cm="1">
        <f t="array" ref="P58">IF(hp!P58=0,0,_xll.BDP(P$4,"YAS_BOND_YLD", "YAS_BOND_PX",hp!P58, "SETTLE_DT", TEXT(ya!$C58,"YYYYMMDD")))</f>
        <v>0</v>
      </c>
      <c r="Q58" s="2" cm="1">
        <f t="array" ref="Q58">IF(hp!Q58=0,0,_xll.BDP(Q$4,"YAS_BOND_YLD", "YAS_BOND_PX",hp!Q58, "SETTLE_DT", TEXT(ya!$C58,"YYYYMMDD")))</f>
        <v>3.6890000000000001</v>
      </c>
      <c r="R58" s="2" cm="1">
        <f t="array" ref="R58">IF(hp!R58=0,0,_xll.BDP(R$4,"YAS_BOND_YLD", "YAS_BOND_PX",hp!R58, "SETTLE_DT", TEXT(ya!$C58,"YYYYMMDD")))</f>
        <v>0</v>
      </c>
      <c r="S58" s="2" cm="1">
        <f t="array" ref="S58">IF(hp!S58=0,0,_xll.BDP(S$4,"YAS_BOND_YLD", "YAS_BOND_PX",hp!S58, "SETTLE_DT", TEXT(ya!$C58,"YYYYMMDD")))</f>
        <v>0</v>
      </c>
      <c r="T58" s="2" cm="1">
        <f t="array" ref="T58">IF(hp!T58=0,0,_xll.BDP(T$4,"YAS_BOND_YLD", "YAS_BOND_PX",hp!T58, "SETTLE_DT", TEXT(ya!$C58,"YYYYMMDD")))</f>
        <v>0</v>
      </c>
      <c r="U58" s="2" cm="1">
        <f t="array" ref="U58">IF(hp!U58=0,0,_xll.BDP(U$4,"YAS_BOND_YLD", "YAS_BOND_PX",hp!U58, "SETTLE_DT", TEXT(ya!$C58,"YYYYMMDD")))</f>
        <v>3.5516999999999999</v>
      </c>
      <c r="V58" s="2" cm="1">
        <f t="array" ref="V58">IF(hp!V58=0,0,_xll.BDP(V$4,"YAS_BOND_YLD", "YAS_BOND_PX",hp!V58, "SETTLE_DT", TEXT(ya!$C58,"YYYYMMDD")))</f>
        <v>0</v>
      </c>
      <c r="W58" s="2" cm="1">
        <f t="array" ref="W58">IF(hp!W58=0,0,_xll.BDP(W$4,"YAS_BOND_YLD", "YAS_BOND_PX",hp!W58, "SETTLE_DT", TEXT(ya!$C58,"YYYYMMDD")))</f>
        <v>0</v>
      </c>
      <c r="X58" s="2" cm="1">
        <f t="array" ref="X58">IF(hp!X58=0,0,_xll.BDP(X$4,"YAS_BOND_YLD", "YAS_BOND_PX",hp!X58, "SETTLE_DT", TEXT(ya!$C58,"YYYYMMDD")))</f>
        <v>0</v>
      </c>
      <c r="Y58" s="2" cm="1">
        <f t="array" ref="Y58">IF(hp!Y58=0,0,_xll.BDP(Y$4,"YAS_BOND_YLD", "YAS_BOND_PX",hp!Y58, "SETTLE_DT", TEXT(ya!$C58,"YYYYMMDD")))</f>
        <v>0</v>
      </c>
      <c r="Z58" s="2" cm="1">
        <f t="array" ref="Z58">IF(hp!Z58=0,0,_xll.BDP(Z$4,"YAS_BOND_YLD", "YAS_BOND_PX",hp!Z58, "SETTLE_DT", TEXT(ya!$C58,"YYYYMMDD")))</f>
        <v>0</v>
      </c>
      <c r="AA58" s="2" cm="1">
        <f t="array" ref="AA58">IF(hp!AA58=0,0,_xll.BDP(AA$4,"YAS_BOND_YLD", "YAS_BOND_PX",hp!AA58, "SETTLE_DT", TEXT(ya!$C58,"YYYYMMDD")))</f>
        <v>0</v>
      </c>
      <c r="AB58" s="2" cm="1">
        <f t="array" ref="AB58">IF(hp!AB58=0,0,_xll.BDP(AB$4,"YAS_BOND_YLD", "YAS_BOND_PX",hp!AB58, "SETTLE_DT", TEXT(ya!$C58,"YYYYMMDD")))</f>
        <v>0</v>
      </c>
      <c r="AC58" s="2" cm="1">
        <f t="array" ref="AC58">IF(hp!AC58=0,0,_xll.BDP(AC$4,"YAS_BOND_YLD", "YAS_BOND_PX",hp!AC58, "SETTLE_DT", TEXT(ya!$C58,"YYYYMMDD")))</f>
        <v>0</v>
      </c>
      <c r="AD58" s="2" cm="1">
        <f t="array" ref="AD58">IF(hp!AD58=0,0,_xll.BDP(AD$4,"YAS_BOND_YLD", "YAS_BOND_PX",hp!AD58, "SETTLE_DT", TEXT(ya!$C58,"YYYYMMDD")))</f>
        <v>3.6787000000000001</v>
      </c>
      <c r="AE58" s="2" cm="1">
        <f t="array" ref="AE58">IF(hp!AE58=0,0,_xll.BDP(AE$4,"YAS_BOND_YLD", "YAS_BOND_PX",hp!AE58, "SETTLE_DT", TEXT(ya!$C58,"YYYYMMDD")))</f>
        <v>0</v>
      </c>
      <c r="AF58" s="2" cm="1">
        <f t="array" ref="AF58">IF(hp!AF58=0,0,_xll.BDP(AF$4,"YAS_BOND_YLD", "YAS_BOND_PX",hp!AF58, "SETTLE_DT", TEXT(ya!$C58,"YYYYMMDD")))</f>
        <v>0</v>
      </c>
      <c r="AG58" s="2" cm="1">
        <f t="array" ref="AG58">IF(hp!AG58=0,0,_xll.BDP(AG$4,"YAS_BOND_YLD", "YAS_BOND_PX",hp!AG58, "SETTLE_DT", TEXT(ya!$C58,"YYYYMMDD")))</f>
        <v>0</v>
      </c>
      <c r="AH58" s="2" cm="1">
        <f t="array" ref="AH58">IF(hp!AH58=0,0,_xll.BDP(AH$4,"YAS_BOND_YLD", "YAS_BOND_PX",hp!AH58, "SETTLE_DT", TEXT(ya!$C58,"YYYYMMDD")))</f>
        <v>0</v>
      </c>
      <c r="AI58" s="2" cm="1">
        <f t="array" ref="AI58">IF(hp!AI58=0,0,_xll.BDP(AI$4,"YAS_BOND_YLD", "YAS_BOND_PX",hp!AI58, "SETTLE_DT", TEXT(ya!$C58,"YYYYMMDD")))</f>
        <v>0</v>
      </c>
      <c r="AJ58" s="2" cm="1">
        <f t="array" ref="AJ58">IF(hp!AJ58=0,0,_xll.BDP(AJ$4,"YAS_BOND_YLD", "YAS_BOND_PX",hp!AJ58, "SETTLE_DT", TEXT(ya!$C58,"YYYYMMDD")))</f>
        <v>0</v>
      </c>
      <c r="AK58" s="2" cm="1">
        <f t="array" ref="AK58">IF(hp!AK58=0,0,_xll.BDP(AK$4,"YAS_BOND_YLD", "YAS_BOND_PX",hp!AK58, "SETTLE_DT", TEXT(ya!$C58,"YYYYMMDD")))</f>
        <v>0</v>
      </c>
      <c r="AL58" s="2" cm="1">
        <f t="array" ref="AL58">IF(hp!AL58=0,0,_xll.BDP(AL$4,"YAS_BOND_YLD", "YAS_BOND_PX",hp!AL58, "SETTLE_DT", TEXT(ya!$C58,"YYYYMMDD")))</f>
        <v>0</v>
      </c>
      <c r="AM58" s="2" cm="1">
        <f t="array" ref="AM58">IF(hp!AM58=0,0,_xll.BDP(AM$4,"YAS_BOND_YLD", "YAS_BOND_PX",hp!AM58, "SETTLE_DT", TEXT(ya!$C58,"YYYYMMDD")))</f>
        <v>0</v>
      </c>
      <c r="AN58" s="2" cm="1">
        <f t="array" ref="AN58">IF(hp!AN58=0,0,_xll.BDP(AN$4,"YAS_BOND_YLD", "YAS_BOND_PX",hp!AN58, "SETTLE_DT", TEXT(ya!$C58,"YYYYMMDD")))</f>
        <v>0</v>
      </c>
      <c r="AO58" s="2" cm="1">
        <f t="array" ref="AO58">IF(hp!AO58=0,0,_xll.BDP(AO$4,"YAS_BOND_YLD", "YAS_BOND_PX",hp!AO58, "SETTLE_DT", TEXT(ya!$C58,"YYYYMMDD")))</f>
        <v>0</v>
      </c>
      <c r="AP58" s="2" cm="1">
        <f t="array" ref="AP58">IF(hp!AP58=0,0,_xll.BDP(AP$4,"YAS_BOND_YLD", "YAS_BOND_PX",hp!AP58, "SETTLE_DT", TEXT(ya!$C58,"YYYYMMDD")))</f>
        <v>0</v>
      </c>
      <c r="AQ58" s="2" cm="1">
        <f t="array" ref="AQ58">IF(hp!AQ58=0,0,_xll.BDP(AQ$4,"YAS_BOND_YLD", "YAS_BOND_PX",hp!AQ58, "SETTLE_DT", TEXT(ya!$C58,"YYYYMMDD")))</f>
        <v>0</v>
      </c>
      <c r="AR58" s="2" cm="1">
        <f t="array" ref="AR58">IF(hp!AR58=0,0,_xll.BDP(AR$4,"YAS_BOND_YLD", "YAS_BOND_PX",hp!AR58, "SETTLE_DT", TEXT(ya!$C58,"YYYYMMDD")))</f>
        <v>2.9706000000000001</v>
      </c>
      <c r="AS58" s="2" cm="1">
        <f t="array" ref="AS58">IF(hp!AS58=0,0,_xll.BDP(AS$4,"YAS_BOND_YLD", "YAS_BOND_PX",hp!AS58, "SETTLE_DT", TEXT(ya!$C58,"YYYYMMDD")))</f>
        <v>0</v>
      </c>
      <c r="AT58" s="2" cm="1">
        <f t="array" ref="AT58">IF(hp!AT58=0,0,_xll.BDP(AT$4,"YAS_BOND_YLD", "YAS_BOND_PX",hp!AT58, "SETTLE_DT", TEXT(ya!$C58,"YYYYMMDD")))</f>
        <v>0</v>
      </c>
      <c r="AU58" s="2" cm="1">
        <f t="array" ref="AU58">IF(hp!AU58=0,0,_xll.BDP(AU$4,"YAS_BOND_YLD", "YAS_BOND_PX",hp!AU58, "SETTLE_DT", TEXT(ya!$C58,"YYYYMMDD")))</f>
        <v>0</v>
      </c>
      <c r="AV58" s="2" cm="1">
        <f t="array" ref="AV58">IF(hp!AV58=0,0,_xll.BDP(AV$4,"YAS_BOND_YLD", "YAS_BOND_PX",hp!AV58, "SETTLE_DT", TEXT(ya!$C58,"YYYYMMDD")))</f>
        <v>0</v>
      </c>
      <c r="AW58" s="2" cm="1">
        <f t="array" ref="AW58">IF(hp!AW58=0,0,_xll.BDP(AW$4,"YAS_BOND_YLD", "YAS_BOND_PX",hp!AW58, "SETTLE_DT", TEXT(ya!$C58,"YYYYMMDD")))</f>
        <v>0</v>
      </c>
      <c r="AX58" s="2" cm="1">
        <f t="array" ref="AX58">IF(hp!AX58=0,0,_xll.BDP(AX$4,"YAS_BOND_YLD", "YAS_BOND_PX",hp!AX58, "SETTLE_DT", TEXT(ya!$C58,"YYYYMMDD")))</f>
        <v>0</v>
      </c>
      <c r="AY58" s="2" cm="1">
        <f t="array" ref="AY58">IF(hp!AY58=0,0,_xll.BDP(AY$4,"YAS_BOND_YLD", "YAS_BOND_PX",hp!AY58, "SETTLE_DT", TEXT(ya!$C58,"YYYYMMDD")))</f>
        <v>0</v>
      </c>
      <c r="AZ58" s="2" cm="1">
        <f t="array" ref="AZ58">IF(hp!AZ58=0,0,_xll.BDP(AZ$4,"YAS_BOND_YLD", "YAS_BOND_PX",hp!AZ58, "SETTLE_DT", TEXT(ya!$C58,"YYYYMMDD")))</f>
        <v>0</v>
      </c>
    </row>
    <row r="59" spans="1:52" x14ac:dyDescent="0.25">
      <c r="A59" s="1"/>
      <c r="B59" s="2"/>
      <c r="C59" s="1">
        <v>43707</v>
      </c>
      <c r="D59" s="2" cm="1">
        <f t="array" ref="D59">IF(hp!D59=0,0,_xll.BDP(D$4,"YAS_BOND_YLD", "YAS_BOND_PX",hp!D59, "SETTLE_DT", TEXT(ya!$C59,"YYYYMMDD")))</f>
        <v>0</v>
      </c>
      <c r="E59" s="2" cm="1">
        <f t="array" ref="E59">IF(hp!E59=0,0,_xll.BDP(E$4,"YAS_BOND_YLD", "YAS_BOND_PX",hp!E59, "SETTLE_DT", TEXT(ya!$C59,"YYYYMMDD")))</f>
        <v>0</v>
      </c>
      <c r="F59" s="2" cm="1">
        <f t="array" ref="F59">IF(hp!F59=0,0,_xll.BDP(F$4,"YAS_BOND_YLD", "YAS_BOND_PX",hp!F59, "SETTLE_DT", TEXT(ya!$C59,"YYYYMMDD")))</f>
        <v>7.2313000000000001</v>
      </c>
      <c r="G59" s="2" cm="1">
        <f t="array" ref="G59">IF(hp!G59=0,0,_xll.BDP(G$4,"YAS_BOND_YLD", "YAS_BOND_PX",hp!G59, "SETTLE_DT", TEXT(ya!$C59,"YYYYMMDD")))</f>
        <v>3.5973999999999999</v>
      </c>
      <c r="H59" s="2" cm="1">
        <f t="array" ref="H59">IF(hp!H59=0,0,_xll.BDP(H$4,"YAS_BOND_YLD", "YAS_BOND_PX",hp!H59, "SETTLE_DT", TEXT(ya!$C59,"YYYYMMDD")))</f>
        <v>7.4222999999999999</v>
      </c>
      <c r="I59" s="2" cm="1">
        <f t="array" ref="I59">IF(hp!I59=0,0,_xll.BDP(I$4,"YAS_BOND_YLD", "YAS_BOND_PX",hp!I59, "SETTLE_DT", TEXT(ya!$C59,"YYYYMMDD")))</f>
        <v>0</v>
      </c>
      <c r="J59" s="2" cm="1">
        <f t="array" ref="J59">IF(hp!J59=0,0,_xll.BDP(J$4,"YAS_BOND_YLD", "YAS_BOND_PX",hp!J59, "SETTLE_DT", TEXT(ya!$C59,"YYYYMMDD")))</f>
        <v>3.7869999999999999</v>
      </c>
      <c r="K59" s="2" cm="1">
        <f t="array" ref="K59">IF(hp!K59=0,0,_xll.BDP(K$4,"YAS_BOND_YLD", "YAS_BOND_PX",hp!K59, "SETTLE_DT", TEXT(ya!$C59,"YYYYMMDD")))</f>
        <v>0</v>
      </c>
      <c r="L59" s="2" cm="1">
        <f t="array" ref="L59">IF(hp!L59=0,0,_xll.BDP(L$4,"YAS_BOND_YLD", "YAS_BOND_PX",hp!L59, "SETTLE_DT", TEXT(ya!$C59,"YYYYMMDD")))</f>
        <v>3.3852000000000002</v>
      </c>
      <c r="M59" s="2" cm="1">
        <f t="array" ref="M59">IF(hp!M59=0,0,_xll.BDP(M$4,"YAS_BOND_YLD", "YAS_BOND_PX",hp!M59, "SETTLE_DT", TEXT(ya!$C59,"YYYYMMDD")))</f>
        <v>3.3572000000000002</v>
      </c>
      <c r="N59" s="2" cm="1">
        <f t="array" ref="N59">IF(hp!N59=0,0,_xll.BDP(N$4,"YAS_BOND_YLD", "YAS_BOND_PX",hp!N59, "SETTLE_DT", TEXT(ya!$C59,"YYYYMMDD")))</f>
        <v>3.1935000000000002</v>
      </c>
      <c r="O59" s="2" cm="1">
        <f t="array" ref="O59">IF(hp!O59=0,0,_xll.BDP(O$4,"YAS_BOND_YLD", "YAS_BOND_PX",hp!O59, "SETTLE_DT", TEXT(ya!$C59,"YYYYMMDD")))</f>
        <v>0</v>
      </c>
      <c r="P59" s="2" cm="1">
        <f t="array" ref="P59">IF(hp!P59=0,0,_xll.BDP(P$4,"YAS_BOND_YLD", "YAS_BOND_PX",hp!P59, "SETTLE_DT", TEXT(ya!$C59,"YYYYMMDD")))</f>
        <v>0</v>
      </c>
      <c r="Q59" s="2" cm="1">
        <f t="array" ref="Q59">IF(hp!Q59=0,0,_xll.BDP(Q$4,"YAS_BOND_YLD", "YAS_BOND_PX",hp!Q59, "SETTLE_DT", TEXT(ya!$C59,"YYYYMMDD")))</f>
        <v>3.8031999999999999</v>
      </c>
      <c r="R59" s="2" cm="1">
        <f t="array" ref="R59">IF(hp!R59=0,0,_xll.BDP(R$4,"YAS_BOND_YLD", "YAS_BOND_PX",hp!R59, "SETTLE_DT", TEXT(ya!$C59,"YYYYMMDD")))</f>
        <v>0</v>
      </c>
      <c r="S59" s="2" cm="1">
        <f t="array" ref="S59">IF(hp!S59=0,0,_xll.BDP(S$4,"YAS_BOND_YLD", "YAS_BOND_PX",hp!S59, "SETTLE_DT", TEXT(ya!$C59,"YYYYMMDD")))</f>
        <v>0</v>
      </c>
      <c r="T59" s="2" cm="1">
        <f t="array" ref="T59">IF(hp!T59=0,0,_xll.BDP(T$4,"YAS_BOND_YLD", "YAS_BOND_PX",hp!T59, "SETTLE_DT", TEXT(ya!$C59,"YYYYMMDD")))</f>
        <v>0</v>
      </c>
      <c r="U59" s="2" cm="1">
        <f t="array" ref="U59">IF(hp!U59=0,0,_xll.BDP(U$4,"YAS_BOND_YLD", "YAS_BOND_PX",hp!U59, "SETTLE_DT", TEXT(ya!$C59,"YYYYMMDD")))</f>
        <v>3.6715</v>
      </c>
      <c r="V59" s="2" cm="1">
        <f t="array" ref="V59">IF(hp!V59=0,0,_xll.BDP(V$4,"YAS_BOND_YLD", "YAS_BOND_PX",hp!V59, "SETTLE_DT", TEXT(ya!$C59,"YYYYMMDD")))</f>
        <v>0</v>
      </c>
      <c r="W59" s="2" cm="1">
        <f t="array" ref="W59">IF(hp!W59=0,0,_xll.BDP(W$4,"YAS_BOND_YLD", "YAS_BOND_PX",hp!W59, "SETTLE_DT", TEXT(ya!$C59,"YYYYMMDD")))</f>
        <v>0</v>
      </c>
      <c r="X59" s="2" cm="1">
        <f t="array" ref="X59">IF(hp!X59=0,0,_xll.BDP(X$4,"YAS_BOND_YLD", "YAS_BOND_PX",hp!X59, "SETTLE_DT", TEXT(ya!$C59,"YYYYMMDD")))</f>
        <v>0</v>
      </c>
      <c r="Y59" s="2" cm="1">
        <f t="array" ref="Y59">IF(hp!Y59=0,0,_xll.BDP(Y$4,"YAS_BOND_YLD", "YAS_BOND_PX",hp!Y59, "SETTLE_DT", TEXT(ya!$C59,"YYYYMMDD")))</f>
        <v>0</v>
      </c>
      <c r="Z59" s="2" cm="1">
        <f t="array" ref="Z59">IF(hp!Z59=0,0,_xll.BDP(Z$4,"YAS_BOND_YLD", "YAS_BOND_PX",hp!Z59, "SETTLE_DT", TEXT(ya!$C59,"YYYYMMDD")))</f>
        <v>0</v>
      </c>
      <c r="AA59" s="2" cm="1">
        <f t="array" ref="AA59">IF(hp!AA59=0,0,_xll.BDP(AA$4,"YAS_BOND_YLD", "YAS_BOND_PX",hp!AA59, "SETTLE_DT", TEXT(ya!$C59,"YYYYMMDD")))</f>
        <v>0</v>
      </c>
      <c r="AB59" s="2" cm="1">
        <f t="array" ref="AB59">IF(hp!AB59=0,0,_xll.BDP(AB$4,"YAS_BOND_YLD", "YAS_BOND_PX",hp!AB59, "SETTLE_DT", TEXT(ya!$C59,"YYYYMMDD")))</f>
        <v>0</v>
      </c>
      <c r="AC59" s="2" cm="1">
        <f t="array" ref="AC59">IF(hp!AC59=0,0,_xll.BDP(AC$4,"YAS_BOND_YLD", "YAS_BOND_PX",hp!AC59, "SETTLE_DT", TEXT(ya!$C59,"YYYYMMDD")))</f>
        <v>0</v>
      </c>
      <c r="AD59" s="2" cm="1">
        <f t="array" ref="AD59">IF(hp!AD59=0,0,_xll.BDP(AD$4,"YAS_BOND_YLD", "YAS_BOND_PX",hp!AD59, "SETTLE_DT", TEXT(ya!$C59,"YYYYMMDD")))</f>
        <v>3.7805999999999997</v>
      </c>
      <c r="AE59" s="2" cm="1">
        <f t="array" ref="AE59">IF(hp!AE59=0,0,_xll.BDP(AE$4,"YAS_BOND_YLD", "YAS_BOND_PX",hp!AE59, "SETTLE_DT", TEXT(ya!$C59,"YYYYMMDD")))</f>
        <v>0</v>
      </c>
      <c r="AF59" s="2" cm="1">
        <f t="array" ref="AF59">IF(hp!AF59=0,0,_xll.BDP(AF$4,"YAS_BOND_YLD", "YAS_BOND_PX",hp!AF59, "SETTLE_DT", TEXT(ya!$C59,"YYYYMMDD")))</f>
        <v>0</v>
      </c>
      <c r="AG59" s="2" cm="1">
        <f t="array" ref="AG59">IF(hp!AG59=0,0,_xll.BDP(AG$4,"YAS_BOND_YLD", "YAS_BOND_PX",hp!AG59, "SETTLE_DT", TEXT(ya!$C59,"YYYYMMDD")))</f>
        <v>0</v>
      </c>
      <c r="AH59" s="2" cm="1">
        <f t="array" ref="AH59">IF(hp!AH59=0,0,_xll.BDP(AH$4,"YAS_BOND_YLD", "YAS_BOND_PX",hp!AH59, "SETTLE_DT", TEXT(ya!$C59,"YYYYMMDD")))</f>
        <v>0</v>
      </c>
      <c r="AI59" s="2" cm="1">
        <f t="array" ref="AI59">IF(hp!AI59=0,0,_xll.BDP(AI$4,"YAS_BOND_YLD", "YAS_BOND_PX",hp!AI59, "SETTLE_DT", TEXT(ya!$C59,"YYYYMMDD")))</f>
        <v>0</v>
      </c>
      <c r="AJ59" s="2" cm="1">
        <f t="array" ref="AJ59">IF(hp!AJ59=0,0,_xll.BDP(AJ$4,"YAS_BOND_YLD", "YAS_BOND_PX",hp!AJ59, "SETTLE_DT", TEXT(ya!$C59,"YYYYMMDD")))</f>
        <v>0</v>
      </c>
      <c r="AK59" s="2" cm="1">
        <f t="array" ref="AK59">IF(hp!AK59=0,0,_xll.BDP(AK$4,"YAS_BOND_YLD", "YAS_BOND_PX",hp!AK59, "SETTLE_DT", TEXT(ya!$C59,"YYYYMMDD")))</f>
        <v>0</v>
      </c>
      <c r="AL59" s="2" cm="1">
        <f t="array" ref="AL59">IF(hp!AL59=0,0,_xll.BDP(AL$4,"YAS_BOND_YLD", "YAS_BOND_PX",hp!AL59, "SETTLE_DT", TEXT(ya!$C59,"YYYYMMDD")))</f>
        <v>0</v>
      </c>
      <c r="AM59" s="2" cm="1">
        <f t="array" ref="AM59">IF(hp!AM59=0,0,_xll.BDP(AM$4,"YAS_BOND_YLD", "YAS_BOND_PX",hp!AM59, "SETTLE_DT", TEXT(ya!$C59,"YYYYMMDD")))</f>
        <v>0</v>
      </c>
      <c r="AN59" s="2" cm="1">
        <f t="array" ref="AN59">IF(hp!AN59=0,0,_xll.BDP(AN$4,"YAS_BOND_YLD", "YAS_BOND_PX",hp!AN59, "SETTLE_DT", TEXT(ya!$C59,"YYYYMMDD")))</f>
        <v>0</v>
      </c>
      <c r="AO59" s="2" cm="1">
        <f t="array" ref="AO59">IF(hp!AO59=0,0,_xll.BDP(AO$4,"YAS_BOND_YLD", "YAS_BOND_PX",hp!AO59, "SETTLE_DT", TEXT(ya!$C59,"YYYYMMDD")))</f>
        <v>0</v>
      </c>
      <c r="AP59" s="2" cm="1">
        <f t="array" ref="AP59">IF(hp!AP59=0,0,_xll.BDP(AP$4,"YAS_BOND_YLD", "YAS_BOND_PX",hp!AP59, "SETTLE_DT", TEXT(ya!$C59,"YYYYMMDD")))</f>
        <v>0</v>
      </c>
      <c r="AQ59" s="2" cm="1">
        <f t="array" ref="AQ59">IF(hp!AQ59=0,0,_xll.BDP(AQ$4,"YAS_BOND_YLD", "YAS_BOND_PX",hp!AQ59, "SETTLE_DT", TEXT(ya!$C59,"YYYYMMDD")))</f>
        <v>0</v>
      </c>
      <c r="AR59" s="2" cm="1">
        <f t="array" ref="AR59">IF(hp!AR59=0,0,_xll.BDP(AR$4,"YAS_BOND_YLD", "YAS_BOND_PX",hp!AR59, "SETTLE_DT", TEXT(ya!$C59,"YYYYMMDD")))</f>
        <v>2.9260999999999999</v>
      </c>
      <c r="AS59" s="2" cm="1">
        <f t="array" ref="AS59">IF(hp!AS59=0,0,_xll.BDP(AS$4,"YAS_BOND_YLD", "YAS_BOND_PX",hp!AS59, "SETTLE_DT", TEXT(ya!$C59,"YYYYMMDD")))</f>
        <v>0</v>
      </c>
      <c r="AT59" s="2" cm="1">
        <f t="array" ref="AT59">IF(hp!AT59=0,0,_xll.BDP(AT$4,"YAS_BOND_YLD", "YAS_BOND_PX",hp!AT59, "SETTLE_DT", TEXT(ya!$C59,"YYYYMMDD")))</f>
        <v>0</v>
      </c>
      <c r="AU59" s="2" cm="1">
        <f t="array" ref="AU59">IF(hp!AU59=0,0,_xll.BDP(AU$4,"YAS_BOND_YLD", "YAS_BOND_PX",hp!AU59, "SETTLE_DT", TEXT(ya!$C59,"YYYYMMDD")))</f>
        <v>0</v>
      </c>
      <c r="AV59" s="2" cm="1">
        <f t="array" ref="AV59">IF(hp!AV59=0,0,_xll.BDP(AV$4,"YAS_BOND_YLD", "YAS_BOND_PX",hp!AV59, "SETTLE_DT", TEXT(ya!$C59,"YYYYMMDD")))</f>
        <v>0</v>
      </c>
      <c r="AW59" s="2" cm="1">
        <f t="array" ref="AW59">IF(hp!AW59=0,0,_xll.BDP(AW$4,"YAS_BOND_YLD", "YAS_BOND_PX",hp!AW59, "SETTLE_DT", TEXT(ya!$C59,"YYYYMMDD")))</f>
        <v>0</v>
      </c>
      <c r="AX59" s="2" cm="1">
        <f t="array" ref="AX59">IF(hp!AX59=0,0,_xll.BDP(AX$4,"YAS_BOND_YLD", "YAS_BOND_PX",hp!AX59, "SETTLE_DT", TEXT(ya!$C59,"YYYYMMDD")))</f>
        <v>0</v>
      </c>
      <c r="AY59" s="2" cm="1">
        <f t="array" ref="AY59">IF(hp!AY59=0,0,_xll.BDP(AY$4,"YAS_BOND_YLD", "YAS_BOND_PX",hp!AY59, "SETTLE_DT", TEXT(ya!$C59,"YYYYMMDD")))</f>
        <v>0</v>
      </c>
      <c r="AZ59" s="2" cm="1">
        <f t="array" ref="AZ59">IF(hp!AZ59=0,0,_xll.BDP(AZ$4,"YAS_BOND_YLD", "YAS_BOND_PX",hp!AZ59, "SETTLE_DT", TEXT(ya!$C59,"YYYYMMDD")))</f>
        <v>0</v>
      </c>
    </row>
    <row r="60" spans="1:52" x14ac:dyDescent="0.25">
      <c r="A60" s="1"/>
      <c r="B60" s="2"/>
      <c r="C60" s="1">
        <v>43738</v>
      </c>
      <c r="D60" s="2" cm="1">
        <f t="array" ref="D60">IF(hp!D60=0,0,_xll.BDP(D$4,"YAS_BOND_YLD", "YAS_BOND_PX",hp!D60, "SETTLE_DT", TEXT(ya!$C60,"YYYYMMDD")))</f>
        <v>0</v>
      </c>
      <c r="E60" s="2" cm="1">
        <f t="array" ref="E60">IF(hp!E60=0,0,_xll.BDP(E$4,"YAS_BOND_YLD", "YAS_BOND_PX",hp!E60, "SETTLE_DT", TEXT(ya!$C60,"YYYYMMDD")))</f>
        <v>0</v>
      </c>
      <c r="F60" s="2" cm="1">
        <f t="array" ref="F60">IF(hp!F60=0,0,_xll.BDP(F$4,"YAS_BOND_YLD", "YAS_BOND_PX",hp!F60, "SETTLE_DT", TEXT(ya!$C60,"YYYYMMDD")))</f>
        <v>6.8149999999999995</v>
      </c>
      <c r="G60" s="2" cm="1">
        <f t="array" ref="G60">IF(hp!G60=0,0,_xll.BDP(G$4,"YAS_BOND_YLD", "YAS_BOND_PX",hp!G60, "SETTLE_DT", TEXT(ya!$C60,"YYYYMMDD")))</f>
        <v>3.3081999999999998</v>
      </c>
      <c r="H60" s="2" cm="1">
        <f t="array" ref="H60">IF(hp!H60=0,0,_xll.BDP(H$4,"YAS_BOND_YLD", "YAS_BOND_PX",hp!H60, "SETTLE_DT", TEXT(ya!$C60,"YYYYMMDD")))</f>
        <v>7.0361000000000002</v>
      </c>
      <c r="I60" s="2" cm="1">
        <f t="array" ref="I60">IF(hp!I60=0,0,_xll.BDP(I$4,"YAS_BOND_YLD", "YAS_BOND_PX",hp!I60, "SETTLE_DT", TEXT(ya!$C60,"YYYYMMDD")))</f>
        <v>0</v>
      </c>
      <c r="J60" s="2" cm="1">
        <f t="array" ref="J60">IF(hp!J60=0,0,_xll.BDP(J$4,"YAS_BOND_YLD", "YAS_BOND_PX",hp!J60, "SETTLE_DT", TEXT(ya!$C60,"YYYYMMDD")))</f>
        <v>3.5571000000000002</v>
      </c>
      <c r="K60" s="2" cm="1">
        <f t="array" ref="K60">IF(hp!K60=0,0,_xll.BDP(K$4,"YAS_BOND_YLD", "YAS_BOND_PX",hp!K60, "SETTLE_DT", TEXT(ya!$C60,"YYYYMMDD")))</f>
        <v>0</v>
      </c>
      <c r="L60" s="2" cm="1">
        <f t="array" ref="L60">IF(hp!L60=0,0,_xll.BDP(L$4,"YAS_BOND_YLD", "YAS_BOND_PX",hp!L60, "SETTLE_DT", TEXT(ya!$C60,"YYYYMMDD")))</f>
        <v>3.0632999999999999</v>
      </c>
      <c r="M60" s="2" cm="1">
        <f t="array" ref="M60">IF(hp!M60=0,0,_xll.BDP(M$4,"YAS_BOND_YLD", "YAS_BOND_PX",hp!M60, "SETTLE_DT", TEXT(ya!$C60,"YYYYMMDD")))</f>
        <v>2.9946999999999999</v>
      </c>
      <c r="N60" s="2" cm="1">
        <f t="array" ref="N60">IF(hp!N60=0,0,_xll.BDP(N$4,"YAS_BOND_YLD", "YAS_BOND_PX",hp!N60, "SETTLE_DT", TEXT(ya!$C60,"YYYYMMDD")))</f>
        <v>2.7902</v>
      </c>
      <c r="O60" s="2" cm="1">
        <f t="array" ref="O60">IF(hp!O60=0,0,_xll.BDP(O$4,"YAS_BOND_YLD", "YAS_BOND_PX",hp!O60, "SETTLE_DT", TEXT(ya!$C60,"YYYYMMDD")))</f>
        <v>0</v>
      </c>
      <c r="P60" s="2" cm="1">
        <f t="array" ref="P60">IF(hp!P60=0,0,_xll.BDP(P$4,"YAS_BOND_YLD", "YAS_BOND_PX",hp!P60, "SETTLE_DT", TEXT(ya!$C60,"YYYYMMDD")))</f>
        <v>0</v>
      </c>
      <c r="Q60" s="2" cm="1">
        <f t="array" ref="Q60">IF(hp!Q60=0,0,_xll.BDP(Q$4,"YAS_BOND_YLD", "YAS_BOND_PX",hp!Q60, "SETTLE_DT", TEXT(ya!$C60,"YYYYMMDD")))</f>
        <v>3.5560999999999998</v>
      </c>
      <c r="R60" s="2" cm="1">
        <f t="array" ref="R60">IF(hp!R60=0,0,_xll.BDP(R$4,"YAS_BOND_YLD", "YAS_BOND_PX",hp!R60, "SETTLE_DT", TEXT(ya!$C60,"YYYYMMDD")))</f>
        <v>0</v>
      </c>
      <c r="S60" s="2" cm="1">
        <f t="array" ref="S60">IF(hp!S60=0,0,_xll.BDP(S$4,"YAS_BOND_YLD", "YAS_BOND_PX",hp!S60, "SETTLE_DT", TEXT(ya!$C60,"YYYYMMDD")))</f>
        <v>0</v>
      </c>
      <c r="T60" s="2" cm="1">
        <f t="array" ref="T60">IF(hp!T60=0,0,_xll.BDP(T$4,"YAS_BOND_YLD", "YAS_BOND_PX",hp!T60, "SETTLE_DT", TEXT(ya!$C60,"YYYYMMDD")))</f>
        <v>0</v>
      </c>
      <c r="U60" s="2" cm="1">
        <f t="array" ref="U60">IF(hp!U60=0,0,_xll.BDP(U$4,"YAS_BOND_YLD", "YAS_BOND_PX",hp!U60, "SETTLE_DT", TEXT(ya!$C60,"YYYYMMDD")))</f>
        <v>3.4344000000000001</v>
      </c>
      <c r="V60" s="2" cm="1">
        <f t="array" ref="V60">IF(hp!V60=0,0,_xll.BDP(V$4,"YAS_BOND_YLD", "YAS_BOND_PX",hp!V60, "SETTLE_DT", TEXT(ya!$C60,"YYYYMMDD")))</f>
        <v>0</v>
      </c>
      <c r="W60" s="2" cm="1">
        <f t="array" ref="W60">IF(hp!W60=0,0,_xll.BDP(W$4,"YAS_BOND_YLD", "YAS_BOND_PX",hp!W60, "SETTLE_DT", TEXT(ya!$C60,"YYYYMMDD")))</f>
        <v>0</v>
      </c>
      <c r="X60" s="2" cm="1">
        <f t="array" ref="X60">IF(hp!X60=0,0,_xll.BDP(X$4,"YAS_BOND_YLD", "YAS_BOND_PX",hp!X60, "SETTLE_DT", TEXT(ya!$C60,"YYYYMMDD")))</f>
        <v>0</v>
      </c>
      <c r="Y60" s="2" cm="1">
        <f t="array" ref="Y60">IF(hp!Y60=0,0,_xll.BDP(Y$4,"YAS_BOND_YLD", "YAS_BOND_PX",hp!Y60, "SETTLE_DT", TEXT(ya!$C60,"YYYYMMDD")))</f>
        <v>0</v>
      </c>
      <c r="Z60" s="2" cm="1">
        <f t="array" ref="Z60">IF(hp!Z60=0,0,_xll.BDP(Z$4,"YAS_BOND_YLD", "YAS_BOND_PX",hp!Z60, "SETTLE_DT", TEXT(ya!$C60,"YYYYMMDD")))</f>
        <v>0</v>
      </c>
      <c r="AA60" s="2" cm="1">
        <f t="array" ref="AA60">IF(hp!AA60=0,0,_xll.BDP(AA$4,"YAS_BOND_YLD", "YAS_BOND_PX",hp!AA60, "SETTLE_DT", TEXT(ya!$C60,"YYYYMMDD")))</f>
        <v>0</v>
      </c>
      <c r="AB60" s="2" cm="1">
        <f t="array" ref="AB60">IF(hp!AB60=0,0,_xll.BDP(AB$4,"YAS_BOND_YLD", "YAS_BOND_PX",hp!AB60, "SETTLE_DT", TEXT(ya!$C60,"YYYYMMDD")))</f>
        <v>0</v>
      </c>
      <c r="AC60" s="2" cm="1">
        <f t="array" ref="AC60">IF(hp!AC60=0,0,_xll.BDP(AC$4,"YAS_BOND_YLD", "YAS_BOND_PX",hp!AC60, "SETTLE_DT", TEXT(ya!$C60,"YYYYMMDD")))</f>
        <v>0</v>
      </c>
      <c r="AD60" s="2" cm="1">
        <f t="array" ref="AD60">IF(hp!AD60=0,0,_xll.BDP(AD$4,"YAS_BOND_YLD", "YAS_BOND_PX",hp!AD60, "SETTLE_DT", TEXT(ya!$C60,"YYYYMMDD")))</f>
        <v>3.5472000000000001</v>
      </c>
      <c r="AE60" s="2" cm="1">
        <f t="array" ref="AE60">IF(hp!AE60=0,0,_xll.BDP(AE$4,"YAS_BOND_YLD", "YAS_BOND_PX",hp!AE60, "SETTLE_DT", TEXT(ya!$C60,"YYYYMMDD")))</f>
        <v>0</v>
      </c>
      <c r="AF60" s="2" cm="1">
        <f t="array" ref="AF60">IF(hp!AF60=0,0,_xll.BDP(AF$4,"YAS_BOND_YLD", "YAS_BOND_PX",hp!AF60, "SETTLE_DT", TEXT(ya!$C60,"YYYYMMDD")))</f>
        <v>0</v>
      </c>
      <c r="AG60" s="2" cm="1">
        <f t="array" ref="AG60">IF(hp!AG60=0,0,_xll.BDP(AG$4,"YAS_BOND_YLD", "YAS_BOND_PX",hp!AG60, "SETTLE_DT", TEXT(ya!$C60,"YYYYMMDD")))</f>
        <v>0</v>
      </c>
      <c r="AH60" s="2" cm="1">
        <f t="array" ref="AH60">IF(hp!AH60=0,0,_xll.BDP(AH$4,"YAS_BOND_YLD", "YAS_BOND_PX",hp!AH60, "SETTLE_DT", TEXT(ya!$C60,"YYYYMMDD")))</f>
        <v>0</v>
      </c>
      <c r="AI60" s="2" cm="1">
        <f t="array" ref="AI60">IF(hp!AI60=0,0,_xll.BDP(AI$4,"YAS_BOND_YLD", "YAS_BOND_PX",hp!AI60, "SETTLE_DT", TEXT(ya!$C60,"YYYYMMDD")))</f>
        <v>0</v>
      </c>
      <c r="AJ60" s="2" cm="1">
        <f t="array" ref="AJ60">IF(hp!AJ60=0,0,_xll.BDP(AJ$4,"YAS_BOND_YLD", "YAS_BOND_PX",hp!AJ60, "SETTLE_DT", TEXT(ya!$C60,"YYYYMMDD")))</f>
        <v>0</v>
      </c>
      <c r="AK60" s="2" cm="1">
        <f t="array" ref="AK60">IF(hp!AK60=0,0,_xll.BDP(AK$4,"YAS_BOND_YLD", "YAS_BOND_PX",hp!AK60, "SETTLE_DT", TEXT(ya!$C60,"YYYYMMDD")))</f>
        <v>0</v>
      </c>
      <c r="AL60" s="2" cm="1">
        <f t="array" ref="AL60">IF(hp!AL60=0,0,_xll.BDP(AL$4,"YAS_BOND_YLD", "YAS_BOND_PX",hp!AL60, "SETTLE_DT", TEXT(ya!$C60,"YYYYMMDD")))</f>
        <v>0</v>
      </c>
      <c r="AM60" s="2" cm="1">
        <f t="array" ref="AM60">IF(hp!AM60=0,0,_xll.BDP(AM$4,"YAS_BOND_YLD", "YAS_BOND_PX",hp!AM60, "SETTLE_DT", TEXT(ya!$C60,"YYYYMMDD")))</f>
        <v>0</v>
      </c>
      <c r="AN60" s="2" cm="1">
        <f t="array" ref="AN60">IF(hp!AN60=0,0,_xll.BDP(AN$4,"YAS_BOND_YLD", "YAS_BOND_PX",hp!AN60, "SETTLE_DT", TEXT(ya!$C60,"YYYYMMDD")))</f>
        <v>0</v>
      </c>
      <c r="AO60" s="2" cm="1">
        <f t="array" ref="AO60">IF(hp!AO60=0,0,_xll.BDP(AO$4,"YAS_BOND_YLD", "YAS_BOND_PX",hp!AO60, "SETTLE_DT", TEXT(ya!$C60,"YYYYMMDD")))</f>
        <v>0</v>
      </c>
      <c r="AP60" s="2" cm="1">
        <f t="array" ref="AP60">IF(hp!AP60=0,0,_xll.BDP(AP$4,"YAS_BOND_YLD", "YAS_BOND_PX",hp!AP60, "SETTLE_DT", TEXT(ya!$C60,"YYYYMMDD")))</f>
        <v>0</v>
      </c>
      <c r="AQ60" s="2" cm="1">
        <f t="array" ref="AQ60">IF(hp!AQ60=0,0,_xll.BDP(AQ$4,"YAS_BOND_YLD", "YAS_BOND_PX",hp!AQ60, "SETTLE_DT", TEXT(ya!$C60,"YYYYMMDD")))</f>
        <v>0</v>
      </c>
      <c r="AR60" s="2" cm="1">
        <f t="array" ref="AR60">IF(hp!AR60=0,0,_xll.BDP(AR$4,"YAS_BOND_YLD", "YAS_BOND_PX",hp!AR60, "SETTLE_DT", TEXT(ya!$C60,"YYYYMMDD")))</f>
        <v>2.6560000000000001</v>
      </c>
      <c r="AS60" s="2" cm="1">
        <f t="array" ref="AS60">IF(hp!AS60=0,0,_xll.BDP(AS$4,"YAS_BOND_YLD", "YAS_BOND_PX",hp!AS60, "SETTLE_DT", TEXT(ya!$C60,"YYYYMMDD")))</f>
        <v>0</v>
      </c>
      <c r="AT60" s="2" cm="1">
        <f t="array" ref="AT60">IF(hp!AT60=0,0,_xll.BDP(AT$4,"YAS_BOND_YLD", "YAS_BOND_PX",hp!AT60, "SETTLE_DT", TEXT(ya!$C60,"YYYYMMDD")))</f>
        <v>0</v>
      </c>
      <c r="AU60" s="2" cm="1">
        <f t="array" ref="AU60">IF(hp!AU60=0,0,_xll.BDP(AU$4,"YAS_BOND_YLD", "YAS_BOND_PX",hp!AU60, "SETTLE_DT", TEXT(ya!$C60,"YYYYMMDD")))</f>
        <v>0</v>
      </c>
      <c r="AV60" s="2" cm="1">
        <f t="array" ref="AV60">IF(hp!AV60=0,0,_xll.BDP(AV$4,"YAS_BOND_YLD", "YAS_BOND_PX",hp!AV60, "SETTLE_DT", TEXT(ya!$C60,"YYYYMMDD")))</f>
        <v>0</v>
      </c>
      <c r="AW60" s="2" cm="1">
        <f t="array" ref="AW60">IF(hp!AW60=0,0,_xll.BDP(AW$4,"YAS_BOND_YLD", "YAS_BOND_PX",hp!AW60, "SETTLE_DT", TEXT(ya!$C60,"YYYYMMDD")))</f>
        <v>0</v>
      </c>
      <c r="AX60" s="2" cm="1">
        <f t="array" ref="AX60">IF(hp!AX60=0,0,_xll.BDP(AX$4,"YAS_BOND_YLD", "YAS_BOND_PX",hp!AX60, "SETTLE_DT", TEXT(ya!$C60,"YYYYMMDD")))</f>
        <v>0</v>
      </c>
      <c r="AY60" s="2" cm="1">
        <f t="array" ref="AY60">IF(hp!AY60=0,0,_xll.BDP(AY$4,"YAS_BOND_YLD", "YAS_BOND_PX",hp!AY60, "SETTLE_DT", TEXT(ya!$C60,"YYYYMMDD")))</f>
        <v>0</v>
      </c>
      <c r="AZ60" s="2" cm="1">
        <f t="array" ref="AZ60">IF(hp!AZ60=0,0,_xll.BDP(AZ$4,"YAS_BOND_YLD", "YAS_BOND_PX",hp!AZ60, "SETTLE_DT", TEXT(ya!$C60,"YYYYMMDD")))</f>
        <v>0</v>
      </c>
    </row>
    <row r="61" spans="1:52" x14ac:dyDescent="0.25">
      <c r="A61" s="1"/>
      <c r="B61" s="2"/>
      <c r="C61" s="1">
        <v>43769</v>
      </c>
      <c r="D61" s="2" cm="1">
        <f t="array" ref="D61">IF(hp!D61=0,0,_xll.BDP(D$4,"YAS_BOND_YLD", "YAS_BOND_PX",hp!D61, "SETTLE_DT", TEXT(ya!$C61,"YYYYMMDD")))</f>
        <v>0</v>
      </c>
      <c r="E61" s="2" cm="1">
        <f t="array" ref="E61">IF(hp!E61=0,0,_xll.BDP(E$4,"YAS_BOND_YLD", "YAS_BOND_PX",hp!E61, "SETTLE_DT", TEXT(ya!$C61,"YYYYMMDD")))</f>
        <v>0</v>
      </c>
      <c r="F61" s="2" cm="1">
        <f t="array" ref="F61">IF(hp!F61=0,0,_xll.BDP(F$4,"YAS_BOND_YLD", "YAS_BOND_PX",hp!F61, "SETTLE_DT", TEXT(ya!$C61,"YYYYMMDD")))</f>
        <v>6.2393000000000001</v>
      </c>
      <c r="G61" s="2" cm="1">
        <f t="array" ref="G61">IF(hp!G61=0,0,_xll.BDP(G$4,"YAS_BOND_YLD", "YAS_BOND_PX",hp!G61, "SETTLE_DT", TEXT(ya!$C61,"YYYYMMDD")))</f>
        <v>2.8702999999999999</v>
      </c>
      <c r="H61" s="2" cm="1">
        <f t="array" ref="H61">IF(hp!H61=0,0,_xll.BDP(H$4,"YAS_BOND_YLD", "YAS_BOND_PX",hp!H61, "SETTLE_DT", TEXT(ya!$C61,"YYYYMMDD")))</f>
        <v>6.4611000000000001</v>
      </c>
      <c r="I61" s="2" cm="1">
        <f t="array" ref="I61">IF(hp!I61=0,0,_xll.BDP(I$4,"YAS_BOND_YLD", "YAS_BOND_PX",hp!I61, "SETTLE_DT", TEXT(ya!$C61,"YYYYMMDD")))</f>
        <v>0</v>
      </c>
      <c r="J61" s="2" cm="1">
        <f t="array" ref="J61">IF(hp!J61=0,0,_xll.BDP(J$4,"YAS_BOND_YLD", "YAS_BOND_PX",hp!J61, "SETTLE_DT", TEXT(ya!$C61,"YYYYMMDD")))</f>
        <v>3.2652000000000001</v>
      </c>
      <c r="K61" s="2" cm="1">
        <f t="array" ref="K61">IF(hp!K61=0,0,_xll.BDP(K$4,"YAS_BOND_YLD", "YAS_BOND_PX",hp!K61, "SETTLE_DT", TEXT(ya!$C61,"YYYYMMDD")))</f>
        <v>0</v>
      </c>
      <c r="L61" s="2" cm="1">
        <f t="array" ref="L61">IF(hp!L61=0,0,_xll.BDP(L$4,"YAS_BOND_YLD", "YAS_BOND_PX",hp!L61, "SETTLE_DT", TEXT(ya!$C61,"YYYYMMDD")))</f>
        <v>2.6898</v>
      </c>
      <c r="M61" s="2" cm="1">
        <f t="array" ref="M61">IF(hp!M61=0,0,_xll.BDP(M$4,"YAS_BOND_YLD", "YAS_BOND_PX",hp!M61, "SETTLE_DT", TEXT(ya!$C61,"YYYYMMDD")))</f>
        <v>2.5920000000000001</v>
      </c>
      <c r="N61" s="2" cm="1">
        <f t="array" ref="N61">IF(hp!N61=0,0,_xll.BDP(N$4,"YAS_BOND_YLD", "YAS_BOND_PX",hp!N61, "SETTLE_DT", TEXT(ya!$C61,"YYYYMMDD")))</f>
        <v>2.3694000000000002</v>
      </c>
      <c r="O61" s="2" cm="1">
        <f t="array" ref="O61">IF(hp!O61=0,0,_xll.BDP(O$4,"YAS_BOND_YLD", "YAS_BOND_PX",hp!O61, "SETTLE_DT", TEXT(ya!$C61,"YYYYMMDD")))</f>
        <v>0</v>
      </c>
      <c r="P61" s="2" cm="1">
        <f t="array" ref="P61">IF(hp!P61=0,0,_xll.BDP(P$4,"YAS_BOND_YLD", "YAS_BOND_PX",hp!P61, "SETTLE_DT", TEXT(ya!$C61,"YYYYMMDD")))</f>
        <v>0</v>
      </c>
      <c r="Q61" s="2" cm="1">
        <f t="array" ref="Q61">IF(hp!Q61=0,0,_xll.BDP(Q$4,"YAS_BOND_YLD", "YAS_BOND_PX",hp!Q61, "SETTLE_DT", TEXT(ya!$C61,"YYYYMMDD")))</f>
        <v>3.2717000000000001</v>
      </c>
      <c r="R61" s="2" cm="1">
        <f t="array" ref="R61">IF(hp!R61=0,0,_xll.BDP(R$4,"YAS_BOND_YLD", "YAS_BOND_PX",hp!R61, "SETTLE_DT", TEXT(ya!$C61,"YYYYMMDD")))</f>
        <v>0</v>
      </c>
      <c r="S61" s="2" cm="1">
        <f t="array" ref="S61">IF(hp!S61=0,0,_xll.BDP(S$4,"YAS_BOND_YLD", "YAS_BOND_PX",hp!S61, "SETTLE_DT", TEXT(ya!$C61,"YYYYMMDD")))</f>
        <v>0</v>
      </c>
      <c r="T61" s="2" cm="1">
        <f t="array" ref="T61">IF(hp!T61=0,0,_xll.BDP(T$4,"YAS_BOND_YLD", "YAS_BOND_PX",hp!T61, "SETTLE_DT", TEXT(ya!$C61,"YYYYMMDD")))</f>
        <v>0</v>
      </c>
      <c r="U61" s="2" cm="1">
        <f t="array" ref="U61">IF(hp!U61=0,0,_xll.BDP(U$4,"YAS_BOND_YLD", "YAS_BOND_PX",hp!U61, "SETTLE_DT", TEXT(ya!$C61,"YYYYMMDD")))</f>
        <v>3.1364000000000001</v>
      </c>
      <c r="V61" s="2" cm="1">
        <f t="array" ref="V61">IF(hp!V61=0,0,_xll.BDP(V$4,"YAS_BOND_YLD", "YAS_BOND_PX",hp!V61, "SETTLE_DT", TEXT(ya!$C61,"YYYYMMDD")))</f>
        <v>0</v>
      </c>
      <c r="W61" s="2" cm="1">
        <f t="array" ref="W61">IF(hp!W61=0,0,_xll.BDP(W$4,"YAS_BOND_YLD", "YAS_BOND_PX",hp!W61, "SETTLE_DT", TEXT(ya!$C61,"YYYYMMDD")))</f>
        <v>0</v>
      </c>
      <c r="X61" s="2" cm="1">
        <f t="array" ref="X61">IF(hp!X61=0,0,_xll.BDP(X$4,"YAS_BOND_YLD", "YAS_BOND_PX",hp!X61, "SETTLE_DT", TEXT(ya!$C61,"YYYYMMDD")))</f>
        <v>0</v>
      </c>
      <c r="Y61" s="2" cm="1">
        <f t="array" ref="Y61">IF(hp!Y61=0,0,_xll.BDP(Y$4,"YAS_BOND_YLD", "YAS_BOND_PX",hp!Y61, "SETTLE_DT", TEXT(ya!$C61,"YYYYMMDD")))</f>
        <v>0</v>
      </c>
      <c r="Z61" s="2" cm="1">
        <f t="array" ref="Z61">IF(hp!Z61=0,0,_xll.BDP(Z$4,"YAS_BOND_YLD", "YAS_BOND_PX",hp!Z61, "SETTLE_DT", TEXT(ya!$C61,"YYYYMMDD")))</f>
        <v>0</v>
      </c>
      <c r="AA61" s="2" cm="1">
        <f t="array" ref="AA61">IF(hp!AA61=0,0,_xll.BDP(AA$4,"YAS_BOND_YLD", "YAS_BOND_PX",hp!AA61, "SETTLE_DT", TEXT(ya!$C61,"YYYYMMDD")))</f>
        <v>0</v>
      </c>
      <c r="AB61" s="2" cm="1">
        <f t="array" ref="AB61">IF(hp!AB61=0,0,_xll.BDP(AB$4,"YAS_BOND_YLD", "YAS_BOND_PX",hp!AB61, "SETTLE_DT", TEXT(ya!$C61,"YYYYMMDD")))</f>
        <v>0</v>
      </c>
      <c r="AC61" s="2" cm="1">
        <f t="array" ref="AC61">IF(hp!AC61=0,0,_xll.BDP(AC$4,"YAS_BOND_YLD", "YAS_BOND_PX",hp!AC61, "SETTLE_DT", TEXT(ya!$C61,"YYYYMMDD")))</f>
        <v>0</v>
      </c>
      <c r="AD61" s="2" cm="1">
        <f t="array" ref="AD61">IF(hp!AD61=0,0,_xll.BDP(AD$4,"YAS_BOND_YLD", "YAS_BOND_PX",hp!AD61, "SETTLE_DT", TEXT(ya!$C61,"YYYYMMDD")))</f>
        <v>3.2553000000000001</v>
      </c>
      <c r="AE61" s="2" cm="1">
        <f t="array" ref="AE61">IF(hp!AE61=0,0,_xll.BDP(AE$4,"YAS_BOND_YLD", "YAS_BOND_PX",hp!AE61, "SETTLE_DT", TEXT(ya!$C61,"YYYYMMDD")))</f>
        <v>0</v>
      </c>
      <c r="AF61" s="2" cm="1">
        <f t="array" ref="AF61">IF(hp!AF61=0,0,_xll.BDP(AF$4,"YAS_BOND_YLD", "YAS_BOND_PX",hp!AF61, "SETTLE_DT", TEXT(ya!$C61,"YYYYMMDD")))</f>
        <v>0</v>
      </c>
      <c r="AG61" s="2" cm="1">
        <f t="array" ref="AG61">IF(hp!AG61=0,0,_xll.BDP(AG$4,"YAS_BOND_YLD", "YAS_BOND_PX",hp!AG61, "SETTLE_DT", TEXT(ya!$C61,"YYYYMMDD")))</f>
        <v>0</v>
      </c>
      <c r="AH61" s="2" cm="1">
        <f t="array" ref="AH61">IF(hp!AH61=0,0,_xll.BDP(AH$4,"YAS_BOND_YLD", "YAS_BOND_PX",hp!AH61, "SETTLE_DT", TEXT(ya!$C61,"YYYYMMDD")))</f>
        <v>0</v>
      </c>
      <c r="AI61" s="2" cm="1">
        <f t="array" ref="AI61">IF(hp!AI61=0,0,_xll.BDP(AI$4,"YAS_BOND_YLD", "YAS_BOND_PX",hp!AI61, "SETTLE_DT", TEXT(ya!$C61,"YYYYMMDD")))</f>
        <v>0</v>
      </c>
      <c r="AJ61" s="2" cm="1">
        <f t="array" ref="AJ61">IF(hp!AJ61=0,0,_xll.BDP(AJ$4,"YAS_BOND_YLD", "YAS_BOND_PX",hp!AJ61, "SETTLE_DT", TEXT(ya!$C61,"YYYYMMDD")))</f>
        <v>0</v>
      </c>
      <c r="AK61" s="2" cm="1">
        <f t="array" ref="AK61">IF(hp!AK61=0,0,_xll.BDP(AK$4,"YAS_BOND_YLD", "YAS_BOND_PX",hp!AK61, "SETTLE_DT", TEXT(ya!$C61,"YYYYMMDD")))</f>
        <v>0</v>
      </c>
      <c r="AL61" s="2" cm="1">
        <f t="array" ref="AL61">IF(hp!AL61=0,0,_xll.BDP(AL$4,"YAS_BOND_YLD", "YAS_BOND_PX",hp!AL61, "SETTLE_DT", TEXT(ya!$C61,"YYYYMMDD")))</f>
        <v>0</v>
      </c>
      <c r="AM61" s="2" cm="1">
        <f t="array" ref="AM61">IF(hp!AM61=0,0,_xll.BDP(AM$4,"YAS_BOND_YLD", "YAS_BOND_PX",hp!AM61, "SETTLE_DT", TEXT(ya!$C61,"YYYYMMDD")))</f>
        <v>0</v>
      </c>
      <c r="AN61" s="2" cm="1">
        <f t="array" ref="AN61">IF(hp!AN61=0,0,_xll.BDP(AN$4,"YAS_BOND_YLD", "YAS_BOND_PX",hp!AN61, "SETTLE_DT", TEXT(ya!$C61,"YYYYMMDD")))</f>
        <v>0</v>
      </c>
      <c r="AO61" s="2" cm="1">
        <f t="array" ref="AO61">IF(hp!AO61=0,0,_xll.BDP(AO$4,"YAS_BOND_YLD", "YAS_BOND_PX",hp!AO61, "SETTLE_DT", TEXT(ya!$C61,"YYYYMMDD")))</f>
        <v>0</v>
      </c>
      <c r="AP61" s="2" cm="1">
        <f t="array" ref="AP61">IF(hp!AP61=0,0,_xll.BDP(AP$4,"YAS_BOND_YLD", "YAS_BOND_PX",hp!AP61, "SETTLE_DT", TEXT(ya!$C61,"YYYYMMDD")))</f>
        <v>0</v>
      </c>
      <c r="AQ61" s="2" cm="1">
        <f t="array" ref="AQ61">IF(hp!AQ61=0,0,_xll.BDP(AQ$4,"YAS_BOND_YLD", "YAS_BOND_PX",hp!AQ61, "SETTLE_DT", TEXT(ya!$C61,"YYYYMMDD")))</f>
        <v>0</v>
      </c>
      <c r="AR61" s="2" cm="1">
        <f t="array" ref="AR61">IF(hp!AR61=0,0,_xll.BDP(AR$4,"YAS_BOND_YLD", "YAS_BOND_PX",hp!AR61, "SETTLE_DT", TEXT(ya!$C61,"YYYYMMDD")))</f>
        <v>2.3077000000000001</v>
      </c>
      <c r="AS61" s="2" cm="1">
        <f t="array" ref="AS61">IF(hp!AS61=0,0,_xll.BDP(AS$4,"YAS_BOND_YLD", "YAS_BOND_PX",hp!AS61, "SETTLE_DT", TEXT(ya!$C61,"YYYYMMDD")))</f>
        <v>0</v>
      </c>
      <c r="AT61" s="2" cm="1">
        <f t="array" ref="AT61">IF(hp!AT61=0,0,_xll.BDP(AT$4,"YAS_BOND_YLD", "YAS_BOND_PX",hp!AT61, "SETTLE_DT", TEXT(ya!$C61,"YYYYMMDD")))</f>
        <v>0</v>
      </c>
      <c r="AU61" s="2" cm="1">
        <f t="array" ref="AU61">IF(hp!AU61=0,0,_xll.BDP(AU$4,"YAS_BOND_YLD", "YAS_BOND_PX",hp!AU61, "SETTLE_DT", TEXT(ya!$C61,"YYYYMMDD")))</f>
        <v>0</v>
      </c>
      <c r="AV61" s="2" cm="1">
        <f t="array" ref="AV61">IF(hp!AV61=0,0,_xll.BDP(AV$4,"YAS_BOND_YLD", "YAS_BOND_PX",hp!AV61, "SETTLE_DT", TEXT(ya!$C61,"YYYYMMDD")))</f>
        <v>0</v>
      </c>
      <c r="AW61" s="2" cm="1">
        <f t="array" ref="AW61">IF(hp!AW61=0,0,_xll.BDP(AW$4,"YAS_BOND_YLD", "YAS_BOND_PX",hp!AW61, "SETTLE_DT", TEXT(ya!$C61,"YYYYMMDD")))</f>
        <v>0</v>
      </c>
      <c r="AX61" s="2" cm="1">
        <f t="array" ref="AX61">IF(hp!AX61=0,0,_xll.BDP(AX$4,"YAS_BOND_YLD", "YAS_BOND_PX",hp!AX61, "SETTLE_DT", TEXT(ya!$C61,"YYYYMMDD")))</f>
        <v>0</v>
      </c>
      <c r="AY61" s="2" cm="1">
        <f t="array" ref="AY61">IF(hp!AY61=0,0,_xll.BDP(AY$4,"YAS_BOND_YLD", "YAS_BOND_PX",hp!AY61, "SETTLE_DT", TEXT(ya!$C61,"YYYYMMDD")))</f>
        <v>0</v>
      </c>
      <c r="AZ61" s="2" cm="1">
        <f t="array" ref="AZ61">IF(hp!AZ61=0,0,_xll.BDP(AZ$4,"YAS_BOND_YLD", "YAS_BOND_PX",hp!AZ61, "SETTLE_DT", TEXT(ya!$C61,"YYYYMMDD")))</f>
        <v>0</v>
      </c>
    </row>
    <row r="62" spans="1:52" x14ac:dyDescent="0.25">
      <c r="A62" s="1"/>
      <c r="B62" s="2"/>
      <c r="C62" s="1">
        <v>43798</v>
      </c>
      <c r="D62" s="2" cm="1">
        <f t="array" ref="D62">IF(hp!D62=0,0,_xll.BDP(D$4,"YAS_BOND_YLD", "YAS_BOND_PX",hp!D62, "SETTLE_DT", TEXT(ya!$C62,"YYYYMMDD")))</f>
        <v>0</v>
      </c>
      <c r="E62" s="2" cm="1">
        <f t="array" ref="E62">IF(hp!E62=0,0,_xll.BDP(E$4,"YAS_BOND_YLD", "YAS_BOND_PX",hp!E62, "SETTLE_DT", TEXT(ya!$C62,"YYYYMMDD")))</f>
        <v>0</v>
      </c>
      <c r="F62" s="2" cm="1">
        <f t="array" ref="F62">IF(hp!F62=0,0,_xll.BDP(F$4,"YAS_BOND_YLD", "YAS_BOND_PX",hp!F62, "SETTLE_DT", TEXT(ya!$C62,"YYYYMMDD")))</f>
        <v>6.7394999999999996</v>
      </c>
      <c r="G62" s="2" cm="1">
        <f t="array" ref="G62">IF(hp!G62=0,0,_xll.BDP(G$4,"YAS_BOND_YLD", "YAS_BOND_PX",hp!G62, "SETTLE_DT", TEXT(ya!$C62,"YYYYMMDD")))</f>
        <v>3.2480000000000002</v>
      </c>
      <c r="H62" s="2" cm="1">
        <f t="array" ref="H62">IF(hp!H62=0,0,_xll.BDP(H$4,"YAS_BOND_YLD", "YAS_BOND_PX",hp!H62, "SETTLE_DT", TEXT(ya!$C62,"YYYYMMDD")))</f>
        <v>6.9135</v>
      </c>
      <c r="I62" s="2" cm="1">
        <f t="array" ref="I62">IF(hp!I62=0,0,_xll.BDP(I$4,"YAS_BOND_YLD", "YAS_BOND_PX",hp!I62, "SETTLE_DT", TEXT(ya!$C62,"YYYYMMDD")))</f>
        <v>0</v>
      </c>
      <c r="J62" s="2" cm="1">
        <f t="array" ref="J62">IF(hp!J62=0,0,_xll.BDP(J$4,"YAS_BOND_YLD", "YAS_BOND_PX",hp!J62, "SETTLE_DT", TEXT(ya!$C62,"YYYYMMDD")))</f>
        <v>3.6031</v>
      </c>
      <c r="K62" s="2" cm="1">
        <f t="array" ref="K62">IF(hp!K62=0,0,_xll.BDP(K$4,"YAS_BOND_YLD", "YAS_BOND_PX",hp!K62, "SETTLE_DT", TEXT(ya!$C62,"YYYYMMDD")))</f>
        <v>0</v>
      </c>
      <c r="L62" s="2" cm="1">
        <f t="array" ref="L62">IF(hp!L62=0,0,_xll.BDP(L$4,"YAS_BOND_YLD", "YAS_BOND_PX",hp!L62, "SETTLE_DT", TEXT(ya!$C62,"YYYYMMDD")))</f>
        <v>3.0701000000000001</v>
      </c>
      <c r="M62" s="2" cm="1">
        <f t="array" ref="M62">IF(hp!M62=0,0,_xll.BDP(M$4,"YAS_BOND_YLD", "YAS_BOND_PX",hp!M62, "SETTLE_DT", TEXT(ya!$C62,"YYYYMMDD")))</f>
        <v>2.9496000000000002</v>
      </c>
      <c r="N62" s="2" cm="1">
        <f t="array" ref="N62">IF(hp!N62=0,0,_xll.BDP(N$4,"YAS_BOND_YLD", "YAS_BOND_PX",hp!N62, "SETTLE_DT", TEXT(ya!$C62,"YYYYMMDD")))</f>
        <v>2.7419000000000002</v>
      </c>
      <c r="O62" s="2" cm="1">
        <f t="array" ref="O62">IF(hp!O62=0,0,_xll.BDP(O$4,"YAS_BOND_YLD", "YAS_BOND_PX",hp!O62, "SETTLE_DT", TEXT(ya!$C62,"YYYYMMDD")))</f>
        <v>0</v>
      </c>
      <c r="P62" s="2" cm="1">
        <f t="array" ref="P62">IF(hp!P62=0,0,_xll.BDP(P$4,"YAS_BOND_YLD", "YAS_BOND_PX",hp!P62, "SETTLE_DT", TEXT(ya!$C62,"YYYYMMDD")))</f>
        <v>0</v>
      </c>
      <c r="Q62" s="2" cm="1">
        <f t="array" ref="Q62">IF(hp!Q62=0,0,_xll.BDP(Q$4,"YAS_BOND_YLD", "YAS_BOND_PX",hp!Q62, "SETTLE_DT", TEXT(ya!$C62,"YYYYMMDD")))</f>
        <v>3.6019999999999999</v>
      </c>
      <c r="R62" s="2" cm="1">
        <f t="array" ref="R62">IF(hp!R62=0,0,_xll.BDP(R$4,"YAS_BOND_YLD", "YAS_BOND_PX",hp!R62, "SETTLE_DT", TEXT(ya!$C62,"YYYYMMDD")))</f>
        <v>0</v>
      </c>
      <c r="S62" s="2" cm="1">
        <f t="array" ref="S62">IF(hp!S62=0,0,_xll.BDP(S$4,"YAS_BOND_YLD", "YAS_BOND_PX",hp!S62, "SETTLE_DT", TEXT(ya!$C62,"YYYYMMDD")))</f>
        <v>0</v>
      </c>
      <c r="T62" s="2" cm="1">
        <f t="array" ref="T62">IF(hp!T62=0,0,_xll.BDP(T$4,"YAS_BOND_YLD", "YAS_BOND_PX",hp!T62, "SETTLE_DT", TEXT(ya!$C62,"YYYYMMDD")))</f>
        <v>0</v>
      </c>
      <c r="U62" s="2" cm="1">
        <f t="array" ref="U62">IF(hp!U62=0,0,_xll.BDP(U$4,"YAS_BOND_YLD", "YAS_BOND_PX",hp!U62, "SETTLE_DT", TEXT(ya!$C62,"YYYYMMDD")))</f>
        <v>3.4683999999999999</v>
      </c>
      <c r="V62" s="2" cm="1">
        <f t="array" ref="V62">IF(hp!V62=0,0,_xll.BDP(V$4,"YAS_BOND_YLD", "YAS_BOND_PX",hp!V62, "SETTLE_DT", TEXT(ya!$C62,"YYYYMMDD")))</f>
        <v>0</v>
      </c>
      <c r="W62" s="2" cm="1">
        <f t="array" ref="W62">IF(hp!W62=0,0,_xll.BDP(W$4,"YAS_BOND_YLD", "YAS_BOND_PX",hp!W62, "SETTLE_DT", TEXT(ya!$C62,"YYYYMMDD")))</f>
        <v>0</v>
      </c>
      <c r="X62" s="2" cm="1">
        <f t="array" ref="X62">IF(hp!X62=0,0,_xll.BDP(X$4,"YAS_BOND_YLD", "YAS_BOND_PX",hp!X62, "SETTLE_DT", TEXT(ya!$C62,"YYYYMMDD")))</f>
        <v>0</v>
      </c>
      <c r="Y62" s="2" cm="1">
        <f t="array" ref="Y62">IF(hp!Y62=0,0,_xll.BDP(Y$4,"YAS_BOND_YLD", "YAS_BOND_PX",hp!Y62, "SETTLE_DT", TEXT(ya!$C62,"YYYYMMDD")))</f>
        <v>0</v>
      </c>
      <c r="Z62" s="2" cm="1">
        <f t="array" ref="Z62">IF(hp!Z62=0,0,_xll.BDP(Z$4,"YAS_BOND_YLD", "YAS_BOND_PX",hp!Z62, "SETTLE_DT", TEXT(ya!$C62,"YYYYMMDD")))</f>
        <v>0</v>
      </c>
      <c r="AA62" s="2" cm="1">
        <f t="array" ref="AA62">IF(hp!AA62=0,0,_xll.BDP(AA$4,"YAS_BOND_YLD", "YAS_BOND_PX",hp!AA62, "SETTLE_DT", TEXT(ya!$C62,"YYYYMMDD")))</f>
        <v>0</v>
      </c>
      <c r="AB62" s="2" cm="1">
        <f t="array" ref="AB62">IF(hp!AB62=0,0,_xll.BDP(AB$4,"YAS_BOND_YLD", "YAS_BOND_PX",hp!AB62, "SETTLE_DT", TEXT(ya!$C62,"YYYYMMDD")))</f>
        <v>0</v>
      </c>
      <c r="AC62" s="2" cm="1">
        <f t="array" ref="AC62">IF(hp!AC62=0,0,_xll.BDP(AC$4,"YAS_BOND_YLD", "YAS_BOND_PX",hp!AC62, "SETTLE_DT", TEXT(ya!$C62,"YYYYMMDD")))</f>
        <v>0</v>
      </c>
      <c r="AD62" s="2" cm="1">
        <f t="array" ref="AD62">IF(hp!AD62=0,0,_xll.BDP(AD$4,"YAS_BOND_YLD", "YAS_BOND_PX",hp!AD62, "SETTLE_DT", TEXT(ya!$C62,"YYYYMMDD")))</f>
        <v>3.5926</v>
      </c>
      <c r="AE62" s="2" cm="1">
        <f t="array" ref="AE62">IF(hp!AE62=0,0,_xll.BDP(AE$4,"YAS_BOND_YLD", "YAS_BOND_PX",hp!AE62, "SETTLE_DT", TEXT(ya!$C62,"YYYYMMDD")))</f>
        <v>0</v>
      </c>
      <c r="AF62" s="2" cm="1">
        <f t="array" ref="AF62">IF(hp!AF62=0,0,_xll.BDP(AF$4,"YAS_BOND_YLD", "YAS_BOND_PX",hp!AF62, "SETTLE_DT", TEXT(ya!$C62,"YYYYMMDD")))</f>
        <v>0</v>
      </c>
      <c r="AG62" s="2" cm="1">
        <f t="array" ref="AG62">IF(hp!AG62=0,0,_xll.BDP(AG$4,"YAS_BOND_YLD", "YAS_BOND_PX",hp!AG62, "SETTLE_DT", TEXT(ya!$C62,"YYYYMMDD")))</f>
        <v>0</v>
      </c>
      <c r="AH62" s="2" cm="1">
        <f t="array" ref="AH62">IF(hp!AH62=0,0,_xll.BDP(AH$4,"YAS_BOND_YLD", "YAS_BOND_PX",hp!AH62, "SETTLE_DT", TEXT(ya!$C62,"YYYYMMDD")))</f>
        <v>0</v>
      </c>
      <c r="AI62" s="2" cm="1">
        <f t="array" ref="AI62">IF(hp!AI62=0,0,_xll.BDP(AI$4,"YAS_BOND_YLD", "YAS_BOND_PX",hp!AI62, "SETTLE_DT", TEXT(ya!$C62,"YYYYMMDD")))</f>
        <v>0</v>
      </c>
      <c r="AJ62" s="2" cm="1">
        <f t="array" ref="AJ62">IF(hp!AJ62=0,0,_xll.BDP(AJ$4,"YAS_BOND_YLD", "YAS_BOND_PX",hp!AJ62, "SETTLE_DT", TEXT(ya!$C62,"YYYYMMDD")))</f>
        <v>0</v>
      </c>
      <c r="AK62" s="2" cm="1">
        <f t="array" ref="AK62">IF(hp!AK62=0,0,_xll.BDP(AK$4,"YAS_BOND_YLD", "YAS_BOND_PX",hp!AK62, "SETTLE_DT", TEXT(ya!$C62,"YYYYMMDD")))</f>
        <v>0</v>
      </c>
      <c r="AL62" s="2" cm="1">
        <f t="array" ref="AL62">IF(hp!AL62=0,0,_xll.BDP(AL$4,"YAS_BOND_YLD", "YAS_BOND_PX",hp!AL62, "SETTLE_DT", TEXT(ya!$C62,"YYYYMMDD")))</f>
        <v>0</v>
      </c>
      <c r="AM62" s="2" cm="1">
        <f t="array" ref="AM62">IF(hp!AM62=0,0,_xll.BDP(AM$4,"YAS_BOND_YLD", "YAS_BOND_PX",hp!AM62, "SETTLE_DT", TEXT(ya!$C62,"YYYYMMDD")))</f>
        <v>0</v>
      </c>
      <c r="AN62" s="2" cm="1">
        <f t="array" ref="AN62">IF(hp!AN62=0,0,_xll.BDP(AN$4,"YAS_BOND_YLD", "YAS_BOND_PX",hp!AN62, "SETTLE_DT", TEXT(ya!$C62,"YYYYMMDD")))</f>
        <v>0</v>
      </c>
      <c r="AO62" s="2" cm="1">
        <f t="array" ref="AO62">IF(hp!AO62=0,0,_xll.BDP(AO$4,"YAS_BOND_YLD", "YAS_BOND_PX",hp!AO62, "SETTLE_DT", TEXT(ya!$C62,"YYYYMMDD")))</f>
        <v>0</v>
      </c>
      <c r="AP62" s="2" cm="1">
        <f t="array" ref="AP62">IF(hp!AP62=0,0,_xll.BDP(AP$4,"YAS_BOND_YLD", "YAS_BOND_PX",hp!AP62, "SETTLE_DT", TEXT(ya!$C62,"YYYYMMDD")))</f>
        <v>0</v>
      </c>
      <c r="AQ62" s="2" cm="1">
        <f t="array" ref="AQ62">IF(hp!AQ62=0,0,_xll.BDP(AQ$4,"YAS_BOND_YLD", "YAS_BOND_PX",hp!AQ62, "SETTLE_DT", TEXT(ya!$C62,"YYYYMMDD")))</f>
        <v>0</v>
      </c>
      <c r="AR62" s="2" cm="1">
        <f t="array" ref="AR62">IF(hp!AR62=0,0,_xll.BDP(AR$4,"YAS_BOND_YLD", "YAS_BOND_PX",hp!AR62, "SETTLE_DT", TEXT(ya!$C62,"YYYYMMDD")))</f>
        <v>2.7014</v>
      </c>
      <c r="AS62" s="2" cm="1">
        <f t="array" ref="AS62">IF(hp!AS62=0,0,_xll.BDP(AS$4,"YAS_BOND_YLD", "YAS_BOND_PX",hp!AS62, "SETTLE_DT", TEXT(ya!$C62,"YYYYMMDD")))</f>
        <v>0</v>
      </c>
      <c r="AT62" s="2" cm="1">
        <f t="array" ref="AT62">IF(hp!AT62=0,0,_xll.BDP(AT$4,"YAS_BOND_YLD", "YAS_BOND_PX",hp!AT62, "SETTLE_DT", TEXT(ya!$C62,"YYYYMMDD")))</f>
        <v>0</v>
      </c>
      <c r="AU62" s="2" cm="1">
        <f t="array" ref="AU62">IF(hp!AU62=0,0,_xll.BDP(AU$4,"YAS_BOND_YLD", "YAS_BOND_PX",hp!AU62, "SETTLE_DT", TEXT(ya!$C62,"YYYYMMDD")))</f>
        <v>0</v>
      </c>
      <c r="AV62" s="2" cm="1">
        <f t="array" ref="AV62">IF(hp!AV62=0,0,_xll.BDP(AV$4,"YAS_BOND_YLD", "YAS_BOND_PX",hp!AV62, "SETTLE_DT", TEXT(ya!$C62,"YYYYMMDD")))</f>
        <v>0</v>
      </c>
      <c r="AW62" s="2" cm="1">
        <f t="array" ref="AW62">IF(hp!AW62=0,0,_xll.BDP(AW$4,"YAS_BOND_YLD", "YAS_BOND_PX",hp!AW62, "SETTLE_DT", TEXT(ya!$C62,"YYYYMMDD")))</f>
        <v>0</v>
      </c>
      <c r="AX62" s="2" cm="1">
        <f t="array" ref="AX62">IF(hp!AX62=0,0,_xll.BDP(AX$4,"YAS_BOND_YLD", "YAS_BOND_PX",hp!AX62, "SETTLE_DT", TEXT(ya!$C62,"YYYYMMDD")))</f>
        <v>0</v>
      </c>
      <c r="AY62" s="2" cm="1">
        <f t="array" ref="AY62">IF(hp!AY62=0,0,_xll.BDP(AY$4,"YAS_BOND_YLD", "YAS_BOND_PX",hp!AY62, "SETTLE_DT", TEXT(ya!$C62,"YYYYMMDD")))</f>
        <v>0</v>
      </c>
      <c r="AZ62" s="2" cm="1">
        <f t="array" ref="AZ62">IF(hp!AZ62=0,0,_xll.BDP(AZ$4,"YAS_BOND_YLD", "YAS_BOND_PX",hp!AZ62, "SETTLE_DT", TEXT(ya!$C62,"YYYYMMDD")))</f>
        <v>0</v>
      </c>
    </row>
    <row r="63" spans="1:52" x14ac:dyDescent="0.25">
      <c r="A63" s="1"/>
      <c r="B63" s="2"/>
      <c r="C63" s="1">
        <v>43830</v>
      </c>
      <c r="D63" s="2" cm="1">
        <f t="array" ref="D63">IF(hp!D63=0,0,_xll.BDP(D$4,"YAS_BOND_YLD", "YAS_BOND_PX",hp!D63, "SETTLE_DT", TEXT(ya!$C63,"YYYYMMDD")))</f>
        <v>0</v>
      </c>
      <c r="E63" s="2" cm="1">
        <f t="array" ref="E63">IF(hp!E63=0,0,_xll.BDP(E$4,"YAS_BOND_YLD", "YAS_BOND_PX",hp!E63, "SETTLE_DT", TEXT(ya!$C63,"YYYYMMDD")))</f>
        <v>0</v>
      </c>
      <c r="F63" s="2" cm="1">
        <f t="array" ref="F63">IF(hp!F63=0,0,_xll.BDP(F$4,"YAS_BOND_YLD", "YAS_BOND_PX",hp!F63, "SETTLE_DT", TEXT(ya!$C63,"YYYYMMDD")))</f>
        <v>6.6652000000000005</v>
      </c>
      <c r="G63" s="2" cm="1">
        <f t="array" ref="G63">IF(hp!G63=0,0,_xll.BDP(G$4,"YAS_BOND_YLD", "YAS_BOND_PX",hp!G63, "SETTLE_DT", TEXT(ya!$C63,"YYYYMMDD")))</f>
        <v>3.2412999999999998</v>
      </c>
      <c r="H63" s="2" cm="1">
        <f t="array" ref="H63">IF(hp!H63=0,0,_xll.BDP(H$4,"YAS_BOND_YLD", "YAS_BOND_PX",hp!H63, "SETTLE_DT", TEXT(ya!$C63,"YYYYMMDD")))</f>
        <v>6.7813999999999997</v>
      </c>
      <c r="I63" s="2" cm="1">
        <f t="array" ref="I63">IF(hp!I63=0,0,_xll.BDP(I$4,"YAS_BOND_YLD", "YAS_BOND_PX",hp!I63, "SETTLE_DT", TEXT(ya!$C63,"YYYYMMDD")))</f>
        <v>0</v>
      </c>
      <c r="J63" s="2" cm="1">
        <f t="array" ref="J63">IF(hp!J63=0,0,_xll.BDP(J$4,"YAS_BOND_YLD", "YAS_BOND_PX",hp!J63, "SETTLE_DT", TEXT(ya!$C63,"YYYYMMDD")))</f>
        <v>3.4693000000000001</v>
      </c>
      <c r="K63" s="2" cm="1">
        <f t="array" ref="K63">IF(hp!K63=0,0,_xll.BDP(K$4,"YAS_BOND_YLD", "YAS_BOND_PX",hp!K63, "SETTLE_DT", TEXT(ya!$C63,"YYYYMMDD")))</f>
        <v>0</v>
      </c>
      <c r="L63" s="2" cm="1">
        <f t="array" ref="L63">IF(hp!L63=0,0,_xll.BDP(L$4,"YAS_BOND_YLD", "YAS_BOND_PX",hp!L63, "SETTLE_DT", TEXT(ya!$C63,"YYYYMMDD")))</f>
        <v>3.0687000000000002</v>
      </c>
      <c r="M63" s="2" cm="1">
        <f t="array" ref="M63">IF(hp!M63=0,0,_xll.BDP(M$4,"YAS_BOND_YLD", "YAS_BOND_PX",hp!M63, "SETTLE_DT", TEXT(ya!$C63,"YYYYMMDD")))</f>
        <v>2.8719999999999999</v>
      </c>
      <c r="N63" s="2" cm="1">
        <f t="array" ref="N63">IF(hp!N63=0,0,_xll.BDP(N$4,"YAS_BOND_YLD", "YAS_BOND_PX",hp!N63, "SETTLE_DT", TEXT(ya!$C63,"YYYYMMDD")))</f>
        <v>2.6661000000000001</v>
      </c>
      <c r="O63" s="2" cm="1">
        <f t="array" ref="O63">IF(hp!O63=0,0,_xll.BDP(O$4,"YAS_BOND_YLD", "YAS_BOND_PX",hp!O63, "SETTLE_DT", TEXT(ya!$C63,"YYYYMMDD")))</f>
        <v>0</v>
      </c>
      <c r="P63" s="2" cm="1">
        <f t="array" ref="P63">IF(hp!P63=0,0,_xll.BDP(P$4,"YAS_BOND_YLD", "YAS_BOND_PX",hp!P63, "SETTLE_DT", TEXT(ya!$C63,"YYYYMMDD")))</f>
        <v>0</v>
      </c>
      <c r="Q63" s="2" cm="1">
        <f t="array" ref="Q63">IF(hp!Q63=0,0,_xll.BDP(Q$4,"YAS_BOND_YLD", "YAS_BOND_PX",hp!Q63, "SETTLE_DT", TEXT(ya!$C63,"YYYYMMDD")))</f>
        <v>3.4763000000000002</v>
      </c>
      <c r="R63" s="2" cm="1">
        <f t="array" ref="R63">IF(hp!R63=0,0,_xll.BDP(R$4,"YAS_BOND_YLD", "YAS_BOND_PX",hp!R63, "SETTLE_DT", TEXT(ya!$C63,"YYYYMMDD")))</f>
        <v>0</v>
      </c>
      <c r="S63" s="2" cm="1">
        <f t="array" ref="S63">IF(hp!S63=0,0,_xll.BDP(S$4,"YAS_BOND_YLD", "YAS_BOND_PX",hp!S63, "SETTLE_DT", TEXT(ya!$C63,"YYYYMMDD")))</f>
        <v>0</v>
      </c>
      <c r="T63" s="2" cm="1">
        <f t="array" ref="T63">IF(hp!T63=0,0,_xll.BDP(T$4,"YAS_BOND_YLD", "YAS_BOND_PX",hp!T63, "SETTLE_DT", TEXT(ya!$C63,"YYYYMMDD")))</f>
        <v>0</v>
      </c>
      <c r="U63" s="2" cm="1">
        <f t="array" ref="U63">IF(hp!U63=0,0,_xll.BDP(U$4,"YAS_BOND_YLD", "YAS_BOND_PX",hp!U63, "SETTLE_DT", TEXT(ya!$C63,"YYYYMMDD")))</f>
        <v>3.3956</v>
      </c>
      <c r="V63" s="2" cm="1">
        <f t="array" ref="V63">IF(hp!V63=0,0,_xll.BDP(V$4,"YAS_BOND_YLD", "YAS_BOND_PX",hp!V63, "SETTLE_DT", TEXT(ya!$C63,"YYYYMMDD")))</f>
        <v>0</v>
      </c>
      <c r="W63" s="2" cm="1">
        <f t="array" ref="W63">IF(hp!W63=0,0,_xll.BDP(W$4,"YAS_BOND_YLD", "YAS_BOND_PX",hp!W63, "SETTLE_DT", TEXT(ya!$C63,"YYYYMMDD")))</f>
        <v>0</v>
      </c>
      <c r="X63" s="2" cm="1">
        <f t="array" ref="X63">IF(hp!X63=0,0,_xll.BDP(X$4,"YAS_BOND_YLD", "YAS_BOND_PX",hp!X63, "SETTLE_DT", TEXT(ya!$C63,"YYYYMMDD")))</f>
        <v>0</v>
      </c>
      <c r="Y63" s="2" cm="1">
        <f t="array" ref="Y63">IF(hp!Y63=0,0,_xll.BDP(Y$4,"YAS_BOND_YLD", "YAS_BOND_PX",hp!Y63, "SETTLE_DT", TEXT(ya!$C63,"YYYYMMDD")))</f>
        <v>0</v>
      </c>
      <c r="Z63" s="2" cm="1">
        <f t="array" ref="Z63">IF(hp!Z63=0,0,_xll.BDP(Z$4,"YAS_BOND_YLD", "YAS_BOND_PX",hp!Z63, "SETTLE_DT", TEXT(ya!$C63,"YYYYMMDD")))</f>
        <v>0</v>
      </c>
      <c r="AA63" s="2" cm="1">
        <f t="array" ref="AA63">IF(hp!AA63=0,0,_xll.BDP(AA$4,"YAS_BOND_YLD", "YAS_BOND_PX",hp!AA63, "SETTLE_DT", TEXT(ya!$C63,"YYYYMMDD")))</f>
        <v>0</v>
      </c>
      <c r="AB63" s="2" cm="1">
        <f t="array" ref="AB63">IF(hp!AB63=0,0,_xll.BDP(AB$4,"YAS_BOND_YLD", "YAS_BOND_PX",hp!AB63, "SETTLE_DT", TEXT(ya!$C63,"YYYYMMDD")))</f>
        <v>0</v>
      </c>
      <c r="AC63" s="2" cm="1">
        <f t="array" ref="AC63">IF(hp!AC63=0,0,_xll.BDP(AC$4,"YAS_BOND_YLD", "YAS_BOND_PX",hp!AC63, "SETTLE_DT", TEXT(ya!$C63,"YYYYMMDD")))</f>
        <v>0</v>
      </c>
      <c r="AD63" s="2" cm="1">
        <f t="array" ref="AD63">IF(hp!AD63=0,0,_xll.BDP(AD$4,"YAS_BOND_YLD", "YAS_BOND_PX",hp!AD63, "SETTLE_DT", TEXT(ya!$C63,"YYYYMMDD")))</f>
        <v>3.4630000000000001</v>
      </c>
      <c r="AE63" s="2" cm="1">
        <f t="array" ref="AE63">IF(hp!AE63=0,0,_xll.BDP(AE$4,"YAS_BOND_YLD", "YAS_BOND_PX",hp!AE63, "SETTLE_DT", TEXT(ya!$C63,"YYYYMMDD")))</f>
        <v>0</v>
      </c>
      <c r="AF63" s="2" cm="1">
        <f t="array" ref="AF63">IF(hp!AF63=0,0,_xll.BDP(AF$4,"YAS_BOND_YLD", "YAS_BOND_PX",hp!AF63, "SETTLE_DT", TEXT(ya!$C63,"YYYYMMDD")))</f>
        <v>0</v>
      </c>
      <c r="AG63" s="2" cm="1">
        <f t="array" ref="AG63">IF(hp!AG63=0,0,_xll.BDP(AG$4,"YAS_BOND_YLD", "YAS_BOND_PX",hp!AG63, "SETTLE_DT", TEXT(ya!$C63,"YYYYMMDD")))</f>
        <v>0</v>
      </c>
      <c r="AH63" s="2" cm="1">
        <f t="array" ref="AH63">IF(hp!AH63=0,0,_xll.BDP(AH$4,"YAS_BOND_YLD", "YAS_BOND_PX",hp!AH63, "SETTLE_DT", TEXT(ya!$C63,"YYYYMMDD")))</f>
        <v>0</v>
      </c>
      <c r="AI63" s="2" cm="1">
        <f t="array" ref="AI63">IF(hp!AI63=0,0,_xll.BDP(AI$4,"YAS_BOND_YLD", "YAS_BOND_PX",hp!AI63, "SETTLE_DT", TEXT(ya!$C63,"YYYYMMDD")))</f>
        <v>0</v>
      </c>
      <c r="AJ63" s="2" cm="1">
        <f t="array" ref="AJ63">IF(hp!AJ63=0,0,_xll.BDP(AJ$4,"YAS_BOND_YLD", "YAS_BOND_PX",hp!AJ63, "SETTLE_DT", TEXT(ya!$C63,"YYYYMMDD")))</f>
        <v>0</v>
      </c>
      <c r="AK63" s="2" cm="1">
        <f t="array" ref="AK63">IF(hp!AK63=0,0,_xll.BDP(AK$4,"YAS_BOND_YLD", "YAS_BOND_PX",hp!AK63, "SETTLE_DT", TEXT(ya!$C63,"YYYYMMDD")))</f>
        <v>0</v>
      </c>
      <c r="AL63" s="2" cm="1">
        <f t="array" ref="AL63">IF(hp!AL63=0,0,_xll.BDP(AL$4,"YAS_BOND_YLD", "YAS_BOND_PX",hp!AL63, "SETTLE_DT", TEXT(ya!$C63,"YYYYMMDD")))</f>
        <v>0</v>
      </c>
      <c r="AM63" s="2" cm="1">
        <f t="array" ref="AM63">IF(hp!AM63=0,0,_xll.BDP(AM$4,"YAS_BOND_YLD", "YAS_BOND_PX",hp!AM63, "SETTLE_DT", TEXT(ya!$C63,"YYYYMMDD")))</f>
        <v>0</v>
      </c>
      <c r="AN63" s="2" cm="1">
        <f t="array" ref="AN63">IF(hp!AN63=0,0,_xll.BDP(AN$4,"YAS_BOND_YLD", "YAS_BOND_PX",hp!AN63, "SETTLE_DT", TEXT(ya!$C63,"YYYYMMDD")))</f>
        <v>0</v>
      </c>
      <c r="AO63" s="2" cm="1">
        <f t="array" ref="AO63">IF(hp!AO63=0,0,_xll.BDP(AO$4,"YAS_BOND_YLD", "YAS_BOND_PX",hp!AO63, "SETTLE_DT", TEXT(ya!$C63,"YYYYMMDD")))</f>
        <v>0</v>
      </c>
      <c r="AP63" s="2" cm="1">
        <f t="array" ref="AP63">IF(hp!AP63=0,0,_xll.BDP(AP$4,"YAS_BOND_YLD", "YAS_BOND_PX",hp!AP63, "SETTLE_DT", TEXT(ya!$C63,"YYYYMMDD")))</f>
        <v>0</v>
      </c>
      <c r="AQ63" s="2" cm="1">
        <f t="array" ref="AQ63">IF(hp!AQ63=0,0,_xll.BDP(AQ$4,"YAS_BOND_YLD", "YAS_BOND_PX",hp!AQ63, "SETTLE_DT", TEXT(ya!$C63,"YYYYMMDD")))</f>
        <v>0</v>
      </c>
      <c r="AR63" s="2" cm="1">
        <f t="array" ref="AR63">IF(hp!AR63=0,0,_xll.BDP(AR$4,"YAS_BOND_YLD", "YAS_BOND_PX",hp!AR63, "SETTLE_DT", TEXT(ya!$C63,"YYYYMMDD")))</f>
        <v>3.1164999999999998</v>
      </c>
      <c r="AS63" s="2" cm="1">
        <f t="array" ref="AS63">IF(hp!AS63=0,0,_xll.BDP(AS$4,"YAS_BOND_YLD", "YAS_BOND_PX",hp!AS63, "SETTLE_DT", TEXT(ya!$C63,"YYYYMMDD")))</f>
        <v>0</v>
      </c>
      <c r="AT63" s="2" cm="1">
        <f t="array" ref="AT63">IF(hp!AT63=0,0,_xll.BDP(AT$4,"YAS_BOND_YLD", "YAS_BOND_PX",hp!AT63, "SETTLE_DT", TEXT(ya!$C63,"YYYYMMDD")))</f>
        <v>0</v>
      </c>
      <c r="AU63" s="2" cm="1">
        <f t="array" ref="AU63">IF(hp!AU63=0,0,_xll.BDP(AU$4,"YAS_BOND_YLD", "YAS_BOND_PX",hp!AU63, "SETTLE_DT", TEXT(ya!$C63,"YYYYMMDD")))</f>
        <v>0</v>
      </c>
      <c r="AV63" s="2" cm="1">
        <f t="array" ref="AV63">IF(hp!AV63=0,0,_xll.BDP(AV$4,"YAS_BOND_YLD", "YAS_BOND_PX",hp!AV63, "SETTLE_DT", TEXT(ya!$C63,"YYYYMMDD")))</f>
        <v>0</v>
      </c>
      <c r="AW63" s="2" cm="1">
        <f t="array" ref="AW63">IF(hp!AW63=0,0,_xll.BDP(AW$4,"YAS_BOND_YLD", "YAS_BOND_PX",hp!AW63, "SETTLE_DT", TEXT(ya!$C63,"YYYYMMDD")))</f>
        <v>0</v>
      </c>
      <c r="AX63" s="2" cm="1">
        <f t="array" ref="AX63">IF(hp!AX63=0,0,_xll.BDP(AX$4,"YAS_BOND_YLD", "YAS_BOND_PX",hp!AX63, "SETTLE_DT", TEXT(ya!$C63,"YYYYMMDD")))</f>
        <v>0</v>
      </c>
      <c r="AY63" s="2" cm="1">
        <f t="array" ref="AY63">IF(hp!AY63=0,0,_xll.BDP(AY$4,"YAS_BOND_YLD", "YAS_BOND_PX",hp!AY63, "SETTLE_DT", TEXT(ya!$C63,"YYYYMMDD")))</f>
        <v>0</v>
      </c>
      <c r="AZ63" s="2" cm="1">
        <f t="array" ref="AZ63">IF(hp!AZ63=0,0,_xll.BDP(AZ$4,"YAS_BOND_YLD", "YAS_BOND_PX",hp!AZ63, "SETTLE_DT", TEXT(ya!$C63,"YYYYMMDD")))</f>
        <v>0</v>
      </c>
    </row>
    <row r="64" spans="1:52" x14ac:dyDescent="0.25">
      <c r="A64" s="1"/>
      <c r="B64" s="2"/>
      <c r="C64" s="1">
        <v>43861</v>
      </c>
      <c r="D64" s="2" cm="1">
        <f t="array" ref="D64">IF(hp!D64=0,0,_xll.BDP(D$4,"YAS_BOND_YLD", "YAS_BOND_PX",hp!D64, "SETTLE_DT", TEXT(ya!$C64,"YYYYMMDD")))</f>
        <v>0</v>
      </c>
      <c r="E64" s="2" cm="1">
        <f t="array" ref="E64">IF(hp!E64=0,0,_xll.BDP(E$4,"YAS_BOND_YLD", "YAS_BOND_PX",hp!E64, "SETTLE_DT", TEXT(ya!$C64,"YYYYMMDD")))</f>
        <v>6.8571999999999997</v>
      </c>
      <c r="F64" s="2" cm="1">
        <f t="array" ref="F64">IF(hp!F64=0,0,_xll.BDP(F$4,"YAS_BOND_YLD", "YAS_BOND_PX",hp!F64, "SETTLE_DT", TEXT(ya!$C64,"YYYYMMDD")))</f>
        <v>6.4748000000000001</v>
      </c>
      <c r="G64" s="2" cm="1">
        <f t="array" ref="G64">IF(hp!G64=0,0,_xll.BDP(G$4,"YAS_BOND_YLD", "YAS_BOND_PX",hp!G64, "SETTLE_DT", TEXT(ya!$C64,"YYYYMMDD")))</f>
        <v>3.2631999999999999</v>
      </c>
      <c r="H64" s="2" cm="1">
        <f t="array" ref="H64">IF(hp!H64=0,0,_xll.BDP(H$4,"YAS_BOND_YLD", "YAS_BOND_PX",hp!H64, "SETTLE_DT", TEXT(ya!$C64,"YYYYMMDD")))</f>
        <v>6.6906999999999996</v>
      </c>
      <c r="I64" s="2" cm="1">
        <f t="array" ref="I64">IF(hp!I64=0,0,_xll.BDP(I$4,"YAS_BOND_YLD", "YAS_BOND_PX",hp!I64, "SETTLE_DT", TEXT(ya!$C64,"YYYYMMDD")))</f>
        <v>0</v>
      </c>
      <c r="J64" s="2" cm="1">
        <f t="array" ref="J64">IF(hp!J64=0,0,_xll.BDP(J$4,"YAS_BOND_YLD", "YAS_BOND_PX",hp!J64, "SETTLE_DT", TEXT(ya!$C64,"YYYYMMDD")))</f>
        <v>3.5699000000000001</v>
      </c>
      <c r="K64" s="2" cm="1">
        <f t="array" ref="K64">IF(hp!K64=0,0,_xll.BDP(K$4,"YAS_BOND_YLD", "YAS_BOND_PX",hp!K64, "SETTLE_DT", TEXT(ya!$C64,"YYYYMMDD")))</f>
        <v>0</v>
      </c>
      <c r="L64" s="2" cm="1">
        <f t="array" ref="L64">IF(hp!L64=0,0,_xll.BDP(L$4,"YAS_BOND_YLD", "YAS_BOND_PX",hp!L64, "SETTLE_DT", TEXT(ya!$C64,"YYYYMMDD")))</f>
        <v>3.0478999999999998</v>
      </c>
      <c r="M64" s="2" cm="1">
        <f t="array" ref="M64">IF(hp!M64=0,0,_xll.BDP(M$4,"YAS_BOND_YLD", "YAS_BOND_PX",hp!M64, "SETTLE_DT", TEXT(ya!$C64,"YYYYMMDD")))</f>
        <v>2.8365999999999998</v>
      </c>
      <c r="N64" s="2" cm="1">
        <f t="array" ref="N64">IF(hp!N64=0,0,_xll.BDP(N$4,"YAS_BOND_YLD", "YAS_BOND_PX",hp!N64, "SETTLE_DT", TEXT(ya!$C64,"YYYYMMDD")))</f>
        <v>2.6644999999999999</v>
      </c>
      <c r="O64" s="2" cm="1">
        <f t="array" ref="O64">IF(hp!O64=0,0,_xll.BDP(O$4,"YAS_BOND_YLD", "YAS_BOND_PX",hp!O64, "SETTLE_DT", TEXT(ya!$C64,"YYYYMMDD")))</f>
        <v>0</v>
      </c>
      <c r="P64" s="2" cm="1">
        <f t="array" ref="P64">IF(hp!P64=0,0,_xll.BDP(P$4,"YAS_BOND_YLD", "YAS_BOND_PX",hp!P64, "SETTLE_DT", TEXT(ya!$C64,"YYYYMMDD")))</f>
        <v>0</v>
      </c>
      <c r="Q64" s="2" cm="1">
        <f t="array" ref="Q64">IF(hp!Q64=0,0,_xll.BDP(Q$4,"YAS_BOND_YLD", "YAS_BOND_PX",hp!Q64, "SETTLE_DT", TEXT(ya!$C64,"YYYYMMDD")))</f>
        <v>3.5579000000000001</v>
      </c>
      <c r="R64" s="2" cm="1">
        <f t="array" ref="R64">IF(hp!R64=0,0,_xll.BDP(R$4,"YAS_BOND_YLD", "YAS_BOND_PX",hp!R64, "SETTLE_DT", TEXT(ya!$C64,"YYYYMMDD")))</f>
        <v>0</v>
      </c>
      <c r="S64" s="2" cm="1">
        <f t="array" ref="S64">IF(hp!S64=0,0,_xll.BDP(S$4,"YAS_BOND_YLD", "YAS_BOND_PX",hp!S64, "SETTLE_DT", TEXT(ya!$C64,"YYYYMMDD")))</f>
        <v>0</v>
      </c>
      <c r="T64" s="2" cm="1">
        <f t="array" ref="T64">IF(hp!T64=0,0,_xll.BDP(T$4,"YAS_BOND_YLD", "YAS_BOND_PX",hp!T64, "SETTLE_DT", TEXT(ya!$C64,"YYYYMMDD")))</f>
        <v>0</v>
      </c>
      <c r="U64" s="2" cm="1">
        <f t="array" ref="U64">IF(hp!U64=0,0,_xll.BDP(U$4,"YAS_BOND_YLD", "YAS_BOND_PX",hp!U64, "SETTLE_DT", TEXT(ya!$C64,"YYYYMMDD")))</f>
        <v>3.4750000000000001</v>
      </c>
      <c r="V64" s="2" cm="1">
        <f t="array" ref="V64">IF(hp!V64=0,0,_xll.BDP(V$4,"YAS_BOND_YLD", "YAS_BOND_PX",hp!V64, "SETTLE_DT", TEXT(ya!$C64,"YYYYMMDD")))</f>
        <v>0</v>
      </c>
      <c r="W64" s="2" cm="1">
        <f t="array" ref="W64">IF(hp!W64=0,0,_xll.BDP(W$4,"YAS_BOND_YLD", "YAS_BOND_PX",hp!W64, "SETTLE_DT", TEXT(ya!$C64,"YYYYMMDD")))</f>
        <v>0</v>
      </c>
      <c r="X64" s="2" cm="1">
        <f t="array" ref="X64">IF(hp!X64=0,0,_xll.BDP(X$4,"YAS_BOND_YLD", "YAS_BOND_PX",hp!X64, "SETTLE_DT", TEXT(ya!$C64,"YYYYMMDD")))</f>
        <v>0</v>
      </c>
      <c r="Y64" s="2" cm="1">
        <f t="array" ref="Y64">IF(hp!Y64=0,0,_xll.BDP(Y$4,"YAS_BOND_YLD", "YAS_BOND_PX",hp!Y64, "SETTLE_DT", TEXT(ya!$C64,"YYYYMMDD")))</f>
        <v>0</v>
      </c>
      <c r="Z64" s="2" cm="1">
        <f t="array" ref="Z64">IF(hp!Z64=0,0,_xll.BDP(Z$4,"YAS_BOND_YLD", "YAS_BOND_PX",hp!Z64, "SETTLE_DT", TEXT(ya!$C64,"YYYYMMDD")))</f>
        <v>0</v>
      </c>
      <c r="AA64" s="2" cm="1">
        <f t="array" ref="AA64">IF(hp!AA64=0,0,_xll.BDP(AA$4,"YAS_BOND_YLD", "YAS_BOND_PX",hp!AA64, "SETTLE_DT", TEXT(ya!$C64,"YYYYMMDD")))</f>
        <v>0</v>
      </c>
      <c r="AB64" s="2" cm="1">
        <f t="array" ref="AB64">IF(hp!AB64=0,0,_xll.BDP(AB$4,"YAS_BOND_YLD", "YAS_BOND_PX",hp!AB64, "SETTLE_DT", TEXT(ya!$C64,"YYYYMMDD")))</f>
        <v>0</v>
      </c>
      <c r="AC64" s="2" cm="1">
        <f t="array" ref="AC64">IF(hp!AC64=0,0,_xll.BDP(AC$4,"YAS_BOND_YLD", "YAS_BOND_PX",hp!AC64, "SETTLE_DT", TEXT(ya!$C64,"YYYYMMDD")))</f>
        <v>0</v>
      </c>
      <c r="AD64" s="2" cm="1">
        <f t="array" ref="AD64">IF(hp!AD64=0,0,_xll.BDP(AD$4,"YAS_BOND_YLD", "YAS_BOND_PX",hp!AD64, "SETTLE_DT", TEXT(ya!$C64,"YYYYMMDD")))</f>
        <v>3.5728</v>
      </c>
      <c r="AE64" s="2" cm="1">
        <f t="array" ref="AE64">IF(hp!AE64=0,0,_xll.BDP(AE$4,"YAS_BOND_YLD", "YAS_BOND_PX",hp!AE64, "SETTLE_DT", TEXT(ya!$C64,"YYYYMMDD")))</f>
        <v>0</v>
      </c>
      <c r="AF64" s="2" cm="1">
        <f t="array" ref="AF64">IF(hp!AF64=0,0,_xll.BDP(AF$4,"YAS_BOND_YLD", "YAS_BOND_PX",hp!AF64, "SETTLE_DT", TEXT(ya!$C64,"YYYYMMDD")))</f>
        <v>0</v>
      </c>
      <c r="AG64" s="2" cm="1">
        <f t="array" ref="AG64">IF(hp!AG64=0,0,_xll.BDP(AG$4,"YAS_BOND_YLD", "YAS_BOND_PX",hp!AG64, "SETTLE_DT", TEXT(ya!$C64,"YYYYMMDD")))</f>
        <v>0</v>
      </c>
      <c r="AH64" s="2" cm="1">
        <f t="array" ref="AH64">IF(hp!AH64=0,0,_xll.BDP(AH$4,"YAS_BOND_YLD", "YAS_BOND_PX",hp!AH64, "SETTLE_DT", TEXT(ya!$C64,"YYYYMMDD")))</f>
        <v>0</v>
      </c>
      <c r="AI64" s="2" cm="1">
        <f t="array" ref="AI64">IF(hp!AI64=0,0,_xll.BDP(AI$4,"YAS_BOND_YLD", "YAS_BOND_PX",hp!AI64, "SETTLE_DT", TEXT(ya!$C64,"YYYYMMDD")))</f>
        <v>0</v>
      </c>
      <c r="AJ64" s="2" cm="1">
        <f t="array" ref="AJ64">IF(hp!AJ64=0,0,_xll.BDP(AJ$4,"YAS_BOND_YLD", "YAS_BOND_PX",hp!AJ64, "SETTLE_DT", TEXT(ya!$C64,"YYYYMMDD")))</f>
        <v>0</v>
      </c>
      <c r="AK64" s="2" cm="1">
        <f t="array" ref="AK64">IF(hp!AK64=0,0,_xll.BDP(AK$4,"YAS_BOND_YLD", "YAS_BOND_PX",hp!AK64, "SETTLE_DT", TEXT(ya!$C64,"YYYYMMDD")))</f>
        <v>0</v>
      </c>
      <c r="AL64" s="2" cm="1">
        <f t="array" ref="AL64">IF(hp!AL64=0,0,_xll.BDP(AL$4,"YAS_BOND_YLD", "YAS_BOND_PX",hp!AL64, "SETTLE_DT", TEXT(ya!$C64,"YYYYMMDD")))</f>
        <v>0</v>
      </c>
      <c r="AM64" s="2" cm="1">
        <f t="array" ref="AM64">IF(hp!AM64=0,0,_xll.BDP(AM$4,"YAS_BOND_YLD", "YAS_BOND_PX",hp!AM64, "SETTLE_DT", TEXT(ya!$C64,"YYYYMMDD")))</f>
        <v>0</v>
      </c>
      <c r="AN64" s="2" cm="1">
        <f t="array" ref="AN64">IF(hp!AN64=0,0,_xll.BDP(AN$4,"YAS_BOND_YLD", "YAS_BOND_PX",hp!AN64, "SETTLE_DT", TEXT(ya!$C64,"YYYYMMDD")))</f>
        <v>0</v>
      </c>
      <c r="AO64" s="2" cm="1">
        <f t="array" ref="AO64">IF(hp!AO64=0,0,_xll.BDP(AO$4,"YAS_BOND_YLD", "YAS_BOND_PX",hp!AO64, "SETTLE_DT", TEXT(ya!$C64,"YYYYMMDD")))</f>
        <v>0</v>
      </c>
      <c r="AP64" s="2" cm="1">
        <f t="array" ref="AP64">IF(hp!AP64=0,0,_xll.BDP(AP$4,"YAS_BOND_YLD", "YAS_BOND_PX",hp!AP64, "SETTLE_DT", TEXT(ya!$C64,"YYYYMMDD")))</f>
        <v>0</v>
      </c>
      <c r="AQ64" s="2" cm="1">
        <f t="array" ref="AQ64">IF(hp!AQ64=0,0,_xll.BDP(AQ$4,"YAS_BOND_YLD", "YAS_BOND_PX",hp!AQ64, "SETTLE_DT", TEXT(ya!$C64,"YYYYMMDD")))</f>
        <v>0</v>
      </c>
      <c r="AR64" s="2" cm="1">
        <f t="array" ref="AR64">IF(hp!AR64=0,0,_xll.BDP(AR$4,"YAS_BOND_YLD", "YAS_BOND_PX",hp!AR64, "SETTLE_DT", TEXT(ya!$C64,"YYYYMMDD")))</f>
        <v>2.6320000000000001</v>
      </c>
      <c r="AS64" s="2" cm="1">
        <f t="array" ref="AS64">IF(hp!AS64=0,0,_xll.BDP(AS$4,"YAS_BOND_YLD", "YAS_BOND_PX",hp!AS64, "SETTLE_DT", TEXT(ya!$C64,"YYYYMMDD")))</f>
        <v>0</v>
      </c>
      <c r="AT64" s="2" cm="1">
        <f t="array" ref="AT64">IF(hp!AT64=0,0,_xll.BDP(AT$4,"YAS_BOND_YLD", "YAS_BOND_PX",hp!AT64, "SETTLE_DT", TEXT(ya!$C64,"YYYYMMDD")))</f>
        <v>0</v>
      </c>
      <c r="AU64" s="2" cm="1">
        <f t="array" ref="AU64">IF(hp!AU64=0,0,_xll.BDP(AU$4,"YAS_BOND_YLD", "YAS_BOND_PX",hp!AU64, "SETTLE_DT", TEXT(ya!$C64,"YYYYMMDD")))</f>
        <v>0</v>
      </c>
      <c r="AV64" s="2" cm="1">
        <f t="array" ref="AV64">IF(hp!AV64=0,0,_xll.BDP(AV$4,"YAS_BOND_YLD", "YAS_BOND_PX",hp!AV64, "SETTLE_DT", TEXT(ya!$C64,"YYYYMMDD")))</f>
        <v>0</v>
      </c>
      <c r="AW64" s="2" cm="1">
        <f t="array" ref="AW64">IF(hp!AW64=0,0,_xll.BDP(AW$4,"YAS_BOND_YLD", "YAS_BOND_PX",hp!AW64, "SETTLE_DT", TEXT(ya!$C64,"YYYYMMDD")))</f>
        <v>0</v>
      </c>
      <c r="AX64" s="2" cm="1">
        <f t="array" ref="AX64">IF(hp!AX64=0,0,_xll.BDP(AX$4,"YAS_BOND_YLD", "YAS_BOND_PX",hp!AX64, "SETTLE_DT", TEXT(ya!$C64,"YYYYMMDD")))</f>
        <v>0</v>
      </c>
      <c r="AY64" s="2" cm="1">
        <f t="array" ref="AY64">IF(hp!AY64=0,0,_xll.BDP(AY$4,"YAS_BOND_YLD", "YAS_BOND_PX",hp!AY64, "SETTLE_DT", TEXT(ya!$C64,"YYYYMMDD")))</f>
        <v>0</v>
      </c>
      <c r="AZ64" s="2" cm="1">
        <f t="array" ref="AZ64">IF(hp!AZ64=0,0,_xll.BDP(AZ$4,"YAS_BOND_YLD", "YAS_BOND_PX",hp!AZ64, "SETTLE_DT", TEXT(ya!$C64,"YYYYMMDD")))</f>
        <v>0</v>
      </c>
    </row>
    <row r="65" spans="1:52" x14ac:dyDescent="0.25">
      <c r="A65" s="1"/>
      <c r="B65" s="2"/>
      <c r="C65" s="1">
        <v>43889</v>
      </c>
      <c r="D65" s="2" cm="1">
        <f t="array" ref="D65">IF(hp!D65=0,0,_xll.BDP(D$4,"YAS_BOND_YLD", "YAS_BOND_PX",hp!D65, "SETTLE_DT", TEXT(ya!$C65,"YYYYMMDD")))</f>
        <v>0</v>
      </c>
      <c r="E65" s="2" cm="1">
        <f t="array" ref="E65">IF(hp!E65=0,0,_xll.BDP(E$4,"YAS_BOND_YLD", "YAS_BOND_PX",hp!E65, "SETTLE_DT", TEXT(ya!$C65,"YYYYMMDD")))</f>
        <v>6.9531999999999998</v>
      </c>
      <c r="F65" s="2" cm="1">
        <f t="array" ref="F65">IF(hp!F65=0,0,_xll.BDP(F$4,"YAS_BOND_YLD", "YAS_BOND_PX",hp!F65, "SETTLE_DT", TEXT(ya!$C65,"YYYYMMDD")))</f>
        <v>6.5052000000000003</v>
      </c>
      <c r="G65" s="2" cm="1">
        <f t="array" ref="G65">IF(hp!G65=0,0,_xll.BDP(G$4,"YAS_BOND_YLD", "YAS_BOND_PX",hp!G65, "SETTLE_DT", TEXT(ya!$C65,"YYYYMMDD")))</f>
        <v>3.23</v>
      </c>
      <c r="H65" s="2" cm="1">
        <f t="array" ref="H65">IF(hp!H65=0,0,_xll.BDP(H$4,"YAS_BOND_YLD", "YAS_BOND_PX",hp!H65, "SETTLE_DT", TEXT(ya!$C65,"YYYYMMDD")))</f>
        <v>6.7633999999999999</v>
      </c>
      <c r="I65" s="2" cm="1">
        <f t="array" ref="I65">IF(hp!I65=0,0,_xll.BDP(I$4,"YAS_BOND_YLD", "YAS_BOND_PX",hp!I65, "SETTLE_DT", TEXT(ya!$C65,"YYYYMMDD")))</f>
        <v>0</v>
      </c>
      <c r="J65" s="2" cm="1">
        <f t="array" ref="J65">IF(hp!J65=0,0,_xll.BDP(J$4,"YAS_BOND_YLD", "YAS_BOND_PX",hp!J65, "SETTLE_DT", TEXT(ya!$C65,"YYYYMMDD")))</f>
        <v>3.5880999999999998</v>
      </c>
      <c r="K65" s="2" cm="1">
        <f t="array" ref="K65">IF(hp!K65=0,0,_xll.BDP(K$4,"YAS_BOND_YLD", "YAS_BOND_PX",hp!K65, "SETTLE_DT", TEXT(ya!$C65,"YYYYMMDD")))</f>
        <v>0</v>
      </c>
      <c r="L65" s="2" cm="1">
        <f t="array" ref="L65">IF(hp!L65=0,0,_xll.BDP(L$4,"YAS_BOND_YLD", "YAS_BOND_PX",hp!L65, "SETTLE_DT", TEXT(ya!$C65,"YYYYMMDD")))</f>
        <v>3.0066000000000002</v>
      </c>
      <c r="M65" s="2" cm="1">
        <f t="array" ref="M65">IF(hp!M65=0,0,_xll.BDP(M$4,"YAS_BOND_YLD", "YAS_BOND_PX",hp!M65, "SETTLE_DT", TEXT(ya!$C65,"YYYYMMDD")))</f>
        <v>2.7927999999999997</v>
      </c>
      <c r="N65" s="2" cm="1">
        <f t="array" ref="N65">IF(hp!N65=0,0,_xll.BDP(N$4,"YAS_BOND_YLD", "YAS_BOND_PX",hp!N65, "SETTLE_DT", TEXT(ya!$C65,"YYYYMMDD")))</f>
        <v>2.5634999999999999</v>
      </c>
      <c r="O65" s="2" cm="1">
        <f t="array" ref="O65">IF(hp!O65=0,0,_xll.BDP(O$4,"YAS_BOND_YLD", "YAS_BOND_PX",hp!O65, "SETTLE_DT", TEXT(ya!$C65,"YYYYMMDD")))</f>
        <v>0</v>
      </c>
      <c r="P65" s="2" cm="1">
        <f t="array" ref="P65">IF(hp!P65=0,0,_xll.BDP(P$4,"YAS_BOND_YLD", "YAS_BOND_PX",hp!P65, "SETTLE_DT", TEXT(ya!$C65,"YYYYMMDD")))</f>
        <v>0</v>
      </c>
      <c r="Q65" s="2" cm="1">
        <f t="array" ref="Q65">IF(hp!Q65=0,0,_xll.BDP(Q$4,"YAS_BOND_YLD", "YAS_BOND_PX",hp!Q65, "SETTLE_DT", TEXT(ya!$C65,"YYYYMMDD")))</f>
        <v>3.5822000000000003</v>
      </c>
      <c r="R65" s="2" cm="1">
        <f t="array" ref="R65">IF(hp!R65=0,0,_xll.BDP(R$4,"YAS_BOND_YLD", "YAS_BOND_PX",hp!R65, "SETTLE_DT", TEXT(ya!$C65,"YYYYMMDD")))</f>
        <v>0</v>
      </c>
      <c r="S65" s="2" cm="1">
        <f t="array" ref="S65">IF(hp!S65=0,0,_xll.BDP(S$4,"YAS_BOND_YLD", "YAS_BOND_PX",hp!S65, "SETTLE_DT", TEXT(ya!$C65,"YYYYMMDD")))</f>
        <v>0</v>
      </c>
      <c r="T65" s="2" cm="1">
        <f t="array" ref="T65">IF(hp!T65=0,0,_xll.BDP(T$4,"YAS_BOND_YLD", "YAS_BOND_PX",hp!T65, "SETTLE_DT", TEXT(ya!$C65,"YYYYMMDD")))</f>
        <v>0</v>
      </c>
      <c r="U65" s="2" cm="1">
        <f t="array" ref="U65">IF(hp!U65=0,0,_xll.BDP(U$4,"YAS_BOND_YLD", "YAS_BOND_PX",hp!U65, "SETTLE_DT", TEXT(ya!$C65,"YYYYMMDD")))</f>
        <v>3.4596</v>
      </c>
      <c r="V65" s="2" cm="1">
        <f t="array" ref="V65">IF(hp!V65=0,0,_xll.BDP(V$4,"YAS_BOND_YLD", "YAS_BOND_PX",hp!V65, "SETTLE_DT", TEXT(ya!$C65,"YYYYMMDD")))</f>
        <v>0</v>
      </c>
      <c r="W65" s="2" cm="1">
        <f t="array" ref="W65">IF(hp!W65=0,0,_xll.BDP(W$4,"YAS_BOND_YLD", "YAS_BOND_PX",hp!W65, "SETTLE_DT", TEXT(ya!$C65,"YYYYMMDD")))</f>
        <v>0</v>
      </c>
      <c r="X65" s="2" cm="1">
        <f t="array" ref="X65">IF(hp!X65=0,0,_xll.BDP(X$4,"YAS_BOND_YLD", "YAS_BOND_PX",hp!X65, "SETTLE_DT", TEXT(ya!$C65,"YYYYMMDD")))</f>
        <v>0</v>
      </c>
      <c r="Y65" s="2" cm="1">
        <f t="array" ref="Y65">IF(hp!Y65=0,0,_xll.BDP(Y$4,"YAS_BOND_YLD", "YAS_BOND_PX",hp!Y65, "SETTLE_DT", TEXT(ya!$C65,"YYYYMMDD")))</f>
        <v>0</v>
      </c>
      <c r="Z65" s="2" cm="1">
        <f t="array" ref="Z65">IF(hp!Z65=0,0,_xll.BDP(Z$4,"YAS_BOND_YLD", "YAS_BOND_PX",hp!Z65, "SETTLE_DT", TEXT(ya!$C65,"YYYYMMDD")))</f>
        <v>0</v>
      </c>
      <c r="AA65" s="2" cm="1">
        <f t="array" ref="AA65">IF(hp!AA65=0,0,_xll.BDP(AA$4,"YAS_BOND_YLD", "YAS_BOND_PX",hp!AA65, "SETTLE_DT", TEXT(ya!$C65,"YYYYMMDD")))</f>
        <v>0</v>
      </c>
      <c r="AB65" s="2" cm="1">
        <f t="array" ref="AB65">IF(hp!AB65=0,0,_xll.BDP(AB$4,"YAS_BOND_YLD", "YAS_BOND_PX",hp!AB65, "SETTLE_DT", TEXT(ya!$C65,"YYYYMMDD")))</f>
        <v>0</v>
      </c>
      <c r="AC65" s="2" cm="1">
        <f t="array" ref="AC65">IF(hp!AC65=0,0,_xll.BDP(AC$4,"YAS_BOND_YLD", "YAS_BOND_PX",hp!AC65, "SETTLE_DT", TEXT(ya!$C65,"YYYYMMDD")))</f>
        <v>0</v>
      </c>
      <c r="AD65" s="2" cm="1">
        <f t="array" ref="AD65">IF(hp!AD65=0,0,_xll.BDP(AD$4,"YAS_BOND_YLD", "YAS_BOND_PX",hp!AD65, "SETTLE_DT", TEXT(ya!$C65,"YYYYMMDD")))</f>
        <v>3.5972</v>
      </c>
      <c r="AE65" s="2" cm="1">
        <f t="array" ref="AE65">IF(hp!AE65=0,0,_xll.BDP(AE$4,"YAS_BOND_YLD", "YAS_BOND_PX",hp!AE65, "SETTLE_DT", TEXT(ya!$C65,"YYYYMMDD")))</f>
        <v>0</v>
      </c>
      <c r="AF65" s="2" cm="1">
        <f t="array" ref="AF65">IF(hp!AF65=0,0,_xll.BDP(AF$4,"YAS_BOND_YLD", "YAS_BOND_PX",hp!AF65, "SETTLE_DT", TEXT(ya!$C65,"YYYYMMDD")))</f>
        <v>0</v>
      </c>
      <c r="AG65" s="2" cm="1">
        <f t="array" ref="AG65">IF(hp!AG65=0,0,_xll.BDP(AG$4,"YAS_BOND_YLD", "YAS_BOND_PX",hp!AG65, "SETTLE_DT", TEXT(ya!$C65,"YYYYMMDD")))</f>
        <v>0</v>
      </c>
      <c r="AH65" s="2" cm="1">
        <f t="array" ref="AH65">IF(hp!AH65=0,0,_xll.BDP(AH$4,"YAS_BOND_YLD", "YAS_BOND_PX",hp!AH65, "SETTLE_DT", TEXT(ya!$C65,"YYYYMMDD")))</f>
        <v>0</v>
      </c>
      <c r="AI65" s="2" cm="1">
        <f t="array" ref="AI65">IF(hp!AI65=0,0,_xll.BDP(AI$4,"YAS_BOND_YLD", "YAS_BOND_PX",hp!AI65, "SETTLE_DT", TEXT(ya!$C65,"YYYYMMDD")))</f>
        <v>0</v>
      </c>
      <c r="AJ65" s="2" cm="1">
        <f t="array" ref="AJ65">IF(hp!AJ65=0,0,_xll.BDP(AJ$4,"YAS_BOND_YLD", "YAS_BOND_PX",hp!AJ65, "SETTLE_DT", TEXT(ya!$C65,"YYYYMMDD")))</f>
        <v>0</v>
      </c>
      <c r="AK65" s="2" cm="1">
        <f t="array" ref="AK65">IF(hp!AK65=0,0,_xll.BDP(AK$4,"YAS_BOND_YLD", "YAS_BOND_PX",hp!AK65, "SETTLE_DT", TEXT(ya!$C65,"YYYYMMDD")))</f>
        <v>0</v>
      </c>
      <c r="AL65" s="2" cm="1">
        <f t="array" ref="AL65">IF(hp!AL65=0,0,_xll.BDP(AL$4,"YAS_BOND_YLD", "YAS_BOND_PX",hp!AL65, "SETTLE_DT", TEXT(ya!$C65,"YYYYMMDD")))</f>
        <v>0</v>
      </c>
      <c r="AM65" s="2" cm="1">
        <f t="array" ref="AM65">IF(hp!AM65=0,0,_xll.BDP(AM$4,"YAS_BOND_YLD", "YAS_BOND_PX",hp!AM65, "SETTLE_DT", TEXT(ya!$C65,"YYYYMMDD")))</f>
        <v>0</v>
      </c>
      <c r="AN65" s="2" cm="1">
        <f t="array" ref="AN65">IF(hp!AN65=0,0,_xll.BDP(AN$4,"YAS_BOND_YLD", "YAS_BOND_PX",hp!AN65, "SETTLE_DT", TEXT(ya!$C65,"YYYYMMDD")))</f>
        <v>0</v>
      </c>
      <c r="AO65" s="2" cm="1">
        <f t="array" ref="AO65">IF(hp!AO65=0,0,_xll.BDP(AO$4,"YAS_BOND_YLD", "YAS_BOND_PX",hp!AO65, "SETTLE_DT", TEXT(ya!$C65,"YYYYMMDD")))</f>
        <v>0</v>
      </c>
      <c r="AP65" s="2" cm="1">
        <f t="array" ref="AP65">IF(hp!AP65=0,0,_xll.BDP(AP$4,"YAS_BOND_YLD", "YAS_BOND_PX",hp!AP65, "SETTLE_DT", TEXT(ya!$C65,"YYYYMMDD")))</f>
        <v>0</v>
      </c>
      <c r="AQ65" s="2" cm="1">
        <f t="array" ref="AQ65">IF(hp!AQ65=0,0,_xll.BDP(AQ$4,"YAS_BOND_YLD", "YAS_BOND_PX",hp!AQ65, "SETTLE_DT", TEXT(ya!$C65,"YYYYMMDD")))</f>
        <v>0</v>
      </c>
      <c r="AR65" s="2" cm="1">
        <f t="array" ref="AR65">IF(hp!AR65=0,0,_xll.BDP(AR$4,"YAS_BOND_YLD", "YAS_BOND_PX",hp!AR65, "SETTLE_DT", TEXT(ya!$C65,"YYYYMMDD")))</f>
        <v>2.5822000000000003</v>
      </c>
      <c r="AS65" s="2" cm="1">
        <f t="array" ref="AS65">IF(hp!AS65=0,0,_xll.BDP(AS$4,"YAS_BOND_YLD", "YAS_BOND_PX",hp!AS65, "SETTLE_DT", TEXT(ya!$C65,"YYYYMMDD")))</f>
        <v>0</v>
      </c>
      <c r="AT65" s="2" cm="1">
        <f t="array" ref="AT65">IF(hp!AT65=0,0,_xll.BDP(AT$4,"YAS_BOND_YLD", "YAS_BOND_PX",hp!AT65, "SETTLE_DT", TEXT(ya!$C65,"YYYYMMDD")))</f>
        <v>0</v>
      </c>
      <c r="AU65" s="2" cm="1">
        <f t="array" ref="AU65">IF(hp!AU65=0,0,_xll.BDP(AU$4,"YAS_BOND_YLD", "YAS_BOND_PX",hp!AU65, "SETTLE_DT", TEXT(ya!$C65,"YYYYMMDD")))</f>
        <v>0</v>
      </c>
      <c r="AV65" s="2" cm="1">
        <f t="array" ref="AV65">IF(hp!AV65=0,0,_xll.BDP(AV$4,"YAS_BOND_YLD", "YAS_BOND_PX",hp!AV65, "SETTLE_DT", TEXT(ya!$C65,"YYYYMMDD")))</f>
        <v>0</v>
      </c>
      <c r="AW65" s="2" cm="1">
        <f t="array" ref="AW65">IF(hp!AW65=0,0,_xll.BDP(AW$4,"YAS_BOND_YLD", "YAS_BOND_PX",hp!AW65, "SETTLE_DT", TEXT(ya!$C65,"YYYYMMDD")))</f>
        <v>0</v>
      </c>
      <c r="AX65" s="2" cm="1">
        <f t="array" ref="AX65">IF(hp!AX65=0,0,_xll.BDP(AX$4,"YAS_BOND_YLD", "YAS_BOND_PX",hp!AX65, "SETTLE_DT", TEXT(ya!$C65,"YYYYMMDD")))</f>
        <v>0</v>
      </c>
      <c r="AY65" s="2" cm="1">
        <f t="array" ref="AY65">IF(hp!AY65=0,0,_xll.BDP(AY$4,"YAS_BOND_YLD", "YAS_BOND_PX",hp!AY65, "SETTLE_DT", TEXT(ya!$C65,"YYYYMMDD")))</f>
        <v>0</v>
      </c>
      <c r="AZ65" s="2" cm="1">
        <f t="array" ref="AZ65">IF(hp!AZ65=0,0,_xll.BDP(AZ$4,"YAS_BOND_YLD", "YAS_BOND_PX",hp!AZ65, "SETTLE_DT", TEXT(ya!$C65,"YYYYMMDD")))</f>
        <v>0</v>
      </c>
    </row>
    <row r="66" spans="1:52" x14ac:dyDescent="0.25">
      <c r="A66" s="1"/>
      <c r="B66" s="2"/>
      <c r="C66" s="1">
        <v>43921</v>
      </c>
      <c r="D66" s="2" cm="1">
        <f t="array" ref="D66">IF(hp!D66=0,0,_xll.BDP(D$4,"YAS_BOND_YLD", "YAS_BOND_PX",hp!D66, "SETTLE_DT", TEXT(ya!$C66,"YYYYMMDD")))</f>
        <v>0</v>
      </c>
      <c r="E66" s="2" cm="1">
        <f t="array" ref="E66">IF(hp!E66=0,0,_xll.BDP(E$4,"YAS_BOND_YLD", "YAS_BOND_PX",hp!E66, "SETTLE_DT", TEXT(ya!$C66,"YYYYMMDD")))</f>
        <v>7.9050000000000002</v>
      </c>
      <c r="F66" s="2" cm="1">
        <f t="array" ref="F66">IF(hp!F66=0,0,_xll.BDP(F$4,"YAS_BOND_YLD", "YAS_BOND_PX",hp!F66, "SETTLE_DT", TEXT(ya!$C66,"YYYYMMDD")))</f>
        <v>7.3422999999999998</v>
      </c>
      <c r="G66" s="2" cm="1">
        <f t="array" ref="G66">IF(hp!G66=0,0,_xll.BDP(G$4,"YAS_BOND_YLD", "YAS_BOND_PX",hp!G66, "SETTLE_DT", TEXT(ya!$C66,"YYYYMMDD")))</f>
        <v>4.3170999999999999</v>
      </c>
      <c r="H66" s="2" cm="1">
        <f t="array" ref="H66">IF(hp!H66=0,0,_xll.BDP(H$4,"YAS_BOND_YLD", "YAS_BOND_PX",hp!H66, "SETTLE_DT", TEXT(ya!$C66,"YYYYMMDD")))</f>
        <v>7.6858000000000004</v>
      </c>
      <c r="I66" s="2" cm="1">
        <f t="array" ref="I66">IF(hp!I66=0,0,_xll.BDP(I$4,"YAS_BOND_YLD", "YAS_BOND_PX",hp!I66, "SETTLE_DT", TEXT(ya!$C66,"YYYYMMDD")))</f>
        <v>0</v>
      </c>
      <c r="J66" s="2" cm="1">
        <f t="array" ref="J66">IF(hp!J66=0,0,_xll.BDP(J$4,"YAS_BOND_YLD", "YAS_BOND_PX",hp!J66, "SETTLE_DT", TEXT(ya!$C66,"YYYYMMDD")))</f>
        <v>4.5664999999999996</v>
      </c>
      <c r="K66" s="2" cm="1">
        <f t="array" ref="K66">IF(hp!K66=0,0,_xll.BDP(K$4,"YAS_BOND_YLD", "YAS_BOND_PX",hp!K66, "SETTLE_DT", TEXT(ya!$C66,"YYYYMMDD")))</f>
        <v>0</v>
      </c>
      <c r="L66" s="2" cm="1">
        <f t="array" ref="L66">IF(hp!L66=0,0,_xll.BDP(L$4,"YAS_BOND_YLD", "YAS_BOND_PX",hp!L66, "SETTLE_DT", TEXT(ya!$C66,"YYYYMMDD")))</f>
        <v>3.9849000000000001</v>
      </c>
      <c r="M66" s="2" cm="1">
        <f t="array" ref="M66">IF(hp!M66=0,0,_xll.BDP(M$4,"YAS_BOND_YLD", "YAS_BOND_PX",hp!M66, "SETTLE_DT", TEXT(ya!$C66,"YYYYMMDD")))</f>
        <v>3.6968999999999999</v>
      </c>
      <c r="N66" s="2" cm="1">
        <f t="array" ref="N66">IF(hp!N66=0,0,_xll.BDP(N$4,"YAS_BOND_YLD", "YAS_BOND_PX",hp!N66, "SETTLE_DT", TEXT(ya!$C66,"YYYYMMDD")))</f>
        <v>3.5301</v>
      </c>
      <c r="O66" s="2" cm="1">
        <f t="array" ref="O66">IF(hp!O66=0,0,_xll.BDP(O$4,"YAS_BOND_YLD", "YAS_BOND_PX",hp!O66, "SETTLE_DT", TEXT(ya!$C66,"YYYYMMDD")))</f>
        <v>0</v>
      </c>
      <c r="P66" s="2" cm="1">
        <f t="array" ref="P66">IF(hp!P66=0,0,_xll.BDP(P$4,"YAS_BOND_YLD", "YAS_BOND_PX",hp!P66, "SETTLE_DT", TEXT(ya!$C66,"YYYYMMDD")))</f>
        <v>0</v>
      </c>
      <c r="Q66" s="2" cm="1">
        <f t="array" ref="Q66">IF(hp!Q66=0,0,_xll.BDP(Q$4,"YAS_BOND_YLD", "YAS_BOND_PX",hp!Q66, "SETTLE_DT", TEXT(ya!$C66,"YYYYMMDD")))</f>
        <v>4.5468999999999999</v>
      </c>
      <c r="R66" s="2" cm="1">
        <f t="array" ref="R66">IF(hp!R66=0,0,_xll.BDP(R$4,"YAS_BOND_YLD", "YAS_BOND_PX",hp!R66, "SETTLE_DT", TEXT(ya!$C66,"YYYYMMDD")))</f>
        <v>0</v>
      </c>
      <c r="S66" s="2" cm="1">
        <f t="array" ref="S66">IF(hp!S66=0,0,_xll.BDP(S$4,"YAS_BOND_YLD", "YAS_BOND_PX",hp!S66, "SETTLE_DT", TEXT(ya!$C66,"YYYYMMDD")))</f>
        <v>0</v>
      </c>
      <c r="T66" s="2" cm="1">
        <f t="array" ref="T66">IF(hp!T66=0,0,_xll.BDP(T$4,"YAS_BOND_YLD", "YAS_BOND_PX",hp!T66, "SETTLE_DT", TEXT(ya!$C66,"YYYYMMDD")))</f>
        <v>0</v>
      </c>
      <c r="U66" s="2" cm="1">
        <f t="array" ref="U66">IF(hp!U66=0,0,_xll.BDP(U$4,"YAS_BOND_YLD", "YAS_BOND_PX",hp!U66, "SETTLE_DT", TEXT(ya!$C66,"YYYYMMDD")))</f>
        <v>4.4070999999999998</v>
      </c>
      <c r="V66" s="2" cm="1">
        <f t="array" ref="V66">IF(hp!V66=0,0,_xll.BDP(V$4,"YAS_BOND_YLD", "YAS_BOND_PX",hp!V66, "SETTLE_DT", TEXT(ya!$C66,"YYYYMMDD")))</f>
        <v>0</v>
      </c>
      <c r="W66" s="2" cm="1">
        <f t="array" ref="W66">IF(hp!W66=0,0,_xll.BDP(W$4,"YAS_BOND_YLD", "YAS_BOND_PX",hp!W66, "SETTLE_DT", TEXT(ya!$C66,"YYYYMMDD")))</f>
        <v>0</v>
      </c>
      <c r="X66" s="2" cm="1">
        <f t="array" ref="X66">IF(hp!X66=0,0,_xll.BDP(X$4,"YAS_BOND_YLD", "YAS_BOND_PX",hp!X66, "SETTLE_DT", TEXT(ya!$C66,"YYYYMMDD")))</f>
        <v>0</v>
      </c>
      <c r="Y66" s="2" cm="1">
        <f t="array" ref="Y66">IF(hp!Y66=0,0,_xll.BDP(Y$4,"YAS_BOND_YLD", "YAS_BOND_PX",hp!Y66, "SETTLE_DT", TEXT(ya!$C66,"YYYYMMDD")))</f>
        <v>0</v>
      </c>
      <c r="Z66" s="2" cm="1">
        <f t="array" ref="Z66">IF(hp!Z66=0,0,_xll.BDP(Z$4,"YAS_BOND_YLD", "YAS_BOND_PX",hp!Z66, "SETTLE_DT", TEXT(ya!$C66,"YYYYMMDD")))</f>
        <v>0</v>
      </c>
      <c r="AA66" s="2" cm="1">
        <f t="array" ref="AA66">IF(hp!AA66=0,0,_xll.BDP(AA$4,"YAS_BOND_YLD", "YAS_BOND_PX",hp!AA66, "SETTLE_DT", TEXT(ya!$C66,"YYYYMMDD")))</f>
        <v>0</v>
      </c>
      <c r="AB66" s="2" cm="1">
        <f t="array" ref="AB66">IF(hp!AB66=0,0,_xll.BDP(AB$4,"YAS_BOND_YLD", "YAS_BOND_PX",hp!AB66, "SETTLE_DT", TEXT(ya!$C66,"YYYYMMDD")))</f>
        <v>0</v>
      </c>
      <c r="AC66" s="2" cm="1">
        <f t="array" ref="AC66">IF(hp!AC66=0,0,_xll.BDP(AC$4,"YAS_BOND_YLD", "YAS_BOND_PX",hp!AC66, "SETTLE_DT", TEXT(ya!$C66,"YYYYMMDD")))</f>
        <v>0</v>
      </c>
      <c r="AD66" s="2" cm="1">
        <f t="array" ref="AD66">IF(hp!AD66=0,0,_xll.BDP(AD$4,"YAS_BOND_YLD", "YAS_BOND_PX",hp!AD66, "SETTLE_DT", TEXT(ya!$C66,"YYYYMMDD")))</f>
        <v>4.5588999999999995</v>
      </c>
      <c r="AE66" s="2" cm="1">
        <f t="array" ref="AE66">IF(hp!AE66=0,0,_xll.BDP(AE$4,"YAS_BOND_YLD", "YAS_BOND_PX",hp!AE66, "SETTLE_DT", TEXT(ya!$C66,"YYYYMMDD")))</f>
        <v>0</v>
      </c>
      <c r="AF66" s="2" cm="1">
        <f t="array" ref="AF66">IF(hp!AF66=0,0,_xll.BDP(AF$4,"YAS_BOND_YLD", "YAS_BOND_PX",hp!AF66, "SETTLE_DT", TEXT(ya!$C66,"YYYYMMDD")))</f>
        <v>0</v>
      </c>
      <c r="AG66" s="2" cm="1">
        <f t="array" ref="AG66">IF(hp!AG66=0,0,_xll.BDP(AG$4,"YAS_BOND_YLD", "YAS_BOND_PX",hp!AG66, "SETTLE_DT", TEXT(ya!$C66,"YYYYMMDD")))</f>
        <v>0</v>
      </c>
      <c r="AH66" s="2" cm="1">
        <f t="array" ref="AH66">IF(hp!AH66=0,0,_xll.BDP(AH$4,"YAS_BOND_YLD", "YAS_BOND_PX",hp!AH66, "SETTLE_DT", TEXT(ya!$C66,"YYYYMMDD")))</f>
        <v>0</v>
      </c>
      <c r="AI66" s="2" cm="1">
        <f t="array" ref="AI66">IF(hp!AI66=0,0,_xll.BDP(AI$4,"YAS_BOND_YLD", "YAS_BOND_PX",hp!AI66, "SETTLE_DT", TEXT(ya!$C66,"YYYYMMDD")))</f>
        <v>0</v>
      </c>
      <c r="AJ66" s="2" cm="1">
        <f t="array" ref="AJ66">IF(hp!AJ66=0,0,_xll.BDP(AJ$4,"YAS_BOND_YLD", "YAS_BOND_PX",hp!AJ66, "SETTLE_DT", TEXT(ya!$C66,"YYYYMMDD")))</f>
        <v>0</v>
      </c>
      <c r="AK66" s="2" cm="1">
        <f t="array" ref="AK66">IF(hp!AK66=0,0,_xll.BDP(AK$4,"YAS_BOND_YLD", "YAS_BOND_PX",hp!AK66, "SETTLE_DT", TEXT(ya!$C66,"YYYYMMDD")))</f>
        <v>0</v>
      </c>
      <c r="AL66" s="2" cm="1">
        <f t="array" ref="AL66">IF(hp!AL66=0,0,_xll.BDP(AL$4,"YAS_BOND_YLD", "YAS_BOND_PX",hp!AL66, "SETTLE_DT", TEXT(ya!$C66,"YYYYMMDD")))</f>
        <v>0</v>
      </c>
      <c r="AM66" s="2" cm="1">
        <f t="array" ref="AM66">IF(hp!AM66=0,0,_xll.BDP(AM$4,"YAS_BOND_YLD", "YAS_BOND_PX",hp!AM66, "SETTLE_DT", TEXT(ya!$C66,"YYYYMMDD")))</f>
        <v>0</v>
      </c>
      <c r="AN66" s="2" cm="1">
        <f t="array" ref="AN66">IF(hp!AN66=0,0,_xll.BDP(AN$4,"YAS_BOND_YLD", "YAS_BOND_PX",hp!AN66, "SETTLE_DT", TEXT(ya!$C66,"YYYYMMDD")))</f>
        <v>0</v>
      </c>
      <c r="AO66" s="2" cm="1">
        <f t="array" ref="AO66">IF(hp!AO66=0,0,_xll.BDP(AO$4,"YAS_BOND_YLD", "YAS_BOND_PX",hp!AO66, "SETTLE_DT", TEXT(ya!$C66,"YYYYMMDD")))</f>
        <v>0</v>
      </c>
      <c r="AP66" s="2" cm="1">
        <f t="array" ref="AP66">IF(hp!AP66=0,0,_xll.BDP(AP$4,"YAS_BOND_YLD", "YAS_BOND_PX",hp!AP66, "SETTLE_DT", TEXT(ya!$C66,"YYYYMMDD")))</f>
        <v>0</v>
      </c>
      <c r="AQ66" s="2" cm="1">
        <f t="array" ref="AQ66">IF(hp!AQ66=0,0,_xll.BDP(AQ$4,"YAS_BOND_YLD", "YAS_BOND_PX",hp!AQ66, "SETTLE_DT", TEXT(ya!$C66,"YYYYMMDD")))</f>
        <v>0</v>
      </c>
      <c r="AR66" s="2" cm="1">
        <f t="array" ref="AR66">IF(hp!AR66=0,0,_xll.BDP(AR$4,"YAS_BOND_YLD", "YAS_BOND_PX",hp!AR66, "SETTLE_DT", TEXT(ya!$C66,"YYYYMMDD")))</f>
        <v>3.5114999999999998</v>
      </c>
      <c r="AS66" s="2" cm="1">
        <f t="array" ref="AS66">IF(hp!AS66=0,0,_xll.BDP(AS$4,"YAS_BOND_YLD", "YAS_BOND_PX",hp!AS66, "SETTLE_DT", TEXT(ya!$C66,"YYYYMMDD")))</f>
        <v>0</v>
      </c>
      <c r="AT66" s="2" cm="1">
        <f t="array" ref="AT66">IF(hp!AT66=0,0,_xll.BDP(AT$4,"YAS_BOND_YLD", "YAS_BOND_PX",hp!AT66, "SETTLE_DT", TEXT(ya!$C66,"YYYYMMDD")))</f>
        <v>0</v>
      </c>
      <c r="AU66" s="2" cm="1">
        <f t="array" ref="AU66">IF(hp!AU66=0,0,_xll.BDP(AU$4,"YAS_BOND_YLD", "YAS_BOND_PX",hp!AU66, "SETTLE_DT", TEXT(ya!$C66,"YYYYMMDD")))</f>
        <v>0</v>
      </c>
      <c r="AV66" s="2" cm="1">
        <f t="array" ref="AV66">IF(hp!AV66=0,0,_xll.BDP(AV$4,"YAS_BOND_YLD", "YAS_BOND_PX",hp!AV66, "SETTLE_DT", TEXT(ya!$C66,"YYYYMMDD")))</f>
        <v>0</v>
      </c>
      <c r="AW66" s="2" cm="1">
        <f t="array" ref="AW66">IF(hp!AW66=0,0,_xll.BDP(AW$4,"YAS_BOND_YLD", "YAS_BOND_PX",hp!AW66, "SETTLE_DT", TEXT(ya!$C66,"YYYYMMDD")))</f>
        <v>0</v>
      </c>
      <c r="AX66" s="2" cm="1">
        <f t="array" ref="AX66">IF(hp!AX66=0,0,_xll.BDP(AX$4,"YAS_BOND_YLD", "YAS_BOND_PX",hp!AX66, "SETTLE_DT", TEXT(ya!$C66,"YYYYMMDD")))</f>
        <v>0</v>
      </c>
      <c r="AY66" s="2" cm="1">
        <f t="array" ref="AY66">IF(hp!AY66=0,0,_xll.BDP(AY$4,"YAS_BOND_YLD", "YAS_BOND_PX",hp!AY66, "SETTLE_DT", TEXT(ya!$C66,"YYYYMMDD")))</f>
        <v>0</v>
      </c>
      <c r="AZ66" s="2" cm="1">
        <f t="array" ref="AZ66">IF(hp!AZ66=0,0,_xll.BDP(AZ$4,"YAS_BOND_YLD", "YAS_BOND_PX",hp!AZ66, "SETTLE_DT", TEXT(ya!$C66,"YYYYMMDD")))</f>
        <v>0</v>
      </c>
    </row>
    <row r="67" spans="1:52" x14ac:dyDescent="0.25">
      <c r="A67" s="1"/>
      <c r="B67" s="2"/>
      <c r="C67" s="1">
        <v>43951</v>
      </c>
      <c r="D67" s="2" cm="1">
        <f t="array" ref="D67">IF(hp!D67=0,0,_xll.BDP(D$4,"YAS_BOND_YLD", "YAS_BOND_PX",hp!D67, "SETTLE_DT", TEXT(ya!$C67,"YYYYMMDD")))</f>
        <v>0</v>
      </c>
      <c r="E67" s="2" cm="1">
        <f t="array" ref="E67">IF(hp!E67=0,0,_xll.BDP(E$4,"YAS_BOND_YLD", "YAS_BOND_PX",hp!E67, "SETTLE_DT", TEXT(ya!$C67,"YYYYMMDD")))</f>
        <v>7.7731000000000003</v>
      </c>
      <c r="F67" s="2" cm="1">
        <f t="array" ref="F67">IF(hp!F67=0,0,_xll.BDP(F$4,"YAS_BOND_YLD", "YAS_BOND_PX",hp!F67, "SETTLE_DT", TEXT(ya!$C67,"YYYYMMDD")))</f>
        <v>7.1228999999999996</v>
      </c>
      <c r="G67" s="2" cm="1">
        <f t="array" ref="G67">IF(hp!G67=0,0,_xll.BDP(G$4,"YAS_BOND_YLD", "YAS_BOND_PX",hp!G67, "SETTLE_DT", TEXT(ya!$C67,"YYYYMMDD")))</f>
        <v>4.1124999999999998</v>
      </c>
      <c r="H67" s="2" cm="1">
        <f t="array" ref="H67">IF(hp!H67=0,0,_xll.BDP(H$4,"YAS_BOND_YLD", "YAS_BOND_PX",hp!H67, "SETTLE_DT", TEXT(ya!$C67,"YYYYMMDD")))</f>
        <v>7.5242000000000004</v>
      </c>
      <c r="I67" s="2" cm="1">
        <f t="array" ref="I67">IF(hp!I67=0,0,_xll.BDP(I$4,"YAS_BOND_YLD", "YAS_BOND_PX",hp!I67, "SETTLE_DT", TEXT(ya!$C67,"YYYYMMDD")))</f>
        <v>0</v>
      </c>
      <c r="J67" s="2" cm="1">
        <f t="array" ref="J67">IF(hp!J67=0,0,_xll.BDP(J$4,"YAS_BOND_YLD", "YAS_BOND_PX",hp!J67, "SETTLE_DT", TEXT(ya!$C67,"YYYYMMDD")))</f>
        <v>4.4157999999999999</v>
      </c>
      <c r="K67" s="2" cm="1">
        <f t="array" ref="K67">IF(hp!K67=0,0,_xll.BDP(K$4,"YAS_BOND_YLD", "YAS_BOND_PX",hp!K67, "SETTLE_DT", TEXT(ya!$C67,"YYYYMMDD")))</f>
        <v>0</v>
      </c>
      <c r="L67" s="2" cm="1">
        <f t="array" ref="L67">IF(hp!L67=0,0,_xll.BDP(L$4,"YAS_BOND_YLD", "YAS_BOND_PX",hp!L67, "SETTLE_DT", TEXT(ya!$C67,"YYYYMMDD")))</f>
        <v>3.8033999999999999</v>
      </c>
      <c r="M67" s="2" cm="1">
        <f t="array" ref="M67">IF(hp!M67=0,0,_xll.BDP(M$4,"YAS_BOND_YLD", "YAS_BOND_PX",hp!M67, "SETTLE_DT", TEXT(ya!$C67,"YYYYMMDD")))</f>
        <v>3.5945999999999998</v>
      </c>
      <c r="N67" s="2" cm="1">
        <f t="array" ref="N67">IF(hp!N67=0,0,_xll.BDP(N$4,"YAS_BOND_YLD", "YAS_BOND_PX",hp!N67, "SETTLE_DT", TEXT(ya!$C67,"YYYYMMDD")))</f>
        <v>3.3235000000000001</v>
      </c>
      <c r="O67" s="2" cm="1">
        <f t="array" ref="O67">IF(hp!O67=0,0,_xll.BDP(O$4,"YAS_BOND_YLD", "YAS_BOND_PX",hp!O67, "SETTLE_DT", TEXT(ya!$C67,"YYYYMMDD")))</f>
        <v>0</v>
      </c>
      <c r="P67" s="2" cm="1">
        <f t="array" ref="P67">IF(hp!P67=0,0,_xll.BDP(P$4,"YAS_BOND_YLD", "YAS_BOND_PX",hp!P67, "SETTLE_DT", TEXT(ya!$C67,"YYYYMMDD")))</f>
        <v>0</v>
      </c>
      <c r="Q67" s="2" cm="1">
        <f t="array" ref="Q67">IF(hp!Q67=0,0,_xll.BDP(Q$4,"YAS_BOND_YLD", "YAS_BOND_PX",hp!Q67, "SETTLE_DT", TEXT(ya!$C67,"YYYYMMDD")))</f>
        <v>4.4160000000000004</v>
      </c>
      <c r="R67" s="2" cm="1">
        <f t="array" ref="R67">IF(hp!R67=0,0,_xll.BDP(R$4,"YAS_BOND_YLD", "YAS_BOND_PX",hp!R67, "SETTLE_DT", TEXT(ya!$C67,"YYYYMMDD")))</f>
        <v>0</v>
      </c>
      <c r="S67" s="2" cm="1">
        <f t="array" ref="S67">IF(hp!S67=0,0,_xll.BDP(S$4,"YAS_BOND_YLD", "YAS_BOND_PX",hp!S67, "SETTLE_DT", TEXT(ya!$C67,"YYYYMMDD")))</f>
        <v>0</v>
      </c>
      <c r="T67" s="2" cm="1">
        <f t="array" ref="T67">IF(hp!T67=0,0,_xll.BDP(T$4,"YAS_BOND_YLD", "YAS_BOND_PX",hp!T67, "SETTLE_DT", TEXT(ya!$C67,"YYYYMMDD")))</f>
        <v>0</v>
      </c>
      <c r="U67" s="2" cm="1">
        <f t="array" ref="U67">IF(hp!U67=0,0,_xll.BDP(U$4,"YAS_BOND_YLD", "YAS_BOND_PX",hp!U67, "SETTLE_DT", TEXT(ya!$C67,"YYYYMMDD")))</f>
        <v>4.3297999999999996</v>
      </c>
      <c r="V67" s="2" cm="1">
        <f t="array" ref="V67">IF(hp!V67=0,0,_xll.BDP(V$4,"YAS_BOND_YLD", "YAS_BOND_PX",hp!V67, "SETTLE_DT", TEXT(ya!$C67,"YYYYMMDD")))</f>
        <v>0</v>
      </c>
      <c r="W67" s="2" cm="1">
        <f t="array" ref="W67">IF(hp!W67=0,0,_xll.BDP(W$4,"YAS_BOND_YLD", "YAS_BOND_PX",hp!W67, "SETTLE_DT", TEXT(ya!$C67,"YYYYMMDD")))</f>
        <v>0</v>
      </c>
      <c r="X67" s="2" cm="1">
        <f t="array" ref="X67">IF(hp!X67=0,0,_xll.BDP(X$4,"YAS_BOND_YLD", "YAS_BOND_PX",hp!X67, "SETTLE_DT", TEXT(ya!$C67,"YYYYMMDD")))</f>
        <v>0</v>
      </c>
      <c r="Y67" s="2" cm="1">
        <f t="array" ref="Y67">IF(hp!Y67=0,0,_xll.BDP(Y$4,"YAS_BOND_YLD", "YAS_BOND_PX",hp!Y67, "SETTLE_DT", TEXT(ya!$C67,"YYYYMMDD")))</f>
        <v>0</v>
      </c>
      <c r="Z67" s="2" cm="1">
        <f t="array" ref="Z67">IF(hp!Z67=0,0,_xll.BDP(Z$4,"YAS_BOND_YLD", "YAS_BOND_PX",hp!Z67, "SETTLE_DT", TEXT(ya!$C67,"YYYYMMDD")))</f>
        <v>0</v>
      </c>
      <c r="AA67" s="2" cm="1">
        <f t="array" ref="AA67">IF(hp!AA67=0,0,_xll.BDP(AA$4,"YAS_BOND_YLD", "YAS_BOND_PX",hp!AA67, "SETTLE_DT", TEXT(ya!$C67,"YYYYMMDD")))</f>
        <v>0</v>
      </c>
      <c r="AB67" s="2" cm="1">
        <f t="array" ref="AB67">IF(hp!AB67=0,0,_xll.BDP(AB$4,"YAS_BOND_YLD", "YAS_BOND_PX",hp!AB67, "SETTLE_DT", TEXT(ya!$C67,"YYYYMMDD")))</f>
        <v>0</v>
      </c>
      <c r="AC67" s="2" cm="1">
        <f t="array" ref="AC67">IF(hp!AC67=0,0,_xll.BDP(AC$4,"YAS_BOND_YLD", "YAS_BOND_PX",hp!AC67, "SETTLE_DT", TEXT(ya!$C67,"YYYYMMDD")))</f>
        <v>0</v>
      </c>
      <c r="AD67" s="2" cm="1">
        <f t="array" ref="AD67">IF(hp!AD67=0,0,_xll.BDP(AD$4,"YAS_BOND_YLD", "YAS_BOND_PX",hp!AD67, "SETTLE_DT", TEXT(ya!$C67,"YYYYMMDD")))</f>
        <v>4.415</v>
      </c>
      <c r="AE67" s="2" cm="1">
        <f t="array" ref="AE67">IF(hp!AE67=0,0,_xll.BDP(AE$4,"YAS_BOND_YLD", "YAS_BOND_PX",hp!AE67, "SETTLE_DT", TEXT(ya!$C67,"YYYYMMDD")))</f>
        <v>0</v>
      </c>
      <c r="AF67" s="2" cm="1">
        <f t="array" ref="AF67">IF(hp!AF67=0,0,_xll.BDP(AF$4,"YAS_BOND_YLD", "YAS_BOND_PX",hp!AF67, "SETTLE_DT", TEXT(ya!$C67,"YYYYMMDD")))</f>
        <v>0</v>
      </c>
      <c r="AG67" s="2" cm="1">
        <f t="array" ref="AG67">IF(hp!AG67=0,0,_xll.BDP(AG$4,"YAS_BOND_YLD", "YAS_BOND_PX",hp!AG67, "SETTLE_DT", TEXT(ya!$C67,"YYYYMMDD")))</f>
        <v>0</v>
      </c>
      <c r="AH67" s="2" cm="1">
        <f t="array" ref="AH67">IF(hp!AH67=0,0,_xll.BDP(AH$4,"YAS_BOND_YLD", "YAS_BOND_PX",hp!AH67, "SETTLE_DT", TEXT(ya!$C67,"YYYYMMDD")))</f>
        <v>0</v>
      </c>
      <c r="AI67" s="2" cm="1">
        <f t="array" ref="AI67">IF(hp!AI67=0,0,_xll.BDP(AI$4,"YAS_BOND_YLD", "YAS_BOND_PX",hp!AI67, "SETTLE_DT", TEXT(ya!$C67,"YYYYMMDD")))</f>
        <v>0</v>
      </c>
      <c r="AJ67" s="2" cm="1">
        <f t="array" ref="AJ67">IF(hp!AJ67=0,0,_xll.BDP(AJ$4,"YAS_BOND_YLD", "YAS_BOND_PX",hp!AJ67, "SETTLE_DT", TEXT(ya!$C67,"YYYYMMDD")))</f>
        <v>0</v>
      </c>
      <c r="AK67" s="2" cm="1">
        <f t="array" ref="AK67">IF(hp!AK67=0,0,_xll.BDP(AK$4,"YAS_BOND_YLD", "YAS_BOND_PX",hp!AK67, "SETTLE_DT", TEXT(ya!$C67,"YYYYMMDD")))</f>
        <v>0</v>
      </c>
      <c r="AL67" s="2" cm="1">
        <f t="array" ref="AL67">IF(hp!AL67=0,0,_xll.BDP(AL$4,"YAS_BOND_YLD", "YAS_BOND_PX",hp!AL67, "SETTLE_DT", TEXT(ya!$C67,"YYYYMMDD")))</f>
        <v>0</v>
      </c>
      <c r="AM67" s="2" cm="1">
        <f t="array" ref="AM67">IF(hp!AM67=0,0,_xll.BDP(AM$4,"YAS_BOND_YLD", "YAS_BOND_PX",hp!AM67, "SETTLE_DT", TEXT(ya!$C67,"YYYYMMDD")))</f>
        <v>0</v>
      </c>
      <c r="AN67" s="2" cm="1">
        <f t="array" ref="AN67">IF(hp!AN67=0,0,_xll.BDP(AN$4,"YAS_BOND_YLD", "YAS_BOND_PX",hp!AN67, "SETTLE_DT", TEXT(ya!$C67,"YYYYMMDD")))</f>
        <v>0</v>
      </c>
      <c r="AO67" s="2" cm="1">
        <f t="array" ref="AO67">IF(hp!AO67=0,0,_xll.BDP(AO$4,"YAS_BOND_YLD", "YAS_BOND_PX",hp!AO67, "SETTLE_DT", TEXT(ya!$C67,"YYYYMMDD")))</f>
        <v>0</v>
      </c>
      <c r="AP67" s="2" cm="1">
        <f t="array" ref="AP67">IF(hp!AP67=0,0,_xll.BDP(AP$4,"YAS_BOND_YLD", "YAS_BOND_PX",hp!AP67, "SETTLE_DT", TEXT(ya!$C67,"YYYYMMDD")))</f>
        <v>0</v>
      </c>
      <c r="AQ67" s="2" cm="1">
        <f t="array" ref="AQ67">IF(hp!AQ67=0,0,_xll.BDP(AQ$4,"YAS_BOND_YLD", "YAS_BOND_PX",hp!AQ67, "SETTLE_DT", TEXT(ya!$C67,"YYYYMMDD")))</f>
        <v>0</v>
      </c>
      <c r="AR67" s="2" cm="1">
        <f t="array" ref="AR67">IF(hp!AR67=0,0,_xll.BDP(AR$4,"YAS_BOND_YLD", "YAS_BOND_PX",hp!AR67, "SETTLE_DT", TEXT(ya!$C67,"YYYYMMDD")))</f>
        <v>3.3996</v>
      </c>
      <c r="AS67" s="2" cm="1">
        <f t="array" ref="AS67">IF(hp!AS67=0,0,_xll.BDP(AS$4,"YAS_BOND_YLD", "YAS_BOND_PX",hp!AS67, "SETTLE_DT", TEXT(ya!$C67,"YYYYMMDD")))</f>
        <v>0</v>
      </c>
      <c r="AT67" s="2" cm="1">
        <f t="array" ref="AT67">IF(hp!AT67=0,0,_xll.BDP(AT$4,"YAS_BOND_YLD", "YAS_BOND_PX",hp!AT67, "SETTLE_DT", TEXT(ya!$C67,"YYYYMMDD")))</f>
        <v>0</v>
      </c>
      <c r="AU67" s="2" cm="1">
        <f t="array" ref="AU67">IF(hp!AU67=0,0,_xll.BDP(AU$4,"YAS_BOND_YLD", "YAS_BOND_PX",hp!AU67, "SETTLE_DT", TEXT(ya!$C67,"YYYYMMDD")))</f>
        <v>0</v>
      </c>
      <c r="AV67" s="2" cm="1">
        <f t="array" ref="AV67">IF(hp!AV67=0,0,_xll.BDP(AV$4,"YAS_BOND_YLD", "YAS_BOND_PX",hp!AV67, "SETTLE_DT", TEXT(ya!$C67,"YYYYMMDD")))</f>
        <v>0</v>
      </c>
      <c r="AW67" s="2" cm="1">
        <f t="array" ref="AW67">IF(hp!AW67=0,0,_xll.BDP(AW$4,"YAS_BOND_YLD", "YAS_BOND_PX",hp!AW67, "SETTLE_DT", TEXT(ya!$C67,"YYYYMMDD")))</f>
        <v>0</v>
      </c>
      <c r="AX67" s="2" cm="1">
        <f t="array" ref="AX67">IF(hp!AX67=0,0,_xll.BDP(AX$4,"YAS_BOND_YLD", "YAS_BOND_PX",hp!AX67, "SETTLE_DT", TEXT(ya!$C67,"YYYYMMDD")))</f>
        <v>0</v>
      </c>
      <c r="AY67" s="2" cm="1">
        <f t="array" ref="AY67">IF(hp!AY67=0,0,_xll.BDP(AY$4,"YAS_BOND_YLD", "YAS_BOND_PX",hp!AY67, "SETTLE_DT", TEXT(ya!$C67,"YYYYMMDD")))</f>
        <v>0</v>
      </c>
      <c r="AZ67" s="2" cm="1">
        <f t="array" ref="AZ67">IF(hp!AZ67=0,0,_xll.BDP(AZ$4,"YAS_BOND_YLD", "YAS_BOND_PX",hp!AZ67, "SETTLE_DT", TEXT(ya!$C67,"YYYYMMDD")))</f>
        <v>0</v>
      </c>
    </row>
    <row r="68" spans="1:52" x14ac:dyDescent="0.25">
      <c r="A68" s="1"/>
      <c r="B68" s="2"/>
      <c r="C68" s="1">
        <v>43980</v>
      </c>
      <c r="D68" s="2" cm="1">
        <f t="array" ref="D68">IF(hp!D68=0,0,_xll.BDP(D$4,"YAS_BOND_YLD", "YAS_BOND_PX",hp!D68, "SETTLE_DT", TEXT(ya!$C68,"YYYYMMDD")))</f>
        <v>0</v>
      </c>
      <c r="E68" s="2" cm="1">
        <f t="array" ref="E68">IF(hp!E68=0,0,_xll.BDP(E$4,"YAS_BOND_YLD", "YAS_BOND_PX",hp!E68, "SETTLE_DT", TEXT(ya!$C68,"YYYYMMDD")))</f>
        <v>7.226</v>
      </c>
      <c r="F68" s="2" cm="1">
        <f t="array" ref="F68">IF(hp!F68=0,0,_xll.BDP(F$4,"YAS_BOND_YLD", "YAS_BOND_PX",hp!F68, "SETTLE_DT", TEXT(ya!$C68,"YYYYMMDD")))</f>
        <v>6.5728999999999997</v>
      </c>
      <c r="G68" s="2" cm="1">
        <f t="array" ref="G68">IF(hp!G68=0,0,_xll.BDP(G$4,"YAS_BOND_YLD", "YAS_BOND_PX",hp!G68, "SETTLE_DT", TEXT(ya!$C68,"YYYYMMDD")))</f>
        <v>3.9858000000000002</v>
      </c>
      <c r="H68" s="2" cm="1">
        <f t="array" ref="H68">IF(hp!H68=0,0,_xll.BDP(H$4,"YAS_BOND_YLD", "YAS_BOND_PX",hp!H68, "SETTLE_DT", TEXT(ya!$C68,"YYYYMMDD")))</f>
        <v>6.9462999999999999</v>
      </c>
      <c r="I68" s="2" cm="1">
        <f t="array" ref="I68">IF(hp!I68=0,0,_xll.BDP(I$4,"YAS_BOND_YLD", "YAS_BOND_PX",hp!I68, "SETTLE_DT", TEXT(ya!$C68,"YYYYMMDD")))</f>
        <v>0</v>
      </c>
      <c r="J68" s="2" cm="1">
        <f t="array" ref="J68">IF(hp!J68=0,0,_xll.BDP(J$4,"YAS_BOND_YLD", "YAS_BOND_PX",hp!J68, "SETTLE_DT", TEXT(ya!$C68,"YYYYMMDD")))</f>
        <v>4.3996000000000004</v>
      </c>
      <c r="K68" s="2" cm="1">
        <f t="array" ref="K68">IF(hp!K68=0,0,_xll.BDP(K$4,"YAS_BOND_YLD", "YAS_BOND_PX",hp!K68, "SETTLE_DT", TEXT(ya!$C68,"YYYYMMDD")))</f>
        <v>0</v>
      </c>
      <c r="L68" s="2" cm="1">
        <f t="array" ref="L68">IF(hp!L68=0,0,_xll.BDP(L$4,"YAS_BOND_YLD", "YAS_BOND_PX",hp!L68, "SETTLE_DT", TEXT(ya!$C68,"YYYYMMDD")))</f>
        <v>3.5592000000000001</v>
      </c>
      <c r="M68" s="2" cm="1">
        <f t="array" ref="M68">IF(hp!M68=0,0,_xll.BDP(M$4,"YAS_BOND_YLD", "YAS_BOND_PX",hp!M68, "SETTLE_DT", TEXT(ya!$C68,"YYYYMMDD")))</f>
        <v>3.1749000000000001</v>
      </c>
      <c r="N68" s="2" cm="1">
        <f t="array" ref="N68">IF(hp!N68=0,0,_xll.BDP(N$4,"YAS_BOND_YLD", "YAS_BOND_PX",hp!N68, "SETTLE_DT", TEXT(ya!$C68,"YYYYMMDD")))</f>
        <v>2.6753</v>
      </c>
      <c r="O68" s="2" cm="1">
        <f t="array" ref="O68">IF(hp!O68=0,0,_xll.BDP(O$4,"YAS_BOND_YLD", "YAS_BOND_PX",hp!O68, "SETTLE_DT", TEXT(ya!$C68,"YYYYMMDD")))</f>
        <v>0</v>
      </c>
      <c r="P68" s="2" cm="1">
        <f t="array" ref="P68">IF(hp!P68=0,0,_xll.BDP(P$4,"YAS_BOND_YLD", "YAS_BOND_PX",hp!P68, "SETTLE_DT", TEXT(ya!$C68,"YYYYMMDD")))</f>
        <v>0</v>
      </c>
      <c r="Q68" s="2" cm="1">
        <f t="array" ref="Q68">IF(hp!Q68=0,0,_xll.BDP(Q$4,"YAS_BOND_YLD", "YAS_BOND_PX",hp!Q68, "SETTLE_DT", TEXT(ya!$C68,"YYYYMMDD")))</f>
        <v>4.3629999999999995</v>
      </c>
      <c r="R68" s="2" cm="1">
        <f t="array" ref="R68">IF(hp!R68=0,0,_xll.BDP(R$4,"YAS_BOND_YLD", "YAS_BOND_PX",hp!R68, "SETTLE_DT", TEXT(ya!$C68,"YYYYMMDD")))</f>
        <v>0</v>
      </c>
      <c r="S68" s="2" cm="1">
        <f t="array" ref="S68">IF(hp!S68=0,0,_xll.BDP(S$4,"YAS_BOND_YLD", "YAS_BOND_PX",hp!S68, "SETTLE_DT", TEXT(ya!$C68,"YYYYMMDD")))</f>
        <v>0</v>
      </c>
      <c r="T68" s="2" cm="1">
        <f t="array" ref="T68">IF(hp!T68=0,0,_xll.BDP(T$4,"YAS_BOND_YLD", "YAS_BOND_PX",hp!T68, "SETTLE_DT", TEXT(ya!$C68,"YYYYMMDD")))</f>
        <v>0</v>
      </c>
      <c r="U68" s="2" cm="1">
        <f t="array" ref="U68">IF(hp!U68=0,0,_xll.BDP(U$4,"YAS_BOND_YLD", "YAS_BOND_PX",hp!U68, "SETTLE_DT", TEXT(ya!$C68,"YYYYMMDD")))</f>
        <v>4.21</v>
      </c>
      <c r="V68" s="2" cm="1">
        <f t="array" ref="V68">IF(hp!V68=0,0,_xll.BDP(V$4,"YAS_BOND_YLD", "YAS_BOND_PX",hp!V68, "SETTLE_DT", TEXT(ya!$C68,"YYYYMMDD")))</f>
        <v>0</v>
      </c>
      <c r="W68" s="2" cm="1">
        <f t="array" ref="W68">IF(hp!W68=0,0,_xll.BDP(W$4,"YAS_BOND_YLD", "YAS_BOND_PX",hp!W68, "SETTLE_DT", TEXT(ya!$C68,"YYYYMMDD")))</f>
        <v>0</v>
      </c>
      <c r="X68" s="2" cm="1">
        <f t="array" ref="X68">IF(hp!X68=0,0,_xll.BDP(X$4,"YAS_BOND_YLD", "YAS_BOND_PX",hp!X68, "SETTLE_DT", TEXT(ya!$C68,"YYYYMMDD")))</f>
        <v>0</v>
      </c>
      <c r="Y68" s="2" cm="1">
        <f t="array" ref="Y68">IF(hp!Y68=0,0,_xll.BDP(Y$4,"YAS_BOND_YLD", "YAS_BOND_PX",hp!Y68, "SETTLE_DT", TEXT(ya!$C68,"YYYYMMDD")))</f>
        <v>0</v>
      </c>
      <c r="Z68" s="2" cm="1">
        <f t="array" ref="Z68">IF(hp!Z68=0,0,_xll.BDP(Z$4,"YAS_BOND_YLD", "YAS_BOND_PX",hp!Z68, "SETTLE_DT", TEXT(ya!$C68,"YYYYMMDD")))</f>
        <v>0</v>
      </c>
      <c r="AA68" s="2" cm="1">
        <f t="array" ref="AA68">IF(hp!AA68=0,0,_xll.BDP(AA$4,"YAS_BOND_YLD", "YAS_BOND_PX",hp!AA68, "SETTLE_DT", TEXT(ya!$C68,"YYYYMMDD")))</f>
        <v>0</v>
      </c>
      <c r="AB68" s="2" cm="1">
        <f t="array" ref="AB68">IF(hp!AB68=0,0,_xll.BDP(AB$4,"YAS_BOND_YLD", "YAS_BOND_PX",hp!AB68, "SETTLE_DT", TEXT(ya!$C68,"YYYYMMDD")))</f>
        <v>0</v>
      </c>
      <c r="AC68" s="2" cm="1">
        <f t="array" ref="AC68">IF(hp!AC68=0,0,_xll.BDP(AC$4,"YAS_BOND_YLD", "YAS_BOND_PX",hp!AC68, "SETTLE_DT", TEXT(ya!$C68,"YYYYMMDD")))</f>
        <v>0</v>
      </c>
      <c r="AD68" s="2" cm="1">
        <f t="array" ref="AD68">IF(hp!AD68=0,0,_xll.BDP(AD$4,"YAS_BOND_YLD", "YAS_BOND_PX",hp!AD68, "SETTLE_DT", TEXT(ya!$C68,"YYYYMMDD")))</f>
        <v>4.4017999999999997</v>
      </c>
      <c r="AE68" s="2" cm="1">
        <f t="array" ref="AE68">IF(hp!AE68=0,0,_xll.BDP(AE$4,"YAS_BOND_YLD", "YAS_BOND_PX",hp!AE68, "SETTLE_DT", TEXT(ya!$C68,"YYYYMMDD")))</f>
        <v>0</v>
      </c>
      <c r="AF68" s="2" cm="1">
        <f t="array" ref="AF68">IF(hp!AF68=0,0,_xll.BDP(AF$4,"YAS_BOND_YLD", "YAS_BOND_PX",hp!AF68, "SETTLE_DT", TEXT(ya!$C68,"YYYYMMDD")))</f>
        <v>0</v>
      </c>
      <c r="AG68" s="2" cm="1">
        <f t="array" ref="AG68">IF(hp!AG68=0,0,_xll.BDP(AG$4,"YAS_BOND_YLD", "YAS_BOND_PX",hp!AG68, "SETTLE_DT", TEXT(ya!$C68,"YYYYMMDD")))</f>
        <v>0</v>
      </c>
      <c r="AH68" s="2" cm="1">
        <f t="array" ref="AH68">IF(hp!AH68=0,0,_xll.BDP(AH$4,"YAS_BOND_YLD", "YAS_BOND_PX",hp!AH68, "SETTLE_DT", TEXT(ya!$C68,"YYYYMMDD")))</f>
        <v>0</v>
      </c>
      <c r="AI68" s="2" cm="1">
        <f t="array" ref="AI68">IF(hp!AI68=0,0,_xll.BDP(AI$4,"YAS_BOND_YLD", "YAS_BOND_PX",hp!AI68, "SETTLE_DT", TEXT(ya!$C68,"YYYYMMDD")))</f>
        <v>0</v>
      </c>
      <c r="AJ68" s="2" cm="1">
        <f t="array" ref="AJ68">IF(hp!AJ68=0,0,_xll.BDP(AJ$4,"YAS_BOND_YLD", "YAS_BOND_PX",hp!AJ68, "SETTLE_DT", TEXT(ya!$C68,"YYYYMMDD")))</f>
        <v>0</v>
      </c>
      <c r="AK68" s="2" cm="1">
        <f t="array" ref="AK68">IF(hp!AK68=0,0,_xll.BDP(AK$4,"YAS_BOND_YLD", "YAS_BOND_PX",hp!AK68, "SETTLE_DT", TEXT(ya!$C68,"YYYYMMDD")))</f>
        <v>0</v>
      </c>
      <c r="AL68" s="2" cm="1">
        <f t="array" ref="AL68">IF(hp!AL68=0,0,_xll.BDP(AL$4,"YAS_BOND_YLD", "YAS_BOND_PX",hp!AL68, "SETTLE_DT", TEXT(ya!$C68,"YYYYMMDD")))</f>
        <v>0</v>
      </c>
      <c r="AM68" s="2" cm="1">
        <f t="array" ref="AM68">IF(hp!AM68=0,0,_xll.BDP(AM$4,"YAS_BOND_YLD", "YAS_BOND_PX",hp!AM68, "SETTLE_DT", TEXT(ya!$C68,"YYYYMMDD")))</f>
        <v>0</v>
      </c>
      <c r="AN68" s="2" cm="1">
        <f t="array" ref="AN68">IF(hp!AN68=0,0,_xll.BDP(AN$4,"YAS_BOND_YLD", "YAS_BOND_PX",hp!AN68, "SETTLE_DT", TEXT(ya!$C68,"YYYYMMDD")))</f>
        <v>0</v>
      </c>
      <c r="AO68" s="2" cm="1">
        <f t="array" ref="AO68">IF(hp!AO68=0,0,_xll.BDP(AO$4,"YAS_BOND_YLD", "YAS_BOND_PX",hp!AO68, "SETTLE_DT", TEXT(ya!$C68,"YYYYMMDD")))</f>
        <v>0</v>
      </c>
      <c r="AP68" s="2" cm="1">
        <f t="array" ref="AP68">IF(hp!AP68=0,0,_xll.BDP(AP$4,"YAS_BOND_YLD", "YAS_BOND_PX",hp!AP68, "SETTLE_DT", TEXT(ya!$C68,"YYYYMMDD")))</f>
        <v>0</v>
      </c>
      <c r="AQ68" s="2" cm="1">
        <f t="array" ref="AQ68">IF(hp!AQ68=0,0,_xll.BDP(AQ$4,"YAS_BOND_YLD", "YAS_BOND_PX",hp!AQ68, "SETTLE_DT", TEXT(ya!$C68,"YYYYMMDD")))</f>
        <v>0</v>
      </c>
      <c r="AR68" s="2" cm="1">
        <f t="array" ref="AR68">IF(hp!AR68=0,0,_xll.BDP(AR$4,"YAS_BOND_YLD", "YAS_BOND_PX",hp!AR68, "SETTLE_DT", TEXT(ya!$C68,"YYYYMMDD")))</f>
        <v>3.0621999999999998</v>
      </c>
      <c r="AS68" s="2" cm="1">
        <f t="array" ref="AS68">IF(hp!AS68=0,0,_xll.BDP(AS$4,"YAS_BOND_YLD", "YAS_BOND_PX",hp!AS68, "SETTLE_DT", TEXT(ya!$C68,"YYYYMMDD")))</f>
        <v>0</v>
      </c>
      <c r="AT68" s="2" cm="1">
        <f t="array" ref="AT68">IF(hp!AT68=0,0,_xll.BDP(AT$4,"YAS_BOND_YLD", "YAS_BOND_PX",hp!AT68, "SETTLE_DT", TEXT(ya!$C68,"YYYYMMDD")))</f>
        <v>0</v>
      </c>
      <c r="AU68" s="2" cm="1">
        <f t="array" ref="AU68">IF(hp!AU68=0,0,_xll.BDP(AU$4,"YAS_BOND_YLD", "YAS_BOND_PX",hp!AU68, "SETTLE_DT", TEXT(ya!$C68,"YYYYMMDD")))</f>
        <v>0</v>
      </c>
      <c r="AV68" s="2" cm="1">
        <f t="array" ref="AV68">IF(hp!AV68=0,0,_xll.BDP(AV$4,"YAS_BOND_YLD", "YAS_BOND_PX",hp!AV68, "SETTLE_DT", TEXT(ya!$C68,"YYYYMMDD")))</f>
        <v>0</v>
      </c>
      <c r="AW68" s="2" cm="1">
        <f t="array" ref="AW68">IF(hp!AW68=0,0,_xll.BDP(AW$4,"YAS_BOND_YLD", "YAS_BOND_PX",hp!AW68, "SETTLE_DT", TEXT(ya!$C68,"YYYYMMDD")))</f>
        <v>0</v>
      </c>
      <c r="AX68" s="2" cm="1">
        <f t="array" ref="AX68">IF(hp!AX68=0,0,_xll.BDP(AX$4,"YAS_BOND_YLD", "YAS_BOND_PX",hp!AX68, "SETTLE_DT", TEXT(ya!$C68,"YYYYMMDD")))</f>
        <v>0</v>
      </c>
      <c r="AY68" s="2" cm="1">
        <f t="array" ref="AY68">IF(hp!AY68=0,0,_xll.BDP(AY$4,"YAS_BOND_YLD", "YAS_BOND_PX",hp!AY68, "SETTLE_DT", TEXT(ya!$C68,"YYYYMMDD")))</f>
        <v>0</v>
      </c>
      <c r="AZ68" s="2" cm="1">
        <f t="array" ref="AZ68">IF(hp!AZ68=0,0,_xll.BDP(AZ$4,"YAS_BOND_YLD", "YAS_BOND_PX",hp!AZ68, "SETTLE_DT", TEXT(ya!$C68,"YYYYMMDD")))</f>
        <v>0</v>
      </c>
    </row>
    <row r="69" spans="1:52" x14ac:dyDescent="0.25">
      <c r="A69" s="1"/>
      <c r="B69" s="2"/>
      <c r="C69" s="1">
        <v>44012</v>
      </c>
      <c r="D69" s="2" cm="1">
        <f t="array" ref="D69">IF(hp!D69=0,0,_xll.BDP(D$4,"YAS_BOND_YLD", "YAS_BOND_PX",hp!D69, "SETTLE_DT", TEXT(ya!$C69,"YYYYMMDD")))</f>
        <v>0</v>
      </c>
      <c r="E69" s="2" cm="1">
        <f t="array" ref="E69">IF(hp!E69=0,0,_xll.BDP(E$4,"YAS_BOND_YLD", "YAS_BOND_PX",hp!E69, "SETTLE_DT", TEXT(ya!$C69,"YYYYMMDD")))</f>
        <v>7.5796000000000001</v>
      </c>
      <c r="F69" s="2" cm="1">
        <f t="array" ref="F69">IF(hp!F69=0,0,_xll.BDP(F$4,"YAS_BOND_YLD", "YAS_BOND_PX",hp!F69, "SETTLE_DT", TEXT(ya!$C69,"YYYYMMDD")))</f>
        <v>7.1764000000000001</v>
      </c>
      <c r="G69" s="2" cm="1">
        <f t="array" ref="G69">IF(hp!G69=0,0,_xll.BDP(G$4,"YAS_BOND_YLD", "YAS_BOND_PX",hp!G69, "SETTLE_DT", TEXT(ya!$C69,"YYYYMMDD")))</f>
        <v>3.7519</v>
      </c>
      <c r="H69" s="2" cm="1">
        <f t="array" ref="H69">IF(hp!H69=0,0,_xll.BDP(H$4,"YAS_BOND_YLD", "YAS_BOND_PX",hp!H69, "SETTLE_DT", TEXT(ya!$C69,"YYYYMMDD")))</f>
        <v>7.4231999999999996</v>
      </c>
      <c r="I69" s="2" cm="1">
        <f t="array" ref="I69">IF(hp!I69=0,0,_xll.BDP(I$4,"YAS_BOND_YLD", "YAS_BOND_PX",hp!I69, "SETTLE_DT", TEXT(ya!$C69,"YYYYMMDD")))</f>
        <v>0</v>
      </c>
      <c r="J69" s="2" cm="1">
        <f t="array" ref="J69">IF(hp!J69=0,0,_xll.BDP(J$4,"YAS_BOND_YLD", "YAS_BOND_PX",hp!J69, "SETTLE_DT", TEXT(ya!$C69,"YYYYMMDD")))</f>
        <v>4.2005999999999997</v>
      </c>
      <c r="K69" s="2" cm="1">
        <f t="array" ref="K69">IF(hp!K69=0,0,_xll.BDP(K$4,"YAS_BOND_YLD", "YAS_BOND_PX",hp!K69, "SETTLE_DT", TEXT(ya!$C69,"YYYYMMDD")))</f>
        <v>0</v>
      </c>
      <c r="L69" s="2" cm="1">
        <f t="array" ref="L69">IF(hp!L69=0,0,_xll.BDP(L$4,"YAS_BOND_YLD", "YAS_BOND_PX",hp!L69, "SETTLE_DT", TEXT(ya!$C69,"YYYYMMDD")))</f>
        <v>3.2164999999999999</v>
      </c>
      <c r="M69" s="2" cm="1">
        <f t="array" ref="M69">IF(hp!M69=0,0,_xll.BDP(M$4,"YAS_BOND_YLD", "YAS_BOND_PX",hp!M69, "SETTLE_DT", TEXT(ya!$C69,"YYYYMMDD")))</f>
        <v>2.8727999999999998</v>
      </c>
      <c r="N69" s="2" cm="1">
        <f t="array" ref="N69">IF(hp!N69=0,0,_xll.BDP(N$4,"YAS_BOND_YLD", "YAS_BOND_PX",hp!N69, "SETTLE_DT", TEXT(ya!$C69,"YYYYMMDD")))</f>
        <v>2.4384000000000001</v>
      </c>
      <c r="O69" s="2" cm="1">
        <f t="array" ref="O69">IF(hp!O69=0,0,_xll.BDP(O$4,"YAS_BOND_YLD", "YAS_BOND_PX",hp!O69, "SETTLE_DT", TEXT(ya!$C69,"YYYYMMDD")))</f>
        <v>0</v>
      </c>
      <c r="P69" s="2" cm="1">
        <f t="array" ref="P69">IF(hp!P69=0,0,_xll.BDP(P$4,"YAS_BOND_YLD", "YAS_BOND_PX",hp!P69, "SETTLE_DT", TEXT(ya!$C69,"YYYYMMDD")))</f>
        <v>0</v>
      </c>
      <c r="Q69" s="2" cm="1">
        <f t="array" ref="Q69">IF(hp!Q69=0,0,_xll.BDP(Q$4,"YAS_BOND_YLD", "YAS_BOND_PX",hp!Q69, "SETTLE_DT", TEXT(ya!$C69,"YYYYMMDD")))</f>
        <v>4.1920999999999999</v>
      </c>
      <c r="R69" s="2" cm="1">
        <f t="array" ref="R69">IF(hp!R69=0,0,_xll.BDP(R$4,"YAS_BOND_YLD", "YAS_BOND_PX",hp!R69, "SETTLE_DT", TEXT(ya!$C69,"YYYYMMDD")))</f>
        <v>0</v>
      </c>
      <c r="S69" s="2" cm="1">
        <f t="array" ref="S69">IF(hp!S69=0,0,_xll.BDP(S$4,"YAS_BOND_YLD", "YAS_BOND_PX",hp!S69, "SETTLE_DT", TEXT(ya!$C69,"YYYYMMDD")))</f>
        <v>0</v>
      </c>
      <c r="T69" s="2" cm="1">
        <f t="array" ref="T69">IF(hp!T69=0,0,_xll.BDP(T$4,"YAS_BOND_YLD", "YAS_BOND_PX",hp!T69, "SETTLE_DT", TEXT(ya!$C69,"YYYYMMDD")))</f>
        <v>0</v>
      </c>
      <c r="U69" s="2" cm="1">
        <f t="array" ref="U69">IF(hp!U69=0,0,_xll.BDP(U$4,"YAS_BOND_YLD", "YAS_BOND_PX",hp!U69, "SETTLE_DT", TEXT(ya!$C69,"YYYYMMDD")))</f>
        <v>4.0472999999999999</v>
      </c>
      <c r="V69" s="2" cm="1">
        <f t="array" ref="V69">IF(hp!V69=0,0,_xll.BDP(V$4,"YAS_BOND_YLD", "YAS_BOND_PX",hp!V69, "SETTLE_DT", TEXT(ya!$C69,"YYYYMMDD")))</f>
        <v>0</v>
      </c>
      <c r="W69" s="2" cm="1">
        <f t="array" ref="W69">IF(hp!W69=0,0,_xll.BDP(W$4,"YAS_BOND_YLD", "YAS_BOND_PX",hp!W69, "SETTLE_DT", TEXT(ya!$C69,"YYYYMMDD")))</f>
        <v>0</v>
      </c>
      <c r="X69" s="2" cm="1">
        <f t="array" ref="X69">IF(hp!X69=0,0,_xll.BDP(X$4,"YAS_BOND_YLD", "YAS_BOND_PX",hp!X69, "SETTLE_DT", TEXT(ya!$C69,"YYYYMMDD")))</f>
        <v>0</v>
      </c>
      <c r="Y69" s="2" cm="1">
        <f t="array" ref="Y69">IF(hp!Y69=0,0,_xll.BDP(Y$4,"YAS_BOND_YLD", "YAS_BOND_PX",hp!Y69, "SETTLE_DT", TEXT(ya!$C69,"YYYYMMDD")))</f>
        <v>0</v>
      </c>
      <c r="Z69" s="2" cm="1">
        <f t="array" ref="Z69">IF(hp!Z69=0,0,_xll.BDP(Z$4,"YAS_BOND_YLD", "YAS_BOND_PX",hp!Z69, "SETTLE_DT", TEXT(ya!$C69,"YYYYMMDD")))</f>
        <v>0</v>
      </c>
      <c r="AA69" s="2" cm="1">
        <f t="array" ref="AA69">IF(hp!AA69=0,0,_xll.BDP(AA$4,"YAS_BOND_YLD", "YAS_BOND_PX",hp!AA69, "SETTLE_DT", TEXT(ya!$C69,"YYYYMMDD")))</f>
        <v>0</v>
      </c>
      <c r="AB69" s="2" cm="1">
        <f t="array" ref="AB69">IF(hp!AB69=0,0,_xll.BDP(AB$4,"YAS_BOND_YLD", "YAS_BOND_PX",hp!AB69, "SETTLE_DT", TEXT(ya!$C69,"YYYYMMDD")))</f>
        <v>0</v>
      </c>
      <c r="AC69" s="2" cm="1">
        <f t="array" ref="AC69">IF(hp!AC69=0,0,_xll.BDP(AC$4,"YAS_BOND_YLD", "YAS_BOND_PX",hp!AC69, "SETTLE_DT", TEXT(ya!$C69,"YYYYMMDD")))</f>
        <v>0</v>
      </c>
      <c r="AD69" s="2" cm="1">
        <f t="array" ref="AD69">IF(hp!AD69=0,0,_xll.BDP(AD$4,"YAS_BOND_YLD", "YAS_BOND_PX",hp!AD69, "SETTLE_DT", TEXT(ya!$C69,"YYYYMMDD")))</f>
        <v>4.2069999999999999</v>
      </c>
      <c r="AE69" s="2" cm="1">
        <f t="array" ref="AE69">IF(hp!AE69=0,0,_xll.BDP(AE$4,"YAS_BOND_YLD", "YAS_BOND_PX",hp!AE69, "SETTLE_DT", TEXT(ya!$C69,"YYYYMMDD")))</f>
        <v>0</v>
      </c>
      <c r="AF69" s="2" cm="1">
        <f t="array" ref="AF69">IF(hp!AF69=0,0,_xll.BDP(AF$4,"YAS_BOND_YLD", "YAS_BOND_PX",hp!AF69, "SETTLE_DT", TEXT(ya!$C69,"YYYYMMDD")))</f>
        <v>0</v>
      </c>
      <c r="AG69" s="2" cm="1">
        <f t="array" ref="AG69">IF(hp!AG69=0,0,_xll.BDP(AG$4,"YAS_BOND_YLD", "YAS_BOND_PX",hp!AG69, "SETTLE_DT", TEXT(ya!$C69,"YYYYMMDD")))</f>
        <v>0</v>
      </c>
      <c r="AH69" s="2" cm="1">
        <f t="array" ref="AH69">IF(hp!AH69=0,0,_xll.BDP(AH$4,"YAS_BOND_YLD", "YAS_BOND_PX",hp!AH69, "SETTLE_DT", TEXT(ya!$C69,"YYYYMMDD")))</f>
        <v>0</v>
      </c>
      <c r="AI69" s="2" cm="1">
        <f t="array" ref="AI69">IF(hp!AI69=0,0,_xll.BDP(AI$4,"YAS_BOND_YLD", "YAS_BOND_PX",hp!AI69, "SETTLE_DT", TEXT(ya!$C69,"YYYYMMDD")))</f>
        <v>0</v>
      </c>
      <c r="AJ69" s="2" cm="1">
        <f t="array" ref="AJ69">IF(hp!AJ69=0,0,_xll.BDP(AJ$4,"YAS_BOND_YLD", "YAS_BOND_PX",hp!AJ69, "SETTLE_DT", TEXT(ya!$C69,"YYYYMMDD")))</f>
        <v>0</v>
      </c>
      <c r="AK69" s="2" cm="1">
        <f t="array" ref="AK69">IF(hp!AK69=0,0,_xll.BDP(AK$4,"YAS_BOND_YLD", "YAS_BOND_PX",hp!AK69, "SETTLE_DT", TEXT(ya!$C69,"YYYYMMDD")))</f>
        <v>0</v>
      </c>
      <c r="AL69" s="2" cm="1">
        <f t="array" ref="AL69">IF(hp!AL69=0,0,_xll.BDP(AL$4,"YAS_BOND_YLD", "YAS_BOND_PX",hp!AL69, "SETTLE_DT", TEXT(ya!$C69,"YYYYMMDD")))</f>
        <v>0</v>
      </c>
      <c r="AM69" s="2" cm="1">
        <f t="array" ref="AM69">IF(hp!AM69=0,0,_xll.BDP(AM$4,"YAS_BOND_YLD", "YAS_BOND_PX",hp!AM69, "SETTLE_DT", TEXT(ya!$C69,"YYYYMMDD")))</f>
        <v>0</v>
      </c>
      <c r="AN69" s="2" cm="1">
        <f t="array" ref="AN69">IF(hp!AN69=0,0,_xll.BDP(AN$4,"YAS_BOND_YLD", "YAS_BOND_PX",hp!AN69, "SETTLE_DT", TEXT(ya!$C69,"YYYYMMDD")))</f>
        <v>0</v>
      </c>
      <c r="AO69" s="2" cm="1">
        <f t="array" ref="AO69">IF(hp!AO69=0,0,_xll.BDP(AO$4,"YAS_BOND_YLD", "YAS_BOND_PX",hp!AO69, "SETTLE_DT", TEXT(ya!$C69,"YYYYMMDD")))</f>
        <v>0</v>
      </c>
      <c r="AP69" s="2" cm="1">
        <f t="array" ref="AP69">IF(hp!AP69=0,0,_xll.BDP(AP$4,"YAS_BOND_YLD", "YAS_BOND_PX",hp!AP69, "SETTLE_DT", TEXT(ya!$C69,"YYYYMMDD")))</f>
        <v>0</v>
      </c>
      <c r="AQ69" s="2" cm="1">
        <f t="array" ref="AQ69">IF(hp!AQ69=0,0,_xll.BDP(AQ$4,"YAS_BOND_YLD", "YAS_BOND_PX",hp!AQ69, "SETTLE_DT", TEXT(ya!$C69,"YYYYMMDD")))</f>
        <v>0</v>
      </c>
      <c r="AR69" s="2" cm="1">
        <f t="array" ref="AR69">IF(hp!AR69=0,0,_xll.BDP(AR$4,"YAS_BOND_YLD", "YAS_BOND_PX",hp!AR69, "SETTLE_DT", TEXT(ya!$C69,"YYYYMMDD")))</f>
        <v>3.1339999999999999</v>
      </c>
      <c r="AS69" s="2" cm="1">
        <f t="array" ref="AS69">IF(hp!AS69=0,0,_xll.BDP(AS$4,"YAS_BOND_YLD", "YAS_BOND_PX",hp!AS69, "SETTLE_DT", TEXT(ya!$C69,"YYYYMMDD")))</f>
        <v>0</v>
      </c>
      <c r="AT69" s="2" cm="1">
        <f t="array" ref="AT69">IF(hp!AT69=0,0,_xll.BDP(AT$4,"YAS_BOND_YLD", "YAS_BOND_PX",hp!AT69, "SETTLE_DT", TEXT(ya!$C69,"YYYYMMDD")))</f>
        <v>0</v>
      </c>
      <c r="AU69" s="2" cm="1">
        <f t="array" ref="AU69">IF(hp!AU69=0,0,_xll.BDP(AU$4,"YAS_BOND_YLD", "YAS_BOND_PX",hp!AU69, "SETTLE_DT", TEXT(ya!$C69,"YYYYMMDD")))</f>
        <v>0</v>
      </c>
      <c r="AV69" s="2" cm="1">
        <f t="array" ref="AV69">IF(hp!AV69=0,0,_xll.BDP(AV$4,"YAS_BOND_YLD", "YAS_BOND_PX",hp!AV69, "SETTLE_DT", TEXT(ya!$C69,"YYYYMMDD")))</f>
        <v>0</v>
      </c>
      <c r="AW69" s="2" cm="1">
        <f t="array" ref="AW69">IF(hp!AW69=0,0,_xll.BDP(AW$4,"YAS_BOND_YLD", "YAS_BOND_PX",hp!AW69, "SETTLE_DT", TEXT(ya!$C69,"YYYYMMDD")))</f>
        <v>0</v>
      </c>
      <c r="AX69" s="2" cm="1">
        <f t="array" ref="AX69">IF(hp!AX69=0,0,_xll.BDP(AX$4,"YAS_BOND_YLD", "YAS_BOND_PX",hp!AX69, "SETTLE_DT", TEXT(ya!$C69,"YYYYMMDD")))</f>
        <v>0</v>
      </c>
      <c r="AY69" s="2" cm="1">
        <f t="array" ref="AY69">IF(hp!AY69=0,0,_xll.BDP(AY$4,"YAS_BOND_YLD", "YAS_BOND_PX",hp!AY69, "SETTLE_DT", TEXT(ya!$C69,"YYYYMMDD")))</f>
        <v>0</v>
      </c>
      <c r="AZ69" s="2" cm="1">
        <f t="array" ref="AZ69">IF(hp!AZ69=0,0,_xll.BDP(AZ$4,"YAS_BOND_YLD", "YAS_BOND_PX",hp!AZ69, "SETTLE_DT", TEXT(ya!$C69,"YYYYMMDD")))</f>
        <v>0</v>
      </c>
    </row>
    <row r="70" spans="1:52" x14ac:dyDescent="0.25">
      <c r="A70" s="1"/>
      <c r="B70" s="2"/>
      <c r="C70" s="1">
        <v>44043</v>
      </c>
      <c r="D70" s="2" cm="1">
        <f t="array" ref="D70">IF(hp!D70=0,0,_xll.BDP(D$4,"YAS_BOND_YLD", "YAS_BOND_PX",hp!D70, "SETTLE_DT", TEXT(ya!$C70,"YYYYMMDD")))</f>
        <v>0</v>
      </c>
      <c r="E70" s="2" cm="1">
        <f t="array" ref="E70">IF(hp!E70=0,0,_xll.BDP(E$4,"YAS_BOND_YLD", "YAS_BOND_PX",hp!E70, "SETTLE_DT", TEXT(ya!$C70,"YYYYMMDD")))</f>
        <v>6.5616000000000003</v>
      </c>
      <c r="F70" s="2" cm="1">
        <f t="array" ref="F70">IF(hp!F70=0,0,_xll.BDP(F$4,"YAS_BOND_YLD", "YAS_BOND_PX",hp!F70, "SETTLE_DT", TEXT(ya!$C70,"YYYYMMDD")))</f>
        <v>5.8718000000000004</v>
      </c>
      <c r="G70" s="2" cm="1">
        <f t="array" ref="G70">IF(hp!G70=0,0,_xll.BDP(G$4,"YAS_BOND_YLD", "YAS_BOND_PX",hp!G70, "SETTLE_DT", TEXT(ya!$C70,"YYYYMMDD")))</f>
        <v>3.1558000000000002</v>
      </c>
      <c r="H70" s="2" cm="1">
        <f t="array" ref="H70">IF(hp!H70=0,0,_xll.BDP(H$4,"YAS_BOND_YLD", "YAS_BOND_PX",hp!H70, "SETTLE_DT", TEXT(ya!$C70,"YYYYMMDD")))</f>
        <v>6.2622</v>
      </c>
      <c r="I70" s="2" cm="1">
        <f t="array" ref="I70">IF(hp!I70=0,0,_xll.BDP(I$4,"YAS_BOND_YLD", "YAS_BOND_PX",hp!I70, "SETTLE_DT", TEXT(ya!$C70,"YYYYMMDD")))</f>
        <v>0</v>
      </c>
      <c r="J70" s="2" cm="1">
        <f t="array" ref="J70">IF(hp!J70=0,0,_xll.BDP(J$4,"YAS_BOND_YLD", "YAS_BOND_PX",hp!J70, "SETTLE_DT", TEXT(ya!$C70,"YYYYMMDD")))</f>
        <v>3.7002000000000002</v>
      </c>
      <c r="K70" s="2" cm="1">
        <f t="array" ref="K70">IF(hp!K70=0,0,_xll.BDP(K$4,"YAS_BOND_YLD", "YAS_BOND_PX",hp!K70, "SETTLE_DT", TEXT(ya!$C70,"YYYYMMDD")))</f>
        <v>0</v>
      </c>
      <c r="L70" s="2" cm="1">
        <f t="array" ref="L70">IF(hp!L70=0,0,_xll.BDP(L$4,"YAS_BOND_YLD", "YAS_BOND_PX",hp!L70, "SETTLE_DT", TEXT(ya!$C70,"YYYYMMDD")))</f>
        <v>2.7504</v>
      </c>
      <c r="M70" s="2" cm="1">
        <f t="array" ref="M70">IF(hp!M70=0,0,_xll.BDP(M$4,"YAS_BOND_YLD", "YAS_BOND_PX",hp!M70, "SETTLE_DT", TEXT(ya!$C70,"YYYYMMDD")))</f>
        <v>2.3997999999999999</v>
      </c>
      <c r="N70" s="2" cm="1">
        <f t="array" ref="N70">IF(hp!N70=0,0,_xll.BDP(N$4,"YAS_BOND_YLD", "YAS_BOND_PX",hp!N70, "SETTLE_DT", TEXT(ya!$C70,"YYYYMMDD")))</f>
        <v>1.9533</v>
      </c>
      <c r="O70" s="2" cm="1">
        <f t="array" ref="O70">IF(hp!O70=0,0,_xll.BDP(O$4,"YAS_BOND_YLD", "YAS_BOND_PX",hp!O70, "SETTLE_DT", TEXT(ya!$C70,"YYYYMMDD")))</f>
        <v>0</v>
      </c>
      <c r="P70" s="2" cm="1">
        <f t="array" ref="P70">IF(hp!P70=0,0,_xll.BDP(P$4,"YAS_BOND_YLD", "YAS_BOND_PX",hp!P70, "SETTLE_DT", TEXT(ya!$C70,"YYYYMMDD")))</f>
        <v>0</v>
      </c>
      <c r="Q70" s="2" cm="1">
        <f t="array" ref="Q70">IF(hp!Q70=0,0,_xll.BDP(Q$4,"YAS_BOND_YLD", "YAS_BOND_PX",hp!Q70, "SETTLE_DT", TEXT(ya!$C70,"YYYYMMDD")))</f>
        <v>3.6867000000000001</v>
      </c>
      <c r="R70" s="2" cm="1">
        <f t="array" ref="R70">IF(hp!R70=0,0,_xll.BDP(R$4,"YAS_BOND_YLD", "YAS_BOND_PX",hp!R70, "SETTLE_DT", TEXT(ya!$C70,"YYYYMMDD")))</f>
        <v>0</v>
      </c>
      <c r="S70" s="2" cm="1">
        <f t="array" ref="S70">IF(hp!S70=0,0,_xll.BDP(S$4,"YAS_BOND_YLD", "YAS_BOND_PX",hp!S70, "SETTLE_DT", TEXT(ya!$C70,"YYYYMMDD")))</f>
        <v>0</v>
      </c>
      <c r="T70" s="2" cm="1">
        <f t="array" ref="T70">IF(hp!T70=0,0,_xll.BDP(T$4,"YAS_BOND_YLD", "YAS_BOND_PX",hp!T70, "SETTLE_DT", TEXT(ya!$C70,"YYYYMMDD")))</f>
        <v>0</v>
      </c>
      <c r="U70" s="2" cm="1">
        <f t="array" ref="U70">IF(hp!U70=0,0,_xll.BDP(U$4,"YAS_BOND_YLD", "YAS_BOND_PX",hp!U70, "SETTLE_DT", TEXT(ya!$C70,"YYYYMMDD")))</f>
        <v>3.4845000000000002</v>
      </c>
      <c r="V70" s="2" cm="1">
        <f t="array" ref="V70">IF(hp!V70=0,0,_xll.BDP(V$4,"YAS_BOND_YLD", "YAS_BOND_PX",hp!V70, "SETTLE_DT", TEXT(ya!$C70,"YYYYMMDD")))</f>
        <v>0</v>
      </c>
      <c r="W70" s="2" cm="1">
        <f t="array" ref="W70">IF(hp!W70=0,0,_xll.BDP(W$4,"YAS_BOND_YLD", "YAS_BOND_PX",hp!W70, "SETTLE_DT", TEXT(ya!$C70,"YYYYMMDD")))</f>
        <v>0</v>
      </c>
      <c r="X70" s="2" cm="1">
        <f t="array" ref="X70">IF(hp!X70=0,0,_xll.BDP(X$4,"YAS_BOND_YLD", "YAS_BOND_PX",hp!X70, "SETTLE_DT", TEXT(ya!$C70,"YYYYMMDD")))</f>
        <v>0</v>
      </c>
      <c r="Y70" s="2" cm="1">
        <f t="array" ref="Y70">IF(hp!Y70=0,0,_xll.BDP(Y$4,"YAS_BOND_YLD", "YAS_BOND_PX",hp!Y70, "SETTLE_DT", TEXT(ya!$C70,"YYYYMMDD")))</f>
        <v>0</v>
      </c>
      <c r="Z70" s="2" cm="1">
        <f t="array" ref="Z70">IF(hp!Z70=0,0,_xll.BDP(Z$4,"YAS_BOND_YLD", "YAS_BOND_PX",hp!Z70, "SETTLE_DT", TEXT(ya!$C70,"YYYYMMDD")))</f>
        <v>0</v>
      </c>
      <c r="AA70" s="2" cm="1">
        <f t="array" ref="AA70">IF(hp!AA70=0,0,_xll.BDP(AA$4,"YAS_BOND_YLD", "YAS_BOND_PX",hp!AA70, "SETTLE_DT", TEXT(ya!$C70,"YYYYMMDD")))</f>
        <v>0</v>
      </c>
      <c r="AB70" s="2" cm="1">
        <f t="array" ref="AB70">IF(hp!AB70=0,0,_xll.BDP(AB$4,"YAS_BOND_YLD", "YAS_BOND_PX",hp!AB70, "SETTLE_DT", TEXT(ya!$C70,"YYYYMMDD")))</f>
        <v>0</v>
      </c>
      <c r="AC70" s="2" cm="1">
        <f t="array" ref="AC70">IF(hp!AC70=0,0,_xll.BDP(AC$4,"YAS_BOND_YLD", "YAS_BOND_PX",hp!AC70, "SETTLE_DT", TEXT(ya!$C70,"YYYYMMDD")))</f>
        <v>0</v>
      </c>
      <c r="AD70" s="2" cm="1">
        <f t="array" ref="AD70">IF(hp!AD70=0,0,_xll.BDP(AD$4,"YAS_BOND_YLD", "YAS_BOND_PX",hp!AD70, "SETTLE_DT", TEXT(ya!$C70,"YYYYMMDD")))</f>
        <v>3.7061000000000002</v>
      </c>
      <c r="AE70" s="2" cm="1">
        <f t="array" ref="AE70">IF(hp!AE70=0,0,_xll.BDP(AE$4,"YAS_BOND_YLD", "YAS_BOND_PX",hp!AE70, "SETTLE_DT", TEXT(ya!$C70,"YYYYMMDD")))</f>
        <v>0</v>
      </c>
      <c r="AF70" s="2" cm="1">
        <f t="array" ref="AF70">IF(hp!AF70=0,0,_xll.BDP(AF$4,"YAS_BOND_YLD", "YAS_BOND_PX",hp!AF70, "SETTLE_DT", TEXT(ya!$C70,"YYYYMMDD")))</f>
        <v>0</v>
      </c>
      <c r="AG70" s="2" cm="1">
        <f t="array" ref="AG70">IF(hp!AG70=0,0,_xll.BDP(AG$4,"YAS_BOND_YLD", "YAS_BOND_PX",hp!AG70, "SETTLE_DT", TEXT(ya!$C70,"YYYYMMDD")))</f>
        <v>0</v>
      </c>
      <c r="AH70" s="2" cm="1">
        <f t="array" ref="AH70">IF(hp!AH70=0,0,_xll.BDP(AH$4,"YAS_BOND_YLD", "YAS_BOND_PX",hp!AH70, "SETTLE_DT", TEXT(ya!$C70,"YYYYMMDD")))</f>
        <v>0</v>
      </c>
      <c r="AI70" s="2" cm="1">
        <f t="array" ref="AI70">IF(hp!AI70=0,0,_xll.BDP(AI$4,"YAS_BOND_YLD", "YAS_BOND_PX",hp!AI70, "SETTLE_DT", TEXT(ya!$C70,"YYYYMMDD")))</f>
        <v>0</v>
      </c>
      <c r="AJ70" s="2" cm="1">
        <f t="array" ref="AJ70">IF(hp!AJ70=0,0,_xll.BDP(AJ$4,"YAS_BOND_YLD", "YAS_BOND_PX",hp!AJ70, "SETTLE_DT", TEXT(ya!$C70,"YYYYMMDD")))</f>
        <v>0</v>
      </c>
      <c r="AK70" s="2" cm="1">
        <f t="array" ref="AK70">IF(hp!AK70=0,0,_xll.BDP(AK$4,"YAS_BOND_YLD", "YAS_BOND_PX",hp!AK70, "SETTLE_DT", TEXT(ya!$C70,"YYYYMMDD")))</f>
        <v>0</v>
      </c>
      <c r="AL70" s="2" cm="1">
        <f t="array" ref="AL70">IF(hp!AL70=0,0,_xll.BDP(AL$4,"YAS_BOND_YLD", "YAS_BOND_PX",hp!AL70, "SETTLE_DT", TEXT(ya!$C70,"YYYYMMDD")))</f>
        <v>0</v>
      </c>
      <c r="AM70" s="2" cm="1">
        <f t="array" ref="AM70">IF(hp!AM70=0,0,_xll.BDP(AM$4,"YAS_BOND_YLD", "YAS_BOND_PX",hp!AM70, "SETTLE_DT", TEXT(ya!$C70,"YYYYMMDD")))</f>
        <v>0</v>
      </c>
      <c r="AN70" s="2" cm="1">
        <f t="array" ref="AN70">IF(hp!AN70=0,0,_xll.BDP(AN$4,"YAS_BOND_YLD", "YAS_BOND_PX",hp!AN70, "SETTLE_DT", TEXT(ya!$C70,"YYYYMMDD")))</f>
        <v>0</v>
      </c>
      <c r="AO70" s="2" cm="1">
        <f t="array" ref="AO70">IF(hp!AO70=0,0,_xll.BDP(AO$4,"YAS_BOND_YLD", "YAS_BOND_PX",hp!AO70, "SETTLE_DT", TEXT(ya!$C70,"YYYYMMDD")))</f>
        <v>0</v>
      </c>
      <c r="AP70" s="2" cm="1">
        <f t="array" ref="AP70">IF(hp!AP70=0,0,_xll.BDP(AP$4,"YAS_BOND_YLD", "YAS_BOND_PX",hp!AP70, "SETTLE_DT", TEXT(ya!$C70,"YYYYMMDD")))</f>
        <v>0</v>
      </c>
      <c r="AQ70" s="2" cm="1">
        <f t="array" ref="AQ70">IF(hp!AQ70=0,0,_xll.BDP(AQ$4,"YAS_BOND_YLD", "YAS_BOND_PX",hp!AQ70, "SETTLE_DT", TEXT(ya!$C70,"YYYYMMDD")))</f>
        <v>0</v>
      </c>
      <c r="AR70" s="2" cm="1">
        <f t="array" ref="AR70">IF(hp!AR70=0,0,_xll.BDP(AR$4,"YAS_BOND_YLD", "YAS_BOND_PX",hp!AR70, "SETTLE_DT", TEXT(ya!$C70,"YYYYMMDD")))</f>
        <v>2.3858999999999999</v>
      </c>
      <c r="AS70" s="2" cm="1">
        <f t="array" ref="AS70">IF(hp!AS70=0,0,_xll.BDP(AS$4,"YAS_BOND_YLD", "YAS_BOND_PX",hp!AS70, "SETTLE_DT", TEXT(ya!$C70,"YYYYMMDD")))</f>
        <v>0</v>
      </c>
      <c r="AT70" s="2" cm="1">
        <f t="array" ref="AT70">IF(hp!AT70=0,0,_xll.BDP(AT$4,"YAS_BOND_YLD", "YAS_BOND_PX",hp!AT70, "SETTLE_DT", TEXT(ya!$C70,"YYYYMMDD")))</f>
        <v>0</v>
      </c>
      <c r="AU70" s="2" cm="1">
        <f t="array" ref="AU70">IF(hp!AU70=0,0,_xll.BDP(AU$4,"YAS_BOND_YLD", "YAS_BOND_PX",hp!AU70, "SETTLE_DT", TEXT(ya!$C70,"YYYYMMDD")))</f>
        <v>0</v>
      </c>
      <c r="AV70" s="2" cm="1">
        <f t="array" ref="AV70">IF(hp!AV70=0,0,_xll.BDP(AV$4,"YAS_BOND_YLD", "YAS_BOND_PX",hp!AV70, "SETTLE_DT", TEXT(ya!$C70,"YYYYMMDD")))</f>
        <v>0</v>
      </c>
      <c r="AW70" s="2" cm="1">
        <f t="array" ref="AW70">IF(hp!AW70=0,0,_xll.BDP(AW$4,"YAS_BOND_YLD", "YAS_BOND_PX",hp!AW70, "SETTLE_DT", TEXT(ya!$C70,"YYYYMMDD")))</f>
        <v>0</v>
      </c>
      <c r="AX70" s="2" cm="1">
        <f t="array" ref="AX70">IF(hp!AX70=0,0,_xll.BDP(AX$4,"YAS_BOND_YLD", "YAS_BOND_PX",hp!AX70, "SETTLE_DT", TEXT(ya!$C70,"YYYYMMDD")))</f>
        <v>0</v>
      </c>
      <c r="AY70" s="2" cm="1">
        <f t="array" ref="AY70">IF(hp!AY70=0,0,_xll.BDP(AY$4,"YAS_BOND_YLD", "YAS_BOND_PX",hp!AY70, "SETTLE_DT", TEXT(ya!$C70,"YYYYMMDD")))</f>
        <v>0</v>
      </c>
      <c r="AZ70" s="2" cm="1">
        <f t="array" ref="AZ70">IF(hp!AZ70=0,0,_xll.BDP(AZ$4,"YAS_BOND_YLD", "YAS_BOND_PX",hp!AZ70, "SETTLE_DT", TEXT(ya!$C70,"YYYYMMDD")))</f>
        <v>0</v>
      </c>
    </row>
    <row r="71" spans="1:52" x14ac:dyDescent="0.25">
      <c r="A71" s="1"/>
      <c r="B71" s="2"/>
      <c r="C71" s="1">
        <v>44074</v>
      </c>
      <c r="D71" s="2" cm="1">
        <f t="array" ref="D71">IF(hp!D71=0,0,_xll.BDP(D$4,"YAS_BOND_YLD", "YAS_BOND_PX",hp!D71, "SETTLE_DT", TEXT(ya!$C71,"YYYYMMDD")))</f>
        <v>0</v>
      </c>
      <c r="E71" s="2" cm="1">
        <f t="array" ref="E71">IF(hp!E71=0,0,_xll.BDP(E$4,"YAS_BOND_YLD", "YAS_BOND_PX",hp!E71, "SETTLE_DT", TEXT(ya!$C71,"YYYYMMDD")))</f>
        <v>7.1703999999999999</v>
      </c>
      <c r="F71" s="2" cm="1">
        <f t="array" ref="F71">IF(hp!F71=0,0,_xll.BDP(F$4,"YAS_BOND_YLD", "YAS_BOND_PX",hp!F71, "SETTLE_DT", TEXT(ya!$C71,"YYYYMMDD")))</f>
        <v>6.5594000000000001</v>
      </c>
      <c r="G71" s="2" cm="1">
        <f t="array" ref="G71">IF(hp!G71=0,0,_xll.BDP(G$4,"YAS_BOND_YLD", "YAS_BOND_PX",hp!G71, "SETTLE_DT", TEXT(ya!$C71,"YYYYMMDD")))</f>
        <v>3.5002</v>
      </c>
      <c r="H71" s="2" cm="1">
        <f t="array" ref="H71">IF(hp!H71=0,0,_xll.BDP(H$4,"YAS_BOND_YLD", "YAS_BOND_PX",hp!H71, "SETTLE_DT", TEXT(ya!$C71,"YYYYMMDD")))</f>
        <v>6.8995999999999995</v>
      </c>
      <c r="I71" s="2" cm="1">
        <f t="array" ref="I71">IF(hp!I71=0,0,_xll.BDP(I$4,"YAS_BOND_YLD", "YAS_BOND_PX",hp!I71, "SETTLE_DT", TEXT(ya!$C71,"YYYYMMDD")))</f>
        <v>0</v>
      </c>
      <c r="J71" s="2" cm="1">
        <f t="array" ref="J71">IF(hp!J71=0,0,_xll.BDP(J$4,"YAS_BOND_YLD", "YAS_BOND_PX",hp!J71, "SETTLE_DT", TEXT(ya!$C71,"YYYYMMDD")))</f>
        <v>4.0343999999999998</v>
      </c>
      <c r="K71" s="2" cm="1">
        <f t="array" ref="K71">IF(hp!K71=0,0,_xll.BDP(K$4,"YAS_BOND_YLD", "YAS_BOND_PX",hp!K71, "SETTLE_DT", TEXT(ya!$C71,"YYYYMMDD")))</f>
        <v>0</v>
      </c>
      <c r="L71" s="2" cm="1">
        <f t="array" ref="L71">IF(hp!L71=0,0,_xll.BDP(L$4,"YAS_BOND_YLD", "YAS_BOND_PX",hp!L71, "SETTLE_DT", TEXT(ya!$C71,"YYYYMMDD")))</f>
        <v>3.0731999999999999</v>
      </c>
      <c r="M71" s="2" cm="1">
        <f t="array" ref="M71">IF(hp!M71=0,0,_xll.BDP(M$4,"YAS_BOND_YLD", "YAS_BOND_PX",hp!M71, "SETTLE_DT", TEXT(ya!$C71,"YYYYMMDD")))</f>
        <v>2.7382</v>
      </c>
      <c r="N71" s="2" cm="1">
        <f t="array" ref="N71">IF(hp!N71=0,0,_xll.BDP(N$4,"YAS_BOND_YLD", "YAS_BOND_PX",hp!N71, "SETTLE_DT", TEXT(ya!$C71,"YYYYMMDD")))</f>
        <v>2.3142</v>
      </c>
      <c r="O71" s="2" cm="1">
        <f t="array" ref="O71">IF(hp!O71=0,0,_xll.BDP(O$4,"YAS_BOND_YLD", "YAS_BOND_PX",hp!O71, "SETTLE_DT", TEXT(ya!$C71,"YYYYMMDD")))</f>
        <v>0</v>
      </c>
      <c r="P71" s="2" cm="1">
        <f t="array" ref="P71">IF(hp!P71=0,0,_xll.BDP(P$4,"YAS_BOND_YLD", "YAS_BOND_PX",hp!P71, "SETTLE_DT", TEXT(ya!$C71,"YYYYMMDD")))</f>
        <v>0</v>
      </c>
      <c r="Q71" s="2" cm="1">
        <f t="array" ref="Q71">IF(hp!Q71=0,0,_xll.BDP(Q$4,"YAS_BOND_YLD", "YAS_BOND_PX",hp!Q71, "SETTLE_DT", TEXT(ya!$C71,"YYYYMMDD")))</f>
        <v>4.0183999999999997</v>
      </c>
      <c r="R71" s="2" cm="1">
        <f t="array" ref="R71">IF(hp!R71=0,0,_xll.BDP(R$4,"YAS_BOND_YLD", "YAS_BOND_PX",hp!R71, "SETTLE_DT", TEXT(ya!$C71,"YYYYMMDD")))</f>
        <v>0</v>
      </c>
      <c r="S71" s="2" cm="1">
        <f t="array" ref="S71">IF(hp!S71=0,0,_xll.BDP(S$4,"YAS_BOND_YLD", "YAS_BOND_PX",hp!S71, "SETTLE_DT", TEXT(ya!$C71,"YYYYMMDD")))</f>
        <v>0</v>
      </c>
      <c r="T71" s="2" cm="1">
        <f t="array" ref="T71">IF(hp!T71=0,0,_xll.BDP(T$4,"YAS_BOND_YLD", "YAS_BOND_PX",hp!T71, "SETTLE_DT", TEXT(ya!$C71,"YYYYMMDD")))</f>
        <v>0</v>
      </c>
      <c r="U71" s="2" cm="1">
        <f t="array" ref="U71">IF(hp!U71=0,0,_xll.BDP(U$4,"YAS_BOND_YLD", "YAS_BOND_PX",hp!U71, "SETTLE_DT", TEXT(ya!$C71,"YYYYMMDD")))</f>
        <v>3.7987000000000002</v>
      </c>
      <c r="V71" s="2" cm="1">
        <f t="array" ref="V71">IF(hp!V71=0,0,_xll.BDP(V$4,"YAS_BOND_YLD", "YAS_BOND_PX",hp!V71, "SETTLE_DT", TEXT(ya!$C71,"YYYYMMDD")))</f>
        <v>0</v>
      </c>
      <c r="W71" s="2" cm="1">
        <f t="array" ref="W71">IF(hp!W71=0,0,_xll.BDP(W$4,"YAS_BOND_YLD", "YAS_BOND_PX",hp!W71, "SETTLE_DT", TEXT(ya!$C71,"YYYYMMDD")))</f>
        <v>0</v>
      </c>
      <c r="X71" s="2" cm="1">
        <f t="array" ref="X71">IF(hp!X71=0,0,_xll.BDP(X$4,"YAS_BOND_YLD", "YAS_BOND_PX",hp!X71, "SETTLE_DT", TEXT(ya!$C71,"YYYYMMDD")))</f>
        <v>0</v>
      </c>
      <c r="Y71" s="2" cm="1">
        <f t="array" ref="Y71">IF(hp!Y71=0,0,_xll.BDP(Y$4,"YAS_BOND_YLD", "YAS_BOND_PX",hp!Y71, "SETTLE_DT", TEXT(ya!$C71,"YYYYMMDD")))</f>
        <v>0</v>
      </c>
      <c r="Z71" s="2" cm="1">
        <f t="array" ref="Z71">IF(hp!Z71=0,0,_xll.BDP(Z$4,"YAS_BOND_YLD", "YAS_BOND_PX",hp!Z71, "SETTLE_DT", TEXT(ya!$C71,"YYYYMMDD")))</f>
        <v>0</v>
      </c>
      <c r="AA71" s="2" cm="1">
        <f t="array" ref="AA71">IF(hp!AA71=0,0,_xll.BDP(AA$4,"YAS_BOND_YLD", "YAS_BOND_PX",hp!AA71, "SETTLE_DT", TEXT(ya!$C71,"YYYYMMDD")))</f>
        <v>0</v>
      </c>
      <c r="AB71" s="2" cm="1">
        <f t="array" ref="AB71">IF(hp!AB71=0,0,_xll.BDP(AB$4,"YAS_BOND_YLD", "YAS_BOND_PX",hp!AB71, "SETTLE_DT", TEXT(ya!$C71,"YYYYMMDD")))</f>
        <v>0</v>
      </c>
      <c r="AC71" s="2" cm="1">
        <f t="array" ref="AC71">IF(hp!AC71=0,0,_xll.BDP(AC$4,"YAS_BOND_YLD", "YAS_BOND_PX",hp!AC71, "SETTLE_DT", TEXT(ya!$C71,"YYYYMMDD")))</f>
        <v>0</v>
      </c>
      <c r="AD71" s="2" cm="1">
        <f t="array" ref="AD71">IF(hp!AD71=0,0,_xll.BDP(AD$4,"YAS_BOND_YLD", "YAS_BOND_PX",hp!AD71, "SETTLE_DT", TEXT(ya!$C71,"YYYYMMDD")))</f>
        <v>4.0560999999999998</v>
      </c>
      <c r="AE71" s="2" cm="1">
        <f t="array" ref="AE71">IF(hp!AE71=0,0,_xll.BDP(AE$4,"YAS_BOND_YLD", "YAS_BOND_PX",hp!AE71, "SETTLE_DT", TEXT(ya!$C71,"YYYYMMDD")))</f>
        <v>0</v>
      </c>
      <c r="AF71" s="2" cm="1">
        <f t="array" ref="AF71">IF(hp!AF71=0,0,_xll.BDP(AF$4,"YAS_BOND_YLD", "YAS_BOND_PX",hp!AF71, "SETTLE_DT", TEXT(ya!$C71,"YYYYMMDD")))</f>
        <v>0</v>
      </c>
      <c r="AG71" s="2" cm="1">
        <f t="array" ref="AG71">IF(hp!AG71=0,0,_xll.BDP(AG$4,"YAS_BOND_YLD", "YAS_BOND_PX",hp!AG71, "SETTLE_DT", TEXT(ya!$C71,"YYYYMMDD")))</f>
        <v>0</v>
      </c>
      <c r="AH71" s="2" cm="1">
        <f t="array" ref="AH71">IF(hp!AH71=0,0,_xll.BDP(AH$4,"YAS_BOND_YLD", "YAS_BOND_PX",hp!AH71, "SETTLE_DT", TEXT(ya!$C71,"YYYYMMDD")))</f>
        <v>0</v>
      </c>
      <c r="AI71" s="2" cm="1">
        <f t="array" ref="AI71">IF(hp!AI71=0,0,_xll.BDP(AI$4,"YAS_BOND_YLD", "YAS_BOND_PX",hp!AI71, "SETTLE_DT", TEXT(ya!$C71,"YYYYMMDD")))</f>
        <v>0</v>
      </c>
      <c r="AJ71" s="2" cm="1">
        <f t="array" ref="AJ71">IF(hp!AJ71=0,0,_xll.BDP(AJ$4,"YAS_BOND_YLD", "YAS_BOND_PX",hp!AJ71, "SETTLE_DT", TEXT(ya!$C71,"YYYYMMDD")))</f>
        <v>0</v>
      </c>
      <c r="AK71" s="2" cm="1">
        <f t="array" ref="AK71">IF(hp!AK71=0,0,_xll.BDP(AK$4,"YAS_BOND_YLD", "YAS_BOND_PX",hp!AK71, "SETTLE_DT", TEXT(ya!$C71,"YYYYMMDD")))</f>
        <v>0</v>
      </c>
      <c r="AL71" s="2" cm="1">
        <f t="array" ref="AL71">IF(hp!AL71=0,0,_xll.BDP(AL$4,"YAS_BOND_YLD", "YAS_BOND_PX",hp!AL71, "SETTLE_DT", TEXT(ya!$C71,"YYYYMMDD")))</f>
        <v>0</v>
      </c>
      <c r="AM71" s="2" cm="1">
        <f t="array" ref="AM71">IF(hp!AM71=0,0,_xll.BDP(AM$4,"YAS_BOND_YLD", "YAS_BOND_PX",hp!AM71, "SETTLE_DT", TEXT(ya!$C71,"YYYYMMDD")))</f>
        <v>0</v>
      </c>
      <c r="AN71" s="2" cm="1">
        <f t="array" ref="AN71">IF(hp!AN71=0,0,_xll.BDP(AN$4,"YAS_BOND_YLD", "YAS_BOND_PX",hp!AN71, "SETTLE_DT", TEXT(ya!$C71,"YYYYMMDD")))</f>
        <v>0</v>
      </c>
      <c r="AO71" s="2" cm="1">
        <f t="array" ref="AO71">IF(hp!AO71=0,0,_xll.BDP(AO$4,"YAS_BOND_YLD", "YAS_BOND_PX",hp!AO71, "SETTLE_DT", TEXT(ya!$C71,"YYYYMMDD")))</f>
        <v>0</v>
      </c>
      <c r="AP71" s="2" cm="1">
        <f t="array" ref="AP71">IF(hp!AP71=0,0,_xll.BDP(AP$4,"YAS_BOND_YLD", "YAS_BOND_PX",hp!AP71, "SETTLE_DT", TEXT(ya!$C71,"YYYYMMDD")))</f>
        <v>0</v>
      </c>
      <c r="AQ71" s="2" cm="1">
        <f t="array" ref="AQ71">IF(hp!AQ71=0,0,_xll.BDP(AQ$4,"YAS_BOND_YLD", "YAS_BOND_PX",hp!AQ71, "SETTLE_DT", TEXT(ya!$C71,"YYYYMMDD")))</f>
        <v>0</v>
      </c>
      <c r="AR71" s="2" cm="1">
        <f t="array" ref="AR71">IF(hp!AR71=0,0,_xll.BDP(AR$4,"YAS_BOND_YLD", "YAS_BOND_PX",hp!AR71, "SETTLE_DT", TEXT(ya!$C71,"YYYYMMDD")))</f>
        <v>2.4588999999999999</v>
      </c>
      <c r="AS71" s="2" cm="1">
        <f t="array" ref="AS71">IF(hp!AS71=0,0,_xll.BDP(AS$4,"YAS_BOND_YLD", "YAS_BOND_PX",hp!AS71, "SETTLE_DT", TEXT(ya!$C71,"YYYYMMDD")))</f>
        <v>0</v>
      </c>
      <c r="AT71" s="2" cm="1">
        <f t="array" ref="AT71">IF(hp!AT71=0,0,_xll.BDP(AT$4,"YAS_BOND_YLD", "YAS_BOND_PX",hp!AT71, "SETTLE_DT", TEXT(ya!$C71,"YYYYMMDD")))</f>
        <v>0</v>
      </c>
      <c r="AU71" s="2" cm="1">
        <f t="array" ref="AU71">IF(hp!AU71=0,0,_xll.BDP(AU$4,"YAS_BOND_YLD", "YAS_BOND_PX",hp!AU71, "SETTLE_DT", TEXT(ya!$C71,"YYYYMMDD")))</f>
        <v>0</v>
      </c>
      <c r="AV71" s="2" cm="1">
        <f t="array" ref="AV71">IF(hp!AV71=0,0,_xll.BDP(AV$4,"YAS_BOND_YLD", "YAS_BOND_PX",hp!AV71, "SETTLE_DT", TEXT(ya!$C71,"YYYYMMDD")))</f>
        <v>0</v>
      </c>
      <c r="AW71" s="2" cm="1">
        <f t="array" ref="AW71">IF(hp!AW71=0,0,_xll.BDP(AW$4,"YAS_BOND_YLD", "YAS_BOND_PX",hp!AW71, "SETTLE_DT", TEXT(ya!$C71,"YYYYMMDD")))</f>
        <v>0</v>
      </c>
      <c r="AX71" s="2" cm="1">
        <f t="array" ref="AX71">IF(hp!AX71=0,0,_xll.BDP(AX$4,"YAS_BOND_YLD", "YAS_BOND_PX",hp!AX71, "SETTLE_DT", TEXT(ya!$C71,"YYYYMMDD")))</f>
        <v>0</v>
      </c>
      <c r="AY71" s="2" cm="1">
        <f t="array" ref="AY71">IF(hp!AY71=0,0,_xll.BDP(AY$4,"YAS_BOND_YLD", "YAS_BOND_PX",hp!AY71, "SETTLE_DT", TEXT(ya!$C71,"YYYYMMDD")))</f>
        <v>0</v>
      </c>
      <c r="AZ71" s="2" cm="1">
        <f t="array" ref="AZ71">IF(hp!AZ71=0,0,_xll.BDP(AZ$4,"YAS_BOND_YLD", "YAS_BOND_PX",hp!AZ71, "SETTLE_DT", TEXT(ya!$C71,"YYYYMMDD")))</f>
        <v>0</v>
      </c>
    </row>
    <row r="72" spans="1:52" x14ac:dyDescent="0.25">
      <c r="A72" s="1"/>
      <c r="B72" s="2"/>
      <c r="C72" s="1">
        <v>44104</v>
      </c>
      <c r="D72" s="2" cm="1">
        <f t="array" ref="D72">IF(hp!D72=0,0,_xll.BDP(D$4,"YAS_BOND_YLD", "YAS_BOND_PX",hp!D72, "SETTLE_DT", TEXT(ya!$C72,"YYYYMMDD")))</f>
        <v>0</v>
      </c>
      <c r="E72" s="2" cm="1">
        <f t="array" ref="E72">IF(hp!E72=0,0,_xll.BDP(E$4,"YAS_BOND_YLD", "YAS_BOND_PX",hp!E72, "SETTLE_DT", TEXT(ya!$C72,"YYYYMMDD")))</f>
        <v>7.6818999999999997</v>
      </c>
      <c r="F72" s="2" cm="1">
        <f t="array" ref="F72">IF(hp!F72=0,0,_xll.BDP(F$4,"YAS_BOND_YLD", "YAS_BOND_PX",hp!F72, "SETTLE_DT", TEXT(ya!$C72,"YYYYMMDD")))</f>
        <v>7.1182999999999996</v>
      </c>
      <c r="G72" s="2" cm="1">
        <f t="array" ref="G72">IF(hp!G72=0,0,_xll.BDP(G$4,"YAS_BOND_YLD", "YAS_BOND_PX",hp!G72, "SETTLE_DT", TEXT(ya!$C72,"YYYYMMDD")))</f>
        <v>3.8431999999999999</v>
      </c>
      <c r="H72" s="2" cm="1">
        <f t="array" ref="H72">IF(hp!H72=0,0,_xll.BDP(H$4,"YAS_BOND_YLD", "YAS_BOND_PX",hp!H72, "SETTLE_DT", TEXT(ya!$C72,"YYYYMMDD")))</f>
        <v>7.3832000000000004</v>
      </c>
      <c r="I72" s="2" cm="1">
        <f t="array" ref="I72">IF(hp!I72=0,0,_xll.BDP(I$4,"YAS_BOND_YLD", "YAS_BOND_PX",hp!I72, "SETTLE_DT", TEXT(ya!$C72,"YYYYMMDD")))</f>
        <v>0</v>
      </c>
      <c r="J72" s="2" cm="1">
        <f t="array" ref="J72">IF(hp!J72=0,0,_xll.BDP(J$4,"YAS_BOND_YLD", "YAS_BOND_PX",hp!J72, "SETTLE_DT", TEXT(ya!$C72,"YYYYMMDD")))</f>
        <v>4.3067000000000002</v>
      </c>
      <c r="K72" s="2" cm="1">
        <f t="array" ref="K72">IF(hp!K72=0,0,_xll.BDP(K$4,"YAS_BOND_YLD", "YAS_BOND_PX",hp!K72, "SETTLE_DT", TEXT(ya!$C72,"YYYYMMDD")))</f>
        <v>0</v>
      </c>
      <c r="L72" s="2" cm="1">
        <f t="array" ref="L72">IF(hp!L72=0,0,_xll.BDP(L$4,"YAS_BOND_YLD", "YAS_BOND_PX",hp!L72, "SETTLE_DT", TEXT(ya!$C72,"YYYYMMDD")))</f>
        <v>3.4291999999999998</v>
      </c>
      <c r="M72" s="2" cm="1">
        <f t="array" ref="M72">IF(hp!M72=0,0,_xll.BDP(M$4,"YAS_BOND_YLD", "YAS_BOND_PX",hp!M72, "SETTLE_DT", TEXT(ya!$C72,"YYYYMMDD")))</f>
        <v>3.0510000000000002</v>
      </c>
      <c r="N72" s="2" cm="1">
        <f t="array" ref="N72">IF(hp!N72=0,0,_xll.BDP(N$4,"YAS_BOND_YLD", "YAS_BOND_PX",hp!N72, "SETTLE_DT", TEXT(ya!$C72,"YYYYMMDD")))</f>
        <v>2.6315</v>
      </c>
      <c r="O72" s="2" cm="1">
        <f t="array" ref="O72">IF(hp!O72=0,0,_xll.BDP(O$4,"YAS_BOND_YLD", "YAS_BOND_PX",hp!O72, "SETTLE_DT", TEXT(ya!$C72,"YYYYMMDD")))</f>
        <v>0</v>
      </c>
      <c r="P72" s="2" cm="1">
        <f t="array" ref="P72">IF(hp!P72=0,0,_xll.BDP(P$4,"YAS_BOND_YLD", "YAS_BOND_PX",hp!P72, "SETTLE_DT", TEXT(ya!$C72,"YYYYMMDD")))</f>
        <v>0</v>
      </c>
      <c r="Q72" s="2" cm="1">
        <f t="array" ref="Q72">IF(hp!Q72=0,0,_xll.BDP(Q$4,"YAS_BOND_YLD", "YAS_BOND_PX",hp!Q72, "SETTLE_DT", TEXT(ya!$C72,"YYYYMMDD")))</f>
        <v>4.2949000000000002</v>
      </c>
      <c r="R72" s="2" cm="1">
        <f t="array" ref="R72">IF(hp!R72=0,0,_xll.BDP(R$4,"YAS_BOND_YLD", "YAS_BOND_PX",hp!R72, "SETTLE_DT", TEXT(ya!$C72,"YYYYMMDD")))</f>
        <v>0</v>
      </c>
      <c r="S72" s="2" cm="1">
        <f t="array" ref="S72">IF(hp!S72=0,0,_xll.BDP(S$4,"YAS_BOND_YLD", "YAS_BOND_PX",hp!S72, "SETTLE_DT", TEXT(ya!$C72,"YYYYMMDD")))</f>
        <v>0</v>
      </c>
      <c r="T72" s="2" cm="1">
        <f t="array" ref="T72">IF(hp!T72=0,0,_xll.BDP(T$4,"YAS_BOND_YLD", "YAS_BOND_PX",hp!T72, "SETTLE_DT", TEXT(ya!$C72,"YYYYMMDD")))</f>
        <v>0</v>
      </c>
      <c r="U72" s="2" cm="1">
        <f t="array" ref="U72">IF(hp!U72=0,0,_xll.BDP(U$4,"YAS_BOND_YLD", "YAS_BOND_PX",hp!U72, "SETTLE_DT", TEXT(ya!$C72,"YYYYMMDD")))</f>
        <v>4.1224999999999996</v>
      </c>
      <c r="V72" s="2" cm="1">
        <f t="array" ref="V72">IF(hp!V72=0,0,_xll.BDP(V$4,"YAS_BOND_YLD", "YAS_BOND_PX",hp!V72, "SETTLE_DT", TEXT(ya!$C72,"YYYYMMDD")))</f>
        <v>0</v>
      </c>
      <c r="W72" s="2" cm="1">
        <f t="array" ref="W72">IF(hp!W72=0,0,_xll.BDP(W$4,"YAS_BOND_YLD", "YAS_BOND_PX",hp!W72, "SETTLE_DT", TEXT(ya!$C72,"YYYYMMDD")))</f>
        <v>0</v>
      </c>
      <c r="X72" s="2" cm="1">
        <f t="array" ref="X72">IF(hp!X72=0,0,_xll.BDP(X$4,"YAS_BOND_YLD", "YAS_BOND_PX",hp!X72, "SETTLE_DT", TEXT(ya!$C72,"YYYYMMDD")))</f>
        <v>0</v>
      </c>
      <c r="Y72" s="2" cm="1">
        <f t="array" ref="Y72">IF(hp!Y72=0,0,_xll.BDP(Y$4,"YAS_BOND_YLD", "YAS_BOND_PX",hp!Y72, "SETTLE_DT", TEXT(ya!$C72,"YYYYMMDD")))</f>
        <v>0</v>
      </c>
      <c r="Z72" s="2" cm="1">
        <f t="array" ref="Z72">IF(hp!Z72=0,0,_xll.BDP(Z$4,"YAS_BOND_YLD", "YAS_BOND_PX",hp!Z72, "SETTLE_DT", TEXT(ya!$C72,"YYYYMMDD")))</f>
        <v>0</v>
      </c>
      <c r="AA72" s="2" cm="1">
        <f t="array" ref="AA72">IF(hp!AA72=0,0,_xll.BDP(AA$4,"YAS_BOND_YLD", "YAS_BOND_PX",hp!AA72, "SETTLE_DT", TEXT(ya!$C72,"YYYYMMDD")))</f>
        <v>0</v>
      </c>
      <c r="AB72" s="2" cm="1">
        <f t="array" ref="AB72">IF(hp!AB72=0,0,_xll.BDP(AB$4,"YAS_BOND_YLD", "YAS_BOND_PX",hp!AB72, "SETTLE_DT", TEXT(ya!$C72,"YYYYMMDD")))</f>
        <v>0</v>
      </c>
      <c r="AC72" s="2" cm="1">
        <f t="array" ref="AC72">IF(hp!AC72=0,0,_xll.BDP(AC$4,"YAS_BOND_YLD", "YAS_BOND_PX",hp!AC72, "SETTLE_DT", TEXT(ya!$C72,"YYYYMMDD")))</f>
        <v>0</v>
      </c>
      <c r="AD72" s="2" cm="1">
        <f t="array" ref="AD72">IF(hp!AD72=0,0,_xll.BDP(AD$4,"YAS_BOND_YLD", "YAS_BOND_PX",hp!AD72, "SETTLE_DT", TEXT(ya!$C72,"YYYYMMDD")))</f>
        <v>4.3250000000000002</v>
      </c>
      <c r="AE72" s="2" cm="1">
        <f t="array" ref="AE72">IF(hp!AE72=0,0,_xll.BDP(AE$4,"YAS_BOND_YLD", "YAS_BOND_PX",hp!AE72, "SETTLE_DT", TEXT(ya!$C72,"YYYYMMDD")))</f>
        <v>0</v>
      </c>
      <c r="AF72" s="2" cm="1">
        <f t="array" ref="AF72">IF(hp!AF72=0,0,_xll.BDP(AF$4,"YAS_BOND_YLD", "YAS_BOND_PX",hp!AF72, "SETTLE_DT", TEXT(ya!$C72,"YYYYMMDD")))</f>
        <v>0</v>
      </c>
      <c r="AG72" s="2" cm="1">
        <f t="array" ref="AG72">IF(hp!AG72=0,0,_xll.BDP(AG$4,"YAS_BOND_YLD", "YAS_BOND_PX",hp!AG72, "SETTLE_DT", TEXT(ya!$C72,"YYYYMMDD")))</f>
        <v>0</v>
      </c>
      <c r="AH72" s="2" cm="1">
        <f t="array" ref="AH72">IF(hp!AH72=0,0,_xll.BDP(AH$4,"YAS_BOND_YLD", "YAS_BOND_PX",hp!AH72, "SETTLE_DT", TEXT(ya!$C72,"YYYYMMDD")))</f>
        <v>0</v>
      </c>
      <c r="AI72" s="2" cm="1">
        <f t="array" ref="AI72">IF(hp!AI72=0,0,_xll.BDP(AI$4,"YAS_BOND_YLD", "YAS_BOND_PX",hp!AI72, "SETTLE_DT", TEXT(ya!$C72,"YYYYMMDD")))</f>
        <v>0</v>
      </c>
      <c r="AJ72" s="2" cm="1">
        <f t="array" ref="AJ72">IF(hp!AJ72=0,0,_xll.BDP(AJ$4,"YAS_BOND_YLD", "YAS_BOND_PX",hp!AJ72, "SETTLE_DT", TEXT(ya!$C72,"YYYYMMDD")))</f>
        <v>0</v>
      </c>
      <c r="AK72" s="2" cm="1">
        <f t="array" ref="AK72">IF(hp!AK72=0,0,_xll.BDP(AK$4,"YAS_BOND_YLD", "YAS_BOND_PX",hp!AK72, "SETTLE_DT", TEXT(ya!$C72,"YYYYMMDD")))</f>
        <v>0</v>
      </c>
      <c r="AL72" s="2" cm="1">
        <f t="array" ref="AL72">IF(hp!AL72=0,0,_xll.BDP(AL$4,"YAS_BOND_YLD", "YAS_BOND_PX",hp!AL72, "SETTLE_DT", TEXT(ya!$C72,"YYYYMMDD")))</f>
        <v>0</v>
      </c>
      <c r="AM72" s="2" cm="1">
        <f t="array" ref="AM72">IF(hp!AM72=0,0,_xll.BDP(AM$4,"YAS_BOND_YLD", "YAS_BOND_PX",hp!AM72, "SETTLE_DT", TEXT(ya!$C72,"YYYYMMDD")))</f>
        <v>0</v>
      </c>
      <c r="AN72" s="2" cm="1">
        <f t="array" ref="AN72">IF(hp!AN72=0,0,_xll.BDP(AN$4,"YAS_BOND_YLD", "YAS_BOND_PX",hp!AN72, "SETTLE_DT", TEXT(ya!$C72,"YYYYMMDD")))</f>
        <v>0</v>
      </c>
      <c r="AO72" s="2" cm="1">
        <f t="array" ref="AO72">IF(hp!AO72=0,0,_xll.BDP(AO$4,"YAS_BOND_YLD", "YAS_BOND_PX",hp!AO72, "SETTLE_DT", TEXT(ya!$C72,"YYYYMMDD")))</f>
        <v>0</v>
      </c>
      <c r="AP72" s="2" cm="1">
        <f t="array" ref="AP72">IF(hp!AP72=0,0,_xll.BDP(AP$4,"YAS_BOND_YLD", "YAS_BOND_PX",hp!AP72, "SETTLE_DT", TEXT(ya!$C72,"YYYYMMDD")))</f>
        <v>0</v>
      </c>
      <c r="AQ72" s="2" cm="1">
        <f t="array" ref="AQ72">IF(hp!AQ72=0,0,_xll.BDP(AQ$4,"YAS_BOND_YLD", "YAS_BOND_PX",hp!AQ72, "SETTLE_DT", TEXT(ya!$C72,"YYYYMMDD")))</f>
        <v>0</v>
      </c>
      <c r="AR72" s="2" cm="1">
        <f t="array" ref="AR72">IF(hp!AR72=0,0,_xll.BDP(AR$4,"YAS_BOND_YLD", "YAS_BOND_PX",hp!AR72, "SETTLE_DT", TEXT(ya!$C72,"YYYYMMDD")))</f>
        <v>3.4382000000000001</v>
      </c>
      <c r="AS72" s="2" cm="1">
        <f t="array" ref="AS72">IF(hp!AS72=0,0,_xll.BDP(AS$4,"YAS_BOND_YLD", "YAS_BOND_PX",hp!AS72, "SETTLE_DT", TEXT(ya!$C72,"YYYYMMDD")))</f>
        <v>0</v>
      </c>
      <c r="AT72" s="2" cm="1">
        <f t="array" ref="AT72">IF(hp!AT72=0,0,_xll.BDP(AT$4,"YAS_BOND_YLD", "YAS_BOND_PX",hp!AT72, "SETTLE_DT", TEXT(ya!$C72,"YYYYMMDD")))</f>
        <v>0</v>
      </c>
      <c r="AU72" s="2" cm="1">
        <f t="array" ref="AU72">IF(hp!AU72=0,0,_xll.BDP(AU$4,"YAS_BOND_YLD", "YAS_BOND_PX",hp!AU72, "SETTLE_DT", TEXT(ya!$C72,"YYYYMMDD")))</f>
        <v>0</v>
      </c>
      <c r="AV72" s="2" cm="1">
        <f t="array" ref="AV72">IF(hp!AV72=0,0,_xll.BDP(AV$4,"YAS_BOND_YLD", "YAS_BOND_PX",hp!AV72, "SETTLE_DT", TEXT(ya!$C72,"YYYYMMDD")))</f>
        <v>0</v>
      </c>
      <c r="AW72" s="2" cm="1">
        <f t="array" ref="AW72">IF(hp!AW72=0,0,_xll.BDP(AW$4,"YAS_BOND_YLD", "YAS_BOND_PX",hp!AW72, "SETTLE_DT", TEXT(ya!$C72,"YYYYMMDD")))</f>
        <v>0</v>
      </c>
      <c r="AX72" s="2" cm="1">
        <f t="array" ref="AX72">IF(hp!AX72=0,0,_xll.BDP(AX$4,"YAS_BOND_YLD", "YAS_BOND_PX",hp!AX72, "SETTLE_DT", TEXT(ya!$C72,"YYYYMMDD")))</f>
        <v>0</v>
      </c>
      <c r="AY72" s="2" cm="1">
        <f t="array" ref="AY72">IF(hp!AY72=0,0,_xll.BDP(AY$4,"YAS_BOND_YLD", "YAS_BOND_PX",hp!AY72, "SETTLE_DT", TEXT(ya!$C72,"YYYYMMDD")))</f>
        <v>0</v>
      </c>
      <c r="AZ72" s="2" cm="1">
        <f t="array" ref="AZ72">IF(hp!AZ72=0,0,_xll.BDP(AZ$4,"YAS_BOND_YLD", "YAS_BOND_PX",hp!AZ72, "SETTLE_DT", TEXT(ya!$C72,"YYYYMMDD")))</f>
        <v>0</v>
      </c>
    </row>
    <row r="73" spans="1:52" x14ac:dyDescent="0.25">
      <c r="A73" s="1"/>
      <c r="B73" s="2"/>
      <c r="C73" s="1">
        <v>44134</v>
      </c>
      <c r="D73" s="2" cm="1">
        <f t="array" ref="D73">IF(hp!D73=0,0,_xll.BDP(D$4,"YAS_BOND_YLD", "YAS_BOND_PX",hp!D73, "SETTLE_DT", TEXT(ya!$C73,"YYYYMMDD")))</f>
        <v>0</v>
      </c>
      <c r="E73" s="2" cm="1">
        <f t="array" ref="E73">IF(hp!E73=0,0,_xll.BDP(E$4,"YAS_BOND_YLD", "YAS_BOND_PX",hp!E73, "SETTLE_DT", TEXT(ya!$C73,"YYYYMMDD")))</f>
        <v>7.8692000000000002</v>
      </c>
      <c r="F73" s="2" cm="1">
        <f t="array" ref="F73">IF(hp!F73=0,0,_xll.BDP(F$4,"YAS_BOND_YLD", "YAS_BOND_PX",hp!F73, "SETTLE_DT", TEXT(ya!$C73,"YYYYMMDD")))</f>
        <v>7.2923</v>
      </c>
      <c r="G73" s="2" cm="1">
        <f t="array" ref="G73">IF(hp!G73=0,0,_xll.BDP(G$4,"YAS_BOND_YLD", "YAS_BOND_PX",hp!G73, "SETTLE_DT", TEXT(ya!$C73,"YYYYMMDD")))</f>
        <v>3.9337999999999997</v>
      </c>
      <c r="H73" s="2" cm="1">
        <f t="array" ref="H73">IF(hp!H73=0,0,_xll.BDP(H$4,"YAS_BOND_YLD", "YAS_BOND_PX",hp!H73, "SETTLE_DT", TEXT(ya!$C73,"YYYYMMDD")))</f>
        <v>7.5747</v>
      </c>
      <c r="I73" s="2" cm="1">
        <f t="array" ref="I73">IF(hp!I73=0,0,_xll.BDP(I$4,"YAS_BOND_YLD", "YAS_BOND_PX",hp!I73, "SETTLE_DT", TEXT(ya!$C73,"YYYYMMDD")))</f>
        <v>0</v>
      </c>
      <c r="J73" s="2" cm="1">
        <f t="array" ref="J73">IF(hp!J73=0,0,_xll.BDP(J$4,"YAS_BOND_YLD", "YAS_BOND_PX",hp!J73, "SETTLE_DT", TEXT(ya!$C73,"YYYYMMDD")))</f>
        <v>4.3375000000000004</v>
      </c>
      <c r="K73" s="2" cm="1">
        <f t="array" ref="K73">IF(hp!K73=0,0,_xll.BDP(K$4,"YAS_BOND_YLD", "YAS_BOND_PX",hp!K73, "SETTLE_DT", TEXT(ya!$C73,"YYYYMMDD")))</f>
        <v>0</v>
      </c>
      <c r="L73" s="2" cm="1">
        <f t="array" ref="L73">IF(hp!L73=0,0,_xll.BDP(L$4,"YAS_BOND_YLD", "YAS_BOND_PX",hp!L73, "SETTLE_DT", TEXT(ya!$C73,"YYYYMMDD")))</f>
        <v>3.5331000000000001</v>
      </c>
      <c r="M73" s="2" cm="1">
        <f t="array" ref="M73">IF(hp!M73=0,0,_xll.BDP(M$4,"YAS_BOND_YLD", "YAS_BOND_PX",hp!M73, "SETTLE_DT", TEXT(ya!$C73,"YYYYMMDD")))</f>
        <v>3.2684000000000002</v>
      </c>
      <c r="N73" s="2" cm="1">
        <f t="array" ref="N73">IF(hp!N73=0,0,_xll.BDP(N$4,"YAS_BOND_YLD", "YAS_BOND_PX",hp!N73, "SETTLE_DT", TEXT(ya!$C73,"YYYYMMDD")))</f>
        <v>2.9003999999999999</v>
      </c>
      <c r="O73" s="2" cm="1">
        <f t="array" ref="O73">IF(hp!O73=0,0,_xll.BDP(O$4,"YAS_BOND_YLD", "YAS_BOND_PX",hp!O73, "SETTLE_DT", TEXT(ya!$C73,"YYYYMMDD")))</f>
        <v>0</v>
      </c>
      <c r="P73" s="2" cm="1">
        <f t="array" ref="P73">IF(hp!P73=0,0,_xll.BDP(P$4,"YAS_BOND_YLD", "YAS_BOND_PX",hp!P73, "SETTLE_DT", TEXT(ya!$C73,"YYYYMMDD")))</f>
        <v>0</v>
      </c>
      <c r="Q73" s="2" cm="1">
        <f t="array" ref="Q73">IF(hp!Q73=0,0,_xll.BDP(Q$4,"YAS_BOND_YLD", "YAS_BOND_PX",hp!Q73, "SETTLE_DT", TEXT(ya!$C73,"YYYYMMDD")))</f>
        <v>4.3306000000000004</v>
      </c>
      <c r="R73" s="2" cm="1">
        <f t="array" ref="R73">IF(hp!R73=0,0,_xll.BDP(R$4,"YAS_BOND_YLD", "YAS_BOND_PX",hp!R73, "SETTLE_DT", TEXT(ya!$C73,"YYYYMMDD")))</f>
        <v>0</v>
      </c>
      <c r="S73" s="2" cm="1">
        <f t="array" ref="S73">IF(hp!S73=0,0,_xll.BDP(S$4,"YAS_BOND_YLD", "YAS_BOND_PX",hp!S73, "SETTLE_DT", TEXT(ya!$C73,"YYYYMMDD")))</f>
        <v>0</v>
      </c>
      <c r="T73" s="2" cm="1">
        <f t="array" ref="T73">IF(hp!T73=0,0,_xll.BDP(T$4,"YAS_BOND_YLD", "YAS_BOND_PX",hp!T73, "SETTLE_DT", TEXT(ya!$C73,"YYYYMMDD")))</f>
        <v>0</v>
      </c>
      <c r="U73" s="2" cm="1">
        <f t="array" ref="U73">IF(hp!U73=0,0,_xll.BDP(U$4,"YAS_BOND_YLD", "YAS_BOND_PX",hp!U73, "SETTLE_DT", TEXT(ya!$C73,"YYYYMMDD")))</f>
        <v>4.1490999999999998</v>
      </c>
      <c r="V73" s="2" cm="1">
        <f t="array" ref="V73">IF(hp!V73=0,0,_xll.BDP(V$4,"YAS_BOND_YLD", "YAS_BOND_PX",hp!V73, "SETTLE_DT", TEXT(ya!$C73,"YYYYMMDD")))</f>
        <v>0</v>
      </c>
      <c r="W73" s="2" cm="1">
        <f t="array" ref="W73">IF(hp!W73=0,0,_xll.BDP(W$4,"YAS_BOND_YLD", "YAS_BOND_PX",hp!W73, "SETTLE_DT", TEXT(ya!$C73,"YYYYMMDD")))</f>
        <v>0.1953</v>
      </c>
      <c r="X73" s="2" cm="1">
        <f t="array" ref="X73">IF(hp!X73=0,0,_xll.BDP(X$4,"YAS_BOND_YLD", "YAS_BOND_PX",hp!X73, "SETTLE_DT", TEXT(ya!$C73,"YYYYMMDD")))</f>
        <v>0</v>
      </c>
      <c r="Y73" s="2" cm="1">
        <f t="array" ref="Y73">IF(hp!Y73=0,0,_xll.BDP(Y$4,"YAS_BOND_YLD", "YAS_BOND_PX",hp!Y73, "SETTLE_DT", TEXT(ya!$C73,"YYYYMMDD")))</f>
        <v>0</v>
      </c>
      <c r="Z73" s="2" cm="1">
        <f t="array" ref="Z73">IF(hp!Z73=0,0,_xll.BDP(Z$4,"YAS_BOND_YLD", "YAS_BOND_PX",hp!Z73, "SETTLE_DT", TEXT(ya!$C73,"YYYYMMDD")))</f>
        <v>0.30509999999999998</v>
      </c>
      <c r="AA73" s="2" cm="1">
        <f t="array" ref="AA73">IF(hp!AA73=0,0,_xll.BDP(AA$4,"YAS_BOND_YLD", "YAS_BOND_PX",hp!AA73, "SETTLE_DT", TEXT(ya!$C73,"YYYYMMDD")))</f>
        <v>0</v>
      </c>
      <c r="AB73" s="2" cm="1">
        <f t="array" ref="AB73">IF(hp!AB73=0,0,_xll.BDP(AB$4,"YAS_BOND_YLD", "YAS_BOND_PX",hp!AB73, "SETTLE_DT", TEXT(ya!$C73,"YYYYMMDD")))</f>
        <v>0.34360000000000002</v>
      </c>
      <c r="AC73" s="2" cm="1">
        <f t="array" ref="AC73">IF(hp!AC73=0,0,_xll.BDP(AC$4,"YAS_BOND_YLD", "YAS_BOND_PX",hp!AC73, "SETTLE_DT", TEXT(ya!$C73,"YYYYMMDD")))</f>
        <v>0</v>
      </c>
      <c r="AD73" s="2" cm="1">
        <f t="array" ref="AD73">IF(hp!AD73=0,0,_xll.BDP(AD$4,"YAS_BOND_YLD", "YAS_BOND_PX",hp!AD73, "SETTLE_DT", TEXT(ya!$C73,"YYYYMMDD")))</f>
        <v>4.3469999999999995</v>
      </c>
      <c r="AE73" s="2" cm="1">
        <f t="array" ref="AE73">IF(hp!AE73=0,0,_xll.BDP(AE$4,"YAS_BOND_YLD", "YAS_BOND_PX",hp!AE73, "SETTLE_DT", TEXT(ya!$C73,"YYYYMMDD")))</f>
        <v>0</v>
      </c>
      <c r="AF73" s="2" cm="1">
        <f t="array" ref="AF73">IF(hp!AF73=0,0,_xll.BDP(AF$4,"YAS_BOND_YLD", "YAS_BOND_PX",hp!AF73, "SETTLE_DT", TEXT(ya!$C73,"YYYYMMDD")))</f>
        <v>0</v>
      </c>
      <c r="AG73" s="2" cm="1">
        <f t="array" ref="AG73">IF(hp!AG73=0,0,_xll.BDP(AG$4,"YAS_BOND_YLD", "YAS_BOND_PX",hp!AG73, "SETTLE_DT", TEXT(ya!$C73,"YYYYMMDD")))</f>
        <v>0</v>
      </c>
      <c r="AH73" s="2" cm="1">
        <f t="array" ref="AH73">IF(hp!AH73=0,0,_xll.BDP(AH$4,"YAS_BOND_YLD", "YAS_BOND_PX",hp!AH73, "SETTLE_DT", TEXT(ya!$C73,"YYYYMMDD")))</f>
        <v>0</v>
      </c>
      <c r="AI73" s="2" cm="1">
        <f t="array" ref="AI73">IF(hp!AI73=0,0,_xll.BDP(AI$4,"YAS_BOND_YLD", "YAS_BOND_PX",hp!AI73, "SETTLE_DT", TEXT(ya!$C73,"YYYYMMDD")))</f>
        <v>0</v>
      </c>
      <c r="AJ73" s="2" cm="1">
        <f t="array" ref="AJ73">IF(hp!AJ73=0,0,_xll.BDP(AJ$4,"YAS_BOND_YLD", "YAS_BOND_PX",hp!AJ73, "SETTLE_DT", TEXT(ya!$C73,"YYYYMMDD")))</f>
        <v>0</v>
      </c>
      <c r="AK73" s="2" cm="1">
        <f t="array" ref="AK73">IF(hp!AK73=0,0,_xll.BDP(AK$4,"YAS_BOND_YLD", "YAS_BOND_PX",hp!AK73, "SETTLE_DT", TEXT(ya!$C73,"YYYYMMDD")))</f>
        <v>0</v>
      </c>
      <c r="AL73" s="2" cm="1">
        <f t="array" ref="AL73">IF(hp!AL73=0,0,_xll.BDP(AL$4,"YAS_BOND_YLD", "YAS_BOND_PX",hp!AL73, "SETTLE_DT", TEXT(ya!$C73,"YYYYMMDD")))</f>
        <v>0</v>
      </c>
      <c r="AM73" s="2" cm="1">
        <f t="array" ref="AM73">IF(hp!AM73=0,0,_xll.BDP(AM$4,"YAS_BOND_YLD", "YAS_BOND_PX",hp!AM73, "SETTLE_DT", TEXT(ya!$C73,"YYYYMMDD")))</f>
        <v>0</v>
      </c>
      <c r="AN73" s="2" cm="1">
        <f t="array" ref="AN73">IF(hp!AN73=0,0,_xll.BDP(AN$4,"YAS_BOND_YLD", "YAS_BOND_PX",hp!AN73, "SETTLE_DT", TEXT(ya!$C73,"YYYYMMDD")))</f>
        <v>0</v>
      </c>
      <c r="AO73" s="2" cm="1">
        <f t="array" ref="AO73">IF(hp!AO73=0,0,_xll.BDP(AO$4,"YAS_BOND_YLD", "YAS_BOND_PX",hp!AO73, "SETTLE_DT", TEXT(ya!$C73,"YYYYMMDD")))</f>
        <v>0</v>
      </c>
      <c r="AP73" s="2" cm="1">
        <f t="array" ref="AP73">IF(hp!AP73=0,0,_xll.BDP(AP$4,"YAS_BOND_YLD", "YAS_BOND_PX",hp!AP73, "SETTLE_DT", TEXT(ya!$C73,"YYYYMMDD")))</f>
        <v>0</v>
      </c>
      <c r="AQ73" s="2" cm="1">
        <f t="array" ref="AQ73">IF(hp!AQ73=0,0,_xll.BDP(AQ$4,"YAS_BOND_YLD", "YAS_BOND_PX",hp!AQ73, "SETTLE_DT", TEXT(ya!$C73,"YYYYMMDD")))</f>
        <v>0.3427</v>
      </c>
      <c r="AR73" s="2" cm="1">
        <f t="array" ref="AR73">IF(hp!AR73=0,0,_xll.BDP(AR$4,"YAS_BOND_YLD", "YAS_BOND_PX",hp!AR73, "SETTLE_DT", TEXT(ya!$C73,"YYYYMMDD")))</f>
        <v>2.9839000000000002</v>
      </c>
      <c r="AS73" s="2" cm="1">
        <f t="array" ref="AS73">IF(hp!AS73=0,0,_xll.BDP(AS$4,"YAS_BOND_YLD", "YAS_BOND_PX",hp!AS73, "SETTLE_DT", TEXT(ya!$C73,"YYYYMMDD")))</f>
        <v>0</v>
      </c>
      <c r="AT73" s="2" cm="1">
        <f t="array" ref="AT73">IF(hp!AT73=0,0,_xll.BDP(AT$4,"YAS_BOND_YLD", "YAS_BOND_PX",hp!AT73, "SETTLE_DT", TEXT(ya!$C73,"YYYYMMDD")))</f>
        <v>0</v>
      </c>
      <c r="AU73" s="2" cm="1">
        <f t="array" ref="AU73">IF(hp!AU73=0,0,_xll.BDP(AU$4,"YAS_BOND_YLD", "YAS_BOND_PX",hp!AU73, "SETTLE_DT", TEXT(ya!$C73,"YYYYMMDD")))</f>
        <v>0</v>
      </c>
      <c r="AV73" s="2" cm="1">
        <f t="array" ref="AV73">IF(hp!AV73=0,0,_xll.BDP(AV$4,"YAS_BOND_YLD", "YAS_BOND_PX",hp!AV73, "SETTLE_DT", TEXT(ya!$C73,"YYYYMMDD")))</f>
        <v>0</v>
      </c>
      <c r="AW73" s="2" cm="1">
        <f t="array" ref="AW73">IF(hp!AW73=0,0,_xll.BDP(AW$4,"YAS_BOND_YLD", "YAS_BOND_PX",hp!AW73, "SETTLE_DT", TEXT(ya!$C73,"YYYYMMDD")))</f>
        <v>0</v>
      </c>
      <c r="AX73" s="2" cm="1">
        <f t="array" ref="AX73">IF(hp!AX73=0,0,_xll.BDP(AX$4,"YAS_BOND_YLD", "YAS_BOND_PX",hp!AX73, "SETTLE_DT", TEXT(ya!$C73,"YYYYMMDD")))</f>
        <v>0</v>
      </c>
      <c r="AY73" s="2" cm="1">
        <f t="array" ref="AY73">IF(hp!AY73=0,0,_xll.BDP(AY$4,"YAS_BOND_YLD", "YAS_BOND_PX",hp!AY73, "SETTLE_DT", TEXT(ya!$C73,"YYYYMMDD")))</f>
        <v>0</v>
      </c>
      <c r="AZ73" s="2" cm="1">
        <f t="array" ref="AZ73">IF(hp!AZ73=0,0,_xll.BDP(AZ$4,"YAS_BOND_YLD", "YAS_BOND_PX",hp!AZ73, "SETTLE_DT", TEXT(ya!$C73,"YYYYMMDD")))</f>
        <v>0</v>
      </c>
    </row>
    <row r="74" spans="1:52" x14ac:dyDescent="0.25">
      <c r="A74" s="1"/>
      <c r="B74" s="2"/>
      <c r="C74" s="1">
        <v>44165</v>
      </c>
      <c r="D74" s="2" cm="1">
        <f t="array" ref="D74">IF(hp!D74=0,0,_xll.BDP(D$4,"YAS_BOND_YLD", "YAS_BOND_PX",hp!D74, "SETTLE_DT", TEXT(ya!$C74,"YYYYMMDD")))</f>
        <v>0</v>
      </c>
      <c r="E74" s="2" cm="1">
        <f t="array" ref="E74">IF(hp!E74=0,0,_xll.BDP(E$4,"YAS_BOND_YLD", "YAS_BOND_PX",hp!E74, "SETTLE_DT", TEXT(ya!$C74,"YYYYMMDD")))</f>
        <v>7.9794</v>
      </c>
      <c r="F74" s="2" cm="1">
        <f t="array" ref="F74">IF(hp!F74=0,0,_xll.BDP(F$4,"YAS_BOND_YLD", "YAS_BOND_PX",hp!F74, "SETTLE_DT", TEXT(ya!$C74,"YYYYMMDD")))</f>
        <v>7.3121</v>
      </c>
      <c r="G74" s="2" cm="1">
        <f t="array" ref="G74">IF(hp!G74=0,0,_xll.BDP(G$4,"YAS_BOND_YLD", "YAS_BOND_PX",hp!G74, "SETTLE_DT", TEXT(ya!$C74,"YYYYMMDD")))</f>
        <v>3.7873000000000001</v>
      </c>
      <c r="H74" s="2" cm="1">
        <f t="array" ref="H74">IF(hp!H74=0,0,_xll.BDP(H$4,"YAS_BOND_YLD", "YAS_BOND_PX",hp!H74, "SETTLE_DT", TEXT(ya!$C74,"YYYYMMDD")))</f>
        <v>7.6128</v>
      </c>
      <c r="I74" s="2" cm="1">
        <f t="array" ref="I74">IF(hp!I74=0,0,_xll.BDP(I$4,"YAS_BOND_YLD", "YAS_BOND_PX",hp!I74, "SETTLE_DT", TEXT(ya!$C74,"YYYYMMDD")))</f>
        <v>0</v>
      </c>
      <c r="J74" s="2" cm="1">
        <f t="array" ref="J74">IF(hp!J74=0,0,_xll.BDP(J$4,"YAS_BOND_YLD", "YAS_BOND_PX",hp!J74, "SETTLE_DT", TEXT(ya!$C74,"YYYYMMDD")))</f>
        <v>4.2317</v>
      </c>
      <c r="K74" s="2" cm="1">
        <f t="array" ref="K74">IF(hp!K74=0,0,_xll.BDP(K$4,"YAS_BOND_YLD", "YAS_BOND_PX",hp!K74, "SETTLE_DT", TEXT(ya!$C74,"YYYYMMDD")))</f>
        <v>0</v>
      </c>
      <c r="L74" s="2" cm="1">
        <f t="array" ref="L74">IF(hp!L74=0,0,_xll.BDP(L$4,"YAS_BOND_YLD", "YAS_BOND_PX",hp!L74, "SETTLE_DT", TEXT(ya!$C74,"YYYYMMDD")))</f>
        <v>3.3517999999999999</v>
      </c>
      <c r="M74" s="2" cm="1">
        <f t="array" ref="M74">IF(hp!M74=0,0,_xll.BDP(M$4,"YAS_BOND_YLD", "YAS_BOND_PX",hp!M74, "SETTLE_DT", TEXT(ya!$C74,"YYYYMMDD")))</f>
        <v>3.1069</v>
      </c>
      <c r="N74" s="2" cm="1">
        <f t="array" ref="N74">IF(hp!N74=0,0,_xll.BDP(N$4,"YAS_BOND_YLD", "YAS_BOND_PX",hp!N74, "SETTLE_DT", TEXT(ya!$C74,"YYYYMMDD")))</f>
        <v>2.7595000000000001</v>
      </c>
      <c r="O74" s="2" cm="1">
        <f t="array" ref="O74">IF(hp!O74=0,0,_xll.BDP(O$4,"YAS_BOND_YLD", "YAS_BOND_PX",hp!O74, "SETTLE_DT", TEXT(ya!$C74,"YYYYMMDD")))</f>
        <v>0</v>
      </c>
      <c r="P74" s="2" cm="1">
        <f t="array" ref="P74">IF(hp!P74=0,0,_xll.BDP(P$4,"YAS_BOND_YLD", "YAS_BOND_PX",hp!P74, "SETTLE_DT", TEXT(ya!$C74,"YYYYMMDD")))</f>
        <v>0</v>
      </c>
      <c r="Q74" s="2" cm="1">
        <f t="array" ref="Q74">IF(hp!Q74=0,0,_xll.BDP(Q$4,"YAS_BOND_YLD", "YAS_BOND_PX",hp!Q74, "SETTLE_DT", TEXT(ya!$C74,"YYYYMMDD")))</f>
        <v>4.2205000000000004</v>
      </c>
      <c r="R74" s="2" cm="1">
        <f t="array" ref="R74">IF(hp!R74=0,0,_xll.BDP(R$4,"YAS_BOND_YLD", "YAS_BOND_PX",hp!R74, "SETTLE_DT", TEXT(ya!$C74,"YYYYMMDD")))</f>
        <v>0</v>
      </c>
      <c r="S74" s="2" cm="1">
        <f t="array" ref="S74">IF(hp!S74=0,0,_xll.BDP(S$4,"YAS_BOND_YLD", "YAS_BOND_PX",hp!S74, "SETTLE_DT", TEXT(ya!$C74,"YYYYMMDD")))</f>
        <v>0</v>
      </c>
      <c r="T74" s="2" cm="1">
        <f t="array" ref="T74">IF(hp!T74=0,0,_xll.BDP(T$4,"YAS_BOND_YLD", "YAS_BOND_PX",hp!T74, "SETTLE_DT", TEXT(ya!$C74,"YYYYMMDD")))</f>
        <v>0</v>
      </c>
      <c r="U74" s="2" cm="1">
        <f t="array" ref="U74">IF(hp!U74=0,0,_xll.BDP(U$4,"YAS_BOND_YLD", "YAS_BOND_PX",hp!U74, "SETTLE_DT", TEXT(ya!$C74,"YYYYMMDD")))</f>
        <v>4.0749000000000004</v>
      </c>
      <c r="V74" s="2" cm="1">
        <f t="array" ref="V74">IF(hp!V74=0,0,_xll.BDP(V$4,"YAS_BOND_YLD", "YAS_BOND_PX",hp!V74, "SETTLE_DT", TEXT(ya!$C74,"YYYYMMDD")))</f>
        <v>0</v>
      </c>
      <c r="W74" s="2" cm="1">
        <f t="array" ref="W74">IF(hp!W74=0,0,_xll.BDP(W$4,"YAS_BOND_YLD", "YAS_BOND_PX",hp!W74, "SETTLE_DT", TEXT(ya!$C74,"YYYYMMDD")))</f>
        <v>0.22409999999999999</v>
      </c>
      <c r="X74" s="2" cm="1">
        <f t="array" ref="X74">IF(hp!X74=0,0,_xll.BDP(X$4,"YAS_BOND_YLD", "YAS_BOND_PX",hp!X74, "SETTLE_DT", TEXT(ya!$C74,"YYYYMMDD")))</f>
        <v>0</v>
      </c>
      <c r="Y74" s="2" cm="1">
        <f t="array" ref="Y74">IF(hp!Y74=0,0,_xll.BDP(Y$4,"YAS_BOND_YLD", "YAS_BOND_PX",hp!Y74, "SETTLE_DT", TEXT(ya!$C74,"YYYYMMDD")))</f>
        <v>0</v>
      </c>
      <c r="Z74" s="2" cm="1">
        <f t="array" ref="Z74">IF(hp!Z74=0,0,_xll.BDP(Z$4,"YAS_BOND_YLD", "YAS_BOND_PX",hp!Z74, "SETTLE_DT", TEXT(ya!$C74,"YYYYMMDD")))</f>
        <v>0.34649999999999997</v>
      </c>
      <c r="AA74" s="2" cm="1">
        <f t="array" ref="AA74">IF(hp!AA74=0,0,_xll.BDP(AA$4,"YAS_BOND_YLD", "YAS_BOND_PX",hp!AA74, "SETTLE_DT", TEXT(ya!$C74,"YYYYMMDD")))</f>
        <v>0</v>
      </c>
      <c r="AB74" s="2" cm="1">
        <f t="array" ref="AB74">IF(hp!AB74=0,0,_xll.BDP(AB$4,"YAS_BOND_YLD", "YAS_BOND_PX",hp!AB74, "SETTLE_DT", TEXT(ya!$C74,"YYYYMMDD")))</f>
        <v>0.36349999999999999</v>
      </c>
      <c r="AC74" s="2" cm="1">
        <f t="array" ref="AC74">IF(hp!AC74=0,0,_xll.BDP(AC$4,"YAS_BOND_YLD", "YAS_BOND_PX",hp!AC74, "SETTLE_DT", TEXT(ya!$C74,"YYYYMMDD")))</f>
        <v>0</v>
      </c>
      <c r="AD74" s="2" cm="1">
        <f t="array" ref="AD74">IF(hp!AD74=0,0,_xll.BDP(AD$4,"YAS_BOND_YLD", "YAS_BOND_PX",hp!AD74, "SETTLE_DT", TEXT(ya!$C74,"YYYYMMDD")))</f>
        <v>4.2294999999999998</v>
      </c>
      <c r="AE74" s="2" cm="1">
        <f t="array" ref="AE74">IF(hp!AE74=0,0,_xll.BDP(AE$4,"YAS_BOND_YLD", "YAS_BOND_PX",hp!AE74, "SETTLE_DT", TEXT(ya!$C74,"YYYYMMDD")))</f>
        <v>0</v>
      </c>
      <c r="AF74" s="2" cm="1">
        <f t="array" ref="AF74">IF(hp!AF74=0,0,_xll.BDP(AF$4,"YAS_BOND_YLD", "YAS_BOND_PX",hp!AF74, "SETTLE_DT", TEXT(ya!$C74,"YYYYMMDD")))</f>
        <v>0</v>
      </c>
      <c r="AG74" s="2" cm="1">
        <f t="array" ref="AG74">IF(hp!AG74=0,0,_xll.BDP(AG$4,"YAS_BOND_YLD", "YAS_BOND_PX",hp!AG74, "SETTLE_DT", TEXT(ya!$C74,"YYYYMMDD")))</f>
        <v>0</v>
      </c>
      <c r="AH74" s="2" cm="1">
        <f t="array" ref="AH74">IF(hp!AH74=0,0,_xll.BDP(AH$4,"YAS_BOND_YLD", "YAS_BOND_PX",hp!AH74, "SETTLE_DT", TEXT(ya!$C74,"YYYYMMDD")))</f>
        <v>0</v>
      </c>
      <c r="AI74" s="2" cm="1">
        <f t="array" ref="AI74">IF(hp!AI74=0,0,_xll.BDP(AI$4,"YAS_BOND_YLD", "YAS_BOND_PX",hp!AI74, "SETTLE_DT", TEXT(ya!$C74,"YYYYMMDD")))</f>
        <v>0</v>
      </c>
      <c r="AJ74" s="2" cm="1">
        <f t="array" ref="AJ74">IF(hp!AJ74=0,0,_xll.BDP(AJ$4,"YAS_BOND_YLD", "YAS_BOND_PX",hp!AJ74, "SETTLE_DT", TEXT(ya!$C74,"YYYYMMDD")))</f>
        <v>0</v>
      </c>
      <c r="AK74" s="2" cm="1">
        <f t="array" ref="AK74">IF(hp!AK74=0,0,_xll.BDP(AK$4,"YAS_BOND_YLD", "YAS_BOND_PX",hp!AK74, "SETTLE_DT", TEXT(ya!$C74,"YYYYMMDD")))</f>
        <v>0</v>
      </c>
      <c r="AL74" s="2" cm="1">
        <f t="array" ref="AL74">IF(hp!AL74=0,0,_xll.BDP(AL$4,"YAS_BOND_YLD", "YAS_BOND_PX",hp!AL74, "SETTLE_DT", TEXT(ya!$C74,"YYYYMMDD")))</f>
        <v>0</v>
      </c>
      <c r="AM74" s="2" cm="1">
        <f t="array" ref="AM74">IF(hp!AM74=0,0,_xll.BDP(AM$4,"YAS_BOND_YLD", "YAS_BOND_PX",hp!AM74, "SETTLE_DT", TEXT(ya!$C74,"YYYYMMDD")))</f>
        <v>0</v>
      </c>
      <c r="AN74" s="2" cm="1">
        <f t="array" ref="AN74">IF(hp!AN74=0,0,_xll.BDP(AN$4,"YAS_BOND_YLD", "YAS_BOND_PX",hp!AN74, "SETTLE_DT", TEXT(ya!$C74,"YYYYMMDD")))</f>
        <v>0</v>
      </c>
      <c r="AO74" s="2" cm="1">
        <f t="array" ref="AO74">IF(hp!AO74=0,0,_xll.BDP(AO$4,"YAS_BOND_YLD", "YAS_BOND_PX",hp!AO74, "SETTLE_DT", TEXT(ya!$C74,"YYYYMMDD")))</f>
        <v>0</v>
      </c>
      <c r="AP74" s="2" cm="1">
        <f t="array" ref="AP74">IF(hp!AP74=0,0,_xll.BDP(AP$4,"YAS_BOND_YLD", "YAS_BOND_PX",hp!AP74, "SETTLE_DT", TEXT(ya!$C74,"YYYYMMDD")))</f>
        <v>0</v>
      </c>
      <c r="AQ74" s="2" cm="1">
        <f t="array" ref="AQ74">IF(hp!AQ74=0,0,_xll.BDP(AQ$4,"YAS_BOND_YLD", "YAS_BOND_PX",hp!AQ74, "SETTLE_DT", TEXT(ya!$C74,"YYYYMMDD")))</f>
        <v>0.35510000000000003</v>
      </c>
      <c r="AR74" s="2" cm="1">
        <f t="array" ref="AR74">IF(hp!AR74=0,0,_xll.BDP(AR$4,"YAS_BOND_YLD", "YAS_BOND_PX",hp!AR74, "SETTLE_DT", TEXT(ya!$C74,"YYYYMMDD")))</f>
        <v>3.3460000000000001</v>
      </c>
      <c r="AS74" s="2" cm="1">
        <f t="array" ref="AS74">IF(hp!AS74=0,0,_xll.BDP(AS$4,"YAS_BOND_YLD", "YAS_BOND_PX",hp!AS74, "SETTLE_DT", TEXT(ya!$C74,"YYYYMMDD")))</f>
        <v>0</v>
      </c>
      <c r="AT74" s="2" cm="1">
        <f t="array" ref="AT74">IF(hp!AT74=0,0,_xll.BDP(AT$4,"YAS_BOND_YLD", "YAS_BOND_PX",hp!AT74, "SETTLE_DT", TEXT(ya!$C74,"YYYYMMDD")))</f>
        <v>0</v>
      </c>
      <c r="AU74" s="2" cm="1">
        <f t="array" ref="AU74">IF(hp!AU74=0,0,_xll.BDP(AU$4,"YAS_BOND_YLD", "YAS_BOND_PX",hp!AU74, "SETTLE_DT", TEXT(ya!$C74,"YYYYMMDD")))</f>
        <v>0</v>
      </c>
      <c r="AV74" s="2" cm="1">
        <f t="array" ref="AV74">IF(hp!AV74=0,0,_xll.BDP(AV$4,"YAS_BOND_YLD", "YAS_BOND_PX",hp!AV74, "SETTLE_DT", TEXT(ya!$C74,"YYYYMMDD")))</f>
        <v>0</v>
      </c>
      <c r="AW74" s="2" cm="1">
        <f t="array" ref="AW74">IF(hp!AW74=0,0,_xll.BDP(AW$4,"YAS_BOND_YLD", "YAS_BOND_PX",hp!AW74, "SETTLE_DT", TEXT(ya!$C74,"YYYYMMDD")))</f>
        <v>0</v>
      </c>
      <c r="AX74" s="2" cm="1">
        <f t="array" ref="AX74">IF(hp!AX74=0,0,_xll.BDP(AX$4,"YAS_BOND_YLD", "YAS_BOND_PX",hp!AX74, "SETTLE_DT", TEXT(ya!$C74,"YYYYMMDD")))</f>
        <v>0</v>
      </c>
      <c r="AY74" s="2" cm="1">
        <f t="array" ref="AY74">IF(hp!AY74=0,0,_xll.BDP(AY$4,"YAS_BOND_YLD", "YAS_BOND_PX",hp!AY74, "SETTLE_DT", TEXT(ya!$C74,"YYYYMMDD")))</f>
        <v>0</v>
      </c>
      <c r="AZ74" s="2" cm="1">
        <f t="array" ref="AZ74">IF(hp!AZ74=0,0,_xll.BDP(AZ$4,"YAS_BOND_YLD", "YAS_BOND_PX",hp!AZ74, "SETTLE_DT", TEXT(ya!$C74,"YYYYMMDD")))</f>
        <v>0</v>
      </c>
    </row>
    <row r="75" spans="1:52" x14ac:dyDescent="0.25">
      <c r="A75" s="1"/>
      <c r="B75" s="2"/>
      <c r="C75" s="1">
        <v>44196</v>
      </c>
      <c r="D75" s="2" cm="1">
        <f t="array" ref="D75">IF(hp!D75=0,0,_xll.BDP(D$4,"YAS_BOND_YLD", "YAS_BOND_PX",hp!D75, "SETTLE_DT", TEXT(ya!$C75,"YYYYMMDD")))</f>
        <v>0</v>
      </c>
      <c r="E75" s="2" cm="1">
        <f t="array" ref="E75">IF(hp!E75=0,0,_xll.BDP(E$4,"YAS_BOND_YLD", "YAS_BOND_PX",hp!E75, "SETTLE_DT", TEXT(ya!$C75,"YYYYMMDD")))</f>
        <v>6.9024000000000001</v>
      </c>
      <c r="F75" s="2" cm="1">
        <f t="array" ref="F75">IF(hp!F75=0,0,_xll.BDP(F$4,"YAS_BOND_YLD", "YAS_BOND_PX",hp!F75, "SETTLE_DT", TEXT(ya!$C75,"YYYYMMDD")))</f>
        <v>6.2100999999999997</v>
      </c>
      <c r="G75" s="2" cm="1">
        <f t="array" ref="G75">IF(hp!G75=0,0,_xll.BDP(G$4,"YAS_BOND_YLD", "YAS_BOND_PX",hp!G75, "SETTLE_DT", TEXT(ya!$C75,"YYYYMMDD")))</f>
        <v>3.2092000000000001</v>
      </c>
      <c r="H75" s="2" cm="1">
        <f t="array" ref="H75">IF(hp!H75=0,0,_xll.BDP(H$4,"YAS_BOND_YLD", "YAS_BOND_PX",hp!H75, "SETTLE_DT", TEXT(ya!$C75,"YYYYMMDD")))</f>
        <v>6.5890000000000004</v>
      </c>
      <c r="I75" s="2" cm="1">
        <f t="array" ref="I75">IF(hp!I75=0,0,_xll.BDP(I$4,"YAS_BOND_YLD", "YAS_BOND_PX",hp!I75, "SETTLE_DT", TEXT(ya!$C75,"YYYYMMDD")))</f>
        <v>0</v>
      </c>
      <c r="J75" s="2" cm="1">
        <f t="array" ref="J75">IF(hp!J75=0,0,_xll.BDP(J$4,"YAS_BOND_YLD", "YAS_BOND_PX",hp!J75, "SETTLE_DT", TEXT(ya!$C75,"YYYYMMDD")))</f>
        <v>3.7970999999999999</v>
      </c>
      <c r="K75" s="2" cm="1">
        <f t="array" ref="K75">IF(hp!K75=0,0,_xll.BDP(K$4,"YAS_BOND_YLD", "YAS_BOND_PX",hp!K75, "SETTLE_DT", TEXT(ya!$C75,"YYYYMMDD")))</f>
        <v>0</v>
      </c>
      <c r="L75" s="2" cm="1">
        <f t="array" ref="L75">IF(hp!L75=0,0,_xll.BDP(L$4,"YAS_BOND_YLD", "YAS_BOND_PX",hp!L75, "SETTLE_DT", TEXT(ya!$C75,"YYYYMMDD")))</f>
        <v>2.8167999999999997</v>
      </c>
      <c r="M75" s="2" cm="1">
        <f t="array" ref="M75">IF(hp!M75=0,0,_xll.BDP(M$4,"YAS_BOND_YLD", "YAS_BOND_PX",hp!M75, "SETTLE_DT", TEXT(ya!$C75,"YYYYMMDD")))</f>
        <v>2.5712999999999999</v>
      </c>
      <c r="N75" s="2" cm="1">
        <f t="array" ref="N75">IF(hp!N75=0,0,_xll.BDP(N$4,"YAS_BOND_YLD", "YAS_BOND_PX",hp!N75, "SETTLE_DT", TEXT(ya!$C75,"YYYYMMDD")))</f>
        <v>2.2328000000000001</v>
      </c>
      <c r="O75" s="2" cm="1">
        <f t="array" ref="O75">IF(hp!O75=0,0,_xll.BDP(O$4,"YAS_BOND_YLD", "YAS_BOND_PX",hp!O75, "SETTLE_DT", TEXT(ya!$C75,"YYYYMMDD")))</f>
        <v>0</v>
      </c>
      <c r="P75" s="2" cm="1">
        <f t="array" ref="P75">IF(hp!P75=0,0,_xll.BDP(P$4,"YAS_BOND_YLD", "YAS_BOND_PX",hp!P75, "SETTLE_DT", TEXT(ya!$C75,"YYYYMMDD")))</f>
        <v>0</v>
      </c>
      <c r="Q75" s="2" cm="1">
        <f t="array" ref="Q75">IF(hp!Q75=0,0,_xll.BDP(Q$4,"YAS_BOND_YLD", "YAS_BOND_PX",hp!Q75, "SETTLE_DT", TEXT(ya!$C75,"YYYYMMDD")))</f>
        <v>3.7980999999999998</v>
      </c>
      <c r="R75" s="2" cm="1">
        <f t="array" ref="R75">IF(hp!R75=0,0,_xll.BDP(R$4,"YAS_BOND_YLD", "YAS_BOND_PX",hp!R75, "SETTLE_DT", TEXT(ya!$C75,"YYYYMMDD")))</f>
        <v>0</v>
      </c>
      <c r="S75" s="2" cm="1">
        <f t="array" ref="S75">IF(hp!S75=0,0,_xll.BDP(S$4,"YAS_BOND_YLD", "YAS_BOND_PX",hp!S75, "SETTLE_DT", TEXT(ya!$C75,"YYYYMMDD")))</f>
        <v>0</v>
      </c>
      <c r="T75" s="2" cm="1">
        <f t="array" ref="T75">IF(hp!T75=0,0,_xll.BDP(T$4,"YAS_BOND_YLD", "YAS_BOND_PX",hp!T75, "SETTLE_DT", TEXT(ya!$C75,"YYYYMMDD")))</f>
        <v>0</v>
      </c>
      <c r="U75" s="2" cm="1">
        <f t="array" ref="U75">IF(hp!U75=0,0,_xll.BDP(U$4,"YAS_BOND_YLD", "YAS_BOND_PX",hp!U75, "SETTLE_DT", TEXT(ya!$C75,"YYYYMMDD")))</f>
        <v>3.5823</v>
      </c>
      <c r="V75" s="2" cm="1">
        <f t="array" ref="V75">IF(hp!V75=0,0,_xll.BDP(V$4,"YAS_BOND_YLD", "YAS_BOND_PX",hp!V75, "SETTLE_DT", TEXT(ya!$C75,"YYYYMMDD")))</f>
        <v>0</v>
      </c>
      <c r="W75" s="2" cm="1">
        <f t="array" ref="W75">IF(hp!W75=0,0,_xll.BDP(W$4,"YAS_BOND_YLD", "YAS_BOND_PX",hp!W75, "SETTLE_DT", TEXT(ya!$C75,"YYYYMMDD")))</f>
        <v>0.1399</v>
      </c>
      <c r="X75" s="2" cm="1">
        <f t="array" ref="X75">IF(hp!X75=0,0,_xll.BDP(X$4,"YAS_BOND_YLD", "YAS_BOND_PX",hp!X75, "SETTLE_DT", TEXT(ya!$C75,"YYYYMMDD")))</f>
        <v>0</v>
      </c>
      <c r="Y75" s="2" cm="1">
        <f t="array" ref="Y75">IF(hp!Y75=0,0,_xll.BDP(Y$4,"YAS_BOND_YLD", "YAS_BOND_PX",hp!Y75, "SETTLE_DT", TEXT(ya!$C75,"YYYYMMDD")))</f>
        <v>0</v>
      </c>
      <c r="Z75" s="2" cm="1">
        <f t="array" ref="Z75">IF(hp!Z75=0,0,_xll.BDP(Z$4,"YAS_BOND_YLD", "YAS_BOND_PX",hp!Z75, "SETTLE_DT", TEXT(ya!$C75,"YYYYMMDD")))</f>
        <v>0.26619999999999999</v>
      </c>
      <c r="AA75" s="2" cm="1">
        <f t="array" ref="AA75">IF(hp!AA75=0,0,_xll.BDP(AA$4,"YAS_BOND_YLD", "YAS_BOND_PX",hp!AA75, "SETTLE_DT", TEXT(ya!$C75,"YYYYMMDD")))</f>
        <v>0</v>
      </c>
      <c r="AB75" s="2" cm="1">
        <f t="array" ref="AB75">IF(hp!AB75=0,0,_xll.BDP(AB$4,"YAS_BOND_YLD", "YAS_BOND_PX",hp!AB75, "SETTLE_DT", TEXT(ya!$C75,"YYYYMMDD")))</f>
        <v>0.33560000000000001</v>
      </c>
      <c r="AC75" s="2" cm="1">
        <f t="array" ref="AC75">IF(hp!AC75=0,0,_xll.BDP(AC$4,"YAS_BOND_YLD", "YAS_BOND_PX",hp!AC75, "SETTLE_DT", TEXT(ya!$C75,"YYYYMMDD")))</f>
        <v>0</v>
      </c>
      <c r="AD75" s="2" cm="1">
        <f t="array" ref="AD75">IF(hp!AD75=0,0,_xll.BDP(AD$4,"YAS_BOND_YLD", "YAS_BOND_PX",hp!AD75, "SETTLE_DT", TEXT(ya!$C75,"YYYYMMDD")))</f>
        <v>3.7972000000000001</v>
      </c>
      <c r="AE75" s="2" cm="1">
        <f t="array" ref="AE75">IF(hp!AE75=0,0,_xll.BDP(AE$4,"YAS_BOND_YLD", "YAS_BOND_PX",hp!AE75, "SETTLE_DT", TEXT(ya!$C75,"YYYYMMDD")))</f>
        <v>0</v>
      </c>
      <c r="AF75" s="2" cm="1">
        <f t="array" ref="AF75">IF(hp!AF75=0,0,_xll.BDP(AF$4,"YAS_BOND_YLD", "YAS_BOND_PX",hp!AF75, "SETTLE_DT", TEXT(ya!$C75,"YYYYMMDD")))</f>
        <v>0</v>
      </c>
      <c r="AG75" s="2" cm="1">
        <f t="array" ref="AG75">IF(hp!AG75=0,0,_xll.BDP(AG$4,"YAS_BOND_YLD", "YAS_BOND_PX",hp!AG75, "SETTLE_DT", TEXT(ya!$C75,"YYYYMMDD")))</f>
        <v>0</v>
      </c>
      <c r="AH75" s="2" cm="1">
        <f t="array" ref="AH75">IF(hp!AH75=0,0,_xll.BDP(AH$4,"YAS_BOND_YLD", "YAS_BOND_PX",hp!AH75, "SETTLE_DT", TEXT(ya!$C75,"YYYYMMDD")))</f>
        <v>0</v>
      </c>
      <c r="AI75" s="2" cm="1">
        <f t="array" ref="AI75">IF(hp!AI75=0,0,_xll.BDP(AI$4,"YAS_BOND_YLD", "YAS_BOND_PX",hp!AI75, "SETTLE_DT", TEXT(ya!$C75,"YYYYMMDD")))</f>
        <v>0</v>
      </c>
      <c r="AJ75" s="2" cm="1">
        <f t="array" ref="AJ75">IF(hp!AJ75=0,0,_xll.BDP(AJ$4,"YAS_BOND_YLD", "YAS_BOND_PX",hp!AJ75, "SETTLE_DT", TEXT(ya!$C75,"YYYYMMDD")))</f>
        <v>0</v>
      </c>
      <c r="AK75" s="2" cm="1">
        <f t="array" ref="AK75">IF(hp!AK75=0,0,_xll.BDP(AK$4,"YAS_BOND_YLD", "YAS_BOND_PX",hp!AK75, "SETTLE_DT", TEXT(ya!$C75,"YYYYMMDD")))</f>
        <v>0</v>
      </c>
      <c r="AL75" s="2" cm="1">
        <f t="array" ref="AL75">IF(hp!AL75=0,0,_xll.BDP(AL$4,"YAS_BOND_YLD", "YAS_BOND_PX",hp!AL75, "SETTLE_DT", TEXT(ya!$C75,"YYYYMMDD")))</f>
        <v>0</v>
      </c>
      <c r="AM75" s="2" cm="1">
        <f t="array" ref="AM75">IF(hp!AM75=0,0,_xll.BDP(AM$4,"YAS_BOND_YLD", "YAS_BOND_PX",hp!AM75, "SETTLE_DT", TEXT(ya!$C75,"YYYYMMDD")))</f>
        <v>0</v>
      </c>
      <c r="AN75" s="2" cm="1">
        <f t="array" ref="AN75">IF(hp!AN75=0,0,_xll.BDP(AN$4,"YAS_BOND_YLD", "YAS_BOND_PX",hp!AN75, "SETTLE_DT", TEXT(ya!$C75,"YYYYMMDD")))</f>
        <v>0</v>
      </c>
      <c r="AO75" s="2" cm="1">
        <f t="array" ref="AO75">IF(hp!AO75=0,0,_xll.BDP(AO$4,"YAS_BOND_YLD", "YAS_BOND_PX",hp!AO75, "SETTLE_DT", TEXT(ya!$C75,"YYYYMMDD")))</f>
        <v>0</v>
      </c>
      <c r="AP75" s="2" cm="1">
        <f t="array" ref="AP75">IF(hp!AP75=0,0,_xll.BDP(AP$4,"YAS_BOND_YLD", "YAS_BOND_PX",hp!AP75, "SETTLE_DT", TEXT(ya!$C75,"YYYYMMDD")))</f>
        <v>0</v>
      </c>
      <c r="AQ75" s="2" cm="1">
        <f t="array" ref="AQ75">IF(hp!AQ75=0,0,_xll.BDP(AQ$4,"YAS_BOND_YLD", "YAS_BOND_PX",hp!AQ75, "SETTLE_DT", TEXT(ya!$C75,"YYYYMMDD")))</f>
        <v>0.27310000000000001</v>
      </c>
      <c r="AR75" s="2" cm="1">
        <f t="array" ref="AR75">IF(hp!AR75=0,0,_xll.BDP(AR$4,"YAS_BOND_YLD", "YAS_BOND_PX",hp!AR75, "SETTLE_DT", TEXT(ya!$C75,"YYYYMMDD")))</f>
        <v>3.8209999999999997</v>
      </c>
      <c r="AS75" s="2" cm="1">
        <f t="array" ref="AS75">IF(hp!AS75=0,0,_xll.BDP(AS$4,"YAS_BOND_YLD", "YAS_BOND_PX",hp!AS75, "SETTLE_DT", TEXT(ya!$C75,"YYYYMMDD")))</f>
        <v>0</v>
      </c>
      <c r="AT75" s="2" cm="1">
        <f t="array" ref="AT75">IF(hp!AT75=0,0,_xll.BDP(AT$4,"YAS_BOND_YLD", "YAS_BOND_PX",hp!AT75, "SETTLE_DT", TEXT(ya!$C75,"YYYYMMDD")))</f>
        <v>0</v>
      </c>
      <c r="AU75" s="2" cm="1">
        <f t="array" ref="AU75">IF(hp!AU75=0,0,_xll.BDP(AU$4,"YAS_BOND_YLD", "YAS_BOND_PX",hp!AU75, "SETTLE_DT", TEXT(ya!$C75,"YYYYMMDD")))</f>
        <v>0</v>
      </c>
      <c r="AV75" s="2" cm="1">
        <f t="array" ref="AV75">IF(hp!AV75=0,0,_xll.BDP(AV$4,"YAS_BOND_YLD", "YAS_BOND_PX",hp!AV75, "SETTLE_DT", TEXT(ya!$C75,"YYYYMMDD")))</f>
        <v>0</v>
      </c>
      <c r="AW75" s="2" cm="1">
        <f t="array" ref="AW75">IF(hp!AW75=0,0,_xll.BDP(AW$4,"YAS_BOND_YLD", "YAS_BOND_PX",hp!AW75, "SETTLE_DT", TEXT(ya!$C75,"YYYYMMDD")))</f>
        <v>0</v>
      </c>
      <c r="AX75" s="2" cm="1">
        <f t="array" ref="AX75">IF(hp!AX75=0,0,_xll.BDP(AX$4,"YAS_BOND_YLD", "YAS_BOND_PX",hp!AX75, "SETTLE_DT", TEXT(ya!$C75,"YYYYMMDD")))</f>
        <v>0</v>
      </c>
      <c r="AY75" s="2" cm="1">
        <f t="array" ref="AY75">IF(hp!AY75=0,0,_xll.BDP(AY$4,"YAS_BOND_YLD", "YAS_BOND_PX",hp!AY75, "SETTLE_DT", TEXT(ya!$C75,"YYYYMMDD")))</f>
        <v>0</v>
      </c>
      <c r="AZ75" s="2" cm="1">
        <f t="array" ref="AZ75">IF(hp!AZ75=0,0,_xll.BDP(AZ$4,"YAS_BOND_YLD", "YAS_BOND_PX",hp!AZ75, "SETTLE_DT", TEXT(ya!$C75,"YYYYMMDD")))</f>
        <v>0</v>
      </c>
    </row>
    <row r="76" spans="1:52" x14ac:dyDescent="0.25">
      <c r="A76" s="1"/>
      <c r="B76" s="2"/>
      <c r="C76" s="1">
        <v>44225</v>
      </c>
      <c r="D76" s="2" cm="1">
        <f t="array" ref="D76">IF(hp!D76=0,0,_xll.BDP(D$4,"YAS_BOND_YLD", "YAS_BOND_PX",hp!D76, "SETTLE_DT", TEXT(ya!$C76,"YYYYMMDD")))</f>
        <v>0</v>
      </c>
      <c r="E76" s="2" cm="1">
        <f t="array" ref="E76">IF(hp!E76=0,0,_xll.BDP(E$4,"YAS_BOND_YLD", "YAS_BOND_PX",hp!E76, "SETTLE_DT", TEXT(ya!$C76,"YYYYMMDD")))</f>
        <v>7.5956999999999999</v>
      </c>
      <c r="F76" s="2" cm="1">
        <f t="array" ref="F76">IF(hp!F76=0,0,_xll.BDP(F$4,"YAS_BOND_YLD", "YAS_BOND_PX",hp!F76, "SETTLE_DT", TEXT(ya!$C76,"YYYYMMDD")))</f>
        <v>6.8368000000000002</v>
      </c>
      <c r="G76" s="2" cm="1">
        <f t="array" ref="G76">IF(hp!G76=0,0,_xll.BDP(G$4,"YAS_BOND_YLD", "YAS_BOND_PX",hp!G76, "SETTLE_DT", TEXT(ya!$C76,"YYYYMMDD")))</f>
        <v>3.4100999999999999</v>
      </c>
      <c r="H76" s="2" cm="1">
        <f t="array" ref="H76">IF(hp!H76=0,0,_xll.BDP(H$4,"YAS_BOND_YLD", "YAS_BOND_PX",hp!H76, "SETTLE_DT", TEXT(ya!$C76,"YYYYMMDD")))</f>
        <v>7.282</v>
      </c>
      <c r="I76" s="2" cm="1">
        <f t="array" ref="I76">IF(hp!I76=0,0,_xll.BDP(I$4,"YAS_BOND_YLD", "YAS_BOND_PX",hp!I76, "SETTLE_DT", TEXT(ya!$C76,"YYYYMMDD")))</f>
        <v>0</v>
      </c>
      <c r="J76" s="2" cm="1">
        <f t="array" ref="J76">IF(hp!J76=0,0,_xll.BDP(J$4,"YAS_BOND_YLD", "YAS_BOND_PX",hp!J76, "SETTLE_DT", TEXT(ya!$C76,"YYYYMMDD")))</f>
        <v>4.0145</v>
      </c>
      <c r="K76" s="2" cm="1">
        <f t="array" ref="K76">IF(hp!K76=0,0,_xll.BDP(K$4,"YAS_BOND_YLD", "YAS_BOND_PX",hp!K76, "SETTLE_DT", TEXT(ya!$C76,"YYYYMMDD")))</f>
        <v>0</v>
      </c>
      <c r="L76" s="2" cm="1">
        <f t="array" ref="L76">IF(hp!L76=0,0,_xll.BDP(L$4,"YAS_BOND_YLD", "YAS_BOND_PX",hp!L76, "SETTLE_DT", TEXT(ya!$C76,"YYYYMMDD")))</f>
        <v>3.1549</v>
      </c>
      <c r="M76" s="2" cm="1">
        <f t="array" ref="M76">IF(hp!M76=0,0,_xll.BDP(M$4,"YAS_BOND_YLD", "YAS_BOND_PX",hp!M76, "SETTLE_DT", TEXT(ya!$C76,"YYYYMMDD")))</f>
        <v>2.9741</v>
      </c>
      <c r="N76" s="2" cm="1">
        <f t="array" ref="N76">IF(hp!N76=0,0,_xll.BDP(N$4,"YAS_BOND_YLD", "YAS_BOND_PX",hp!N76, "SETTLE_DT", TEXT(ya!$C76,"YYYYMMDD")))</f>
        <v>2.5935000000000001</v>
      </c>
      <c r="O76" s="2" cm="1">
        <f t="array" ref="O76">IF(hp!O76=0,0,_xll.BDP(O$4,"YAS_BOND_YLD", "YAS_BOND_PX",hp!O76, "SETTLE_DT", TEXT(ya!$C76,"YYYYMMDD")))</f>
        <v>0</v>
      </c>
      <c r="P76" s="2" cm="1">
        <f t="array" ref="P76">IF(hp!P76=0,0,_xll.BDP(P$4,"YAS_BOND_YLD", "YAS_BOND_PX",hp!P76, "SETTLE_DT", TEXT(ya!$C76,"YYYYMMDD")))</f>
        <v>0</v>
      </c>
      <c r="Q76" s="2" cm="1">
        <f t="array" ref="Q76">IF(hp!Q76=0,0,_xll.BDP(Q$4,"YAS_BOND_YLD", "YAS_BOND_PX",hp!Q76, "SETTLE_DT", TEXT(ya!$C76,"YYYYMMDD")))</f>
        <v>3.9823</v>
      </c>
      <c r="R76" s="2" cm="1">
        <f t="array" ref="R76">IF(hp!R76=0,0,_xll.BDP(R$4,"YAS_BOND_YLD", "YAS_BOND_PX",hp!R76, "SETTLE_DT", TEXT(ya!$C76,"YYYYMMDD")))</f>
        <v>0</v>
      </c>
      <c r="S76" s="2" cm="1">
        <f t="array" ref="S76">IF(hp!S76=0,0,_xll.BDP(S$4,"YAS_BOND_YLD", "YAS_BOND_PX",hp!S76, "SETTLE_DT", TEXT(ya!$C76,"YYYYMMDD")))</f>
        <v>0</v>
      </c>
      <c r="T76" s="2" cm="1">
        <f t="array" ref="T76">IF(hp!T76=0,0,_xll.BDP(T$4,"YAS_BOND_YLD", "YAS_BOND_PX",hp!T76, "SETTLE_DT", TEXT(ya!$C76,"YYYYMMDD")))</f>
        <v>0</v>
      </c>
      <c r="U76" s="2" cm="1">
        <f t="array" ref="U76">IF(hp!U76=0,0,_xll.BDP(U$4,"YAS_BOND_YLD", "YAS_BOND_PX",hp!U76, "SETTLE_DT", TEXT(ya!$C76,"YYYYMMDD")))</f>
        <v>3.7624</v>
      </c>
      <c r="V76" s="2" cm="1">
        <f t="array" ref="V76">IF(hp!V76=0,0,_xll.BDP(V$4,"YAS_BOND_YLD", "YAS_BOND_PX",hp!V76, "SETTLE_DT", TEXT(ya!$C76,"YYYYMMDD")))</f>
        <v>0</v>
      </c>
      <c r="W76" s="2" cm="1">
        <f t="array" ref="W76">IF(hp!W76=0,0,_xll.BDP(W$4,"YAS_BOND_YLD", "YAS_BOND_PX",hp!W76, "SETTLE_DT", TEXT(ya!$C76,"YYYYMMDD")))</f>
        <v>0.13550000000000001</v>
      </c>
      <c r="X76" s="2" cm="1">
        <f t="array" ref="X76">IF(hp!X76=0,0,_xll.BDP(X$4,"YAS_BOND_YLD", "YAS_BOND_PX",hp!X76, "SETTLE_DT", TEXT(ya!$C76,"YYYYMMDD")))</f>
        <v>0</v>
      </c>
      <c r="Y76" s="2" cm="1">
        <f t="array" ref="Y76">IF(hp!Y76=0,0,_xll.BDP(Y$4,"YAS_BOND_YLD", "YAS_BOND_PX",hp!Y76, "SETTLE_DT", TEXT(ya!$C76,"YYYYMMDD")))</f>
        <v>0</v>
      </c>
      <c r="Z76" s="2" cm="1">
        <f t="array" ref="Z76">IF(hp!Z76=0,0,_xll.BDP(Z$4,"YAS_BOND_YLD", "YAS_BOND_PX",hp!Z76, "SETTLE_DT", TEXT(ya!$C76,"YYYYMMDD")))</f>
        <v>0.20469999999999999</v>
      </c>
      <c r="AA76" s="2" cm="1">
        <f t="array" ref="AA76">IF(hp!AA76=0,0,_xll.BDP(AA$4,"YAS_BOND_YLD", "YAS_BOND_PX",hp!AA76, "SETTLE_DT", TEXT(ya!$C76,"YYYYMMDD")))</f>
        <v>0</v>
      </c>
      <c r="AB76" s="2" cm="1">
        <f t="array" ref="AB76">IF(hp!AB76=0,0,_xll.BDP(AB$4,"YAS_BOND_YLD", "YAS_BOND_PX",hp!AB76, "SETTLE_DT", TEXT(ya!$C76,"YYYYMMDD")))</f>
        <v>0.3075</v>
      </c>
      <c r="AC76" s="2" cm="1">
        <f t="array" ref="AC76">IF(hp!AC76=0,0,_xll.BDP(AC$4,"YAS_BOND_YLD", "YAS_BOND_PX",hp!AC76, "SETTLE_DT", TEXT(ya!$C76,"YYYYMMDD")))</f>
        <v>0</v>
      </c>
      <c r="AD76" s="2" cm="1">
        <f t="array" ref="AD76">IF(hp!AD76=0,0,_xll.BDP(AD$4,"YAS_BOND_YLD", "YAS_BOND_PX",hp!AD76, "SETTLE_DT", TEXT(ya!$C76,"YYYYMMDD")))</f>
        <v>4.0601000000000003</v>
      </c>
      <c r="AE76" s="2" cm="1">
        <f t="array" ref="AE76">IF(hp!AE76=0,0,_xll.BDP(AE$4,"YAS_BOND_YLD", "YAS_BOND_PX",hp!AE76, "SETTLE_DT", TEXT(ya!$C76,"YYYYMMDD")))</f>
        <v>0</v>
      </c>
      <c r="AF76" s="2" cm="1">
        <f t="array" ref="AF76">IF(hp!AF76=0,0,_xll.BDP(AF$4,"YAS_BOND_YLD", "YAS_BOND_PX",hp!AF76, "SETTLE_DT", TEXT(ya!$C76,"YYYYMMDD")))</f>
        <v>0</v>
      </c>
      <c r="AG76" s="2" cm="1">
        <f t="array" ref="AG76">IF(hp!AG76=0,0,_xll.BDP(AG$4,"YAS_BOND_YLD", "YAS_BOND_PX",hp!AG76, "SETTLE_DT", TEXT(ya!$C76,"YYYYMMDD")))</f>
        <v>0</v>
      </c>
      <c r="AH76" s="2" cm="1">
        <f t="array" ref="AH76">IF(hp!AH76=0,0,_xll.BDP(AH$4,"YAS_BOND_YLD", "YAS_BOND_PX",hp!AH76, "SETTLE_DT", TEXT(ya!$C76,"YYYYMMDD")))</f>
        <v>0</v>
      </c>
      <c r="AI76" s="2" cm="1">
        <f t="array" ref="AI76">IF(hp!AI76=0,0,_xll.BDP(AI$4,"YAS_BOND_YLD", "YAS_BOND_PX",hp!AI76, "SETTLE_DT", TEXT(ya!$C76,"YYYYMMDD")))</f>
        <v>0</v>
      </c>
      <c r="AJ76" s="2" cm="1">
        <f t="array" ref="AJ76">IF(hp!AJ76=0,0,_xll.BDP(AJ$4,"YAS_BOND_YLD", "YAS_BOND_PX",hp!AJ76, "SETTLE_DT", TEXT(ya!$C76,"YYYYMMDD")))</f>
        <v>0</v>
      </c>
      <c r="AK76" s="2" cm="1">
        <f t="array" ref="AK76">IF(hp!AK76=0,0,_xll.BDP(AK$4,"YAS_BOND_YLD", "YAS_BOND_PX",hp!AK76, "SETTLE_DT", TEXT(ya!$C76,"YYYYMMDD")))</f>
        <v>0</v>
      </c>
      <c r="AL76" s="2" cm="1">
        <f t="array" ref="AL76">IF(hp!AL76=0,0,_xll.BDP(AL$4,"YAS_BOND_YLD", "YAS_BOND_PX",hp!AL76, "SETTLE_DT", TEXT(ya!$C76,"YYYYMMDD")))</f>
        <v>0</v>
      </c>
      <c r="AM76" s="2" cm="1">
        <f t="array" ref="AM76">IF(hp!AM76=0,0,_xll.BDP(AM$4,"YAS_BOND_YLD", "YAS_BOND_PX",hp!AM76, "SETTLE_DT", TEXT(ya!$C76,"YYYYMMDD")))</f>
        <v>0</v>
      </c>
      <c r="AN76" s="2" cm="1">
        <f t="array" ref="AN76">IF(hp!AN76=0,0,_xll.BDP(AN$4,"YAS_BOND_YLD", "YAS_BOND_PX",hp!AN76, "SETTLE_DT", TEXT(ya!$C76,"YYYYMMDD")))</f>
        <v>0</v>
      </c>
      <c r="AO76" s="2" cm="1">
        <f t="array" ref="AO76">IF(hp!AO76=0,0,_xll.BDP(AO$4,"YAS_BOND_YLD", "YAS_BOND_PX",hp!AO76, "SETTLE_DT", TEXT(ya!$C76,"YYYYMMDD")))</f>
        <v>0</v>
      </c>
      <c r="AP76" s="2" cm="1">
        <f t="array" ref="AP76">IF(hp!AP76=0,0,_xll.BDP(AP$4,"YAS_BOND_YLD", "YAS_BOND_PX",hp!AP76, "SETTLE_DT", TEXT(ya!$C76,"YYYYMMDD")))</f>
        <v>0</v>
      </c>
      <c r="AQ76" s="2" cm="1">
        <f t="array" ref="AQ76">IF(hp!AQ76=0,0,_xll.BDP(AQ$4,"YAS_BOND_YLD", "YAS_BOND_PX",hp!AQ76, "SETTLE_DT", TEXT(ya!$C76,"YYYYMMDD")))</f>
        <v>0.20419999999999999</v>
      </c>
      <c r="AR76" s="2" cm="1">
        <f t="array" ref="AR76">IF(hp!AR76=0,0,_xll.BDP(AR$4,"YAS_BOND_YLD", "YAS_BOND_PX",hp!AR76, "SETTLE_DT", TEXT(ya!$C76,"YYYYMMDD")))</f>
        <v>3.0785999999999998</v>
      </c>
      <c r="AS76" s="2" cm="1">
        <f t="array" ref="AS76">IF(hp!AS76=0,0,_xll.BDP(AS$4,"YAS_BOND_YLD", "YAS_BOND_PX",hp!AS76, "SETTLE_DT", TEXT(ya!$C76,"YYYYMMDD")))</f>
        <v>0</v>
      </c>
      <c r="AT76" s="2" cm="1">
        <f t="array" ref="AT76">IF(hp!AT76=0,0,_xll.BDP(AT$4,"YAS_BOND_YLD", "YAS_BOND_PX",hp!AT76, "SETTLE_DT", TEXT(ya!$C76,"YYYYMMDD")))</f>
        <v>0</v>
      </c>
      <c r="AU76" s="2" cm="1">
        <f t="array" ref="AU76">IF(hp!AU76=0,0,_xll.BDP(AU$4,"YAS_BOND_YLD", "YAS_BOND_PX",hp!AU76, "SETTLE_DT", TEXT(ya!$C76,"YYYYMMDD")))</f>
        <v>0</v>
      </c>
      <c r="AV76" s="2" cm="1">
        <f t="array" ref="AV76">IF(hp!AV76=0,0,_xll.BDP(AV$4,"YAS_BOND_YLD", "YAS_BOND_PX",hp!AV76, "SETTLE_DT", TEXT(ya!$C76,"YYYYMMDD")))</f>
        <v>0</v>
      </c>
      <c r="AW76" s="2" cm="1">
        <f t="array" ref="AW76">IF(hp!AW76=0,0,_xll.BDP(AW$4,"YAS_BOND_YLD", "YAS_BOND_PX",hp!AW76, "SETTLE_DT", TEXT(ya!$C76,"YYYYMMDD")))</f>
        <v>0</v>
      </c>
      <c r="AX76" s="2" cm="1">
        <f t="array" ref="AX76">IF(hp!AX76=0,0,_xll.BDP(AX$4,"YAS_BOND_YLD", "YAS_BOND_PX",hp!AX76, "SETTLE_DT", TEXT(ya!$C76,"YYYYMMDD")))</f>
        <v>0</v>
      </c>
      <c r="AY76" s="2" cm="1">
        <f t="array" ref="AY76">IF(hp!AY76=0,0,_xll.BDP(AY$4,"YAS_BOND_YLD", "YAS_BOND_PX",hp!AY76, "SETTLE_DT", TEXT(ya!$C76,"YYYYMMDD")))</f>
        <v>0</v>
      </c>
      <c r="AZ76" s="2" cm="1">
        <f t="array" ref="AZ76">IF(hp!AZ76=0,0,_xll.BDP(AZ$4,"YAS_BOND_YLD", "YAS_BOND_PX",hp!AZ76, "SETTLE_DT", TEXT(ya!$C76,"YYYYMMDD")))</f>
        <v>0</v>
      </c>
    </row>
    <row r="77" spans="1:52" x14ac:dyDescent="0.25">
      <c r="A77" s="1"/>
      <c r="B77" s="2"/>
      <c r="C77" s="1">
        <v>44253</v>
      </c>
      <c r="D77" s="2" cm="1">
        <f t="array" ref="D77">IF(hp!D77=0,0,_xll.BDP(D$4,"YAS_BOND_YLD", "YAS_BOND_PX",hp!D77, "SETTLE_DT", TEXT(ya!$C77,"YYYYMMDD")))</f>
        <v>0</v>
      </c>
      <c r="E77" s="2" cm="1">
        <f t="array" ref="E77">IF(hp!E77=0,0,_xll.BDP(E$4,"YAS_BOND_YLD", "YAS_BOND_PX",hp!E77, "SETTLE_DT", TEXT(ya!$C77,"YYYYMMDD")))</f>
        <v>8.4994999999999994</v>
      </c>
      <c r="F77" s="2" cm="1">
        <f t="array" ref="F77">IF(hp!F77=0,0,_xll.BDP(F$4,"YAS_BOND_YLD", "YAS_BOND_PX",hp!F77, "SETTLE_DT", TEXT(ya!$C77,"YYYYMMDD")))</f>
        <v>7.8832000000000004</v>
      </c>
      <c r="G77" s="2" cm="1">
        <f t="array" ref="G77">IF(hp!G77=0,0,_xll.BDP(G$4,"YAS_BOND_YLD", "YAS_BOND_PX",hp!G77, "SETTLE_DT", TEXT(ya!$C77,"YYYYMMDD")))</f>
        <v>3.7556000000000003</v>
      </c>
      <c r="H77" s="2" cm="1">
        <f t="array" ref="H77">IF(hp!H77=0,0,_xll.BDP(H$4,"YAS_BOND_YLD", "YAS_BOND_PX",hp!H77, "SETTLE_DT", TEXT(ya!$C77,"YYYYMMDD")))</f>
        <v>8.2177000000000007</v>
      </c>
      <c r="I77" s="2" cm="1">
        <f t="array" ref="I77">IF(hp!I77=0,0,_xll.BDP(I$4,"YAS_BOND_YLD", "YAS_BOND_PX",hp!I77, "SETTLE_DT", TEXT(ya!$C77,"YYYYMMDD")))</f>
        <v>0</v>
      </c>
      <c r="J77" s="2" cm="1">
        <f t="array" ref="J77">IF(hp!J77=0,0,_xll.BDP(J$4,"YAS_BOND_YLD", "YAS_BOND_PX",hp!J77, "SETTLE_DT", TEXT(ya!$C77,"YYYYMMDD")))</f>
        <v>4.2199</v>
      </c>
      <c r="K77" s="2" cm="1">
        <f t="array" ref="K77">IF(hp!K77=0,0,_xll.BDP(K$4,"YAS_BOND_YLD", "YAS_BOND_PX",hp!K77, "SETTLE_DT", TEXT(ya!$C77,"YYYYMMDD")))</f>
        <v>0</v>
      </c>
      <c r="L77" s="2" cm="1">
        <f t="array" ref="L77">IF(hp!L77=0,0,_xll.BDP(L$4,"YAS_BOND_YLD", "YAS_BOND_PX",hp!L77, "SETTLE_DT", TEXT(ya!$C77,"YYYYMMDD")))</f>
        <v>3.5634999999999999</v>
      </c>
      <c r="M77" s="2" cm="1">
        <f t="array" ref="M77">IF(hp!M77=0,0,_xll.BDP(M$4,"YAS_BOND_YLD", "YAS_BOND_PX",hp!M77, "SETTLE_DT", TEXT(ya!$C77,"YYYYMMDD")))</f>
        <v>3.4243000000000001</v>
      </c>
      <c r="N77" s="2" cm="1">
        <f t="array" ref="N77">IF(hp!N77=0,0,_xll.BDP(N$4,"YAS_BOND_YLD", "YAS_BOND_PX",hp!N77, "SETTLE_DT", TEXT(ya!$C77,"YYYYMMDD")))</f>
        <v>3.1038999999999999</v>
      </c>
      <c r="O77" s="2" cm="1">
        <f t="array" ref="O77">IF(hp!O77=0,0,_xll.BDP(O$4,"YAS_BOND_YLD", "YAS_BOND_PX",hp!O77, "SETTLE_DT", TEXT(ya!$C77,"YYYYMMDD")))</f>
        <v>0</v>
      </c>
      <c r="P77" s="2" cm="1">
        <f t="array" ref="P77">IF(hp!P77=0,0,_xll.BDP(P$4,"YAS_BOND_YLD", "YAS_BOND_PX",hp!P77, "SETTLE_DT", TEXT(ya!$C77,"YYYYMMDD")))</f>
        <v>0</v>
      </c>
      <c r="Q77" s="2" cm="1">
        <f t="array" ref="Q77">IF(hp!Q77=0,0,_xll.BDP(Q$4,"YAS_BOND_YLD", "YAS_BOND_PX",hp!Q77, "SETTLE_DT", TEXT(ya!$C77,"YYYYMMDD")))</f>
        <v>4.1692</v>
      </c>
      <c r="R77" s="2" cm="1">
        <f t="array" ref="R77">IF(hp!R77=0,0,_xll.BDP(R$4,"YAS_BOND_YLD", "YAS_BOND_PX",hp!R77, "SETTLE_DT", TEXT(ya!$C77,"YYYYMMDD")))</f>
        <v>0</v>
      </c>
      <c r="S77" s="2" cm="1">
        <f t="array" ref="S77">IF(hp!S77=0,0,_xll.BDP(S$4,"YAS_BOND_YLD", "YAS_BOND_PX",hp!S77, "SETTLE_DT", TEXT(ya!$C77,"YYYYMMDD")))</f>
        <v>0</v>
      </c>
      <c r="T77" s="2" cm="1">
        <f t="array" ref="T77">IF(hp!T77=0,0,_xll.BDP(T$4,"YAS_BOND_YLD", "YAS_BOND_PX",hp!T77, "SETTLE_DT", TEXT(ya!$C77,"YYYYMMDD")))</f>
        <v>0</v>
      </c>
      <c r="U77" s="2" cm="1">
        <f t="array" ref="U77">IF(hp!U77=0,0,_xll.BDP(U$4,"YAS_BOND_YLD", "YAS_BOND_PX",hp!U77, "SETTLE_DT", TEXT(ya!$C77,"YYYYMMDD")))</f>
        <v>4.0034000000000001</v>
      </c>
      <c r="V77" s="2" cm="1">
        <f t="array" ref="V77">IF(hp!V77=0,0,_xll.BDP(V$4,"YAS_BOND_YLD", "YAS_BOND_PX",hp!V77, "SETTLE_DT", TEXT(ya!$C77,"YYYYMMDD")))</f>
        <v>0</v>
      </c>
      <c r="W77" s="2" cm="1">
        <f t="array" ref="W77">IF(hp!W77=0,0,_xll.BDP(W$4,"YAS_BOND_YLD", "YAS_BOND_PX",hp!W77, "SETTLE_DT", TEXT(ya!$C77,"YYYYMMDD")))</f>
        <v>0.20749999999999999</v>
      </c>
      <c r="X77" s="2" cm="1">
        <f t="array" ref="X77">IF(hp!X77=0,0,_xll.BDP(X$4,"YAS_BOND_YLD", "YAS_BOND_PX",hp!X77, "SETTLE_DT", TEXT(ya!$C77,"YYYYMMDD")))</f>
        <v>0</v>
      </c>
      <c r="Y77" s="2" cm="1">
        <f t="array" ref="Y77">IF(hp!Y77=0,0,_xll.BDP(Y$4,"YAS_BOND_YLD", "YAS_BOND_PX",hp!Y77, "SETTLE_DT", TEXT(ya!$C77,"YYYYMMDD")))</f>
        <v>0</v>
      </c>
      <c r="Z77" s="2" cm="1">
        <f t="array" ref="Z77">IF(hp!Z77=0,0,_xll.BDP(Z$4,"YAS_BOND_YLD", "YAS_BOND_PX",hp!Z77, "SETTLE_DT", TEXT(ya!$C77,"YYYYMMDD")))</f>
        <v>0.25419999999999998</v>
      </c>
      <c r="AA77" s="2" cm="1">
        <f t="array" ref="AA77">IF(hp!AA77=0,0,_xll.BDP(AA$4,"YAS_BOND_YLD", "YAS_BOND_PX",hp!AA77, "SETTLE_DT", TEXT(ya!$C77,"YYYYMMDD")))</f>
        <v>0</v>
      </c>
      <c r="AB77" s="2" cm="1">
        <f t="array" ref="AB77">IF(hp!AB77=0,0,_xll.BDP(AB$4,"YAS_BOND_YLD", "YAS_BOND_PX",hp!AB77, "SETTLE_DT", TEXT(ya!$C77,"YYYYMMDD")))</f>
        <v>0.3347</v>
      </c>
      <c r="AC77" s="2" cm="1">
        <f t="array" ref="AC77">IF(hp!AC77=0,0,_xll.BDP(AC$4,"YAS_BOND_YLD", "YAS_BOND_PX",hp!AC77, "SETTLE_DT", TEXT(ya!$C77,"YYYYMMDD")))</f>
        <v>0</v>
      </c>
      <c r="AD77" s="2" cm="1">
        <f t="array" ref="AD77">IF(hp!AD77=0,0,_xll.BDP(AD$4,"YAS_BOND_YLD", "YAS_BOND_PX",hp!AD77, "SETTLE_DT", TEXT(ya!$C77,"YYYYMMDD")))</f>
        <v>4.25</v>
      </c>
      <c r="AE77" s="2" cm="1">
        <f t="array" ref="AE77">IF(hp!AE77=0,0,_xll.BDP(AE$4,"YAS_BOND_YLD", "YAS_BOND_PX",hp!AE77, "SETTLE_DT", TEXT(ya!$C77,"YYYYMMDD")))</f>
        <v>0</v>
      </c>
      <c r="AF77" s="2" cm="1">
        <f t="array" ref="AF77">IF(hp!AF77=0,0,_xll.BDP(AF$4,"YAS_BOND_YLD", "YAS_BOND_PX",hp!AF77, "SETTLE_DT", TEXT(ya!$C77,"YYYYMMDD")))</f>
        <v>0</v>
      </c>
      <c r="AG77" s="2" cm="1">
        <f t="array" ref="AG77">IF(hp!AG77=0,0,_xll.BDP(AG$4,"YAS_BOND_YLD", "YAS_BOND_PX",hp!AG77, "SETTLE_DT", TEXT(ya!$C77,"YYYYMMDD")))</f>
        <v>0</v>
      </c>
      <c r="AH77" s="2" cm="1">
        <f t="array" ref="AH77">IF(hp!AH77=0,0,_xll.BDP(AH$4,"YAS_BOND_YLD", "YAS_BOND_PX",hp!AH77, "SETTLE_DT", TEXT(ya!$C77,"YYYYMMDD")))</f>
        <v>0</v>
      </c>
      <c r="AI77" s="2" cm="1">
        <f t="array" ref="AI77">IF(hp!AI77=0,0,_xll.BDP(AI$4,"YAS_BOND_YLD", "YAS_BOND_PX",hp!AI77, "SETTLE_DT", TEXT(ya!$C77,"YYYYMMDD")))</f>
        <v>0</v>
      </c>
      <c r="AJ77" s="2" cm="1">
        <f t="array" ref="AJ77">IF(hp!AJ77=0,0,_xll.BDP(AJ$4,"YAS_BOND_YLD", "YAS_BOND_PX",hp!AJ77, "SETTLE_DT", TEXT(ya!$C77,"YYYYMMDD")))</f>
        <v>0</v>
      </c>
      <c r="AK77" s="2" cm="1">
        <f t="array" ref="AK77">IF(hp!AK77=0,0,_xll.BDP(AK$4,"YAS_BOND_YLD", "YAS_BOND_PX",hp!AK77, "SETTLE_DT", TEXT(ya!$C77,"YYYYMMDD")))</f>
        <v>0</v>
      </c>
      <c r="AL77" s="2" cm="1">
        <f t="array" ref="AL77">IF(hp!AL77=0,0,_xll.BDP(AL$4,"YAS_BOND_YLD", "YAS_BOND_PX",hp!AL77, "SETTLE_DT", TEXT(ya!$C77,"YYYYMMDD")))</f>
        <v>0</v>
      </c>
      <c r="AM77" s="2" cm="1">
        <f t="array" ref="AM77">IF(hp!AM77=0,0,_xll.BDP(AM$4,"YAS_BOND_YLD", "YAS_BOND_PX",hp!AM77, "SETTLE_DT", TEXT(ya!$C77,"YYYYMMDD")))</f>
        <v>0</v>
      </c>
      <c r="AN77" s="2" cm="1">
        <f t="array" ref="AN77">IF(hp!AN77=0,0,_xll.BDP(AN$4,"YAS_BOND_YLD", "YAS_BOND_PX",hp!AN77, "SETTLE_DT", TEXT(ya!$C77,"YYYYMMDD")))</f>
        <v>0</v>
      </c>
      <c r="AO77" s="2" cm="1">
        <f t="array" ref="AO77">IF(hp!AO77=0,0,_xll.BDP(AO$4,"YAS_BOND_YLD", "YAS_BOND_PX",hp!AO77, "SETTLE_DT", TEXT(ya!$C77,"YYYYMMDD")))</f>
        <v>0</v>
      </c>
      <c r="AP77" s="2" cm="1">
        <f t="array" ref="AP77">IF(hp!AP77=0,0,_xll.BDP(AP$4,"YAS_BOND_YLD", "YAS_BOND_PX",hp!AP77, "SETTLE_DT", TEXT(ya!$C77,"YYYYMMDD")))</f>
        <v>0</v>
      </c>
      <c r="AQ77" s="2" cm="1">
        <f t="array" ref="AQ77">IF(hp!AQ77=0,0,_xll.BDP(AQ$4,"YAS_BOND_YLD", "YAS_BOND_PX",hp!AQ77, "SETTLE_DT", TEXT(ya!$C77,"YYYYMMDD")))</f>
        <v>0.25840000000000002</v>
      </c>
      <c r="AR77" s="2" cm="1">
        <f t="array" ref="AR77">IF(hp!AR77=0,0,_xll.BDP(AR$4,"YAS_BOND_YLD", "YAS_BOND_PX",hp!AR77, "SETTLE_DT", TEXT(ya!$C77,"YYYYMMDD")))</f>
        <v>3.0436000000000001</v>
      </c>
      <c r="AS77" s="2" cm="1">
        <f t="array" ref="AS77">IF(hp!AS77=0,0,_xll.BDP(AS$4,"YAS_BOND_YLD", "YAS_BOND_PX",hp!AS77, "SETTLE_DT", TEXT(ya!$C77,"YYYYMMDD")))</f>
        <v>0</v>
      </c>
      <c r="AT77" s="2" cm="1">
        <f t="array" ref="AT77">IF(hp!AT77=0,0,_xll.BDP(AT$4,"YAS_BOND_YLD", "YAS_BOND_PX",hp!AT77, "SETTLE_DT", TEXT(ya!$C77,"YYYYMMDD")))</f>
        <v>0</v>
      </c>
      <c r="AU77" s="2" cm="1">
        <f t="array" ref="AU77">IF(hp!AU77=0,0,_xll.BDP(AU$4,"YAS_BOND_YLD", "YAS_BOND_PX",hp!AU77, "SETTLE_DT", TEXT(ya!$C77,"YYYYMMDD")))</f>
        <v>0</v>
      </c>
      <c r="AV77" s="2" cm="1">
        <f t="array" ref="AV77">IF(hp!AV77=0,0,_xll.BDP(AV$4,"YAS_BOND_YLD", "YAS_BOND_PX",hp!AV77, "SETTLE_DT", TEXT(ya!$C77,"YYYYMMDD")))</f>
        <v>0</v>
      </c>
      <c r="AW77" s="2" cm="1">
        <f t="array" ref="AW77">IF(hp!AW77=0,0,_xll.BDP(AW$4,"YAS_BOND_YLD", "YAS_BOND_PX",hp!AW77, "SETTLE_DT", TEXT(ya!$C77,"YYYYMMDD")))</f>
        <v>0</v>
      </c>
      <c r="AX77" s="2" cm="1">
        <f t="array" ref="AX77">IF(hp!AX77=0,0,_xll.BDP(AX$4,"YAS_BOND_YLD", "YAS_BOND_PX",hp!AX77, "SETTLE_DT", TEXT(ya!$C77,"YYYYMMDD")))</f>
        <v>0</v>
      </c>
      <c r="AY77" s="2" cm="1">
        <f t="array" ref="AY77">IF(hp!AY77=0,0,_xll.BDP(AY$4,"YAS_BOND_YLD", "YAS_BOND_PX",hp!AY77, "SETTLE_DT", TEXT(ya!$C77,"YYYYMMDD")))</f>
        <v>0</v>
      </c>
      <c r="AZ77" s="2" cm="1">
        <f t="array" ref="AZ77">IF(hp!AZ77=0,0,_xll.BDP(AZ$4,"YAS_BOND_YLD", "YAS_BOND_PX",hp!AZ77, "SETTLE_DT", TEXT(ya!$C77,"YYYYMMDD")))</f>
        <v>0</v>
      </c>
    </row>
    <row r="78" spans="1:52" x14ac:dyDescent="0.25">
      <c r="A78" s="1"/>
      <c r="B78" s="2"/>
      <c r="C78" s="1">
        <v>44286</v>
      </c>
      <c r="D78" s="2" cm="1">
        <f t="array" ref="D78">IF(hp!D78=0,0,_xll.BDP(D$4,"YAS_BOND_YLD", "YAS_BOND_PX",hp!D78, "SETTLE_DT", TEXT(ya!$C78,"YYYYMMDD")))</f>
        <v>0</v>
      </c>
      <c r="E78" s="2" cm="1">
        <f t="array" ref="E78">IF(hp!E78=0,0,_xll.BDP(E$4,"YAS_BOND_YLD", "YAS_BOND_PX",hp!E78, "SETTLE_DT", TEXT(ya!$C78,"YYYYMMDD")))</f>
        <v>9.3079000000000001</v>
      </c>
      <c r="F78" s="2" cm="1">
        <f t="array" ref="F78">IF(hp!F78=0,0,_xll.BDP(F$4,"YAS_BOND_YLD", "YAS_BOND_PX",hp!F78, "SETTLE_DT", TEXT(ya!$C78,"YYYYMMDD")))</f>
        <v>8.7874999999999996</v>
      </c>
      <c r="G78" s="2" cm="1">
        <f t="array" ref="G78">IF(hp!G78=0,0,_xll.BDP(G$4,"YAS_BOND_YLD", "YAS_BOND_PX",hp!G78, "SETTLE_DT", TEXT(ya!$C78,"YYYYMMDD")))</f>
        <v>3.988</v>
      </c>
      <c r="H78" s="2" cm="1">
        <f t="array" ref="H78">IF(hp!H78=0,0,_xll.BDP(H$4,"YAS_BOND_YLD", "YAS_BOND_PX",hp!H78, "SETTLE_DT", TEXT(ya!$C78,"YYYYMMDD")))</f>
        <v>9.1301000000000005</v>
      </c>
      <c r="I78" s="2" cm="1">
        <f t="array" ref="I78">IF(hp!I78=0,0,_xll.BDP(I$4,"YAS_BOND_YLD", "YAS_BOND_PX",hp!I78, "SETTLE_DT", TEXT(ya!$C78,"YYYYMMDD")))</f>
        <v>0</v>
      </c>
      <c r="J78" s="2" cm="1">
        <f t="array" ref="J78">IF(hp!J78=0,0,_xll.BDP(J$4,"YAS_BOND_YLD", "YAS_BOND_PX",hp!J78, "SETTLE_DT", TEXT(ya!$C78,"YYYYMMDD")))</f>
        <v>4.4242999999999997</v>
      </c>
      <c r="K78" s="2" cm="1">
        <f t="array" ref="K78">IF(hp!K78=0,0,_xll.BDP(K$4,"YAS_BOND_YLD", "YAS_BOND_PX",hp!K78, "SETTLE_DT", TEXT(ya!$C78,"YYYYMMDD")))</f>
        <v>0</v>
      </c>
      <c r="L78" s="2" cm="1">
        <f t="array" ref="L78">IF(hp!L78=0,0,_xll.BDP(L$4,"YAS_BOND_YLD", "YAS_BOND_PX",hp!L78, "SETTLE_DT", TEXT(ya!$C78,"YYYYMMDD")))</f>
        <v>3.9348999999999998</v>
      </c>
      <c r="M78" s="2" cm="1">
        <f t="array" ref="M78">IF(hp!M78=0,0,_xll.BDP(M$4,"YAS_BOND_YLD", "YAS_BOND_PX",hp!M78, "SETTLE_DT", TEXT(ya!$C78,"YYYYMMDD")))</f>
        <v>3.8296999999999999</v>
      </c>
      <c r="N78" s="2" cm="1">
        <f t="array" ref="N78">IF(hp!N78=0,0,_xll.BDP(N$4,"YAS_BOND_YLD", "YAS_BOND_PX",hp!N78, "SETTLE_DT", TEXT(ya!$C78,"YYYYMMDD")))</f>
        <v>3.4839000000000002</v>
      </c>
      <c r="O78" s="2" cm="1">
        <f t="array" ref="O78">IF(hp!O78=0,0,_xll.BDP(O$4,"YAS_BOND_YLD", "YAS_BOND_PX",hp!O78, "SETTLE_DT", TEXT(ya!$C78,"YYYYMMDD")))</f>
        <v>0</v>
      </c>
      <c r="P78" s="2" cm="1">
        <f t="array" ref="P78">IF(hp!P78=0,0,_xll.BDP(P$4,"YAS_BOND_YLD", "YAS_BOND_PX",hp!P78, "SETTLE_DT", TEXT(ya!$C78,"YYYYMMDD")))</f>
        <v>0</v>
      </c>
      <c r="Q78" s="2" cm="1">
        <f t="array" ref="Q78">IF(hp!Q78=0,0,_xll.BDP(Q$4,"YAS_BOND_YLD", "YAS_BOND_PX",hp!Q78, "SETTLE_DT", TEXT(ya!$C78,"YYYYMMDD")))</f>
        <v>4.3635000000000002</v>
      </c>
      <c r="R78" s="2" cm="1">
        <f t="array" ref="R78">IF(hp!R78=0,0,_xll.BDP(R$4,"YAS_BOND_YLD", "YAS_BOND_PX",hp!R78, "SETTLE_DT", TEXT(ya!$C78,"YYYYMMDD")))</f>
        <v>0</v>
      </c>
      <c r="S78" s="2" cm="1">
        <f t="array" ref="S78">IF(hp!S78=0,0,_xll.BDP(S$4,"YAS_BOND_YLD", "YAS_BOND_PX",hp!S78, "SETTLE_DT", TEXT(ya!$C78,"YYYYMMDD")))</f>
        <v>0</v>
      </c>
      <c r="T78" s="2" cm="1">
        <f t="array" ref="T78">IF(hp!T78=0,0,_xll.BDP(T$4,"YAS_BOND_YLD", "YAS_BOND_PX",hp!T78, "SETTLE_DT", TEXT(ya!$C78,"YYYYMMDD")))</f>
        <v>0</v>
      </c>
      <c r="U78" s="2" cm="1">
        <f t="array" ref="U78">IF(hp!U78=0,0,_xll.BDP(U$4,"YAS_BOND_YLD", "YAS_BOND_PX",hp!U78, "SETTLE_DT", TEXT(ya!$C78,"YYYYMMDD")))</f>
        <v>4.2198000000000002</v>
      </c>
      <c r="V78" s="2" cm="1">
        <f t="array" ref="V78">IF(hp!V78=0,0,_xll.BDP(V$4,"YAS_BOND_YLD", "YAS_BOND_PX",hp!V78, "SETTLE_DT", TEXT(ya!$C78,"YYYYMMDD")))</f>
        <v>0</v>
      </c>
      <c r="W78" s="2" cm="1">
        <f t="array" ref="W78">IF(hp!W78=0,0,_xll.BDP(W$4,"YAS_BOND_YLD", "YAS_BOND_PX",hp!W78, "SETTLE_DT", TEXT(ya!$C78,"YYYYMMDD")))</f>
        <v>0.2298</v>
      </c>
      <c r="X78" s="2" cm="1">
        <f t="array" ref="X78">IF(hp!X78=0,0,_xll.BDP(X$4,"YAS_BOND_YLD", "YAS_BOND_PX",hp!X78, "SETTLE_DT", TEXT(ya!$C78,"YYYYMMDD")))</f>
        <v>0</v>
      </c>
      <c r="Y78" s="2" cm="1">
        <f t="array" ref="Y78">IF(hp!Y78=0,0,_xll.BDP(Y$4,"YAS_BOND_YLD", "YAS_BOND_PX",hp!Y78, "SETTLE_DT", TEXT(ya!$C78,"YYYYMMDD")))</f>
        <v>0</v>
      </c>
      <c r="Z78" s="2" cm="1">
        <f t="array" ref="Z78">IF(hp!Z78=0,0,_xll.BDP(Z$4,"YAS_BOND_YLD", "YAS_BOND_PX",hp!Z78, "SETTLE_DT", TEXT(ya!$C78,"YYYYMMDD")))</f>
        <v>0.26769999999999999</v>
      </c>
      <c r="AA78" s="2" cm="1">
        <f t="array" ref="AA78">IF(hp!AA78=0,0,_xll.BDP(AA$4,"YAS_BOND_YLD", "YAS_BOND_PX",hp!AA78, "SETTLE_DT", TEXT(ya!$C78,"YYYYMMDD")))</f>
        <v>0</v>
      </c>
      <c r="AB78" s="2" cm="1">
        <f t="array" ref="AB78">IF(hp!AB78=0,0,_xll.BDP(AB$4,"YAS_BOND_YLD", "YAS_BOND_PX",hp!AB78, "SETTLE_DT", TEXT(ya!$C78,"YYYYMMDD")))</f>
        <v>0.3206</v>
      </c>
      <c r="AC78" s="2" cm="1">
        <f t="array" ref="AC78">IF(hp!AC78=0,0,_xll.BDP(AC$4,"YAS_BOND_YLD", "YAS_BOND_PX",hp!AC78, "SETTLE_DT", TEXT(ya!$C78,"YYYYMMDD")))</f>
        <v>0</v>
      </c>
      <c r="AD78" s="2" cm="1">
        <f t="array" ref="AD78">IF(hp!AD78=0,0,_xll.BDP(AD$4,"YAS_BOND_YLD", "YAS_BOND_PX",hp!AD78, "SETTLE_DT", TEXT(ya!$C78,"YYYYMMDD")))</f>
        <v>4.4444999999999997</v>
      </c>
      <c r="AE78" s="2" cm="1">
        <f t="array" ref="AE78">IF(hp!AE78=0,0,_xll.BDP(AE$4,"YAS_BOND_YLD", "YAS_BOND_PX",hp!AE78, "SETTLE_DT", TEXT(ya!$C78,"YYYYMMDD")))</f>
        <v>0</v>
      </c>
      <c r="AF78" s="2" cm="1">
        <f t="array" ref="AF78">IF(hp!AF78=0,0,_xll.BDP(AF$4,"YAS_BOND_YLD", "YAS_BOND_PX",hp!AF78, "SETTLE_DT", TEXT(ya!$C78,"YYYYMMDD")))</f>
        <v>0</v>
      </c>
      <c r="AG78" s="2" cm="1">
        <f t="array" ref="AG78">IF(hp!AG78=0,0,_xll.BDP(AG$4,"YAS_BOND_YLD", "YAS_BOND_PX",hp!AG78, "SETTLE_DT", TEXT(ya!$C78,"YYYYMMDD")))</f>
        <v>0</v>
      </c>
      <c r="AH78" s="2" cm="1">
        <f t="array" ref="AH78">IF(hp!AH78=0,0,_xll.BDP(AH$4,"YAS_BOND_YLD", "YAS_BOND_PX",hp!AH78, "SETTLE_DT", TEXT(ya!$C78,"YYYYMMDD")))</f>
        <v>0</v>
      </c>
      <c r="AI78" s="2" cm="1">
        <f t="array" ref="AI78">IF(hp!AI78=0,0,_xll.BDP(AI$4,"YAS_BOND_YLD", "YAS_BOND_PX",hp!AI78, "SETTLE_DT", TEXT(ya!$C78,"YYYYMMDD")))</f>
        <v>0</v>
      </c>
      <c r="AJ78" s="2" cm="1">
        <f t="array" ref="AJ78">IF(hp!AJ78=0,0,_xll.BDP(AJ$4,"YAS_BOND_YLD", "YAS_BOND_PX",hp!AJ78, "SETTLE_DT", TEXT(ya!$C78,"YYYYMMDD")))</f>
        <v>0</v>
      </c>
      <c r="AK78" s="2" cm="1">
        <f t="array" ref="AK78">IF(hp!AK78=0,0,_xll.BDP(AK$4,"YAS_BOND_YLD", "YAS_BOND_PX",hp!AK78, "SETTLE_DT", TEXT(ya!$C78,"YYYYMMDD")))</f>
        <v>0</v>
      </c>
      <c r="AL78" s="2" cm="1">
        <f t="array" ref="AL78">IF(hp!AL78=0,0,_xll.BDP(AL$4,"YAS_BOND_YLD", "YAS_BOND_PX",hp!AL78, "SETTLE_DT", TEXT(ya!$C78,"YYYYMMDD")))</f>
        <v>0</v>
      </c>
      <c r="AM78" s="2" cm="1">
        <f t="array" ref="AM78">IF(hp!AM78=0,0,_xll.BDP(AM$4,"YAS_BOND_YLD", "YAS_BOND_PX",hp!AM78, "SETTLE_DT", TEXT(ya!$C78,"YYYYMMDD")))</f>
        <v>0</v>
      </c>
      <c r="AN78" s="2" cm="1">
        <f t="array" ref="AN78">IF(hp!AN78=0,0,_xll.BDP(AN$4,"YAS_BOND_YLD", "YAS_BOND_PX",hp!AN78, "SETTLE_DT", TEXT(ya!$C78,"YYYYMMDD")))</f>
        <v>0</v>
      </c>
      <c r="AO78" s="2" cm="1">
        <f t="array" ref="AO78">IF(hp!AO78=0,0,_xll.BDP(AO$4,"YAS_BOND_YLD", "YAS_BOND_PX",hp!AO78, "SETTLE_DT", TEXT(ya!$C78,"YYYYMMDD")))</f>
        <v>0</v>
      </c>
      <c r="AP78" s="2" cm="1">
        <f t="array" ref="AP78">IF(hp!AP78=0,0,_xll.BDP(AP$4,"YAS_BOND_YLD", "YAS_BOND_PX",hp!AP78, "SETTLE_DT", TEXT(ya!$C78,"YYYYMMDD")))</f>
        <v>0</v>
      </c>
      <c r="AQ78" s="2" cm="1">
        <f t="array" ref="AQ78">IF(hp!AQ78=0,0,_xll.BDP(AQ$4,"YAS_BOND_YLD", "YAS_BOND_PX",hp!AQ78, "SETTLE_DT", TEXT(ya!$C78,"YYYYMMDD")))</f>
        <v>0.27179999999999999</v>
      </c>
      <c r="AR78" s="2" cm="1">
        <f t="array" ref="AR78">IF(hp!AR78=0,0,_xll.BDP(AR$4,"YAS_BOND_YLD", "YAS_BOND_PX",hp!AR78, "SETTLE_DT", TEXT(ya!$C78,"YYYYMMDD")))</f>
        <v>3.7942</v>
      </c>
      <c r="AS78" s="2" cm="1">
        <f t="array" ref="AS78">IF(hp!AS78=0,0,_xll.BDP(AS$4,"YAS_BOND_YLD", "YAS_BOND_PX",hp!AS78, "SETTLE_DT", TEXT(ya!$C78,"YYYYMMDD")))</f>
        <v>0</v>
      </c>
      <c r="AT78" s="2" cm="1">
        <f t="array" ref="AT78">IF(hp!AT78=0,0,_xll.BDP(AT$4,"YAS_BOND_YLD", "YAS_BOND_PX",hp!AT78, "SETTLE_DT", TEXT(ya!$C78,"YYYYMMDD")))</f>
        <v>0</v>
      </c>
      <c r="AU78" s="2" cm="1">
        <f t="array" ref="AU78">IF(hp!AU78=0,0,_xll.BDP(AU$4,"YAS_BOND_YLD", "YAS_BOND_PX",hp!AU78, "SETTLE_DT", TEXT(ya!$C78,"YYYYMMDD")))</f>
        <v>0</v>
      </c>
      <c r="AV78" s="2" cm="1">
        <f t="array" ref="AV78">IF(hp!AV78=0,0,_xll.BDP(AV$4,"YAS_BOND_YLD", "YAS_BOND_PX",hp!AV78, "SETTLE_DT", TEXT(ya!$C78,"YYYYMMDD")))</f>
        <v>0</v>
      </c>
      <c r="AW78" s="2" cm="1">
        <f t="array" ref="AW78">IF(hp!AW78=0,0,_xll.BDP(AW$4,"YAS_BOND_YLD", "YAS_BOND_PX",hp!AW78, "SETTLE_DT", TEXT(ya!$C78,"YYYYMMDD")))</f>
        <v>0</v>
      </c>
      <c r="AX78" s="2" cm="1">
        <f t="array" ref="AX78">IF(hp!AX78=0,0,_xll.BDP(AX$4,"YAS_BOND_YLD", "YAS_BOND_PX",hp!AX78, "SETTLE_DT", TEXT(ya!$C78,"YYYYMMDD")))</f>
        <v>0</v>
      </c>
      <c r="AY78" s="2" cm="1">
        <f t="array" ref="AY78">IF(hp!AY78=0,0,_xll.BDP(AY$4,"YAS_BOND_YLD", "YAS_BOND_PX",hp!AY78, "SETTLE_DT", TEXT(ya!$C78,"YYYYMMDD")))</f>
        <v>0</v>
      </c>
      <c r="AZ78" s="2" cm="1">
        <f t="array" ref="AZ78">IF(hp!AZ78=0,0,_xll.BDP(AZ$4,"YAS_BOND_YLD", "YAS_BOND_PX",hp!AZ78, "SETTLE_DT", TEXT(ya!$C78,"YYYYMMDD")))</f>
        <v>0</v>
      </c>
    </row>
    <row r="79" spans="1:52" x14ac:dyDescent="0.25">
      <c r="A79" s="1"/>
      <c r="B79" s="2"/>
      <c r="C79" s="1">
        <v>44316</v>
      </c>
      <c r="D79" s="2" cm="1">
        <f t="array" ref="D79">IF(hp!D79=0,0,_xll.BDP(D$4,"YAS_BOND_YLD", "YAS_BOND_PX",hp!D79, "SETTLE_DT", TEXT(ya!$C79,"YYYYMMDD")))</f>
        <v>0</v>
      </c>
      <c r="E79" s="2" cm="1">
        <f t="array" ref="E79">IF(hp!E79=0,0,_xll.BDP(E$4,"YAS_BOND_YLD", "YAS_BOND_PX",hp!E79, "SETTLE_DT", TEXT(ya!$C79,"YYYYMMDD")))</f>
        <v>9.1187000000000005</v>
      </c>
      <c r="F79" s="2" cm="1">
        <f t="array" ref="F79">IF(hp!F79=0,0,_xll.BDP(F$4,"YAS_BOND_YLD", "YAS_BOND_PX",hp!F79, "SETTLE_DT", TEXT(ya!$C79,"YYYYMMDD")))</f>
        <v>8.5164000000000009</v>
      </c>
      <c r="G79" s="2" cm="1">
        <f t="array" ref="G79">IF(hp!G79=0,0,_xll.BDP(G$4,"YAS_BOND_YLD", "YAS_BOND_PX",hp!G79, "SETTLE_DT", TEXT(ya!$C79,"YYYYMMDD")))</f>
        <v>4.0282</v>
      </c>
      <c r="H79" s="2" cm="1">
        <f t="array" ref="H79">IF(hp!H79=0,0,_xll.BDP(H$4,"YAS_BOND_YLD", "YAS_BOND_PX",hp!H79, "SETTLE_DT", TEXT(ya!$C79,"YYYYMMDD")))</f>
        <v>8.9215999999999998</v>
      </c>
      <c r="I79" s="2" cm="1">
        <f t="array" ref="I79">IF(hp!I79=0,0,_xll.BDP(I$4,"YAS_BOND_YLD", "YAS_BOND_PX",hp!I79, "SETTLE_DT", TEXT(ya!$C79,"YYYYMMDD")))</f>
        <v>0</v>
      </c>
      <c r="J79" s="2" cm="1">
        <f t="array" ref="J79">IF(hp!J79=0,0,_xll.BDP(J$4,"YAS_BOND_YLD", "YAS_BOND_PX",hp!J79, "SETTLE_DT", TEXT(ya!$C79,"YYYYMMDD")))</f>
        <v>4.4817999999999998</v>
      </c>
      <c r="K79" s="2" cm="1">
        <f t="array" ref="K79">IF(hp!K79=0,0,_xll.BDP(K$4,"YAS_BOND_YLD", "YAS_BOND_PX",hp!K79, "SETTLE_DT", TEXT(ya!$C79,"YYYYMMDD")))</f>
        <v>0</v>
      </c>
      <c r="L79" s="2" cm="1">
        <f t="array" ref="L79">IF(hp!L79=0,0,_xll.BDP(L$4,"YAS_BOND_YLD", "YAS_BOND_PX",hp!L79, "SETTLE_DT", TEXT(ya!$C79,"YYYYMMDD")))</f>
        <v>3.9811000000000001</v>
      </c>
      <c r="M79" s="2" cm="1">
        <f t="array" ref="M79">IF(hp!M79=0,0,_xll.BDP(M$4,"YAS_BOND_YLD", "YAS_BOND_PX",hp!M79, "SETTLE_DT", TEXT(ya!$C79,"YYYYMMDD")))</f>
        <v>3.7774999999999999</v>
      </c>
      <c r="N79" s="2" cm="1">
        <f t="array" ref="N79">IF(hp!N79=0,0,_xll.BDP(N$4,"YAS_BOND_YLD", "YAS_BOND_PX",hp!N79, "SETTLE_DT", TEXT(ya!$C79,"YYYYMMDD")))</f>
        <v>3.3651</v>
      </c>
      <c r="O79" s="2" cm="1">
        <f t="array" ref="O79">IF(hp!O79=0,0,_xll.BDP(O$4,"YAS_BOND_YLD", "YAS_BOND_PX",hp!O79, "SETTLE_DT", TEXT(ya!$C79,"YYYYMMDD")))</f>
        <v>0</v>
      </c>
      <c r="P79" s="2" cm="1">
        <f t="array" ref="P79">IF(hp!P79=0,0,_xll.BDP(P$4,"YAS_BOND_YLD", "YAS_BOND_PX",hp!P79, "SETTLE_DT", TEXT(ya!$C79,"YYYYMMDD")))</f>
        <v>0</v>
      </c>
      <c r="Q79" s="2" cm="1">
        <f t="array" ref="Q79">IF(hp!Q79=0,0,_xll.BDP(Q$4,"YAS_BOND_YLD", "YAS_BOND_PX",hp!Q79, "SETTLE_DT", TEXT(ya!$C79,"YYYYMMDD")))</f>
        <v>4.4009999999999998</v>
      </c>
      <c r="R79" s="2" cm="1">
        <f t="array" ref="R79">IF(hp!R79=0,0,_xll.BDP(R$4,"YAS_BOND_YLD", "YAS_BOND_PX",hp!R79, "SETTLE_DT", TEXT(ya!$C79,"YYYYMMDD")))</f>
        <v>0</v>
      </c>
      <c r="S79" s="2" cm="1">
        <f t="array" ref="S79">IF(hp!S79=0,0,_xll.BDP(S$4,"YAS_BOND_YLD", "YAS_BOND_PX",hp!S79, "SETTLE_DT", TEXT(ya!$C79,"YYYYMMDD")))</f>
        <v>0</v>
      </c>
      <c r="T79" s="2" cm="1">
        <f t="array" ref="T79">IF(hp!T79=0,0,_xll.BDP(T$4,"YAS_BOND_YLD", "YAS_BOND_PX",hp!T79, "SETTLE_DT", TEXT(ya!$C79,"YYYYMMDD")))</f>
        <v>0</v>
      </c>
      <c r="U79" s="2" cm="1">
        <f t="array" ref="U79">IF(hp!U79=0,0,_xll.BDP(U$4,"YAS_BOND_YLD", "YAS_BOND_PX",hp!U79, "SETTLE_DT", TEXT(ya!$C79,"YYYYMMDD")))</f>
        <v>4.2507999999999999</v>
      </c>
      <c r="V79" s="2" cm="1">
        <f t="array" ref="V79">IF(hp!V79=0,0,_xll.BDP(V$4,"YAS_BOND_YLD", "YAS_BOND_PX",hp!V79, "SETTLE_DT", TEXT(ya!$C79,"YYYYMMDD")))</f>
        <v>0</v>
      </c>
      <c r="W79" s="2" cm="1">
        <f t="array" ref="W79">IF(hp!W79=0,0,_xll.BDP(W$4,"YAS_BOND_YLD", "YAS_BOND_PX",hp!W79, "SETTLE_DT", TEXT(ya!$C79,"YYYYMMDD")))</f>
        <v>0.32219999999999999</v>
      </c>
      <c r="X79" s="2" cm="1">
        <f t="array" ref="X79">IF(hp!X79=0,0,_xll.BDP(X$4,"YAS_BOND_YLD", "YAS_BOND_PX",hp!X79, "SETTLE_DT", TEXT(ya!$C79,"YYYYMMDD")))</f>
        <v>0</v>
      </c>
      <c r="Y79" s="2" cm="1">
        <f t="array" ref="Y79">IF(hp!Y79=0,0,_xll.BDP(Y$4,"YAS_BOND_YLD", "YAS_BOND_PX",hp!Y79, "SETTLE_DT", TEXT(ya!$C79,"YYYYMMDD")))</f>
        <v>0</v>
      </c>
      <c r="Z79" s="2" cm="1">
        <f t="array" ref="Z79">IF(hp!Z79=0,0,_xll.BDP(Z$4,"YAS_BOND_YLD", "YAS_BOND_PX",hp!Z79, "SETTLE_DT", TEXT(ya!$C79,"YYYYMMDD")))</f>
        <v>0.32679999999999998</v>
      </c>
      <c r="AA79" s="2" cm="1">
        <f t="array" ref="AA79">IF(hp!AA79=0,0,_xll.BDP(AA$4,"YAS_BOND_YLD", "YAS_BOND_PX",hp!AA79, "SETTLE_DT", TEXT(ya!$C79,"YYYYMMDD")))</f>
        <v>0</v>
      </c>
      <c r="AB79" s="2" cm="1">
        <f t="array" ref="AB79">IF(hp!AB79=0,0,_xll.BDP(AB$4,"YAS_BOND_YLD", "YAS_BOND_PX",hp!AB79, "SETTLE_DT", TEXT(ya!$C79,"YYYYMMDD")))</f>
        <v>0.34360000000000002</v>
      </c>
      <c r="AC79" s="2" cm="1">
        <f t="array" ref="AC79">IF(hp!AC79=0,0,_xll.BDP(AC$4,"YAS_BOND_YLD", "YAS_BOND_PX",hp!AC79, "SETTLE_DT", TEXT(ya!$C79,"YYYYMMDD")))</f>
        <v>0</v>
      </c>
      <c r="AD79" s="2" cm="1">
        <f t="array" ref="AD79">IF(hp!AD79=0,0,_xll.BDP(AD$4,"YAS_BOND_YLD", "YAS_BOND_PX",hp!AD79, "SETTLE_DT", TEXT(ya!$C79,"YYYYMMDD")))</f>
        <v>4.4976000000000003</v>
      </c>
      <c r="AE79" s="2" cm="1">
        <f t="array" ref="AE79">IF(hp!AE79=0,0,_xll.BDP(AE$4,"YAS_BOND_YLD", "YAS_BOND_PX",hp!AE79, "SETTLE_DT", TEXT(ya!$C79,"YYYYMMDD")))</f>
        <v>0</v>
      </c>
      <c r="AF79" s="2" cm="1">
        <f t="array" ref="AF79">IF(hp!AF79=0,0,_xll.BDP(AF$4,"YAS_BOND_YLD", "YAS_BOND_PX",hp!AF79, "SETTLE_DT", TEXT(ya!$C79,"YYYYMMDD")))</f>
        <v>0</v>
      </c>
      <c r="AG79" s="2" cm="1">
        <f t="array" ref="AG79">IF(hp!AG79=0,0,_xll.BDP(AG$4,"YAS_BOND_YLD", "YAS_BOND_PX",hp!AG79, "SETTLE_DT", TEXT(ya!$C79,"YYYYMMDD")))</f>
        <v>0</v>
      </c>
      <c r="AH79" s="2" cm="1">
        <f t="array" ref="AH79">IF(hp!AH79=0,0,_xll.BDP(AH$4,"YAS_BOND_YLD", "YAS_BOND_PX",hp!AH79, "SETTLE_DT", TEXT(ya!$C79,"YYYYMMDD")))</f>
        <v>0</v>
      </c>
      <c r="AI79" s="2" cm="1">
        <f t="array" ref="AI79">IF(hp!AI79=0,0,_xll.BDP(AI$4,"YAS_BOND_YLD", "YAS_BOND_PX",hp!AI79, "SETTLE_DT", TEXT(ya!$C79,"YYYYMMDD")))</f>
        <v>0</v>
      </c>
      <c r="AJ79" s="2" cm="1">
        <f t="array" ref="AJ79">IF(hp!AJ79=0,0,_xll.BDP(AJ$4,"YAS_BOND_YLD", "YAS_BOND_PX",hp!AJ79, "SETTLE_DT", TEXT(ya!$C79,"YYYYMMDD")))</f>
        <v>0</v>
      </c>
      <c r="AK79" s="2" cm="1">
        <f t="array" ref="AK79">IF(hp!AK79=0,0,_xll.BDP(AK$4,"YAS_BOND_YLD", "YAS_BOND_PX",hp!AK79, "SETTLE_DT", TEXT(ya!$C79,"YYYYMMDD")))</f>
        <v>0</v>
      </c>
      <c r="AL79" s="2" cm="1">
        <f t="array" ref="AL79">IF(hp!AL79=0,0,_xll.BDP(AL$4,"YAS_BOND_YLD", "YAS_BOND_PX",hp!AL79, "SETTLE_DT", TEXT(ya!$C79,"YYYYMMDD")))</f>
        <v>0</v>
      </c>
      <c r="AM79" s="2" cm="1">
        <f t="array" ref="AM79">IF(hp!AM79=0,0,_xll.BDP(AM$4,"YAS_BOND_YLD", "YAS_BOND_PX",hp!AM79, "SETTLE_DT", TEXT(ya!$C79,"YYYYMMDD")))</f>
        <v>0</v>
      </c>
      <c r="AN79" s="2" cm="1">
        <f t="array" ref="AN79">IF(hp!AN79=0,0,_xll.BDP(AN$4,"YAS_BOND_YLD", "YAS_BOND_PX",hp!AN79, "SETTLE_DT", TEXT(ya!$C79,"YYYYMMDD")))</f>
        <v>0</v>
      </c>
      <c r="AO79" s="2" cm="1">
        <f t="array" ref="AO79">IF(hp!AO79=0,0,_xll.BDP(AO$4,"YAS_BOND_YLD", "YAS_BOND_PX",hp!AO79, "SETTLE_DT", TEXT(ya!$C79,"YYYYMMDD")))</f>
        <v>0</v>
      </c>
      <c r="AP79" s="2" cm="1">
        <f t="array" ref="AP79">IF(hp!AP79=0,0,_xll.BDP(AP$4,"YAS_BOND_YLD", "YAS_BOND_PX",hp!AP79, "SETTLE_DT", TEXT(ya!$C79,"YYYYMMDD")))</f>
        <v>0</v>
      </c>
      <c r="AQ79" s="2" cm="1">
        <f t="array" ref="AQ79">IF(hp!AQ79=0,0,_xll.BDP(AQ$4,"YAS_BOND_YLD", "YAS_BOND_PX",hp!AQ79, "SETTLE_DT", TEXT(ya!$C79,"YYYYMMDD")))</f>
        <v>0.3281</v>
      </c>
      <c r="AR79" s="2" cm="1">
        <f t="array" ref="AR79">IF(hp!AR79=0,0,_xll.BDP(AR$4,"YAS_BOND_YLD", "YAS_BOND_PX",hp!AR79, "SETTLE_DT", TEXT(ya!$C79,"YYYYMMDD")))</f>
        <v>3.8885000000000001</v>
      </c>
      <c r="AS79" s="2" cm="1">
        <f t="array" ref="AS79">IF(hp!AS79=0,0,_xll.BDP(AS$4,"YAS_BOND_YLD", "YAS_BOND_PX",hp!AS79, "SETTLE_DT", TEXT(ya!$C79,"YYYYMMDD")))</f>
        <v>0</v>
      </c>
      <c r="AT79" s="2" cm="1">
        <f t="array" ref="AT79">IF(hp!AT79=0,0,_xll.BDP(AT$4,"YAS_BOND_YLD", "YAS_BOND_PX",hp!AT79, "SETTLE_DT", TEXT(ya!$C79,"YYYYMMDD")))</f>
        <v>0</v>
      </c>
      <c r="AU79" s="2" cm="1">
        <f t="array" ref="AU79">IF(hp!AU79=0,0,_xll.BDP(AU$4,"YAS_BOND_YLD", "YAS_BOND_PX",hp!AU79, "SETTLE_DT", TEXT(ya!$C79,"YYYYMMDD")))</f>
        <v>0</v>
      </c>
      <c r="AV79" s="2" cm="1">
        <f t="array" ref="AV79">IF(hp!AV79=0,0,_xll.BDP(AV$4,"YAS_BOND_YLD", "YAS_BOND_PX",hp!AV79, "SETTLE_DT", TEXT(ya!$C79,"YYYYMMDD")))</f>
        <v>0</v>
      </c>
      <c r="AW79" s="2" cm="1">
        <f t="array" ref="AW79">IF(hp!AW79=0,0,_xll.BDP(AW$4,"YAS_BOND_YLD", "YAS_BOND_PX",hp!AW79, "SETTLE_DT", TEXT(ya!$C79,"YYYYMMDD")))</f>
        <v>0</v>
      </c>
      <c r="AX79" s="2" cm="1">
        <f t="array" ref="AX79">IF(hp!AX79=0,0,_xll.BDP(AX$4,"YAS_BOND_YLD", "YAS_BOND_PX",hp!AX79, "SETTLE_DT", TEXT(ya!$C79,"YYYYMMDD")))</f>
        <v>0</v>
      </c>
      <c r="AY79" s="2" cm="1">
        <f t="array" ref="AY79">IF(hp!AY79=0,0,_xll.BDP(AY$4,"YAS_BOND_YLD", "YAS_BOND_PX",hp!AY79, "SETTLE_DT", TEXT(ya!$C79,"YYYYMMDD")))</f>
        <v>0</v>
      </c>
      <c r="AZ79" s="2" cm="1">
        <f t="array" ref="AZ79">IF(hp!AZ79=0,0,_xll.BDP(AZ$4,"YAS_BOND_YLD", "YAS_BOND_PX",hp!AZ79, "SETTLE_DT", TEXT(ya!$C79,"YYYYMMDD")))</f>
        <v>0</v>
      </c>
    </row>
    <row r="80" spans="1:52" x14ac:dyDescent="0.25">
      <c r="A80" s="1"/>
      <c r="B80" s="2"/>
      <c r="C80" s="1">
        <v>44347</v>
      </c>
      <c r="D80" s="2" cm="1">
        <f t="array" ref="D80">IF(hp!D80=0,0,_xll.BDP(D$4,"YAS_BOND_YLD", "YAS_BOND_PX",hp!D80, "SETTLE_DT", TEXT(ya!$C80,"YYYYMMDD")))</f>
        <v>0</v>
      </c>
      <c r="E80" s="2" cm="1">
        <f t="array" ref="E80">IF(hp!E80=0,0,_xll.BDP(E$4,"YAS_BOND_YLD", "YAS_BOND_PX",hp!E80, "SETTLE_DT", TEXT(ya!$C80,"YYYYMMDD")))</f>
        <v>9.1275999999999993</v>
      </c>
      <c r="F80" s="2" cm="1">
        <f t="array" ref="F80">IF(hp!F80=0,0,_xll.BDP(F$4,"YAS_BOND_YLD", "YAS_BOND_PX",hp!F80, "SETTLE_DT", TEXT(ya!$C80,"YYYYMMDD")))</f>
        <v>8.5053000000000001</v>
      </c>
      <c r="G80" s="2" cm="1">
        <f t="array" ref="G80">IF(hp!G80=0,0,_xll.BDP(G$4,"YAS_BOND_YLD", "YAS_BOND_PX",hp!G80, "SETTLE_DT", TEXT(ya!$C80,"YYYYMMDD")))</f>
        <v>4.0945999999999998</v>
      </c>
      <c r="H80" s="2" cm="1">
        <f t="array" ref="H80">IF(hp!H80=0,0,_xll.BDP(H$4,"YAS_BOND_YLD", "YAS_BOND_PX",hp!H80, "SETTLE_DT", TEXT(ya!$C80,"YYYYMMDD")))</f>
        <v>8.8899000000000008</v>
      </c>
      <c r="I80" s="2" cm="1">
        <f t="array" ref="I80">IF(hp!I80=0,0,_xll.BDP(I$4,"YAS_BOND_YLD", "YAS_BOND_PX",hp!I80, "SETTLE_DT", TEXT(ya!$C80,"YYYYMMDD")))</f>
        <v>0</v>
      </c>
      <c r="J80" s="2" cm="1">
        <f t="array" ref="J80">IF(hp!J80=0,0,_xll.BDP(J$4,"YAS_BOND_YLD", "YAS_BOND_PX",hp!J80, "SETTLE_DT", TEXT(ya!$C80,"YYYYMMDD")))</f>
        <v>4.3874000000000004</v>
      </c>
      <c r="K80" s="2" cm="1">
        <f t="array" ref="K80">IF(hp!K80=0,0,_xll.BDP(K$4,"YAS_BOND_YLD", "YAS_BOND_PX",hp!K80, "SETTLE_DT", TEXT(ya!$C80,"YYYYMMDD")))</f>
        <v>0</v>
      </c>
      <c r="L80" s="2" cm="1">
        <f t="array" ref="L80">IF(hp!L80=0,0,_xll.BDP(L$4,"YAS_BOND_YLD", "YAS_BOND_PX",hp!L80, "SETTLE_DT", TEXT(ya!$C80,"YYYYMMDD")))</f>
        <v>3.984</v>
      </c>
      <c r="M80" s="2" cm="1">
        <f t="array" ref="M80">IF(hp!M80=0,0,_xll.BDP(M$4,"YAS_BOND_YLD", "YAS_BOND_PX",hp!M80, "SETTLE_DT", TEXT(ya!$C80,"YYYYMMDD")))</f>
        <v>3.7808999999999999</v>
      </c>
      <c r="N80" s="2" cm="1">
        <f t="array" ref="N80">IF(hp!N80=0,0,_xll.BDP(N$4,"YAS_BOND_YLD", "YAS_BOND_PX",hp!N80, "SETTLE_DT", TEXT(ya!$C80,"YYYYMMDD")))</f>
        <v>3.4024000000000001</v>
      </c>
      <c r="O80" s="2" cm="1">
        <f t="array" ref="O80">IF(hp!O80=0,0,_xll.BDP(O$4,"YAS_BOND_YLD", "YAS_BOND_PX",hp!O80, "SETTLE_DT", TEXT(ya!$C80,"YYYYMMDD")))</f>
        <v>0</v>
      </c>
      <c r="P80" s="2" cm="1">
        <f t="array" ref="P80">IF(hp!P80=0,0,_xll.BDP(P$4,"YAS_BOND_YLD", "YAS_BOND_PX",hp!P80, "SETTLE_DT", TEXT(ya!$C80,"YYYYMMDD")))</f>
        <v>0</v>
      </c>
      <c r="Q80" s="2" cm="1">
        <f t="array" ref="Q80">IF(hp!Q80=0,0,_xll.BDP(Q$4,"YAS_BOND_YLD", "YAS_BOND_PX",hp!Q80, "SETTLE_DT", TEXT(ya!$C80,"YYYYMMDD")))</f>
        <v>4.3286999999999995</v>
      </c>
      <c r="R80" s="2" cm="1">
        <f t="array" ref="R80">IF(hp!R80=0,0,_xll.BDP(R$4,"YAS_BOND_YLD", "YAS_BOND_PX",hp!R80, "SETTLE_DT", TEXT(ya!$C80,"YYYYMMDD")))</f>
        <v>0</v>
      </c>
      <c r="S80" s="2" cm="1">
        <f t="array" ref="S80">IF(hp!S80=0,0,_xll.BDP(S$4,"YAS_BOND_YLD", "YAS_BOND_PX",hp!S80, "SETTLE_DT", TEXT(ya!$C80,"YYYYMMDD")))</f>
        <v>0</v>
      </c>
      <c r="T80" s="2" cm="1">
        <f t="array" ref="T80">IF(hp!T80=0,0,_xll.BDP(T$4,"YAS_BOND_YLD", "YAS_BOND_PX",hp!T80, "SETTLE_DT", TEXT(ya!$C80,"YYYYMMDD")))</f>
        <v>0</v>
      </c>
      <c r="U80" s="2" cm="1">
        <f t="array" ref="U80">IF(hp!U80=0,0,_xll.BDP(U$4,"YAS_BOND_YLD", "YAS_BOND_PX",hp!U80, "SETTLE_DT", TEXT(ya!$C80,"YYYYMMDD")))</f>
        <v>4.2252999999999998</v>
      </c>
      <c r="V80" s="2" cm="1">
        <f t="array" ref="V80">IF(hp!V80=0,0,_xll.BDP(V$4,"YAS_BOND_YLD", "YAS_BOND_PX",hp!V80, "SETTLE_DT", TEXT(ya!$C80,"YYYYMMDD")))</f>
        <v>0</v>
      </c>
      <c r="W80" s="2" cm="1">
        <f t="array" ref="W80">IF(hp!W80=0,0,_xll.BDP(W$4,"YAS_BOND_YLD", "YAS_BOND_PX",hp!W80, "SETTLE_DT", TEXT(ya!$C80,"YYYYMMDD")))</f>
        <v>0.2702</v>
      </c>
      <c r="X80" s="2" cm="1">
        <f t="array" ref="X80">IF(hp!X80=0,0,_xll.BDP(X$4,"YAS_BOND_YLD", "YAS_BOND_PX",hp!X80, "SETTLE_DT", TEXT(ya!$C80,"YYYYMMDD")))</f>
        <v>0</v>
      </c>
      <c r="Y80" s="2" cm="1">
        <f t="array" ref="Y80">IF(hp!Y80=0,0,_xll.BDP(Y$4,"YAS_BOND_YLD", "YAS_BOND_PX",hp!Y80, "SETTLE_DT", TEXT(ya!$C80,"YYYYMMDD")))</f>
        <v>0</v>
      </c>
      <c r="Z80" s="2" cm="1">
        <f t="array" ref="Z80">IF(hp!Z80=0,0,_xll.BDP(Z$4,"YAS_BOND_YLD", "YAS_BOND_PX",hp!Z80, "SETTLE_DT", TEXT(ya!$C80,"YYYYMMDD")))</f>
        <v>0.29039999999999999</v>
      </c>
      <c r="AA80" s="2" cm="1">
        <f t="array" ref="AA80">IF(hp!AA80=0,0,_xll.BDP(AA$4,"YAS_BOND_YLD", "YAS_BOND_PX",hp!AA80, "SETTLE_DT", TEXT(ya!$C80,"YYYYMMDD")))</f>
        <v>0</v>
      </c>
      <c r="AB80" s="2" cm="1">
        <f t="array" ref="AB80">IF(hp!AB80=0,0,_xll.BDP(AB$4,"YAS_BOND_YLD", "YAS_BOND_PX",hp!AB80, "SETTLE_DT", TEXT(ya!$C80,"YYYYMMDD")))</f>
        <v>0.316</v>
      </c>
      <c r="AC80" s="2" cm="1">
        <f t="array" ref="AC80">IF(hp!AC80=0,0,_xll.BDP(AC$4,"YAS_BOND_YLD", "YAS_BOND_PX",hp!AC80, "SETTLE_DT", TEXT(ya!$C80,"YYYYMMDD")))</f>
        <v>0</v>
      </c>
      <c r="AD80" s="2" cm="1">
        <f t="array" ref="AD80">IF(hp!AD80=0,0,_xll.BDP(AD$4,"YAS_BOND_YLD", "YAS_BOND_PX",hp!AD80, "SETTLE_DT", TEXT(ya!$C80,"YYYYMMDD")))</f>
        <v>4.4368999999999996</v>
      </c>
      <c r="AE80" s="2" cm="1">
        <f t="array" ref="AE80">IF(hp!AE80=0,0,_xll.BDP(AE$4,"YAS_BOND_YLD", "YAS_BOND_PX",hp!AE80, "SETTLE_DT", TEXT(ya!$C80,"YYYYMMDD")))</f>
        <v>0</v>
      </c>
      <c r="AF80" s="2" cm="1">
        <f t="array" ref="AF80">IF(hp!AF80=0,0,_xll.BDP(AF$4,"YAS_BOND_YLD", "YAS_BOND_PX",hp!AF80, "SETTLE_DT", TEXT(ya!$C80,"YYYYMMDD")))</f>
        <v>0</v>
      </c>
      <c r="AG80" s="2" cm="1">
        <f t="array" ref="AG80">IF(hp!AG80=0,0,_xll.BDP(AG$4,"YAS_BOND_YLD", "YAS_BOND_PX",hp!AG80, "SETTLE_DT", TEXT(ya!$C80,"YYYYMMDD")))</f>
        <v>0</v>
      </c>
      <c r="AH80" s="2" cm="1">
        <f t="array" ref="AH80">IF(hp!AH80=0,0,_xll.BDP(AH$4,"YAS_BOND_YLD", "YAS_BOND_PX",hp!AH80, "SETTLE_DT", TEXT(ya!$C80,"YYYYMMDD")))</f>
        <v>0</v>
      </c>
      <c r="AI80" s="2" cm="1">
        <f t="array" ref="AI80">IF(hp!AI80=0,0,_xll.BDP(AI$4,"YAS_BOND_YLD", "YAS_BOND_PX",hp!AI80, "SETTLE_DT", TEXT(ya!$C80,"YYYYMMDD")))</f>
        <v>0</v>
      </c>
      <c r="AJ80" s="2" cm="1">
        <f t="array" ref="AJ80">IF(hp!AJ80=0,0,_xll.BDP(AJ$4,"YAS_BOND_YLD", "YAS_BOND_PX",hp!AJ80, "SETTLE_DT", TEXT(ya!$C80,"YYYYMMDD")))</f>
        <v>0</v>
      </c>
      <c r="AK80" s="2" cm="1">
        <f t="array" ref="AK80">IF(hp!AK80=0,0,_xll.BDP(AK$4,"YAS_BOND_YLD", "YAS_BOND_PX",hp!AK80, "SETTLE_DT", TEXT(ya!$C80,"YYYYMMDD")))</f>
        <v>0</v>
      </c>
      <c r="AL80" s="2" cm="1">
        <f t="array" ref="AL80">IF(hp!AL80=0,0,_xll.BDP(AL$4,"YAS_BOND_YLD", "YAS_BOND_PX",hp!AL80, "SETTLE_DT", TEXT(ya!$C80,"YYYYMMDD")))</f>
        <v>0</v>
      </c>
      <c r="AM80" s="2" cm="1">
        <f t="array" ref="AM80">IF(hp!AM80=0,0,_xll.BDP(AM$4,"YAS_BOND_YLD", "YAS_BOND_PX",hp!AM80, "SETTLE_DT", TEXT(ya!$C80,"YYYYMMDD")))</f>
        <v>0</v>
      </c>
      <c r="AN80" s="2" cm="1">
        <f t="array" ref="AN80">IF(hp!AN80=0,0,_xll.BDP(AN$4,"YAS_BOND_YLD", "YAS_BOND_PX",hp!AN80, "SETTLE_DT", TEXT(ya!$C80,"YYYYMMDD")))</f>
        <v>0</v>
      </c>
      <c r="AO80" s="2" cm="1">
        <f t="array" ref="AO80">IF(hp!AO80=0,0,_xll.BDP(AO$4,"YAS_BOND_YLD", "YAS_BOND_PX",hp!AO80, "SETTLE_DT", TEXT(ya!$C80,"YYYYMMDD")))</f>
        <v>0</v>
      </c>
      <c r="AP80" s="2" cm="1">
        <f t="array" ref="AP80">IF(hp!AP80=0,0,_xll.BDP(AP$4,"YAS_BOND_YLD", "YAS_BOND_PX",hp!AP80, "SETTLE_DT", TEXT(ya!$C80,"YYYYMMDD")))</f>
        <v>0</v>
      </c>
      <c r="AQ80" s="2" cm="1">
        <f t="array" ref="AQ80">IF(hp!AQ80=0,0,_xll.BDP(AQ$4,"YAS_BOND_YLD", "YAS_BOND_PX",hp!AQ80, "SETTLE_DT", TEXT(ya!$C80,"YYYYMMDD")))</f>
        <v>0.29089999999999999</v>
      </c>
      <c r="AR80" s="2" cm="1">
        <f t="array" ref="AR80">IF(hp!AR80=0,0,_xll.BDP(AR$4,"YAS_BOND_YLD", "YAS_BOND_PX",hp!AR80, "SETTLE_DT", TEXT(ya!$C80,"YYYYMMDD")))</f>
        <v>3.5468000000000002</v>
      </c>
      <c r="AS80" s="2" cm="1">
        <f t="array" ref="AS80">IF(hp!AS80=0,0,_xll.BDP(AS$4,"YAS_BOND_YLD", "YAS_BOND_PX",hp!AS80, "SETTLE_DT", TEXT(ya!$C80,"YYYYMMDD")))</f>
        <v>0</v>
      </c>
      <c r="AT80" s="2" cm="1">
        <f t="array" ref="AT80">IF(hp!AT80=0,0,_xll.BDP(AT$4,"YAS_BOND_YLD", "YAS_BOND_PX",hp!AT80, "SETTLE_DT", TEXT(ya!$C80,"YYYYMMDD")))</f>
        <v>0</v>
      </c>
      <c r="AU80" s="2" cm="1">
        <f t="array" ref="AU80">IF(hp!AU80=0,0,_xll.BDP(AU$4,"YAS_BOND_YLD", "YAS_BOND_PX",hp!AU80, "SETTLE_DT", TEXT(ya!$C80,"YYYYMMDD")))</f>
        <v>0</v>
      </c>
      <c r="AV80" s="2" cm="1">
        <f t="array" ref="AV80">IF(hp!AV80=0,0,_xll.BDP(AV$4,"YAS_BOND_YLD", "YAS_BOND_PX",hp!AV80, "SETTLE_DT", TEXT(ya!$C80,"YYYYMMDD")))</f>
        <v>0</v>
      </c>
      <c r="AW80" s="2" cm="1">
        <f t="array" ref="AW80">IF(hp!AW80=0,0,_xll.BDP(AW$4,"YAS_BOND_YLD", "YAS_BOND_PX",hp!AW80, "SETTLE_DT", TEXT(ya!$C80,"YYYYMMDD")))</f>
        <v>0</v>
      </c>
      <c r="AX80" s="2" cm="1">
        <f t="array" ref="AX80">IF(hp!AX80=0,0,_xll.BDP(AX$4,"YAS_BOND_YLD", "YAS_BOND_PX",hp!AX80, "SETTLE_DT", TEXT(ya!$C80,"YYYYMMDD")))</f>
        <v>0</v>
      </c>
      <c r="AY80" s="2" cm="1">
        <f t="array" ref="AY80">IF(hp!AY80=0,0,_xll.BDP(AY$4,"YAS_BOND_YLD", "YAS_BOND_PX",hp!AY80, "SETTLE_DT", TEXT(ya!$C80,"YYYYMMDD")))</f>
        <v>0</v>
      </c>
      <c r="AZ80" s="2" cm="1">
        <f t="array" ref="AZ80">IF(hp!AZ80=0,0,_xll.BDP(AZ$4,"YAS_BOND_YLD", "YAS_BOND_PX",hp!AZ80, "SETTLE_DT", TEXT(ya!$C80,"YYYYMMDD")))</f>
        <v>0</v>
      </c>
    </row>
    <row r="81" spans="1:52" x14ac:dyDescent="0.25">
      <c r="A81" s="1"/>
      <c r="B81" s="2"/>
      <c r="C81" s="1">
        <v>44377</v>
      </c>
      <c r="D81" s="2" cm="1">
        <f t="array" ref="D81">IF(hp!D81=0,0,_xll.BDP(D$4,"YAS_BOND_YLD", "YAS_BOND_PX",hp!D81, "SETTLE_DT", TEXT(ya!$C81,"YYYYMMDD")))</f>
        <v>0</v>
      </c>
      <c r="E81" s="2" cm="1">
        <f t="array" ref="E81">IF(hp!E81=0,0,_xll.BDP(E$4,"YAS_BOND_YLD", "YAS_BOND_PX",hp!E81, "SETTLE_DT", TEXT(ya!$C81,"YYYYMMDD")))</f>
        <v>9.9154999999999998</v>
      </c>
      <c r="F81" s="2" cm="1">
        <f t="array" ref="F81">IF(hp!F81=0,0,_xll.BDP(F$4,"YAS_BOND_YLD", "YAS_BOND_PX",hp!F81, "SETTLE_DT", TEXT(ya!$C81,"YYYYMMDD")))</f>
        <v>9.7182999999999993</v>
      </c>
      <c r="G81" s="2" cm="1">
        <f t="array" ref="G81">IF(hp!G81=0,0,_xll.BDP(G$4,"YAS_BOND_YLD", "YAS_BOND_PX",hp!G81, "SETTLE_DT", TEXT(ya!$C81,"YYYYMMDD")))</f>
        <v>4.0871000000000004</v>
      </c>
      <c r="H81" s="2" cm="1">
        <f t="array" ref="H81">IF(hp!H81=0,0,_xll.BDP(H$4,"YAS_BOND_YLD", "YAS_BOND_PX",hp!H81, "SETTLE_DT", TEXT(ya!$C81,"YYYYMMDD")))</f>
        <v>9.7248999999999999</v>
      </c>
      <c r="I81" s="2" cm="1">
        <f t="array" ref="I81">IF(hp!I81=0,0,_xll.BDP(I$4,"YAS_BOND_YLD", "YAS_BOND_PX",hp!I81, "SETTLE_DT", TEXT(ya!$C81,"YYYYMMDD")))</f>
        <v>0</v>
      </c>
      <c r="J81" s="2" cm="1">
        <f t="array" ref="J81">IF(hp!J81=0,0,_xll.BDP(J$4,"YAS_BOND_YLD", "YAS_BOND_PX",hp!J81, "SETTLE_DT", TEXT(ya!$C81,"YYYYMMDD")))</f>
        <v>4.3840000000000003</v>
      </c>
      <c r="K81" s="2" cm="1">
        <f t="array" ref="K81">IF(hp!K81=0,0,_xll.BDP(K$4,"YAS_BOND_YLD", "YAS_BOND_PX",hp!K81, "SETTLE_DT", TEXT(ya!$C81,"YYYYMMDD")))</f>
        <v>0</v>
      </c>
      <c r="L81" s="2" cm="1">
        <f t="array" ref="L81">IF(hp!L81=0,0,_xll.BDP(L$4,"YAS_BOND_YLD", "YAS_BOND_PX",hp!L81, "SETTLE_DT", TEXT(ya!$C81,"YYYYMMDD")))</f>
        <v>4.0343999999999998</v>
      </c>
      <c r="M81" s="2" cm="1">
        <f t="array" ref="M81">IF(hp!M81=0,0,_xll.BDP(M$4,"YAS_BOND_YLD", "YAS_BOND_PX",hp!M81, "SETTLE_DT", TEXT(ya!$C81,"YYYYMMDD")))</f>
        <v>3.9127000000000001</v>
      </c>
      <c r="N81" s="2" cm="1">
        <f t="array" ref="N81">IF(hp!N81=0,0,_xll.BDP(N$4,"YAS_BOND_YLD", "YAS_BOND_PX",hp!N81, "SETTLE_DT", TEXT(ya!$C81,"YYYYMMDD")))</f>
        <v>3.6962999999999999</v>
      </c>
      <c r="O81" s="2" cm="1">
        <f t="array" ref="O81">IF(hp!O81=0,0,_xll.BDP(O$4,"YAS_BOND_YLD", "YAS_BOND_PX",hp!O81, "SETTLE_DT", TEXT(ya!$C81,"YYYYMMDD")))</f>
        <v>0</v>
      </c>
      <c r="P81" s="2" cm="1">
        <f t="array" ref="P81">IF(hp!P81=0,0,_xll.BDP(P$4,"YAS_BOND_YLD", "YAS_BOND_PX",hp!P81, "SETTLE_DT", TEXT(ya!$C81,"YYYYMMDD")))</f>
        <v>0</v>
      </c>
      <c r="Q81" s="2" cm="1">
        <f t="array" ref="Q81">IF(hp!Q81=0,0,_xll.BDP(Q$4,"YAS_BOND_YLD", "YAS_BOND_PX",hp!Q81, "SETTLE_DT", TEXT(ya!$C81,"YYYYMMDD")))</f>
        <v>4.3609</v>
      </c>
      <c r="R81" s="2" cm="1">
        <f t="array" ref="R81">IF(hp!R81=0,0,_xll.BDP(R$4,"YAS_BOND_YLD", "YAS_BOND_PX",hp!R81, "SETTLE_DT", TEXT(ya!$C81,"YYYYMMDD")))</f>
        <v>0</v>
      </c>
      <c r="S81" s="2" cm="1">
        <f t="array" ref="S81">IF(hp!S81=0,0,_xll.BDP(S$4,"YAS_BOND_YLD", "YAS_BOND_PX",hp!S81, "SETTLE_DT", TEXT(ya!$C81,"YYYYMMDD")))</f>
        <v>0</v>
      </c>
      <c r="T81" s="2" cm="1">
        <f t="array" ref="T81">IF(hp!T81=0,0,_xll.BDP(T$4,"YAS_BOND_YLD", "YAS_BOND_PX",hp!T81, "SETTLE_DT", TEXT(ya!$C81,"YYYYMMDD")))</f>
        <v>0</v>
      </c>
      <c r="U81" s="2" cm="1">
        <f t="array" ref="U81">IF(hp!U81=0,0,_xll.BDP(U$4,"YAS_BOND_YLD", "YAS_BOND_PX",hp!U81, "SETTLE_DT", TEXT(ya!$C81,"YYYYMMDD")))</f>
        <v>4.2645999999999997</v>
      </c>
      <c r="V81" s="2" cm="1">
        <f t="array" ref="V81">IF(hp!V81=0,0,_xll.BDP(V$4,"YAS_BOND_YLD", "YAS_BOND_PX",hp!V81, "SETTLE_DT", TEXT(ya!$C81,"YYYYMMDD")))</f>
        <v>0</v>
      </c>
      <c r="W81" s="2" cm="1">
        <f t="array" ref="W81">IF(hp!W81=0,0,_xll.BDP(W$4,"YAS_BOND_YLD", "YAS_BOND_PX",hp!W81, "SETTLE_DT", TEXT(ya!$C81,"YYYYMMDD")))</f>
        <v>0.26050000000000001</v>
      </c>
      <c r="X81" s="2" cm="1">
        <f t="array" ref="X81">IF(hp!X81=0,0,_xll.BDP(X$4,"YAS_BOND_YLD", "YAS_BOND_PX",hp!X81, "SETTLE_DT", TEXT(ya!$C81,"YYYYMMDD")))</f>
        <v>0</v>
      </c>
      <c r="Y81" s="2" cm="1">
        <f t="array" ref="Y81">IF(hp!Y81=0,0,_xll.BDP(Y$4,"YAS_BOND_YLD", "YAS_BOND_PX",hp!Y81, "SETTLE_DT", TEXT(ya!$C81,"YYYYMMDD")))</f>
        <v>0</v>
      </c>
      <c r="Z81" s="2" cm="1">
        <f t="array" ref="Z81">IF(hp!Z81=0,0,_xll.BDP(Z$4,"YAS_BOND_YLD", "YAS_BOND_PX",hp!Z81, "SETTLE_DT", TEXT(ya!$C81,"YYYYMMDD")))</f>
        <v>0.27379999999999999</v>
      </c>
      <c r="AA81" s="2" cm="1">
        <f t="array" ref="AA81">IF(hp!AA81=0,0,_xll.BDP(AA$4,"YAS_BOND_YLD", "YAS_BOND_PX",hp!AA81, "SETTLE_DT", TEXT(ya!$C81,"YYYYMMDD")))</f>
        <v>0</v>
      </c>
      <c r="AB81" s="2" cm="1">
        <f t="array" ref="AB81">IF(hp!AB81=0,0,_xll.BDP(AB$4,"YAS_BOND_YLD", "YAS_BOND_PX",hp!AB81, "SETTLE_DT", TEXT(ya!$C81,"YYYYMMDD")))</f>
        <v>0.29980000000000001</v>
      </c>
      <c r="AC81" s="2" cm="1">
        <f t="array" ref="AC81">IF(hp!AC81=0,0,_xll.BDP(AC$4,"YAS_BOND_YLD", "YAS_BOND_PX",hp!AC81, "SETTLE_DT", TEXT(ya!$C81,"YYYYMMDD")))</f>
        <v>0</v>
      </c>
      <c r="AD81" s="2" cm="1">
        <f t="array" ref="AD81">IF(hp!AD81=0,0,_xll.BDP(AD$4,"YAS_BOND_YLD", "YAS_BOND_PX",hp!AD81, "SETTLE_DT", TEXT(ya!$C81,"YYYYMMDD")))</f>
        <v>4.4292999999999996</v>
      </c>
      <c r="AE81" s="2" cm="1">
        <f t="array" ref="AE81">IF(hp!AE81=0,0,_xll.BDP(AE$4,"YAS_BOND_YLD", "YAS_BOND_PX",hp!AE81, "SETTLE_DT", TEXT(ya!$C81,"YYYYMMDD")))</f>
        <v>0</v>
      </c>
      <c r="AF81" s="2" cm="1">
        <f t="array" ref="AF81">IF(hp!AF81=0,0,_xll.BDP(AF$4,"YAS_BOND_YLD", "YAS_BOND_PX",hp!AF81, "SETTLE_DT", TEXT(ya!$C81,"YYYYMMDD")))</f>
        <v>0</v>
      </c>
      <c r="AG81" s="2" cm="1">
        <f t="array" ref="AG81">IF(hp!AG81=0,0,_xll.BDP(AG$4,"YAS_BOND_YLD", "YAS_BOND_PX",hp!AG81, "SETTLE_DT", TEXT(ya!$C81,"YYYYMMDD")))</f>
        <v>0</v>
      </c>
      <c r="AH81" s="2" cm="1">
        <f t="array" ref="AH81">IF(hp!AH81=0,0,_xll.BDP(AH$4,"YAS_BOND_YLD", "YAS_BOND_PX",hp!AH81, "SETTLE_DT", TEXT(ya!$C81,"YYYYMMDD")))</f>
        <v>0</v>
      </c>
      <c r="AI81" s="2" cm="1">
        <f t="array" ref="AI81">IF(hp!AI81=0,0,_xll.BDP(AI$4,"YAS_BOND_YLD", "YAS_BOND_PX",hp!AI81, "SETTLE_DT", TEXT(ya!$C81,"YYYYMMDD")))</f>
        <v>0</v>
      </c>
      <c r="AJ81" s="2" cm="1">
        <f t="array" ref="AJ81">IF(hp!AJ81=0,0,_xll.BDP(AJ$4,"YAS_BOND_YLD", "YAS_BOND_PX",hp!AJ81, "SETTLE_DT", TEXT(ya!$C81,"YYYYMMDD")))</f>
        <v>0</v>
      </c>
      <c r="AK81" s="2" cm="1">
        <f t="array" ref="AK81">IF(hp!AK81=0,0,_xll.BDP(AK$4,"YAS_BOND_YLD", "YAS_BOND_PX",hp!AK81, "SETTLE_DT", TEXT(ya!$C81,"YYYYMMDD")))</f>
        <v>0</v>
      </c>
      <c r="AL81" s="2" cm="1">
        <f t="array" ref="AL81">IF(hp!AL81=0,0,_xll.BDP(AL$4,"YAS_BOND_YLD", "YAS_BOND_PX",hp!AL81, "SETTLE_DT", TEXT(ya!$C81,"YYYYMMDD")))</f>
        <v>0</v>
      </c>
      <c r="AM81" s="2" cm="1">
        <f t="array" ref="AM81">IF(hp!AM81=0,0,_xll.BDP(AM$4,"YAS_BOND_YLD", "YAS_BOND_PX",hp!AM81, "SETTLE_DT", TEXT(ya!$C81,"YYYYMMDD")))</f>
        <v>0</v>
      </c>
      <c r="AN81" s="2" cm="1">
        <f t="array" ref="AN81">IF(hp!AN81=0,0,_xll.BDP(AN$4,"YAS_BOND_YLD", "YAS_BOND_PX",hp!AN81, "SETTLE_DT", TEXT(ya!$C81,"YYYYMMDD")))</f>
        <v>0</v>
      </c>
      <c r="AO81" s="2" cm="1">
        <f t="array" ref="AO81">IF(hp!AO81=0,0,_xll.BDP(AO$4,"YAS_BOND_YLD", "YAS_BOND_PX",hp!AO81, "SETTLE_DT", TEXT(ya!$C81,"YYYYMMDD")))</f>
        <v>0</v>
      </c>
      <c r="AP81" s="2" cm="1">
        <f t="array" ref="AP81">IF(hp!AP81=0,0,_xll.BDP(AP$4,"YAS_BOND_YLD", "YAS_BOND_PX",hp!AP81, "SETTLE_DT", TEXT(ya!$C81,"YYYYMMDD")))</f>
        <v>0</v>
      </c>
      <c r="AQ81" s="2" cm="1">
        <f t="array" ref="AQ81">IF(hp!AQ81=0,0,_xll.BDP(AQ$4,"YAS_BOND_YLD", "YAS_BOND_PX",hp!AQ81, "SETTLE_DT", TEXT(ya!$C81,"YYYYMMDD")))</f>
        <v>0.28029999999999999</v>
      </c>
      <c r="AR81" s="2" cm="1">
        <f t="array" ref="AR81">IF(hp!AR81=0,0,_xll.BDP(AR$4,"YAS_BOND_YLD", "YAS_BOND_PX",hp!AR81, "SETTLE_DT", TEXT(ya!$C81,"YYYYMMDD")))</f>
        <v>3.9710999999999999</v>
      </c>
      <c r="AS81" s="2" cm="1">
        <f t="array" ref="AS81">IF(hp!AS81=0,0,_xll.BDP(AS$4,"YAS_BOND_YLD", "YAS_BOND_PX",hp!AS81, "SETTLE_DT", TEXT(ya!$C81,"YYYYMMDD")))</f>
        <v>0</v>
      </c>
      <c r="AT81" s="2" cm="1">
        <f t="array" ref="AT81">IF(hp!AT81=0,0,_xll.BDP(AT$4,"YAS_BOND_YLD", "YAS_BOND_PX",hp!AT81, "SETTLE_DT", TEXT(ya!$C81,"YYYYMMDD")))</f>
        <v>0</v>
      </c>
      <c r="AU81" s="2" cm="1">
        <f t="array" ref="AU81">IF(hp!AU81=0,0,_xll.BDP(AU$4,"YAS_BOND_YLD", "YAS_BOND_PX",hp!AU81, "SETTLE_DT", TEXT(ya!$C81,"YYYYMMDD")))</f>
        <v>0</v>
      </c>
      <c r="AV81" s="2" cm="1">
        <f t="array" ref="AV81">IF(hp!AV81=0,0,_xll.BDP(AV$4,"YAS_BOND_YLD", "YAS_BOND_PX",hp!AV81, "SETTLE_DT", TEXT(ya!$C81,"YYYYMMDD")))</f>
        <v>0</v>
      </c>
      <c r="AW81" s="2" cm="1">
        <f t="array" ref="AW81">IF(hp!AW81=0,0,_xll.BDP(AW$4,"YAS_BOND_YLD", "YAS_BOND_PX",hp!AW81, "SETTLE_DT", TEXT(ya!$C81,"YYYYMMDD")))</f>
        <v>0</v>
      </c>
      <c r="AX81" s="2" cm="1">
        <f t="array" ref="AX81">IF(hp!AX81=0,0,_xll.BDP(AX$4,"YAS_BOND_YLD", "YAS_BOND_PX",hp!AX81, "SETTLE_DT", TEXT(ya!$C81,"YYYYMMDD")))</f>
        <v>0</v>
      </c>
      <c r="AY81" s="2" cm="1">
        <f t="array" ref="AY81">IF(hp!AY81=0,0,_xll.BDP(AY$4,"YAS_BOND_YLD", "YAS_BOND_PX",hp!AY81, "SETTLE_DT", TEXT(ya!$C81,"YYYYMMDD")))</f>
        <v>0</v>
      </c>
      <c r="AZ81" s="2" cm="1">
        <f t="array" ref="AZ81">IF(hp!AZ81=0,0,_xll.BDP(AZ$4,"YAS_BOND_YLD", "YAS_BOND_PX",hp!AZ81, "SETTLE_DT", TEXT(ya!$C81,"YYYYMMDD")))</f>
        <v>0</v>
      </c>
    </row>
    <row r="82" spans="1:52" x14ac:dyDescent="0.25">
      <c r="A82" s="1"/>
      <c r="B82" s="2"/>
      <c r="C82" s="1">
        <v>44407</v>
      </c>
      <c r="D82" s="2" cm="1">
        <f t="array" ref="D82">IF(hp!D82=0,0,_xll.BDP(D$4,"YAS_BOND_YLD", "YAS_BOND_PX",hp!D82, "SETTLE_DT", TEXT(ya!$C82,"YYYYMMDD")))</f>
        <v>0</v>
      </c>
      <c r="E82" s="2" cm="1">
        <f t="array" ref="E82">IF(hp!E82=0,0,_xll.BDP(E$4,"YAS_BOND_YLD", "YAS_BOND_PX",hp!E82, "SETTLE_DT", TEXT(ya!$C82,"YYYYMMDD")))</f>
        <v>9.5905000000000005</v>
      </c>
      <c r="F82" s="2" cm="1">
        <f t="array" ref="F82">IF(hp!F82=0,0,_xll.BDP(F$4,"YAS_BOND_YLD", "YAS_BOND_PX",hp!F82, "SETTLE_DT", TEXT(ya!$C82,"YYYYMMDD")))</f>
        <v>9.1173000000000002</v>
      </c>
      <c r="G82" s="2" cm="1">
        <f t="array" ref="G82">IF(hp!G82=0,0,_xll.BDP(G$4,"YAS_BOND_YLD", "YAS_BOND_PX",hp!G82, "SETTLE_DT", TEXT(ya!$C82,"YYYYMMDD")))</f>
        <v>4.3230000000000004</v>
      </c>
      <c r="H82" s="2" cm="1">
        <f t="array" ref="H82">IF(hp!H82=0,0,_xll.BDP(H$4,"YAS_BOND_YLD", "YAS_BOND_PX",hp!H82, "SETTLE_DT", TEXT(ya!$C82,"YYYYMMDD")))</f>
        <v>9.3126999999999995</v>
      </c>
      <c r="I82" s="2" cm="1">
        <f t="array" ref="I82">IF(hp!I82=0,0,_xll.BDP(I$4,"YAS_BOND_YLD", "YAS_BOND_PX",hp!I82, "SETTLE_DT", TEXT(ya!$C82,"YYYYMMDD")))</f>
        <v>0</v>
      </c>
      <c r="J82" s="2" cm="1">
        <f t="array" ref="J82">IF(hp!J82=0,0,_xll.BDP(J$4,"YAS_BOND_YLD", "YAS_BOND_PX",hp!J82, "SETTLE_DT", TEXT(ya!$C82,"YYYYMMDD")))</f>
        <v>4.5015999999999998</v>
      </c>
      <c r="K82" s="2" cm="1">
        <f t="array" ref="K82">IF(hp!K82=0,0,_xll.BDP(K$4,"YAS_BOND_YLD", "YAS_BOND_PX",hp!K82, "SETTLE_DT", TEXT(ya!$C82,"YYYYMMDD")))</f>
        <v>0</v>
      </c>
      <c r="L82" s="2" cm="1">
        <f t="array" ref="L82">IF(hp!L82=0,0,_xll.BDP(L$4,"YAS_BOND_YLD", "YAS_BOND_PX",hp!L82, "SETTLE_DT", TEXT(ya!$C82,"YYYYMMDD")))</f>
        <v>4.2720000000000002</v>
      </c>
      <c r="M82" s="2" cm="1">
        <f t="array" ref="M82">IF(hp!M82=0,0,_xll.BDP(M$4,"YAS_BOND_YLD", "YAS_BOND_PX",hp!M82, "SETTLE_DT", TEXT(ya!$C82,"YYYYMMDD")))</f>
        <v>4.2156000000000002</v>
      </c>
      <c r="N82" s="2" cm="1">
        <f t="array" ref="N82">IF(hp!N82=0,0,_xll.BDP(N$4,"YAS_BOND_YLD", "YAS_BOND_PX",hp!N82, "SETTLE_DT", TEXT(ya!$C82,"YYYYMMDD")))</f>
        <v>4.0288000000000004</v>
      </c>
      <c r="O82" s="2" cm="1">
        <f t="array" ref="O82">IF(hp!O82=0,0,_xll.BDP(O$4,"YAS_BOND_YLD", "YAS_BOND_PX",hp!O82, "SETTLE_DT", TEXT(ya!$C82,"YYYYMMDD")))</f>
        <v>0</v>
      </c>
      <c r="P82" s="2" cm="1">
        <f t="array" ref="P82">IF(hp!P82=0,0,_xll.BDP(P$4,"YAS_BOND_YLD", "YAS_BOND_PX",hp!P82, "SETTLE_DT", TEXT(ya!$C82,"YYYYMMDD")))</f>
        <v>0</v>
      </c>
      <c r="Q82" s="2" cm="1">
        <f t="array" ref="Q82">IF(hp!Q82=0,0,_xll.BDP(Q$4,"YAS_BOND_YLD", "YAS_BOND_PX",hp!Q82, "SETTLE_DT", TEXT(ya!$C82,"YYYYMMDD")))</f>
        <v>4.4818999999999996</v>
      </c>
      <c r="R82" s="2" cm="1">
        <f t="array" ref="R82">IF(hp!R82=0,0,_xll.BDP(R$4,"YAS_BOND_YLD", "YAS_BOND_PX",hp!R82, "SETTLE_DT", TEXT(ya!$C82,"YYYYMMDD")))</f>
        <v>0</v>
      </c>
      <c r="S82" s="2" cm="1">
        <f t="array" ref="S82">IF(hp!S82=0,0,_xll.BDP(S$4,"YAS_BOND_YLD", "YAS_BOND_PX",hp!S82, "SETTLE_DT", TEXT(ya!$C82,"YYYYMMDD")))</f>
        <v>0</v>
      </c>
      <c r="T82" s="2" cm="1">
        <f t="array" ref="T82">IF(hp!T82=0,0,_xll.BDP(T$4,"YAS_BOND_YLD", "YAS_BOND_PX",hp!T82, "SETTLE_DT", TEXT(ya!$C82,"YYYYMMDD")))</f>
        <v>0</v>
      </c>
      <c r="U82" s="2" cm="1">
        <f t="array" ref="U82">IF(hp!U82=0,0,_xll.BDP(U$4,"YAS_BOND_YLD", "YAS_BOND_PX",hp!U82, "SETTLE_DT", TEXT(ya!$C82,"YYYYMMDD")))</f>
        <v>4.4467999999999996</v>
      </c>
      <c r="V82" s="2" cm="1">
        <f t="array" ref="V82">IF(hp!V82=0,0,_xll.BDP(V$4,"YAS_BOND_YLD", "YAS_BOND_PX",hp!V82, "SETTLE_DT", TEXT(ya!$C82,"YYYYMMDD")))</f>
        <v>0</v>
      </c>
      <c r="W82" s="2" cm="1">
        <f t="array" ref="W82">IF(hp!W82=0,0,_xll.BDP(W$4,"YAS_BOND_YLD", "YAS_BOND_PX",hp!W82, "SETTLE_DT", TEXT(ya!$C82,"YYYYMMDD")))</f>
        <v>0.22409999999999999</v>
      </c>
      <c r="X82" s="2" cm="1">
        <f t="array" ref="X82">IF(hp!X82=0,0,_xll.BDP(X$4,"YAS_BOND_YLD", "YAS_BOND_PX",hp!X82, "SETTLE_DT", TEXT(ya!$C82,"YYYYMMDD")))</f>
        <v>0</v>
      </c>
      <c r="Y82" s="2" cm="1">
        <f t="array" ref="Y82">IF(hp!Y82=0,0,_xll.BDP(Y$4,"YAS_BOND_YLD", "YAS_BOND_PX",hp!Y82, "SETTLE_DT", TEXT(ya!$C82,"YYYYMMDD")))</f>
        <v>0</v>
      </c>
      <c r="Z82" s="2" cm="1">
        <f t="array" ref="Z82">IF(hp!Z82=0,0,_xll.BDP(Z$4,"YAS_BOND_YLD", "YAS_BOND_PX",hp!Z82, "SETTLE_DT", TEXT(ya!$C82,"YYYYMMDD")))</f>
        <v>0.24110000000000001</v>
      </c>
      <c r="AA82" s="2" cm="1">
        <f t="array" ref="AA82">IF(hp!AA82=0,0,_xll.BDP(AA$4,"YAS_BOND_YLD", "YAS_BOND_PX",hp!AA82, "SETTLE_DT", TEXT(ya!$C82,"YYYYMMDD")))</f>
        <v>0</v>
      </c>
      <c r="AB82" s="2" cm="1">
        <f t="array" ref="AB82">IF(hp!AB82=0,0,_xll.BDP(AB$4,"YAS_BOND_YLD", "YAS_BOND_PX",hp!AB82, "SETTLE_DT", TEXT(ya!$C82,"YYYYMMDD")))</f>
        <v>0.2656</v>
      </c>
      <c r="AC82" s="2" cm="1">
        <f t="array" ref="AC82">IF(hp!AC82=0,0,_xll.BDP(AC$4,"YAS_BOND_YLD", "YAS_BOND_PX",hp!AC82, "SETTLE_DT", TEXT(ya!$C82,"YYYYMMDD")))</f>
        <v>0</v>
      </c>
      <c r="AD82" s="2" cm="1">
        <f t="array" ref="AD82">IF(hp!AD82=0,0,_xll.BDP(AD$4,"YAS_BOND_YLD", "YAS_BOND_PX",hp!AD82, "SETTLE_DT", TEXT(ya!$C82,"YYYYMMDD")))</f>
        <v>4.5503</v>
      </c>
      <c r="AE82" s="2" cm="1">
        <f t="array" ref="AE82">IF(hp!AE82=0,0,_xll.BDP(AE$4,"YAS_BOND_YLD", "YAS_BOND_PX",hp!AE82, "SETTLE_DT", TEXT(ya!$C82,"YYYYMMDD")))</f>
        <v>0</v>
      </c>
      <c r="AF82" s="2" cm="1">
        <f t="array" ref="AF82">IF(hp!AF82=0,0,_xll.BDP(AF$4,"YAS_BOND_YLD", "YAS_BOND_PX",hp!AF82, "SETTLE_DT", TEXT(ya!$C82,"YYYYMMDD")))</f>
        <v>0</v>
      </c>
      <c r="AG82" s="2" cm="1">
        <f t="array" ref="AG82">IF(hp!AG82=0,0,_xll.BDP(AG$4,"YAS_BOND_YLD", "YAS_BOND_PX",hp!AG82, "SETTLE_DT", TEXT(ya!$C82,"YYYYMMDD")))</f>
        <v>0.31209999999999999</v>
      </c>
      <c r="AH82" s="2" cm="1">
        <f t="array" ref="AH82">IF(hp!AH82=0,0,_xll.BDP(AH$4,"YAS_BOND_YLD", "YAS_BOND_PX",hp!AH82, "SETTLE_DT", TEXT(ya!$C82,"YYYYMMDD")))</f>
        <v>0</v>
      </c>
      <c r="AI82" s="2" cm="1">
        <f t="array" ref="AI82">IF(hp!AI82=0,0,_xll.BDP(AI$4,"YAS_BOND_YLD", "YAS_BOND_PX",hp!AI82, "SETTLE_DT", TEXT(ya!$C82,"YYYYMMDD")))</f>
        <v>0</v>
      </c>
      <c r="AJ82" s="2" cm="1">
        <f t="array" ref="AJ82">IF(hp!AJ82=0,0,_xll.BDP(AJ$4,"YAS_BOND_YLD", "YAS_BOND_PX",hp!AJ82, "SETTLE_DT", TEXT(ya!$C82,"YYYYMMDD")))</f>
        <v>0</v>
      </c>
      <c r="AK82" s="2" cm="1">
        <f t="array" ref="AK82">IF(hp!AK82=0,0,_xll.BDP(AK$4,"YAS_BOND_YLD", "YAS_BOND_PX",hp!AK82, "SETTLE_DT", TEXT(ya!$C82,"YYYYMMDD")))</f>
        <v>0</v>
      </c>
      <c r="AL82" s="2" cm="1">
        <f t="array" ref="AL82">IF(hp!AL82=0,0,_xll.BDP(AL$4,"YAS_BOND_YLD", "YAS_BOND_PX",hp!AL82, "SETTLE_DT", TEXT(ya!$C82,"YYYYMMDD")))</f>
        <v>0</v>
      </c>
      <c r="AM82" s="2" cm="1">
        <f t="array" ref="AM82">IF(hp!AM82=0,0,_xll.BDP(AM$4,"YAS_BOND_YLD", "YAS_BOND_PX",hp!AM82, "SETTLE_DT", TEXT(ya!$C82,"YYYYMMDD")))</f>
        <v>0</v>
      </c>
      <c r="AN82" s="2" cm="1">
        <f t="array" ref="AN82">IF(hp!AN82=0,0,_xll.BDP(AN$4,"YAS_BOND_YLD", "YAS_BOND_PX",hp!AN82, "SETTLE_DT", TEXT(ya!$C82,"YYYYMMDD")))</f>
        <v>0</v>
      </c>
      <c r="AO82" s="2" cm="1">
        <f t="array" ref="AO82">IF(hp!AO82=0,0,_xll.BDP(AO$4,"YAS_BOND_YLD", "YAS_BOND_PX",hp!AO82, "SETTLE_DT", TEXT(ya!$C82,"YYYYMMDD")))</f>
        <v>0</v>
      </c>
      <c r="AP82" s="2" cm="1">
        <f t="array" ref="AP82">IF(hp!AP82=0,0,_xll.BDP(AP$4,"YAS_BOND_YLD", "YAS_BOND_PX",hp!AP82, "SETTLE_DT", TEXT(ya!$C82,"YYYYMMDD")))</f>
        <v>0</v>
      </c>
      <c r="AQ82" s="2" cm="1">
        <f t="array" ref="AQ82">IF(hp!AQ82=0,0,_xll.BDP(AQ$4,"YAS_BOND_YLD", "YAS_BOND_PX",hp!AQ82, "SETTLE_DT", TEXT(ya!$C82,"YYYYMMDD")))</f>
        <v>0.2402</v>
      </c>
      <c r="AR82" s="2" cm="1">
        <f t="array" ref="AR82">IF(hp!AR82=0,0,_xll.BDP(AR$4,"YAS_BOND_YLD", "YAS_BOND_PX",hp!AR82, "SETTLE_DT", TEXT(ya!$C82,"YYYYMMDD")))</f>
        <v>3.5467</v>
      </c>
      <c r="AS82" s="2" cm="1">
        <f t="array" ref="AS82">IF(hp!AS82=0,0,_xll.BDP(AS$4,"YAS_BOND_YLD", "YAS_BOND_PX",hp!AS82, "SETTLE_DT", TEXT(ya!$C82,"YYYYMMDD")))</f>
        <v>0</v>
      </c>
      <c r="AT82" s="2" cm="1">
        <f t="array" ref="AT82">IF(hp!AT82=0,0,_xll.BDP(AT$4,"YAS_BOND_YLD", "YAS_BOND_PX",hp!AT82, "SETTLE_DT", TEXT(ya!$C82,"YYYYMMDD")))</f>
        <v>0</v>
      </c>
      <c r="AU82" s="2" cm="1">
        <f t="array" ref="AU82">IF(hp!AU82=0,0,_xll.BDP(AU$4,"YAS_BOND_YLD", "YAS_BOND_PX",hp!AU82, "SETTLE_DT", TEXT(ya!$C82,"YYYYMMDD")))</f>
        <v>0</v>
      </c>
      <c r="AV82" s="2" cm="1">
        <f t="array" ref="AV82">IF(hp!AV82=0,0,_xll.BDP(AV$4,"YAS_BOND_YLD", "YAS_BOND_PX",hp!AV82, "SETTLE_DT", TEXT(ya!$C82,"YYYYMMDD")))</f>
        <v>0</v>
      </c>
      <c r="AW82" s="2" cm="1">
        <f t="array" ref="AW82">IF(hp!AW82=0,0,_xll.BDP(AW$4,"YAS_BOND_YLD", "YAS_BOND_PX",hp!AW82, "SETTLE_DT", TEXT(ya!$C82,"YYYYMMDD")))</f>
        <v>0</v>
      </c>
      <c r="AX82" s="2" cm="1">
        <f t="array" ref="AX82">IF(hp!AX82=0,0,_xll.BDP(AX$4,"YAS_BOND_YLD", "YAS_BOND_PX",hp!AX82, "SETTLE_DT", TEXT(ya!$C82,"YYYYMMDD")))</f>
        <v>0</v>
      </c>
      <c r="AY82" s="2" cm="1">
        <f t="array" ref="AY82">IF(hp!AY82=0,0,_xll.BDP(AY$4,"YAS_BOND_YLD", "YAS_BOND_PX",hp!AY82, "SETTLE_DT", TEXT(ya!$C82,"YYYYMMDD")))</f>
        <v>0</v>
      </c>
      <c r="AZ82" s="2" cm="1">
        <f t="array" ref="AZ82">IF(hp!AZ82=0,0,_xll.BDP(AZ$4,"YAS_BOND_YLD", "YAS_BOND_PX",hp!AZ82, "SETTLE_DT", TEXT(ya!$C82,"YYYYMMDD")))</f>
        <v>0</v>
      </c>
    </row>
    <row r="83" spans="1:52" x14ac:dyDescent="0.25">
      <c r="A83" s="1"/>
      <c r="B83" s="2"/>
      <c r="C83" s="1">
        <v>44439</v>
      </c>
      <c r="D83" s="2" cm="1">
        <f t="array" ref="D83">IF(hp!D83=0,0,_xll.BDP(D$4,"YAS_BOND_YLD", "YAS_BOND_PX",hp!D83, "SETTLE_DT", TEXT(ya!$C83,"YYYYMMDD")))</f>
        <v>0</v>
      </c>
      <c r="E83" s="2" cm="1">
        <f t="array" ref="E83">IF(hp!E83=0,0,_xll.BDP(E$4,"YAS_BOND_YLD", "YAS_BOND_PX",hp!E83, "SETTLE_DT", TEXT(ya!$C83,"YYYYMMDD")))</f>
        <v>10.5349</v>
      </c>
      <c r="F83" s="2" cm="1">
        <f t="array" ref="F83">IF(hp!F83=0,0,_xll.BDP(F$4,"YAS_BOND_YLD", "YAS_BOND_PX",hp!F83, "SETTLE_DT", TEXT(ya!$C83,"YYYYMMDD")))</f>
        <v>10.0488</v>
      </c>
      <c r="G83" s="2" cm="1">
        <f t="array" ref="G83">IF(hp!G83=0,0,_xll.BDP(G$4,"YAS_BOND_YLD", "YAS_BOND_PX",hp!G83, "SETTLE_DT", TEXT(ya!$C83,"YYYYMMDD")))</f>
        <v>4.6238999999999999</v>
      </c>
      <c r="H83" s="2" cm="1">
        <f t="array" ref="H83">IF(hp!H83=0,0,_xll.BDP(H$4,"YAS_BOND_YLD", "YAS_BOND_PX",hp!H83, "SETTLE_DT", TEXT(ya!$C83,"YYYYMMDD")))</f>
        <v>10.2385</v>
      </c>
      <c r="I83" s="2" cm="1">
        <f t="array" ref="I83">IF(hp!I83=0,0,_xll.BDP(I$4,"YAS_BOND_YLD", "YAS_BOND_PX",hp!I83, "SETTLE_DT", TEXT(ya!$C83,"YYYYMMDD")))</f>
        <v>0</v>
      </c>
      <c r="J83" s="2" cm="1">
        <f t="array" ref="J83">IF(hp!J83=0,0,_xll.BDP(J$4,"YAS_BOND_YLD", "YAS_BOND_PX",hp!J83, "SETTLE_DT", TEXT(ya!$C83,"YYYYMMDD")))</f>
        <v>4.8121999999999998</v>
      </c>
      <c r="K83" s="2" cm="1">
        <f t="array" ref="K83">IF(hp!K83=0,0,_xll.BDP(K$4,"YAS_BOND_YLD", "YAS_BOND_PX",hp!K83, "SETTLE_DT", TEXT(ya!$C83,"YYYYMMDD")))</f>
        <v>0</v>
      </c>
      <c r="L83" s="2" cm="1">
        <f t="array" ref="L83">IF(hp!L83=0,0,_xll.BDP(L$4,"YAS_BOND_YLD", "YAS_BOND_PX",hp!L83, "SETTLE_DT", TEXT(ya!$C83,"YYYYMMDD")))</f>
        <v>4.5808999999999997</v>
      </c>
      <c r="M83" s="2" cm="1">
        <f t="array" ref="M83">IF(hp!M83=0,0,_xll.BDP(M$4,"YAS_BOND_YLD", "YAS_BOND_PX",hp!M83, "SETTLE_DT", TEXT(ya!$C83,"YYYYMMDD")))</f>
        <v>4.5181000000000004</v>
      </c>
      <c r="N83" s="2" cm="1">
        <f t="array" ref="N83">IF(hp!N83=0,0,_xll.BDP(N$4,"YAS_BOND_YLD", "YAS_BOND_PX",hp!N83, "SETTLE_DT", TEXT(ya!$C83,"YYYYMMDD")))</f>
        <v>4.3864999999999998</v>
      </c>
      <c r="O83" s="2" cm="1">
        <f t="array" ref="O83">IF(hp!O83=0,0,_xll.BDP(O$4,"YAS_BOND_YLD", "YAS_BOND_PX",hp!O83, "SETTLE_DT", TEXT(ya!$C83,"YYYYMMDD")))</f>
        <v>0</v>
      </c>
      <c r="P83" s="2" cm="1">
        <f t="array" ref="P83">IF(hp!P83=0,0,_xll.BDP(P$4,"YAS_BOND_YLD", "YAS_BOND_PX",hp!P83, "SETTLE_DT", TEXT(ya!$C83,"YYYYMMDD")))</f>
        <v>0</v>
      </c>
      <c r="Q83" s="2" cm="1">
        <f t="array" ref="Q83">IF(hp!Q83=0,0,_xll.BDP(Q$4,"YAS_BOND_YLD", "YAS_BOND_PX",hp!Q83, "SETTLE_DT", TEXT(ya!$C83,"YYYYMMDD")))</f>
        <v>4.8027999999999995</v>
      </c>
      <c r="R83" s="2" cm="1">
        <f t="array" ref="R83">IF(hp!R83=0,0,_xll.BDP(R$4,"YAS_BOND_YLD", "YAS_BOND_PX",hp!R83, "SETTLE_DT", TEXT(ya!$C83,"YYYYMMDD")))</f>
        <v>0</v>
      </c>
      <c r="S83" s="2" cm="1">
        <f t="array" ref="S83">IF(hp!S83=0,0,_xll.BDP(S$4,"YAS_BOND_YLD", "YAS_BOND_PX",hp!S83, "SETTLE_DT", TEXT(ya!$C83,"YYYYMMDD")))</f>
        <v>0</v>
      </c>
      <c r="T83" s="2" cm="1">
        <f t="array" ref="T83">IF(hp!T83=0,0,_xll.BDP(T$4,"YAS_BOND_YLD", "YAS_BOND_PX",hp!T83, "SETTLE_DT", TEXT(ya!$C83,"YYYYMMDD")))</f>
        <v>0</v>
      </c>
      <c r="U83" s="2" cm="1">
        <f t="array" ref="U83">IF(hp!U83=0,0,_xll.BDP(U$4,"YAS_BOND_YLD", "YAS_BOND_PX",hp!U83, "SETTLE_DT", TEXT(ya!$C83,"YYYYMMDD")))</f>
        <v>4.7686000000000002</v>
      </c>
      <c r="V83" s="2" cm="1">
        <f t="array" ref="V83">IF(hp!V83=0,0,_xll.BDP(V$4,"YAS_BOND_YLD", "YAS_BOND_PX",hp!V83, "SETTLE_DT", TEXT(ya!$C83,"YYYYMMDD")))</f>
        <v>0</v>
      </c>
      <c r="W83" s="2" cm="1">
        <f t="array" ref="W83">IF(hp!W83=0,0,_xll.BDP(W$4,"YAS_BOND_YLD", "YAS_BOND_PX",hp!W83, "SETTLE_DT", TEXT(ya!$C83,"YYYYMMDD")))</f>
        <v>0.21390000000000001</v>
      </c>
      <c r="X83" s="2" cm="1">
        <f t="array" ref="X83">IF(hp!X83=0,0,_xll.BDP(X$4,"YAS_BOND_YLD", "YAS_BOND_PX",hp!X83, "SETTLE_DT", TEXT(ya!$C83,"YYYYMMDD")))</f>
        <v>0</v>
      </c>
      <c r="Y83" s="2" cm="1">
        <f t="array" ref="Y83">IF(hp!Y83=0,0,_xll.BDP(Y$4,"YAS_BOND_YLD", "YAS_BOND_PX",hp!Y83, "SETTLE_DT", TEXT(ya!$C83,"YYYYMMDD")))</f>
        <v>0</v>
      </c>
      <c r="Z83" s="2" cm="1">
        <f t="array" ref="Z83">IF(hp!Z83=0,0,_xll.BDP(Z$4,"YAS_BOND_YLD", "YAS_BOND_PX",hp!Z83, "SETTLE_DT", TEXT(ya!$C83,"YYYYMMDD")))</f>
        <v>0.2339</v>
      </c>
      <c r="AA83" s="2" cm="1">
        <f t="array" ref="AA83">IF(hp!AA83=0,0,_xll.BDP(AA$4,"YAS_BOND_YLD", "YAS_BOND_PX",hp!AA83, "SETTLE_DT", TEXT(ya!$C83,"YYYYMMDD")))</f>
        <v>0</v>
      </c>
      <c r="AB83" s="2" cm="1">
        <f t="array" ref="AB83">IF(hp!AB83=0,0,_xll.BDP(AB$4,"YAS_BOND_YLD", "YAS_BOND_PX",hp!AB83, "SETTLE_DT", TEXT(ya!$C83,"YYYYMMDD")))</f>
        <v>0.29749999999999999</v>
      </c>
      <c r="AC83" s="2" cm="1">
        <f t="array" ref="AC83">IF(hp!AC83=0,0,_xll.BDP(AC$4,"YAS_BOND_YLD", "YAS_BOND_PX",hp!AC83, "SETTLE_DT", TEXT(ya!$C83,"YYYYMMDD")))</f>
        <v>0</v>
      </c>
      <c r="AD83" s="2" cm="1">
        <f t="array" ref="AD83">IF(hp!AD83=0,0,_xll.BDP(AD$4,"YAS_BOND_YLD", "YAS_BOND_PX",hp!AD83, "SETTLE_DT", TEXT(ya!$C83,"YYYYMMDD")))</f>
        <v>4.8357000000000001</v>
      </c>
      <c r="AE83" s="2" cm="1">
        <f t="array" ref="AE83">IF(hp!AE83=0,0,_xll.BDP(AE$4,"YAS_BOND_YLD", "YAS_BOND_PX",hp!AE83, "SETTLE_DT", TEXT(ya!$C83,"YYYYMMDD")))</f>
        <v>0</v>
      </c>
      <c r="AF83" s="2" cm="1">
        <f t="array" ref="AF83">IF(hp!AF83=0,0,_xll.BDP(AF$4,"YAS_BOND_YLD", "YAS_BOND_PX",hp!AF83, "SETTLE_DT", TEXT(ya!$C83,"YYYYMMDD")))</f>
        <v>0</v>
      </c>
      <c r="AG83" s="2" cm="1">
        <f t="array" ref="AG83">IF(hp!AG83=0,0,_xll.BDP(AG$4,"YAS_BOND_YLD", "YAS_BOND_PX",hp!AG83, "SETTLE_DT", TEXT(ya!$C83,"YYYYMMDD")))</f>
        <v>0.3145</v>
      </c>
      <c r="AH83" s="2" cm="1">
        <f t="array" ref="AH83">IF(hp!AH83=0,0,_xll.BDP(AH$4,"YAS_BOND_YLD", "YAS_BOND_PX",hp!AH83, "SETTLE_DT", TEXT(ya!$C83,"YYYYMMDD")))</f>
        <v>0</v>
      </c>
      <c r="AI83" s="2" cm="1">
        <f t="array" ref="AI83">IF(hp!AI83=0,0,_xll.BDP(AI$4,"YAS_BOND_YLD", "YAS_BOND_PX",hp!AI83, "SETTLE_DT", TEXT(ya!$C83,"YYYYMMDD")))</f>
        <v>0</v>
      </c>
      <c r="AJ83" s="2" cm="1">
        <f t="array" ref="AJ83">IF(hp!AJ83=0,0,_xll.BDP(AJ$4,"YAS_BOND_YLD", "YAS_BOND_PX",hp!AJ83, "SETTLE_DT", TEXT(ya!$C83,"YYYYMMDD")))</f>
        <v>0</v>
      </c>
      <c r="AK83" s="2" cm="1">
        <f t="array" ref="AK83">IF(hp!AK83=0,0,_xll.BDP(AK$4,"YAS_BOND_YLD", "YAS_BOND_PX",hp!AK83, "SETTLE_DT", TEXT(ya!$C83,"YYYYMMDD")))</f>
        <v>0</v>
      </c>
      <c r="AL83" s="2" cm="1">
        <f t="array" ref="AL83">IF(hp!AL83=0,0,_xll.BDP(AL$4,"YAS_BOND_YLD", "YAS_BOND_PX",hp!AL83, "SETTLE_DT", TEXT(ya!$C83,"YYYYMMDD")))</f>
        <v>0</v>
      </c>
      <c r="AM83" s="2" cm="1">
        <f t="array" ref="AM83">IF(hp!AM83=0,0,_xll.BDP(AM$4,"YAS_BOND_YLD", "YAS_BOND_PX",hp!AM83, "SETTLE_DT", TEXT(ya!$C83,"YYYYMMDD")))</f>
        <v>0</v>
      </c>
      <c r="AN83" s="2" cm="1">
        <f t="array" ref="AN83">IF(hp!AN83=0,0,_xll.BDP(AN$4,"YAS_BOND_YLD", "YAS_BOND_PX",hp!AN83, "SETTLE_DT", TEXT(ya!$C83,"YYYYMMDD")))</f>
        <v>0</v>
      </c>
      <c r="AO83" s="2" cm="1">
        <f t="array" ref="AO83">IF(hp!AO83=0,0,_xll.BDP(AO$4,"YAS_BOND_YLD", "YAS_BOND_PX",hp!AO83, "SETTLE_DT", TEXT(ya!$C83,"YYYYMMDD")))</f>
        <v>0</v>
      </c>
      <c r="AP83" s="2" cm="1">
        <f t="array" ref="AP83">IF(hp!AP83=0,0,_xll.BDP(AP$4,"YAS_BOND_YLD", "YAS_BOND_PX",hp!AP83, "SETTLE_DT", TEXT(ya!$C83,"YYYYMMDD")))</f>
        <v>0</v>
      </c>
      <c r="AQ83" s="2" cm="1">
        <f t="array" ref="AQ83">IF(hp!AQ83=0,0,_xll.BDP(AQ$4,"YAS_BOND_YLD", "YAS_BOND_PX",hp!AQ83, "SETTLE_DT", TEXT(ya!$C83,"YYYYMMDD")))</f>
        <v>0.2364</v>
      </c>
      <c r="AR83" s="2" cm="1">
        <f t="array" ref="AR83">IF(hp!AR83=0,0,_xll.BDP(AR$4,"YAS_BOND_YLD", "YAS_BOND_PX",hp!AR83, "SETTLE_DT", TEXT(ya!$C83,"YYYYMMDD")))</f>
        <v>4.1562999999999999</v>
      </c>
      <c r="AS83" s="2" cm="1">
        <f t="array" ref="AS83">IF(hp!AS83=0,0,_xll.BDP(AS$4,"YAS_BOND_YLD", "YAS_BOND_PX",hp!AS83, "SETTLE_DT", TEXT(ya!$C83,"YYYYMMDD")))</f>
        <v>0</v>
      </c>
      <c r="AT83" s="2" cm="1">
        <f t="array" ref="AT83">IF(hp!AT83=0,0,_xll.BDP(AT$4,"YAS_BOND_YLD", "YAS_BOND_PX",hp!AT83, "SETTLE_DT", TEXT(ya!$C83,"YYYYMMDD")))</f>
        <v>0</v>
      </c>
      <c r="AU83" s="2" cm="1">
        <f t="array" ref="AU83">IF(hp!AU83=0,0,_xll.BDP(AU$4,"YAS_BOND_YLD", "YAS_BOND_PX",hp!AU83, "SETTLE_DT", TEXT(ya!$C83,"YYYYMMDD")))</f>
        <v>0</v>
      </c>
      <c r="AV83" s="2" cm="1">
        <f t="array" ref="AV83">IF(hp!AV83=0,0,_xll.BDP(AV$4,"YAS_BOND_YLD", "YAS_BOND_PX",hp!AV83, "SETTLE_DT", TEXT(ya!$C83,"YYYYMMDD")))</f>
        <v>0</v>
      </c>
      <c r="AW83" s="2" cm="1">
        <f t="array" ref="AW83">IF(hp!AW83=0,0,_xll.BDP(AW$4,"YAS_BOND_YLD", "YAS_BOND_PX",hp!AW83, "SETTLE_DT", TEXT(ya!$C83,"YYYYMMDD")))</f>
        <v>0</v>
      </c>
      <c r="AX83" s="2" cm="1">
        <f t="array" ref="AX83">IF(hp!AX83=0,0,_xll.BDP(AX$4,"YAS_BOND_YLD", "YAS_BOND_PX",hp!AX83, "SETTLE_DT", TEXT(ya!$C83,"YYYYMMDD")))</f>
        <v>0</v>
      </c>
      <c r="AY83" s="2" cm="1">
        <f t="array" ref="AY83">IF(hp!AY83=0,0,_xll.BDP(AY$4,"YAS_BOND_YLD", "YAS_BOND_PX",hp!AY83, "SETTLE_DT", TEXT(ya!$C83,"YYYYMMDD")))</f>
        <v>0</v>
      </c>
      <c r="AZ83" s="2" cm="1">
        <f t="array" ref="AZ83">IF(hp!AZ83=0,0,_xll.BDP(AZ$4,"YAS_BOND_YLD", "YAS_BOND_PX",hp!AZ83, "SETTLE_DT", TEXT(ya!$C83,"YYYYMMDD")))</f>
        <v>0</v>
      </c>
    </row>
    <row r="84" spans="1:52" x14ac:dyDescent="0.25">
      <c r="A84" s="1"/>
      <c r="B84" s="2"/>
      <c r="C84" s="1">
        <v>44469</v>
      </c>
      <c r="D84" s="2" cm="1">
        <f t="array" ref="D84">IF(hp!D84=0,0,_xll.BDP(D$4,"YAS_BOND_YLD", "YAS_BOND_PX",hp!D84, "SETTLE_DT", TEXT(ya!$C84,"YYYYMMDD")))</f>
        <v>0</v>
      </c>
      <c r="E84" s="2" cm="1">
        <f t="array" ref="E84">IF(hp!E84=0,0,_xll.BDP(E$4,"YAS_BOND_YLD", "YAS_BOND_PX",hp!E84, "SETTLE_DT", TEXT(ya!$C84,"YYYYMMDD")))</f>
        <v>11.151199999999999</v>
      </c>
      <c r="F84" s="2" cm="1">
        <f t="array" ref="F84">IF(hp!F84=0,0,_xll.BDP(F$4,"YAS_BOND_YLD", "YAS_BOND_PX",hp!F84, "SETTLE_DT", TEXT(ya!$C84,"YYYYMMDD")))</f>
        <v>10.674900000000001</v>
      </c>
      <c r="G84" s="2" cm="1">
        <f t="array" ref="G84">IF(hp!G84=0,0,_xll.BDP(G$4,"YAS_BOND_YLD", "YAS_BOND_PX",hp!G84, "SETTLE_DT", TEXT(ya!$C84,"YYYYMMDD")))</f>
        <v>4.9263000000000003</v>
      </c>
      <c r="H84" s="2" cm="1">
        <f t="array" ref="H84">IF(hp!H84=0,0,_xll.BDP(H$4,"YAS_BOND_YLD", "YAS_BOND_PX",hp!H84, "SETTLE_DT", TEXT(ya!$C84,"YYYYMMDD")))</f>
        <v>10.936999999999999</v>
      </c>
      <c r="I84" s="2" cm="1">
        <f t="array" ref="I84">IF(hp!I84=0,0,_xll.BDP(I$4,"YAS_BOND_YLD", "YAS_BOND_PX",hp!I84, "SETTLE_DT", TEXT(ya!$C84,"YYYYMMDD")))</f>
        <v>0</v>
      </c>
      <c r="J84" s="2" cm="1">
        <f t="array" ref="J84">IF(hp!J84=0,0,_xll.BDP(J$4,"YAS_BOND_YLD", "YAS_BOND_PX",hp!J84, "SETTLE_DT", TEXT(ya!$C84,"YYYYMMDD")))</f>
        <v>5.0407000000000002</v>
      </c>
      <c r="K84" s="2" cm="1">
        <f t="array" ref="K84">IF(hp!K84=0,0,_xll.BDP(K$4,"YAS_BOND_YLD", "YAS_BOND_PX",hp!K84, "SETTLE_DT", TEXT(ya!$C84,"YYYYMMDD")))</f>
        <v>0</v>
      </c>
      <c r="L84" s="2" cm="1">
        <f t="array" ref="L84">IF(hp!L84=0,0,_xll.BDP(L$4,"YAS_BOND_YLD", "YAS_BOND_PX",hp!L84, "SETTLE_DT", TEXT(ya!$C84,"YYYYMMDD")))</f>
        <v>4.8769</v>
      </c>
      <c r="M84" s="2" cm="1">
        <f t="array" ref="M84">IF(hp!M84=0,0,_xll.BDP(M$4,"YAS_BOND_YLD", "YAS_BOND_PX",hp!M84, "SETTLE_DT", TEXT(ya!$C84,"YYYYMMDD")))</f>
        <v>4.798</v>
      </c>
      <c r="N84" s="2" cm="1">
        <f t="array" ref="N84">IF(hp!N84=0,0,_xll.BDP(N$4,"YAS_BOND_YLD", "YAS_BOND_PX",hp!N84, "SETTLE_DT", TEXT(ya!$C84,"YYYYMMDD")))</f>
        <v>4.6378000000000004</v>
      </c>
      <c r="O84" s="2" cm="1">
        <f t="array" ref="O84">IF(hp!O84=0,0,_xll.BDP(O$4,"YAS_BOND_YLD", "YAS_BOND_PX",hp!O84, "SETTLE_DT", TEXT(ya!$C84,"YYYYMMDD")))</f>
        <v>0</v>
      </c>
      <c r="P84" s="2" cm="1">
        <f t="array" ref="P84">IF(hp!P84=0,0,_xll.BDP(P$4,"YAS_BOND_YLD", "YAS_BOND_PX",hp!P84, "SETTLE_DT", TEXT(ya!$C84,"YYYYMMDD")))</f>
        <v>0</v>
      </c>
      <c r="Q84" s="2" cm="1">
        <f t="array" ref="Q84">IF(hp!Q84=0,0,_xll.BDP(Q$4,"YAS_BOND_YLD", "YAS_BOND_PX",hp!Q84, "SETTLE_DT", TEXT(ya!$C84,"YYYYMMDD")))</f>
        <v>5.0235000000000003</v>
      </c>
      <c r="R84" s="2" cm="1">
        <f t="array" ref="R84">IF(hp!R84=0,0,_xll.BDP(R$4,"YAS_BOND_YLD", "YAS_BOND_PX",hp!R84, "SETTLE_DT", TEXT(ya!$C84,"YYYYMMDD")))</f>
        <v>0</v>
      </c>
      <c r="S84" s="2" cm="1">
        <f t="array" ref="S84">IF(hp!S84=0,0,_xll.BDP(S$4,"YAS_BOND_YLD", "YAS_BOND_PX",hp!S84, "SETTLE_DT", TEXT(ya!$C84,"YYYYMMDD")))</f>
        <v>0</v>
      </c>
      <c r="T84" s="2" cm="1">
        <f t="array" ref="T84">IF(hp!T84=0,0,_xll.BDP(T$4,"YAS_BOND_YLD", "YAS_BOND_PX",hp!T84, "SETTLE_DT", TEXT(ya!$C84,"YYYYMMDD")))</f>
        <v>0</v>
      </c>
      <c r="U84" s="2" cm="1">
        <f t="array" ref="U84">IF(hp!U84=0,0,_xll.BDP(U$4,"YAS_BOND_YLD", "YAS_BOND_PX",hp!U84, "SETTLE_DT", TEXT(ya!$C84,"YYYYMMDD")))</f>
        <v>5.0122999999999998</v>
      </c>
      <c r="V84" s="2" cm="1">
        <f t="array" ref="V84">IF(hp!V84=0,0,_xll.BDP(V$4,"YAS_BOND_YLD", "YAS_BOND_PX",hp!V84, "SETTLE_DT", TEXT(ya!$C84,"YYYYMMDD")))</f>
        <v>0</v>
      </c>
      <c r="W84" s="2" cm="1">
        <f t="array" ref="W84">IF(hp!W84=0,0,_xll.BDP(W$4,"YAS_BOND_YLD", "YAS_BOND_PX",hp!W84, "SETTLE_DT", TEXT(ya!$C84,"YYYYMMDD")))</f>
        <v>0.19839999999999999</v>
      </c>
      <c r="X84" s="2" cm="1">
        <f t="array" ref="X84">IF(hp!X84=0,0,_xll.BDP(X$4,"YAS_BOND_YLD", "YAS_BOND_PX",hp!X84, "SETTLE_DT", TEXT(ya!$C84,"YYYYMMDD")))</f>
        <v>0</v>
      </c>
      <c r="Y84" s="2" cm="1">
        <f t="array" ref="Y84">IF(hp!Y84=0,0,_xll.BDP(Y$4,"YAS_BOND_YLD", "YAS_BOND_PX",hp!Y84, "SETTLE_DT", TEXT(ya!$C84,"YYYYMMDD")))</f>
        <v>0</v>
      </c>
      <c r="Z84" s="2" cm="1">
        <f t="array" ref="Z84">IF(hp!Z84=0,0,_xll.BDP(Z$4,"YAS_BOND_YLD", "YAS_BOND_PX",hp!Z84, "SETTLE_DT", TEXT(ya!$C84,"YYYYMMDD")))</f>
        <v>0.22869999999999999</v>
      </c>
      <c r="AA84" s="2" cm="1">
        <f t="array" ref="AA84">IF(hp!AA84=0,0,_xll.BDP(AA$4,"YAS_BOND_YLD", "YAS_BOND_PX",hp!AA84, "SETTLE_DT", TEXT(ya!$C84,"YYYYMMDD")))</f>
        <v>0</v>
      </c>
      <c r="AB84" s="2" cm="1">
        <f t="array" ref="AB84">IF(hp!AB84=0,0,_xll.BDP(AB$4,"YAS_BOND_YLD", "YAS_BOND_PX",hp!AB84, "SETTLE_DT", TEXT(ya!$C84,"YYYYMMDD")))</f>
        <v>0.28000000000000003</v>
      </c>
      <c r="AC84" s="2" cm="1">
        <f t="array" ref="AC84">IF(hp!AC84=0,0,_xll.BDP(AC$4,"YAS_BOND_YLD", "YAS_BOND_PX",hp!AC84, "SETTLE_DT", TEXT(ya!$C84,"YYYYMMDD")))</f>
        <v>0</v>
      </c>
      <c r="AD84" s="2" cm="1">
        <f t="array" ref="AD84">IF(hp!AD84=0,0,_xll.BDP(AD$4,"YAS_BOND_YLD", "YAS_BOND_PX",hp!AD84, "SETTLE_DT", TEXT(ya!$C84,"YYYYMMDD")))</f>
        <v>5.0688000000000004</v>
      </c>
      <c r="AE84" s="2" cm="1">
        <f t="array" ref="AE84">IF(hp!AE84=0,0,_xll.BDP(AE$4,"YAS_BOND_YLD", "YAS_BOND_PX",hp!AE84, "SETTLE_DT", TEXT(ya!$C84,"YYYYMMDD")))</f>
        <v>0</v>
      </c>
      <c r="AF84" s="2" cm="1">
        <f t="array" ref="AF84">IF(hp!AF84=0,0,_xll.BDP(AF$4,"YAS_BOND_YLD", "YAS_BOND_PX",hp!AF84, "SETTLE_DT", TEXT(ya!$C84,"YYYYMMDD")))</f>
        <v>0</v>
      </c>
      <c r="AG84" s="2" cm="1">
        <f t="array" ref="AG84">IF(hp!AG84=0,0,_xll.BDP(AG$4,"YAS_BOND_YLD", "YAS_BOND_PX",hp!AG84, "SETTLE_DT", TEXT(ya!$C84,"YYYYMMDD")))</f>
        <v>0.3145</v>
      </c>
      <c r="AH84" s="2" cm="1">
        <f t="array" ref="AH84">IF(hp!AH84=0,0,_xll.BDP(AH$4,"YAS_BOND_YLD", "YAS_BOND_PX",hp!AH84, "SETTLE_DT", TEXT(ya!$C84,"YYYYMMDD")))</f>
        <v>0</v>
      </c>
      <c r="AI84" s="2" cm="1">
        <f t="array" ref="AI84">IF(hp!AI84=0,0,_xll.BDP(AI$4,"YAS_BOND_YLD", "YAS_BOND_PX",hp!AI84, "SETTLE_DT", TEXT(ya!$C84,"YYYYMMDD")))</f>
        <v>0</v>
      </c>
      <c r="AJ84" s="2" cm="1">
        <f t="array" ref="AJ84">IF(hp!AJ84=0,0,_xll.BDP(AJ$4,"YAS_BOND_YLD", "YAS_BOND_PX",hp!AJ84, "SETTLE_DT", TEXT(ya!$C84,"YYYYMMDD")))</f>
        <v>0</v>
      </c>
      <c r="AK84" s="2" cm="1">
        <f t="array" ref="AK84">IF(hp!AK84=0,0,_xll.BDP(AK$4,"YAS_BOND_YLD", "YAS_BOND_PX",hp!AK84, "SETTLE_DT", TEXT(ya!$C84,"YYYYMMDD")))</f>
        <v>0</v>
      </c>
      <c r="AL84" s="2" cm="1">
        <f t="array" ref="AL84">IF(hp!AL84=0,0,_xll.BDP(AL$4,"YAS_BOND_YLD", "YAS_BOND_PX",hp!AL84, "SETTLE_DT", TEXT(ya!$C84,"YYYYMMDD")))</f>
        <v>0</v>
      </c>
      <c r="AM84" s="2" cm="1">
        <f t="array" ref="AM84">IF(hp!AM84=0,0,_xll.BDP(AM$4,"YAS_BOND_YLD", "YAS_BOND_PX",hp!AM84, "SETTLE_DT", TEXT(ya!$C84,"YYYYMMDD")))</f>
        <v>0</v>
      </c>
      <c r="AN84" s="2" cm="1">
        <f t="array" ref="AN84">IF(hp!AN84=0,0,_xll.BDP(AN$4,"YAS_BOND_YLD", "YAS_BOND_PX",hp!AN84, "SETTLE_DT", TEXT(ya!$C84,"YYYYMMDD")))</f>
        <v>0</v>
      </c>
      <c r="AO84" s="2" cm="1">
        <f t="array" ref="AO84">IF(hp!AO84=0,0,_xll.BDP(AO$4,"YAS_BOND_YLD", "YAS_BOND_PX",hp!AO84, "SETTLE_DT", TEXT(ya!$C84,"YYYYMMDD")))</f>
        <v>0</v>
      </c>
      <c r="AP84" s="2" cm="1">
        <f t="array" ref="AP84">IF(hp!AP84=0,0,_xll.BDP(AP$4,"YAS_BOND_YLD", "YAS_BOND_PX",hp!AP84, "SETTLE_DT", TEXT(ya!$C84,"YYYYMMDD")))</f>
        <v>0</v>
      </c>
      <c r="AQ84" s="2" cm="1">
        <f t="array" ref="AQ84">IF(hp!AQ84=0,0,_xll.BDP(AQ$4,"YAS_BOND_YLD", "YAS_BOND_PX",hp!AQ84, "SETTLE_DT", TEXT(ya!$C84,"YYYYMMDD")))</f>
        <v>0.2296</v>
      </c>
      <c r="AR84" s="2" cm="1">
        <f t="array" ref="AR84">IF(hp!AR84=0,0,_xll.BDP(AR$4,"YAS_BOND_YLD", "YAS_BOND_PX",hp!AR84, "SETTLE_DT", TEXT(ya!$C84,"YYYYMMDD")))</f>
        <v>4.07</v>
      </c>
      <c r="AS84" s="2" cm="1">
        <f t="array" ref="AS84">IF(hp!AS84=0,0,_xll.BDP(AS$4,"YAS_BOND_YLD", "YAS_BOND_PX",hp!AS84, "SETTLE_DT", TEXT(ya!$C84,"YYYYMMDD")))</f>
        <v>0</v>
      </c>
      <c r="AT84" s="2" cm="1">
        <f t="array" ref="AT84">IF(hp!AT84=0,0,_xll.BDP(AT$4,"YAS_BOND_YLD", "YAS_BOND_PX",hp!AT84, "SETTLE_DT", TEXT(ya!$C84,"YYYYMMDD")))</f>
        <v>0</v>
      </c>
      <c r="AU84" s="2" cm="1">
        <f t="array" ref="AU84">IF(hp!AU84=0,0,_xll.BDP(AU$4,"YAS_BOND_YLD", "YAS_BOND_PX",hp!AU84, "SETTLE_DT", TEXT(ya!$C84,"YYYYMMDD")))</f>
        <v>0</v>
      </c>
      <c r="AV84" s="2" cm="1">
        <f t="array" ref="AV84">IF(hp!AV84=0,0,_xll.BDP(AV$4,"YAS_BOND_YLD", "YAS_BOND_PX",hp!AV84, "SETTLE_DT", TEXT(ya!$C84,"YYYYMMDD")))</f>
        <v>0</v>
      </c>
      <c r="AW84" s="2" cm="1">
        <f t="array" ref="AW84">IF(hp!AW84=0,0,_xll.BDP(AW$4,"YAS_BOND_YLD", "YAS_BOND_PX",hp!AW84, "SETTLE_DT", TEXT(ya!$C84,"YYYYMMDD")))</f>
        <v>0</v>
      </c>
      <c r="AX84" s="2" cm="1">
        <f t="array" ref="AX84">IF(hp!AX84=0,0,_xll.BDP(AX$4,"YAS_BOND_YLD", "YAS_BOND_PX",hp!AX84, "SETTLE_DT", TEXT(ya!$C84,"YYYYMMDD")))</f>
        <v>0</v>
      </c>
      <c r="AY84" s="2" cm="1">
        <f t="array" ref="AY84">IF(hp!AY84=0,0,_xll.BDP(AY$4,"YAS_BOND_YLD", "YAS_BOND_PX",hp!AY84, "SETTLE_DT", TEXT(ya!$C84,"YYYYMMDD")))</f>
        <v>0</v>
      </c>
      <c r="AZ84" s="2" cm="1">
        <f t="array" ref="AZ84">IF(hp!AZ84=0,0,_xll.BDP(AZ$4,"YAS_BOND_YLD", "YAS_BOND_PX",hp!AZ84, "SETTLE_DT", TEXT(ya!$C84,"YYYYMMDD")))</f>
        <v>0</v>
      </c>
    </row>
    <row r="85" spans="1:52" x14ac:dyDescent="0.25">
      <c r="A85" s="1"/>
      <c r="B85" s="2"/>
      <c r="C85" s="1">
        <v>44498</v>
      </c>
      <c r="D85" s="2" cm="1">
        <f t="array" ref="D85">IF(hp!D85=0,0,_xll.BDP(D$4,"YAS_BOND_YLD", "YAS_BOND_PX",hp!D85, "SETTLE_DT", TEXT(ya!$C85,"YYYYMMDD")))</f>
        <v>0</v>
      </c>
      <c r="E85" s="2" cm="1">
        <f t="array" ref="E85">IF(hp!E85=0,0,_xll.BDP(E$4,"YAS_BOND_YLD", "YAS_BOND_PX",hp!E85, "SETTLE_DT", TEXT(ya!$C85,"YYYYMMDD")))</f>
        <v>12.2164</v>
      </c>
      <c r="F85" s="2" cm="1">
        <f t="array" ref="F85">IF(hp!F85=0,0,_xll.BDP(F$4,"YAS_BOND_YLD", "YAS_BOND_PX",hp!F85, "SETTLE_DT", TEXT(ya!$C85,"YYYYMMDD")))</f>
        <v>12.148899999999999</v>
      </c>
      <c r="G85" s="2" cm="1">
        <f t="array" ref="G85">IF(hp!G85=0,0,_xll.BDP(G$4,"YAS_BOND_YLD", "YAS_BOND_PX",hp!G85, "SETTLE_DT", TEXT(ya!$C85,"YYYYMMDD")))</f>
        <v>5.4716000000000005</v>
      </c>
      <c r="H85" s="2" cm="1">
        <f t="array" ref="H85">IF(hp!H85=0,0,_xll.BDP(H$4,"YAS_BOND_YLD", "YAS_BOND_PX",hp!H85, "SETTLE_DT", TEXT(ya!$C85,"YYYYMMDD")))</f>
        <v>12.184100000000001</v>
      </c>
      <c r="I85" s="2" cm="1">
        <f t="array" ref="I85">IF(hp!I85=0,0,_xll.BDP(I$4,"YAS_BOND_YLD", "YAS_BOND_PX",hp!I85, "SETTLE_DT", TEXT(ya!$C85,"YYYYMMDD")))</f>
        <v>0</v>
      </c>
      <c r="J85" s="2" cm="1">
        <f t="array" ref="J85">IF(hp!J85=0,0,_xll.BDP(J$4,"YAS_BOND_YLD", "YAS_BOND_PX",hp!J85, "SETTLE_DT", TEXT(ya!$C85,"YYYYMMDD")))</f>
        <v>5.5004999999999997</v>
      </c>
      <c r="K85" s="2" cm="1">
        <f t="array" ref="K85">IF(hp!K85=0,0,_xll.BDP(K$4,"YAS_BOND_YLD", "YAS_BOND_PX",hp!K85, "SETTLE_DT", TEXT(ya!$C85,"YYYYMMDD")))</f>
        <v>0</v>
      </c>
      <c r="L85" s="2" cm="1">
        <f t="array" ref="L85">IF(hp!L85=0,0,_xll.BDP(L$4,"YAS_BOND_YLD", "YAS_BOND_PX",hp!L85, "SETTLE_DT", TEXT(ya!$C85,"YYYYMMDD")))</f>
        <v>5.4577</v>
      </c>
      <c r="M85" s="2" cm="1">
        <f t="array" ref="M85">IF(hp!M85=0,0,_xll.BDP(M$4,"YAS_BOND_YLD", "YAS_BOND_PX",hp!M85, "SETTLE_DT", TEXT(ya!$C85,"YYYYMMDD")))</f>
        <v>5.4469000000000003</v>
      </c>
      <c r="N85" s="2" cm="1">
        <f t="array" ref="N85">IF(hp!N85=0,0,_xll.BDP(N$4,"YAS_BOND_YLD", "YAS_BOND_PX",hp!N85, "SETTLE_DT", TEXT(ya!$C85,"YYYYMMDD")))</f>
        <v>5.4408000000000003</v>
      </c>
      <c r="O85" s="2" cm="1">
        <f t="array" ref="O85">IF(hp!O85=0,0,_xll.BDP(O$4,"YAS_BOND_YLD", "YAS_BOND_PX",hp!O85, "SETTLE_DT", TEXT(ya!$C85,"YYYYMMDD")))</f>
        <v>0</v>
      </c>
      <c r="P85" s="2" cm="1">
        <f t="array" ref="P85">IF(hp!P85=0,0,_xll.BDP(P$4,"YAS_BOND_YLD", "YAS_BOND_PX",hp!P85, "SETTLE_DT", TEXT(ya!$C85,"YYYYMMDD")))</f>
        <v>0</v>
      </c>
      <c r="Q85" s="2" cm="1">
        <f t="array" ref="Q85">IF(hp!Q85=0,0,_xll.BDP(Q$4,"YAS_BOND_YLD", "YAS_BOND_PX",hp!Q85, "SETTLE_DT", TEXT(ya!$C85,"YYYYMMDD")))</f>
        <v>5.4950000000000001</v>
      </c>
      <c r="R85" s="2" cm="1">
        <f t="array" ref="R85">IF(hp!R85=0,0,_xll.BDP(R$4,"YAS_BOND_YLD", "YAS_BOND_PX",hp!R85, "SETTLE_DT", TEXT(ya!$C85,"YYYYMMDD")))</f>
        <v>0</v>
      </c>
      <c r="S85" s="2" cm="1">
        <f t="array" ref="S85">IF(hp!S85=0,0,_xll.BDP(S$4,"YAS_BOND_YLD", "YAS_BOND_PX",hp!S85, "SETTLE_DT", TEXT(ya!$C85,"YYYYMMDD")))</f>
        <v>0</v>
      </c>
      <c r="T85" s="2" cm="1">
        <f t="array" ref="T85">IF(hp!T85=0,0,_xll.BDP(T$4,"YAS_BOND_YLD", "YAS_BOND_PX",hp!T85, "SETTLE_DT", TEXT(ya!$C85,"YYYYMMDD")))</f>
        <v>0</v>
      </c>
      <c r="U85" s="2" cm="1">
        <f t="array" ref="U85">IF(hp!U85=0,0,_xll.BDP(U$4,"YAS_BOND_YLD", "YAS_BOND_PX",hp!U85, "SETTLE_DT", TEXT(ya!$C85,"YYYYMMDD")))</f>
        <v>5.4786000000000001</v>
      </c>
      <c r="V85" s="2" cm="1">
        <f t="array" ref="V85">IF(hp!V85=0,0,_xll.BDP(V$4,"YAS_BOND_YLD", "YAS_BOND_PX",hp!V85, "SETTLE_DT", TEXT(ya!$C85,"YYYYMMDD")))</f>
        <v>0</v>
      </c>
      <c r="W85" s="2" cm="1">
        <f t="array" ref="W85">IF(hp!W85=0,0,_xll.BDP(W$4,"YAS_BOND_YLD", "YAS_BOND_PX",hp!W85, "SETTLE_DT", TEXT(ya!$C85,"YYYYMMDD")))</f>
        <v>0.16320000000000001</v>
      </c>
      <c r="X85" s="2" cm="1">
        <f t="array" ref="X85">IF(hp!X85=0,0,_xll.BDP(X$4,"YAS_BOND_YLD", "YAS_BOND_PX",hp!X85, "SETTLE_DT", TEXT(ya!$C85,"YYYYMMDD")))</f>
        <v>0</v>
      </c>
      <c r="Y85" s="2" cm="1">
        <f t="array" ref="Y85">IF(hp!Y85=0,0,_xll.BDP(Y$4,"YAS_BOND_YLD", "YAS_BOND_PX",hp!Y85, "SETTLE_DT", TEXT(ya!$C85,"YYYYMMDD")))</f>
        <v>0</v>
      </c>
      <c r="Z85" s="2" cm="1">
        <f t="array" ref="Z85">IF(hp!Z85=0,0,_xll.BDP(Z$4,"YAS_BOND_YLD", "YAS_BOND_PX",hp!Z85, "SETTLE_DT", TEXT(ya!$C85,"YYYYMMDD")))</f>
        <v>0.20910000000000001</v>
      </c>
      <c r="AA85" s="2" cm="1">
        <f t="array" ref="AA85">IF(hp!AA85=0,0,_xll.BDP(AA$4,"YAS_BOND_YLD", "YAS_BOND_PX",hp!AA85, "SETTLE_DT", TEXT(ya!$C85,"YYYYMMDD")))</f>
        <v>0</v>
      </c>
      <c r="AB85" s="2" cm="1">
        <f t="array" ref="AB85">IF(hp!AB85=0,0,_xll.BDP(AB$4,"YAS_BOND_YLD", "YAS_BOND_PX",hp!AB85, "SETTLE_DT", TEXT(ya!$C85,"YYYYMMDD")))</f>
        <v>0.25919999999999999</v>
      </c>
      <c r="AC85" s="2" cm="1">
        <f t="array" ref="AC85">IF(hp!AC85=0,0,_xll.BDP(AC$4,"YAS_BOND_YLD", "YAS_BOND_PX",hp!AC85, "SETTLE_DT", TEXT(ya!$C85,"YYYYMMDD")))</f>
        <v>0</v>
      </c>
      <c r="AD85" s="2" cm="1">
        <f t="array" ref="AD85">IF(hp!AD85=0,0,_xll.BDP(AD$4,"YAS_BOND_YLD", "YAS_BOND_PX",hp!AD85, "SETTLE_DT", TEXT(ya!$C85,"YYYYMMDD")))</f>
        <v>5.5118</v>
      </c>
      <c r="AE85" s="2" cm="1">
        <f t="array" ref="AE85">IF(hp!AE85=0,0,_xll.BDP(AE$4,"YAS_BOND_YLD", "YAS_BOND_PX",hp!AE85, "SETTLE_DT", TEXT(ya!$C85,"YYYYMMDD")))</f>
        <v>0</v>
      </c>
      <c r="AF85" s="2" cm="1">
        <f t="array" ref="AF85">IF(hp!AF85=0,0,_xll.BDP(AF$4,"YAS_BOND_YLD", "YAS_BOND_PX",hp!AF85, "SETTLE_DT", TEXT(ya!$C85,"YYYYMMDD")))</f>
        <v>0</v>
      </c>
      <c r="AG85" s="2" cm="1">
        <f t="array" ref="AG85">IF(hp!AG85=0,0,_xll.BDP(AG$4,"YAS_BOND_YLD", "YAS_BOND_PX",hp!AG85, "SETTLE_DT", TEXT(ya!$C85,"YYYYMMDD")))</f>
        <v>0.27950000000000003</v>
      </c>
      <c r="AH85" s="2" cm="1">
        <f t="array" ref="AH85">IF(hp!AH85=0,0,_xll.BDP(AH$4,"YAS_BOND_YLD", "YAS_BOND_PX",hp!AH85, "SETTLE_DT", TEXT(ya!$C85,"YYYYMMDD")))</f>
        <v>0</v>
      </c>
      <c r="AI85" s="2" cm="1">
        <f t="array" ref="AI85">IF(hp!AI85=0,0,_xll.BDP(AI$4,"YAS_BOND_YLD", "YAS_BOND_PX",hp!AI85, "SETTLE_DT", TEXT(ya!$C85,"YYYYMMDD")))</f>
        <v>0</v>
      </c>
      <c r="AJ85" s="2" cm="1">
        <f t="array" ref="AJ85">IF(hp!AJ85=0,0,_xll.BDP(AJ$4,"YAS_BOND_YLD", "YAS_BOND_PX",hp!AJ85, "SETTLE_DT", TEXT(ya!$C85,"YYYYMMDD")))</f>
        <v>0</v>
      </c>
      <c r="AK85" s="2" cm="1">
        <f t="array" ref="AK85">IF(hp!AK85=0,0,_xll.BDP(AK$4,"YAS_BOND_YLD", "YAS_BOND_PX",hp!AK85, "SETTLE_DT", TEXT(ya!$C85,"YYYYMMDD")))</f>
        <v>0</v>
      </c>
      <c r="AL85" s="2" cm="1">
        <f t="array" ref="AL85">IF(hp!AL85=0,0,_xll.BDP(AL$4,"YAS_BOND_YLD", "YAS_BOND_PX",hp!AL85, "SETTLE_DT", TEXT(ya!$C85,"YYYYMMDD")))</f>
        <v>0</v>
      </c>
      <c r="AM85" s="2" cm="1">
        <f t="array" ref="AM85">IF(hp!AM85=0,0,_xll.BDP(AM$4,"YAS_BOND_YLD", "YAS_BOND_PX",hp!AM85, "SETTLE_DT", TEXT(ya!$C85,"YYYYMMDD")))</f>
        <v>0</v>
      </c>
      <c r="AN85" s="2" cm="1">
        <f t="array" ref="AN85">IF(hp!AN85=0,0,_xll.BDP(AN$4,"YAS_BOND_YLD", "YAS_BOND_PX",hp!AN85, "SETTLE_DT", TEXT(ya!$C85,"YYYYMMDD")))</f>
        <v>0</v>
      </c>
      <c r="AO85" s="2" cm="1">
        <f t="array" ref="AO85">IF(hp!AO85=0,0,_xll.BDP(AO$4,"YAS_BOND_YLD", "YAS_BOND_PX",hp!AO85, "SETTLE_DT", TEXT(ya!$C85,"YYYYMMDD")))</f>
        <v>0</v>
      </c>
      <c r="AP85" s="2" cm="1">
        <f t="array" ref="AP85">IF(hp!AP85=0,0,_xll.BDP(AP$4,"YAS_BOND_YLD", "YAS_BOND_PX",hp!AP85, "SETTLE_DT", TEXT(ya!$C85,"YYYYMMDD")))</f>
        <v>0</v>
      </c>
      <c r="AQ85" s="2" cm="1">
        <f t="array" ref="AQ85">IF(hp!AQ85=0,0,_xll.BDP(AQ$4,"YAS_BOND_YLD", "YAS_BOND_PX",hp!AQ85, "SETTLE_DT", TEXT(ya!$C85,"YYYYMMDD")))</f>
        <v>0.2137</v>
      </c>
      <c r="AR85" s="2" cm="1">
        <f t="array" ref="AR85">IF(hp!AR85=0,0,_xll.BDP(AR$4,"YAS_BOND_YLD", "YAS_BOND_PX",hp!AR85, "SETTLE_DT", TEXT(ya!$C85,"YYYYMMDD")))</f>
        <v>4.4542000000000002</v>
      </c>
      <c r="AS85" s="2" cm="1">
        <f t="array" ref="AS85">IF(hp!AS85=0,0,_xll.BDP(AS$4,"YAS_BOND_YLD", "YAS_BOND_PX",hp!AS85, "SETTLE_DT", TEXT(ya!$C85,"YYYYMMDD")))</f>
        <v>0</v>
      </c>
      <c r="AT85" s="2" cm="1">
        <f t="array" ref="AT85">IF(hp!AT85=0,0,_xll.BDP(AT$4,"YAS_BOND_YLD", "YAS_BOND_PX",hp!AT85, "SETTLE_DT", TEXT(ya!$C85,"YYYYMMDD")))</f>
        <v>0</v>
      </c>
      <c r="AU85" s="2" cm="1">
        <f t="array" ref="AU85">IF(hp!AU85=0,0,_xll.BDP(AU$4,"YAS_BOND_YLD", "YAS_BOND_PX",hp!AU85, "SETTLE_DT", TEXT(ya!$C85,"YYYYMMDD")))</f>
        <v>0</v>
      </c>
      <c r="AV85" s="2" cm="1">
        <f t="array" ref="AV85">IF(hp!AV85=0,0,_xll.BDP(AV$4,"YAS_BOND_YLD", "YAS_BOND_PX",hp!AV85, "SETTLE_DT", TEXT(ya!$C85,"YYYYMMDD")))</f>
        <v>0</v>
      </c>
      <c r="AW85" s="2" cm="1">
        <f t="array" ref="AW85">IF(hp!AW85=0,0,_xll.BDP(AW$4,"YAS_BOND_YLD", "YAS_BOND_PX",hp!AW85, "SETTLE_DT", TEXT(ya!$C85,"YYYYMMDD")))</f>
        <v>0</v>
      </c>
      <c r="AX85" s="2" cm="1">
        <f t="array" ref="AX85">IF(hp!AX85=0,0,_xll.BDP(AX$4,"YAS_BOND_YLD", "YAS_BOND_PX",hp!AX85, "SETTLE_DT", TEXT(ya!$C85,"YYYYMMDD")))</f>
        <v>0</v>
      </c>
      <c r="AY85" s="2" cm="1">
        <f t="array" ref="AY85">IF(hp!AY85=0,0,_xll.BDP(AY$4,"YAS_BOND_YLD", "YAS_BOND_PX",hp!AY85, "SETTLE_DT", TEXT(ya!$C85,"YYYYMMDD")))</f>
        <v>0</v>
      </c>
      <c r="AZ85" s="2" cm="1">
        <f t="array" ref="AZ85">IF(hp!AZ85=0,0,_xll.BDP(AZ$4,"YAS_BOND_YLD", "YAS_BOND_PX",hp!AZ85, "SETTLE_DT", TEXT(ya!$C85,"YYYYMMDD")))</f>
        <v>0</v>
      </c>
    </row>
    <row r="86" spans="1:52" x14ac:dyDescent="0.25">
      <c r="A86" s="1"/>
      <c r="B86" s="2"/>
      <c r="C86" s="1">
        <v>44530</v>
      </c>
      <c r="D86" s="2" cm="1">
        <f t="array" ref="D86">IF(hp!D86=0,0,_xll.BDP(D$4,"YAS_BOND_YLD", "YAS_BOND_PX",hp!D86, "SETTLE_DT", TEXT(ya!$C86,"YYYYMMDD")))</f>
        <v>0</v>
      </c>
      <c r="E86" s="2" cm="1">
        <f t="array" ref="E86">IF(hp!E86=0,0,_xll.BDP(E$4,"YAS_BOND_YLD", "YAS_BOND_PX",hp!E86, "SETTLE_DT", TEXT(ya!$C86,"YYYYMMDD")))</f>
        <v>11.3971</v>
      </c>
      <c r="F86" s="2" cm="1">
        <f t="array" ref="F86">IF(hp!F86=0,0,_xll.BDP(F$4,"YAS_BOND_YLD", "YAS_BOND_PX",hp!F86, "SETTLE_DT", TEXT(ya!$C86,"YYYYMMDD")))</f>
        <v>11.3927</v>
      </c>
      <c r="G86" s="2" cm="1">
        <f t="array" ref="G86">IF(hp!G86=0,0,_xll.BDP(G$4,"YAS_BOND_YLD", "YAS_BOND_PX",hp!G86, "SETTLE_DT", TEXT(ya!$C86,"YYYYMMDD")))</f>
        <v>5.1353</v>
      </c>
      <c r="H86" s="2" cm="1">
        <f t="array" ref="H86">IF(hp!H86=0,0,_xll.BDP(H$4,"YAS_BOND_YLD", "YAS_BOND_PX",hp!H86, "SETTLE_DT", TEXT(ya!$C86,"YYYYMMDD")))</f>
        <v>11.3985</v>
      </c>
      <c r="I86" s="2" cm="1">
        <f t="array" ref="I86">IF(hp!I86=0,0,_xll.BDP(I$4,"YAS_BOND_YLD", "YAS_BOND_PX",hp!I86, "SETTLE_DT", TEXT(ya!$C86,"YYYYMMDD")))</f>
        <v>0</v>
      </c>
      <c r="J86" s="2" cm="1">
        <f t="array" ref="J86">IF(hp!J86=0,0,_xll.BDP(J$4,"YAS_BOND_YLD", "YAS_BOND_PX",hp!J86, "SETTLE_DT", TEXT(ya!$C86,"YYYYMMDD")))</f>
        <v>5.2964000000000002</v>
      </c>
      <c r="K86" s="2" cm="1">
        <f t="array" ref="K86">IF(hp!K86=0,0,_xll.BDP(K$4,"YAS_BOND_YLD", "YAS_BOND_PX",hp!K86, "SETTLE_DT", TEXT(ya!$C86,"YYYYMMDD")))</f>
        <v>0</v>
      </c>
      <c r="L86" s="2" cm="1">
        <f t="array" ref="L86">IF(hp!L86=0,0,_xll.BDP(L$4,"YAS_BOND_YLD", "YAS_BOND_PX",hp!L86, "SETTLE_DT", TEXT(ya!$C86,"YYYYMMDD")))</f>
        <v>5.1136999999999997</v>
      </c>
      <c r="M86" s="2" cm="1">
        <f t="array" ref="M86">IF(hp!M86=0,0,_xll.BDP(M$4,"YAS_BOND_YLD", "YAS_BOND_PX",hp!M86, "SETTLE_DT", TEXT(ya!$C86,"YYYYMMDD")))</f>
        <v>5.0884999999999998</v>
      </c>
      <c r="N86" s="2" cm="1">
        <f t="array" ref="N86">IF(hp!N86=0,0,_xll.BDP(N$4,"YAS_BOND_YLD", "YAS_BOND_PX",hp!N86, "SETTLE_DT", TEXT(ya!$C86,"YYYYMMDD")))</f>
        <v>5.04</v>
      </c>
      <c r="O86" s="2" cm="1">
        <f t="array" ref="O86">IF(hp!O86=0,0,_xll.BDP(O$4,"YAS_BOND_YLD", "YAS_BOND_PX",hp!O86, "SETTLE_DT", TEXT(ya!$C86,"YYYYMMDD")))</f>
        <v>0</v>
      </c>
      <c r="P86" s="2" cm="1">
        <f t="array" ref="P86">IF(hp!P86=0,0,_xll.BDP(P$4,"YAS_BOND_YLD", "YAS_BOND_PX",hp!P86, "SETTLE_DT", TEXT(ya!$C86,"YYYYMMDD")))</f>
        <v>0</v>
      </c>
      <c r="Q86" s="2" cm="1">
        <f t="array" ref="Q86">IF(hp!Q86=0,0,_xll.BDP(Q$4,"YAS_BOND_YLD", "YAS_BOND_PX",hp!Q86, "SETTLE_DT", TEXT(ya!$C86,"YYYYMMDD")))</f>
        <v>5.2683</v>
      </c>
      <c r="R86" s="2" cm="1">
        <f t="array" ref="R86">IF(hp!R86=0,0,_xll.BDP(R$4,"YAS_BOND_YLD", "YAS_BOND_PX",hp!R86, "SETTLE_DT", TEXT(ya!$C86,"YYYYMMDD")))</f>
        <v>0</v>
      </c>
      <c r="S86" s="2" cm="1">
        <f t="array" ref="S86">IF(hp!S86=0,0,_xll.BDP(S$4,"YAS_BOND_YLD", "YAS_BOND_PX",hp!S86, "SETTLE_DT", TEXT(ya!$C86,"YYYYMMDD")))</f>
        <v>0</v>
      </c>
      <c r="T86" s="2" cm="1">
        <f t="array" ref="T86">IF(hp!T86=0,0,_xll.BDP(T$4,"YAS_BOND_YLD", "YAS_BOND_PX",hp!T86, "SETTLE_DT", TEXT(ya!$C86,"YYYYMMDD")))</f>
        <v>0</v>
      </c>
      <c r="U86" s="2" cm="1">
        <f t="array" ref="U86">IF(hp!U86=0,0,_xll.BDP(U$4,"YAS_BOND_YLD", "YAS_BOND_PX",hp!U86, "SETTLE_DT", TEXT(ya!$C86,"YYYYMMDD")))</f>
        <v>5.2068000000000003</v>
      </c>
      <c r="V86" s="2" cm="1">
        <f t="array" ref="V86">IF(hp!V86=0,0,_xll.BDP(V$4,"YAS_BOND_YLD", "YAS_BOND_PX",hp!V86, "SETTLE_DT", TEXT(ya!$C86,"YYYYMMDD")))</f>
        <v>0</v>
      </c>
      <c r="W86" s="2" cm="1">
        <f t="array" ref="W86">IF(hp!W86=0,0,_xll.BDP(W$4,"YAS_BOND_YLD", "YAS_BOND_PX",hp!W86, "SETTLE_DT", TEXT(ya!$C86,"YYYYMMDD")))</f>
        <v>0.15670000000000001</v>
      </c>
      <c r="X86" s="2" cm="1">
        <f t="array" ref="X86">IF(hp!X86=0,0,_xll.BDP(X$4,"YAS_BOND_YLD", "YAS_BOND_PX",hp!X86, "SETTLE_DT", TEXT(ya!$C86,"YYYYMMDD")))</f>
        <v>0</v>
      </c>
      <c r="Y86" s="2" cm="1">
        <f t="array" ref="Y86">IF(hp!Y86=0,0,_xll.BDP(Y$4,"YAS_BOND_YLD", "YAS_BOND_PX",hp!Y86, "SETTLE_DT", TEXT(ya!$C86,"YYYYMMDD")))</f>
        <v>0</v>
      </c>
      <c r="Z86" s="2" cm="1">
        <f t="array" ref="Z86">IF(hp!Z86=0,0,_xll.BDP(Z$4,"YAS_BOND_YLD", "YAS_BOND_PX",hp!Z86, "SETTLE_DT", TEXT(ya!$C86,"YYYYMMDD")))</f>
        <v>0.19259999999999999</v>
      </c>
      <c r="AA86" s="2" cm="1">
        <f t="array" ref="AA86">IF(hp!AA86=0,0,_xll.BDP(AA$4,"YAS_BOND_YLD", "YAS_BOND_PX",hp!AA86, "SETTLE_DT", TEXT(ya!$C86,"YYYYMMDD")))</f>
        <v>0</v>
      </c>
      <c r="AB86" s="2" cm="1">
        <f t="array" ref="AB86">IF(hp!AB86=0,0,_xll.BDP(AB$4,"YAS_BOND_YLD", "YAS_BOND_PX",hp!AB86, "SETTLE_DT", TEXT(ya!$C86,"YYYYMMDD")))</f>
        <v>0.24310000000000001</v>
      </c>
      <c r="AC86" s="2" cm="1">
        <f t="array" ref="AC86">IF(hp!AC86=0,0,_xll.BDP(AC$4,"YAS_BOND_YLD", "YAS_BOND_PX",hp!AC86, "SETTLE_DT", TEXT(ya!$C86,"YYYYMMDD")))</f>
        <v>0</v>
      </c>
      <c r="AD86" s="2" cm="1">
        <f t="array" ref="AD86">IF(hp!AD86=0,0,_xll.BDP(AD$4,"YAS_BOND_YLD", "YAS_BOND_PX",hp!AD86, "SETTLE_DT", TEXT(ya!$C86,"YYYYMMDD")))</f>
        <v>5.3010999999999999</v>
      </c>
      <c r="AE86" s="2" cm="1">
        <f t="array" ref="AE86">IF(hp!AE86=0,0,_xll.BDP(AE$4,"YAS_BOND_YLD", "YAS_BOND_PX",hp!AE86, "SETTLE_DT", TEXT(ya!$C86,"YYYYMMDD")))</f>
        <v>0</v>
      </c>
      <c r="AF86" s="2" cm="1">
        <f t="array" ref="AF86">IF(hp!AF86=0,0,_xll.BDP(AF$4,"YAS_BOND_YLD", "YAS_BOND_PX",hp!AF86, "SETTLE_DT", TEXT(ya!$C86,"YYYYMMDD")))</f>
        <v>0</v>
      </c>
      <c r="AG86" s="2" cm="1">
        <f t="array" ref="AG86">IF(hp!AG86=0,0,_xll.BDP(AG$4,"YAS_BOND_YLD", "YAS_BOND_PX",hp!AG86, "SETTLE_DT", TEXT(ya!$C86,"YYYYMMDD")))</f>
        <v>0.2717</v>
      </c>
      <c r="AH86" s="2" cm="1">
        <f t="array" ref="AH86">IF(hp!AH86=0,0,_xll.BDP(AH$4,"YAS_BOND_YLD", "YAS_BOND_PX",hp!AH86, "SETTLE_DT", TEXT(ya!$C86,"YYYYMMDD")))</f>
        <v>0</v>
      </c>
      <c r="AI86" s="2" cm="1">
        <f t="array" ref="AI86">IF(hp!AI86=0,0,_xll.BDP(AI$4,"YAS_BOND_YLD", "YAS_BOND_PX",hp!AI86, "SETTLE_DT", TEXT(ya!$C86,"YYYYMMDD")))</f>
        <v>0</v>
      </c>
      <c r="AJ86" s="2" cm="1">
        <f t="array" ref="AJ86">IF(hp!AJ86=0,0,_xll.BDP(AJ$4,"YAS_BOND_YLD", "YAS_BOND_PX",hp!AJ86, "SETTLE_DT", TEXT(ya!$C86,"YYYYMMDD")))</f>
        <v>0</v>
      </c>
      <c r="AK86" s="2" cm="1">
        <f t="array" ref="AK86">IF(hp!AK86=0,0,_xll.BDP(AK$4,"YAS_BOND_YLD", "YAS_BOND_PX",hp!AK86, "SETTLE_DT", TEXT(ya!$C86,"YYYYMMDD")))</f>
        <v>0</v>
      </c>
      <c r="AL86" s="2" cm="1">
        <f t="array" ref="AL86">IF(hp!AL86=0,0,_xll.BDP(AL$4,"YAS_BOND_YLD", "YAS_BOND_PX",hp!AL86, "SETTLE_DT", TEXT(ya!$C86,"YYYYMMDD")))</f>
        <v>0</v>
      </c>
      <c r="AM86" s="2" cm="1">
        <f t="array" ref="AM86">IF(hp!AM86=0,0,_xll.BDP(AM$4,"YAS_BOND_YLD", "YAS_BOND_PX",hp!AM86, "SETTLE_DT", TEXT(ya!$C86,"YYYYMMDD")))</f>
        <v>0</v>
      </c>
      <c r="AN86" s="2" cm="1">
        <f t="array" ref="AN86">IF(hp!AN86=0,0,_xll.BDP(AN$4,"YAS_BOND_YLD", "YAS_BOND_PX",hp!AN86, "SETTLE_DT", TEXT(ya!$C86,"YYYYMMDD")))</f>
        <v>0</v>
      </c>
      <c r="AO86" s="2" cm="1">
        <f t="array" ref="AO86">IF(hp!AO86=0,0,_xll.BDP(AO$4,"YAS_BOND_YLD", "YAS_BOND_PX",hp!AO86, "SETTLE_DT", TEXT(ya!$C86,"YYYYMMDD")))</f>
        <v>0</v>
      </c>
      <c r="AP86" s="2" cm="1">
        <f t="array" ref="AP86">IF(hp!AP86=0,0,_xll.BDP(AP$4,"YAS_BOND_YLD", "YAS_BOND_PX",hp!AP86, "SETTLE_DT", TEXT(ya!$C86,"YYYYMMDD")))</f>
        <v>0</v>
      </c>
      <c r="AQ86" s="2" cm="1">
        <f t="array" ref="AQ86">IF(hp!AQ86=0,0,_xll.BDP(AQ$4,"YAS_BOND_YLD", "YAS_BOND_PX",hp!AQ86, "SETTLE_DT", TEXT(ya!$C86,"YYYYMMDD")))</f>
        <v>0.2021</v>
      </c>
      <c r="AR86" s="2" cm="1">
        <f t="array" ref="AR86">IF(hp!AR86=0,0,_xll.BDP(AR$4,"YAS_BOND_YLD", "YAS_BOND_PX",hp!AR86, "SETTLE_DT", TEXT(ya!$C86,"YYYYMMDD")))</f>
        <v>4.6733000000000002</v>
      </c>
      <c r="AS86" s="2" cm="1">
        <f t="array" ref="AS86">IF(hp!AS86=0,0,_xll.BDP(AS$4,"YAS_BOND_YLD", "YAS_BOND_PX",hp!AS86, "SETTLE_DT", TEXT(ya!$C86,"YYYYMMDD")))</f>
        <v>0</v>
      </c>
      <c r="AT86" s="2" cm="1">
        <f t="array" ref="AT86">IF(hp!AT86=0,0,_xll.BDP(AT$4,"YAS_BOND_YLD", "YAS_BOND_PX",hp!AT86, "SETTLE_DT", TEXT(ya!$C86,"YYYYMMDD")))</f>
        <v>0</v>
      </c>
      <c r="AU86" s="2" cm="1">
        <f t="array" ref="AU86">IF(hp!AU86=0,0,_xll.BDP(AU$4,"YAS_BOND_YLD", "YAS_BOND_PX",hp!AU86, "SETTLE_DT", TEXT(ya!$C86,"YYYYMMDD")))</f>
        <v>0</v>
      </c>
      <c r="AV86" s="2" cm="1">
        <f t="array" ref="AV86">IF(hp!AV86=0,0,_xll.BDP(AV$4,"YAS_BOND_YLD", "YAS_BOND_PX",hp!AV86, "SETTLE_DT", TEXT(ya!$C86,"YYYYMMDD")))</f>
        <v>0</v>
      </c>
      <c r="AW86" s="2" cm="1">
        <f t="array" ref="AW86">IF(hp!AW86=0,0,_xll.BDP(AW$4,"YAS_BOND_YLD", "YAS_BOND_PX",hp!AW86, "SETTLE_DT", TEXT(ya!$C86,"YYYYMMDD")))</f>
        <v>0</v>
      </c>
      <c r="AX86" s="2" cm="1">
        <f t="array" ref="AX86">IF(hp!AX86=0,0,_xll.BDP(AX$4,"YAS_BOND_YLD", "YAS_BOND_PX",hp!AX86, "SETTLE_DT", TEXT(ya!$C86,"YYYYMMDD")))</f>
        <v>0</v>
      </c>
      <c r="AY86" s="2" cm="1">
        <f t="array" ref="AY86">IF(hp!AY86=0,0,_xll.BDP(AY$4,"YAS_BOND_YLD", "YAS_BOND_PX",hp!AY86, "SETTLE_DT", TEXT(ya!$C86,"YYYYMMDD")))</f>
        <v>0</v>
      </c>
      <c r="AZ86" s="2" cm="1">
        <f t="array" ref="AZ86">IF(hp!AZ86=0,0,_xll.BDP(AZ$4,"YAS_BOND_YLD", "YAS_BOND_PX",hp!AZ86, "SETTLE_DT", TEXT(ya!$C86,"YYYYMMDD")))</f>
        <v>0</v>
      </c>
    </row>
    <row r="87" spans="1:52" x14ac:dyDescent="0.25">
      <c r="A87" s="1"/>
      <c r="B87" s="2"/>
      <c r="C87" s="1">
        <v>44561</v>
      </c>
      <c r="D87" s="2" cm="1">
        <f t="array" ref="D87">IF(hp!D87=0,0,_xll.BDP(D$4,"YAS_BOND_YLD", "YAS_BOND_PX",hp!D87, "SETTLE_DT", TEXT(ya!$C87,"YYYYMMDD")))</f>
        <v>0</v>
      </c>
      <c r="E87" s="2" cm="1">
        <f t="array" ref="E87">IF(hp!E87=0,0,_xll.BDP(E$4,"YAS_BOND_YLD", "YAS_BOND_PX",hp!E87, "SETTLE_DT", TEXT(ya!$C87,"YYYYMMDD")))</f>
        <v>12.411</v>
      </c>
      <c r="F87" s="2" cm="1">
        <f t="array" ref="F87">IF(hp!F87=0,0,_xll.BDP(F$4,"YAS_BOND_YLD", "YAS_BOND_PX",hp!F87, "SETTLE_DT", TEXT(ya!$C87,"YYYYMMDD")))</f>
        <v>12.8703</v>
      </c>
      <c r="G87" s="2" cm="1">
        <f t="array" ref="G87">IF(hp!G87=0,0,_xll.BDP(G$4,"YAS_BOND_YLD", "YAS_BOND_PX",hp!G87, "SETTLE_DT", TEXT(ya!$C87,"YYYYMMDD")))</f>
        <v>5.1569000000000003</v>
      </c>
      <c r="H87" s="2" cm="1">
        <f t="array" ref="H87">IF(hp!H87=0,0,_xll.BDP(H$4,"YAS_BOND_YLD", "YAS_BOND_PX",hp!H87, "SETTLE_DT", TEXT(ya!$C87,"YYYYMMDD")))</f>
        <v>12.583600000000001</v>
      </c>
      <c r="I87" s="2" cm="1">
        <f t="array" ref="I87">IF(hp!I87=0,0,_xll.BDP(I$4,"YAS_BOND_YLD", "YAS_BOND_PX",hp!I87, "SETTLE_DT", TEXT(ya!$C87,"YYYYMMDD")))</f>
        <v>0</v>
      </c>
      <c r="J87" s="2" cm="1">
        <f t="array" ref="J87">IF(hp!J87=0,0,_xll.BDP(J$4,"YAS_BOND_YLD", "YAS_BOND_PX",hp!J87, "SETTLE_DT", TEXT(ya!$C87,"YYYYMMDD")))</f>
        <v>5.3184000000000005</v>
      </c>
      <c r="K87" s="2" cm="1">
        <f t="array" ref="K87">IF(hp!K87=0,0,_xll.BDP(K$4,"YAS_BOND_YLD", "YAS_BOND_PX",hp!K87, "SETTLE_DT", TEXT(ya!$C87,"YYYYMMDD")))</f>
        <v>0</v>
      </c>
      <c r="L87" s="2" cm="1">
        <f t="array" ref="L87">IF(hp!L87=0,0,_xll.BDP(L$4,"YAS_BOND_YLD", "YAS_BOND_PX",hp!L87, "SETTLE_DT", TEXT(ya!$C87,"YYYYMMDD")))</f>
        <v>5.1311</v>
      </c>
      <c r="M87" s="2" cm="1">
        <f t="array" ref="M87">IF(hp!M87=0,0,_xll.BDP(M$4,"YAS_BOND_YLD", "YAS_BOND_PX",hp!M87, "SETTLE_DT", TEXT(ya!$C87,"YYYYMMDD")))</f>
        <v>5.1071</v>
      </c>
      <c r="N87" s="2" cm="1">
        <f t="array" ref="N87">IF(hp!N87=0,0,_xll.BDP(N$4,"YAS_BOND_YLD", "YAS_BOND_PX",hp!N87, "SETTLE_DT", TEXT(ya!$C87,"YYYYMMDD")))</f>
        <v>5.0606999999999998</v>
      </c>
      <c r="O87" s="2" cm="1">
        <f t="array" ref="O87">IF(hp!O87=0,0,_xll.BDP(O$4,"YAS_BOND_YLD", "YAS_BOND_PX",hp!O87, "SETTLE_DT", TEXT(ya!$C87,"YYYYMMDD")))</f>
        <v>0</v>
      </c>
      <c r="P87" s="2" cm="1">
        <f t="array" ref="P87">IF(hp!P87=0,0,_xll.BDP(P$4,"YAS_BOND_YLD", "YAS_BOND_PX",hp!P87, "SETTLE_DT", TEXT(ya!$C87,"YYYYMMDD")))</f>
        <v>0</v>
      </c>
      <c r="Q87" s="2" cm="1">
        <f t="array" ref="Q87">IF(hp!Q87=0,0,_xll.BDP(Q$4,"YAS_BOND_YLD", "YAS_BOND_PX",hp!Q87, "SETTLE_DT", TEXT(ya!$C87,"YYYYMMDD")))</f>
        <v>5.2892000000000001</v>
      </c>
      <c r="R87" s="2" cm="1">
        <f t="array" ref="R87">IF(hp!R87=0,0,_xll.BDP(R$4,"YAS_BOND_YLD", "YAS_BOND_PX",hp!R87, "SETTLE_DT", TEXT(ya!$C87,"YYYYMMDD")))</f>
        <v>0</v>
      </c>
      <c r="S87" s="2" cm="1">
        <f t="array" ref="S87">IF(hp!S87=0,0,_xll.BDP(S$4,"YAS_BOND_YLD", "YAS_BOND_PX",hp!S87, "SETTLE_DT", TEXT(ya!$C87,"YYYYMMDD")))</f>
        <v>0</v>
      </c>
      <c r="T87" s="2" cm="1">
        <f t="array" ref="T87">IF(hp!T87=0,0,_xll.BDP(T$4,"YAS_BOND_YLD", "YAS_BOND_PX",hp!T87, "SETTLE_DT", TEXT(ya!$C87,"YYYYMMDD")))</f>
        <v>0</v>
      </c>
      <c r="U87" s="2" cm="1">
        <f t="array" ref="U87">IF(hp!U87=0,0,_xll.BDP(U$4,"YAS_BOND_YLD", "YAS_BOND_PX",hp!U87, "SETTLE_DT", TEXT(ya!$C87,"YYYYMMDD")))</f>
        <v>5.2309000000000001</v>
      </c>
      <c r="V87" s="2" cm="1">
        <f t="array" ref="V87">IF(hp!V87=0,0,_xll.BDP(V$4,"YAS_BOND_YLD", "YAS_BOND_PX",hp!V87, "SETTLE_DT", TEXT(ya!$C87,"YYYYMMDD")))</f>
        <v>0</v>
      </c>
      <c r="W87" s="2" cm="1">
        <f t="array" ref="W87">IF(hp!W87=0,0,_xll.BDP(W$4,"YAS_BOND_YLD", "YAS_BOND_PX",hp!W87, "SETTLE_DT", TEXT(ya!$C87,"YYYYMMDD")))</f>
        <v>0.16320000000000001</v>
      </c>
      <c r="X87" s="2" cm="1">
        <f t="array" ref="X87">IF(hp!X87=0,0,_xll.BDP(X$4,"YAS_BOND_YLD", "YAS_BOND_PX",hp!X87, "SETTLE_DT", TEXT(ya!$C87,"YYYYMMDD")))</f>
        <v>0</v>
      </c>
      <c r="Y87" s="2" cm="1">
        <f t="array" ref="Y87">IF(hp!Y87=0,0,_xll.BDP(Y$4,"YAS_BOND_YLD", "YAS_BOND_PX",hp!Y87, "SETTLE_DT", TEXT(ya!$C87,"YYYYMMDD")))</f>
        <v>0</v>
      </c>
      <c r="Z87" s="2" cm="1">
        <f t="array" ref="Z87">IF(hp!Z87=0,0,_xll.BDP(Z$4,"YAS_BOND_YLD", "YAS_BOND_PX",hp!Z87, "SETTLE_DT", TEXT(ya!$C87,"YYYYMMDD")))</f>
        <v>0.1991</v>
      </c>
      <c r="AA87" s="2" cm="1">
        <f t="array" ref="AA87">IF(hp!AA87=0,0,_xll.BDP(AA$4,"YAS_BOND_YLD", "YAS_BOND_PX",hp!AA87, "SETTLE_DT", TEXT(ya!$C87,"YYYYMMDD")))</f>
        <v>0</v>
      </c>
      <c r="AB87" s="2" cm="1">
        <f t="array" ref="AB87">IF(hp!AB87=0,0,_xll.BDP(AB$4,"YAS_BOND_YLD", "YAS_BOND_PX",hp!AB87, "SETTLE_DT", TEXT(ya!$C87,"YYYYMMDD")))</f>
        <v>0.24890000000000001</v>
      </c>
      <c r="AC87" s="2" cm="1">
        <f t="array" ref="AC87">IF(hp!AC87=0,0,_xll.BDP(AC$4,"YAS_BOND_YLD", "YAS_BOND_PX",hp!AC87, "SETTLE_DT", TEXT(ya!$C87,"YYYYMMDD")))</f>
        <v>0</v>
      </c>
      <c r="AD87" s="2" cm="1">
        <f t="array" ref="AD87">IF(hp!AD87=0,0,_xll.BDP(AD$4,"YAS_BOND_YLD", "YAS_BOND_PX",hp!AD87, "SETTLE_DT", TEXT(ya!$C87,"YYYYMMDD")))</f>
        <v>5.3266</v>
      </c>
      <c r="AE87" s="2" cm="1">
        <f t="array" ref="AE87">IF(hp!AE87=0,0,_xll.BDP(AE$4,"YAS_BOND_YLD", "YAS_BOND_PX",hp!AE87, "SETTLE_DT", TEXT(ya!$C87,"YYYYMMDD")))</f>
        <v>0</v>
      </c>
      <c r="AF87" s="2" cm="1">
        <f t="array" ref="AF87">IF(hp!AF87=0,0,_xll.BDP(AF$4,"YAS_BOND_YLD", "YAS_BOND_PX",hp!AF87, "SETTLE_DT", TEXT(ya!$C87,"YYYYMMDD")))</f>
        <v>0</v>
      </c>
      <c r="AG87" s="2" cm="1">
        <f t="array" ref="AG87">IF(hp!AG87=0,0,_xll.BDP(AG$4,"YAS_BOND_YLD", "YAS_BOND_PX",hp!AG87, "SETTLE_DT", TEXT(ya!$C87,"YYYYMMDD")))</f>
        <v>0.27500000000000002</v>
      </c>
      <c r="AH87" s="2" cm="1">
        <f t="array" ref="AH87">IF(hp!AH87=0,0,_xll.BDP(AH$4,"YAS_BOND_YLD", "YAS_BOND_PX",hp!AH87, "SETTLE_DT", TEXT(ya!$C87,"YYYYMMDD")))</f>
        <v>0</v>
      </c>
      <c r="AI87" s="2" cm="1">
        <f t="array" ref="AI87">IF(hp!AI87=0,0,_xll.BDP(AI$4,"YAS_BOND_YLD", "YAS_BOND_PX",hp!AI87, "SETTLE_DT", TEXT(ya!$C87,"YYYYMMDD")))</f>
        <v>0</v>
      </c>
      <c r="AJ87" s="2" cm="1">
        <f t="array" ref="AJ87">IF(hp!AJ87=0,0,_xll.BDP(AJ$4,"YAS_BOND_YLD", "YAS_BOND_PX",hp!AJ87, "SETTLE_DT", TEXT(ya!$C87,"YYYYMMDD")))</f>
        <v>0</v>
      </c>
      <c r="AK87" s="2" cm="1">
        <f t="array" ref="AK87">IF(hp!AK87=0,0,_xll.BDP(AK$4,"YAS_BOND_YLD", "YAS_BOND_PX",hp!AK87, "SETTLE_DT", TEXT(ya!$C87,"YYYYMMDD")))</f>
        <v>0</v>
      </c>
      <c r="AL87" s="2" cm="1">
        <f t="array" ref="AL87">IF(hp!AL87=0,0,_xll.BDP(AL$4,"YAS_BOND_YLD", "YAS_BOND_PX",hp!AL87, "SETTLE_DT", TEXT(ya!$C87,"YYYYMMDD")))</f>
        <v>0</v>
      </c>
      <c r="AM87" s="2" cm="1">
        <f t="array" ref="AM87">IF(hp!AM87=0,0,_xll.BDP(AM$4,"YAS_BOND_YLD", "YAS_BOND_PX",hp!AM87, "SETTLE_DT", TEXT(ya!$C87,"YYYYMMDD")))</f>
        <v>0</v>
      </c>
      <c r="AN87" s="2" cm="1">
        <f t="array" ref="AN87">IF(hp!AN87=0,0,_xll.BDP(AN$4,"YAS_BOND_YLD", "YAS_BOND_PX",hp!AN87, "SETTLE_DT", TEXT(ya!$C87,"YYYYMMDD")))</f>
        <v>0</v>
      </c>
      <c r="AO87" s="2" cm="1">
        <f t="array" ref="AO87">IF(hp!AO87=0,0,_xll.BDP(AO$4,"YAS_BOND_YLD", "YAS_BOND_PX",hp!AO87, "SETTLE_DT", TEXT(ya!$C87,"YYYYMMDD")))</f>
        <v>0</v>
      </c>
      <c r="AP87" s="2" cm="1">
        <f t="array" ref="AP87">IF(hp!AP87=0,0,_xll.BDP(AP$4,"YAS_BOND_YLD", "YAS_BOND_PX",hp!AP87, "SETTLE_DT", TEXT(ya!$C87,"YYYYMMDD")))</f>
        <v>0</v>
      </c>
      <c r="AQ87" s="2" cm="1">
        <f t="array" ref="AQ87">IF(hp!AQ87=0,0,_xll.BDP(AQ$4,"YAS_BOND_YLD", "YAS_BOND_PX",hp!AQ87, "SETTLE_DT", TEXT(ya!$C87,"YYYYMMDD")))</f>
        <v>0.2082</v>
      </c>
      <c r="AR87" s="2" cm="1">
        <f t="array" ref="AR87">IF(hp!AR87=0,0,_xll.BDP(AR$4,"YAS_BOND_YLD", "YAS_BOND_PX",hp!AR87, "SETTLE_DT", TEXT(ya!$C87,"YYYYMMDD")))</f>
        <v>6.4490999999999996</v>
      </c>
      <c r="AS87" s="2" cm="1">
        <f t="array" ref="AS87">IF(hp!AS87=0,0,_xll.BDP(AS$4,"YAS_BOND_YLD", "YAS_BOND_PX",hp!AS87, "SETTLE_DT", TEXT(ya!$C87,"YYYYMMDD")))</f>
        <v>0</v>
      </c>
      <c r="AT87" s="2" cm="1">
        <f t="array" ref="AT87">IF(hp!AT87=0,0,_xll.BDP(AT$4,"YAS_BOND_YLD", "YAS_BOND_PX",hp!AT87, "SETTLE_DT", TEXT(ya!$C87,"YYYYMMDD")))</f>
        <v>0</v>
      </c>
      <c r="AU87" s="2" cm="1">
        <f t="array" ref="AU87">IF(hp!AU87=0,0,_xll.BDP(AU$4,"YAS_BOND_YLD", "YAS_BOND_PX",hp!AU87, "SETTLE_DT", TEXT(ya!$C87,"YYYYMMDD")))</f>
        <v>0</v>
      </c>
      <c r="AV87" s="2" cm="1">
        <f t="array" ref="AV87">IF(hp!AV87=0,0,_xll.BDP(AV$4,"YAS_BOND_YLD", "YAS_BOND_PX",hp!AV87, "SETTLE_DT", TEXT(ya!$C87,"YYYYMMDD")))</f>
        <v>0</v>
      </c>
      <c r="AW87" s="2" cm="1">
        <f t="array" ref="AW87">IF(hp!AW87=0,0,_xll.BDP(AW$4,"YAS_BOND_YLD", "YAS_BOND_PX",hp!AW87, "SETTLE_DT", TEXT(ya!$C87,"YYYYMMDD")))</f>
        <v>0</v>
      </c>
      <c r="AX87" s="2" cm="1">
        <f t="array" ref="AX87">IF(hp!AX87=0,0,_xll.BDP(AX$4,"YAS_BOND_YLD", "YAS_BOND_PX",hp!AX87, "SETTLE_DT", TEXT(ya!$C87,"YYYYMMDD")))</f>
        <v>0</v>
      </c>
      <c r="AY87" s="2" cm="1">
        <f t="array" ref="AY87">IF(hp!AY87=0,0,_xll.BDP(AY$4,"YAS_BOND_YLD", "YAS_BOND_PX",hp!AY87, "SETTLE_DT", TEXT(ya!$C87,"YYYYMMDD")))</f>
        <v>0</v>
      </c>
      <c r="AZ87" s="2" cm="1">
        <f t="array" ref="AZ87">IF(hp!AZ87=0,0,_xll.BDP(AZ$4,"YAS_BOND_YLD", "YAS_BOND_PX",hp!AZ87, "SETTLE_DT", TEXT(ya!$C87,"YYYYMMDD")))</f>
        <v>0</v>
      </c>
    </row>
    <row r="88" spans="1:52" x14ac:dyDescent="0.25">
      <c r="A88" s="1"/>
      <c r="B88" s="2"/>
      <c r="C88" s="1">
        <v>44592</v>
      </c>
      <c r="D88" s="2" cm="1">
        <f t="array" ref="D88">IF(hp!D88=0,0,_xll.BDP(D$4,"YAS_BOND_YLD", "YAS_BOND_PX",hp!D88, "SETTLE_DT", TEXT(ya!$C88,"YYYYMMDD")))</f>
        <v>0</v>
      </c>
      <c r="E88" s="2" cm="1">
        <f t="array" ref="E88">IF(hp!E88=0,0,_xll.BDP(E$4,"YAS_BOND_YLD", "YAS_BOND_PX",hp!E88, "SETTLE_DT", TEXT(ya!$C88,"YYYYMMDD")))</f>
        <v>11.3444</v>
      </c>
      <c r="F88" s="2" cm="1">
        <f t="array" ref="F88">IF(hp!F88=0,0,_xll.BDP(F$4,"YAS_BOND_YLD", "YAS_BOND_PX",hp!F88, "SETTLE_DT", TEXT(ya!$C88,"YYYYMMDD")))</f>
        <v>11.192299999999999</v>
      </c>
      <c r="G88" s="2" cm="1">
        <f t="array" ref="G88">IF(hp!G88=0,0,_xll.BDP(G$4,"YAS_BOND_YLD", "YAS_BOND_PX",hp!G88, "SETTLE_DT", TEXT(ya!$C88,"YYYYMMDD")))</f>
        <v>5.6201999999999996</v>
      </c>
      <c r="H88" s="2" cm="1">
        <f t="array" ref="H88">IF(hp!H88=0,0,_xll.BDP(H$4,"YAS_BOND_YLD", "YAS_BOND_PX",hp!H88, "SETTLE_DT", TEXT(ya!$C88,"YYYYMMDD")))</f>
        <v>11.4108</v>
      </c>
      <c r="I88" s="2" cm="1">
        <f t="array" ref="I88">IF(hp!I88=0,0,_xll.BDP(I$4,"YAS_BOND_YLD", "YAS_BOND_PX",hp!I88, "SETTLE_DT", TEXT(ya!$C88,"YYYYMMDD")))</f>
        <v>11.422700000000001</v>
      </c>
      <c r="J88" s="2" cm="1">
        <f t="array" ref="J88">IF(hp!J88=0,0,_xll.BDP(J$4,"YAS_BOND_YLD", "YAS_BOND_PX",hp!J88, "SETTLE_DT", TEXT(ya!$C88,"YYYYMMDD")))</f>
        <v>5.6858000000000004</v>
      </c>
      <c r="K88" s="2" cm="1">
        <f t="array" ref="K88">IF(hp!K88=0,0,_xll.BDP(K$4,"YAS_BOND_YLD", "YAS_BOND_PX",hp!K88, "SETTLE_DT", TEXT(ya!$C88,"YYYYMMDD")))</f>
        <v>0</v>
      </c>
      <c r="L88" s="2" cm="1">
        <f t="array" ref="L88">IF(hp!L88=0,0,_xll.BDP(L$4,"YAS_BOND_YLD", "YAS_BOND_PX",hp!L88, "SETTLE_DT", TEXT(ya!$C88,"YYYYMMDD")))</f>
        <v>5.5161999999999995</v>
      </c>
      <c r="M88" s="2" cm="1">
        <f t="array" ref="M88">IF(hp!M88=0,0,_xll.BDP(M$4,"YAS_BOND_YLD", "YAS_BOND_PX",hp!M88, "SETTLE_DT", TEXT(ya!$C88,"YYYYMMDD")))</f>
        <v>5.4782000000000002</v>
      </c>
      <c r="N88" s="2" cm="1">
        <f t="array" ref="N88">IF(hp!N88=0,0,_xll.BDP(N$4,"YAS_BOND_YLD", "YAS_BOND_PX",hp!N88, "SETTLE_DT", TEXT(ya!$C88,"YYYYMMDD")))</f>
        <v>5.3914</v>
      </c>
      <c r="O88" s="2" cm="1">
        <f t="array" ref="O88">IF(hp!O88=0,0,_xll.BDP(O$4,"YAS_BOND_YLD", "YAS_BOND_PX",hp!O88, "SETTLE_DT", TEXT(ya!$C88,"YYYYMMDD")))</f>
        <v>5.7119</v>
      </c>
      <c r="P88" s="2" cm="1">
        <f t="array" ref="P88">IF(hp!P88=0,0,_xll.BDP(P$4,"YAS_BOND_YLD", "YAS_BOND_PX",hp!P88, "SETTLE_DT", TEXT(ya!$C88,"YYYYMMDD")))</f>
        <v>5.5677000000000003</v>
      </c>
      <c r="Q88" s="2" cm="1">
        <f t="array" ref="Q88">IF(hp!Q88=0,0,_xll.BDP(Q$4,"YAS_BOND_YLD", "YAS_BOND_PX",hp!Q88, "SETTLE_DT", TEXT(ya!$C88,"YYYYMMDD")))</f>
        <v>5.6905999999999999</v>
      </c>
      <c r="R88" s="2" cm="1">
        <f t="array" ref="R88">IF(hp!R88=0,0,_xll.BDP(R$4,"YAS_BOND_YLD", "YAS_BOND_PX",hp!R88, "SETTLE_DT", TEXT(ya!$C88,"YYYYMMDD")))</f>
        <v>0</v>
      </c>
      <c r="S88" s="2" cm="1">
        <f t="array" ref="S88">IF(hp!S88=0,0,_xll.BDP(S$4,"YAS_BOND_YLD", "YAS_BOND_PX",hp!S88, "SETTLE_DT", TEXT(ya!$C88,"YYYYMMDD")))</f>
        <v>0</v>
      </c>
      <c r="T88" s="2" cm="1">
        <f t="array" ref="T88">IF(hp!T88=0,0,_xll.BDP(T$4,"YAS_BOND_YLD", "YAS_BOND_PX",hp!T88, "SETTLE_DT", TEXT(ya!$C88,"YYYYMMDD")))</f>
        <v>5.4596</v>
      </c>
      <c r="U88" s="2" cm="1">
        <f t="array" ref="U88">IF(hp!U88=0,0,_xll.BDP(U$4,"YAS_BOND_YLD", "YAS_BOND_PX",hp!U88, "SETTLE_DT", TEXT(ya!$C88,"YYYYMMDD")))</f>
        <v>5.6515000000000004</v>
      </c>
      <c r="V88" s="2" cm="1">
        <f t="array" ref="V88">IF(hp!V88=0,0,_xll.BDP(V$4,"YAS_BOND_YLD", "YAS_BOND_PX",hp!V88, "SETTLE_DT", TEXT(ya!$C88,"YYYYMMDD")))</f>
        <v>0</v>
      </c>
      <c r="W88" s="2" cm="1">
        <f t="array" ref="W88">IF(hp!W88=0,0,_xll.BDP(W$4,"YAS_BOND_YLD", "YAS_BOND_PX",hp!W88, "SETTLE_DT", TEXT(ya!$C88,"YYYYMMDD")))</f>
        <v>0.12690000000000001</v>
      </c>
      <c r="X88" s="2" cm="1">
        <f t="array" ref="X88">IF(hp!X88=0,0,_xll.BDP(X$4,"YAS_BOND_YLD", "YAS_BOND_PX",hp!X88, "SETTLE_DT", TEXT(ya!$C88,"YYYYMMDD")))</f>
        <v>0</v>
      </c>
      <c r="Y88" s="2" cm="1">
        <f t="array" ref="Y88">IF(hp!Y88=0,0,_xll.BDP(Y$4,"YAS_BOND_YLD", "YAS_BOND_PX",hp!Y88, "SETTLE_DT", TEXT(ya!$C88,"YYYYMMDD")))</f>
        <v>0</v>
      </c>
      <c r="Z88" s="2" cm="1">
        <f t="array" ref="Z88">IF(hp!Z88=0,0,_xll.BDP(Z$4,"YAS_BOND_YLD", "YAS_BOND_PX",hp!Z88, "SETTLE_DT", TEXT(ya!$C88,"YYYYMMDD")))</f>
        <v>0.16400000000000001</v>
      </c>
      <c r="AA88" s="2" cm="1">
        <f t="array" ref="AA88">IF(hp!AA88=0,0,_xll.BDP(AA$4,"YAS_BOND_YLD", "YAS_BOND_PX",hp!AA88, "SETTLE_DT", TEXT(ya!$C88,"YYYYMMDD")))</f>
        <v>0</v>
      </c>
      <c r="AB88" s="2" cm="1">
        <f t="array" ref="AB88">IF(hp!AB88=0,0,_xll.BDP(AB$4,"YAS_BOND_YLD", "YAS_BOND_PX",hp!AB88, "SETTLE_DT", TEXT(ya!$C88,"YYYYMMDD")))</f>
        <v>0.21310000000000001</v>
      </c>
      <c r="AC88" s="2" cm="1">
        <f t="array" ref="AC88">IF(hp!AC88=0,0,_xll.BDP(AC$4,"YAS_BOND_YLD", "YAS_BOND_PX",hp!AC88, "SETTLE_DT", TEXT(ya!$C88,"YYYYMMDD")))</f>
        <v>0</v>
      </c>
      <c r="AD88" s="2" cm="1">
        <f t="array" ref="AD88">IF(hp!AD88=0,0,_xll.BDP(AD$4,"YAS_BOND_YLD", "YAS_BOND_PX",hp!AD88, "SETTLE_DT", TEXT(ya!$C88,"YYYYMMDD")))</f>
        <v>5.6660000000000004</v>
      </c>
      <c r="AE88" s="2" cm="1">
        <f t="array" ref="AE88">IF(hp!AE88=0,0,_xll.BDP(AE$4,"YAS_BOND_YLD", "YAS_BOND_PX",hp!AE88, "SETTLE_DT", TEXT(ya!$C88,"YYYYMMDD")))</f>
        <v>0</v>
      </c>
      <c r="AF88" s="2" cm="1">
        <f t="array" ref="AF88">IF(hp!AF88=0,0,_xll.BDP(AF$4,"YAS_BOND_YLD", "YAS_BOND_PX",hp!AF88, "SETTLE_DT", TEXT(ya!$C88,"YYYYMMDD")))</f>
        <v>0</v>
      </c>
      <c r="AG88" s="2" cm="1">
        <f t="array" ref="AG88">IF(hp!AG88=0,0,_xll.BDP(AG$4,"YAS_BOND_YLD", "YAS_BOND_PX",hp!AG88, "SETTLE_DT", TEXT(ya!$C88,"YYYYMMDD")))</f>
        <v>0.22500000000000001</v>
      </c>
      <c r="AH88" s="2" cm="1">
        <f t="array" ref="AH88">IF(hp!AH88=0,0,_xll.BDP(AH$4,"YAS_BOND_YLD", "YAS_BOND_PX",hp!AH88, "SETTLE_DT", TEXT(ya!$C88,"YYYYMMDD")))</f>
        <v>0</v>
      </c>
      <c r="AI88" s="2" cm="1">
        <f t="array" ref="AI88">IF(hp!AI88=0,0,_xll.BDP(AI$4,"YAS_BOND_YLD", "YAS_BOND_PX",hp!AI88, "SETTLE_DT", TEXT(ya!$C88,"YYYYMMDD")))</f>
        <v>0</v>
      </c>
      <c r="AJ88" s="2" cm="1">
        <f t="array" ref="AJ88">IF(hp!AJ88=0,0,_xll.BDP(AJ$4,"YAS_BOND_YLD", "YAS_BOND_PX",hp!AJ88, "SETTLE_DT", TEXT(ya!$C88,"YYYYMMDD")))</f>
        <v>0</v>
      </c>
      <c r="AK88" s="2" cm="1">
        <f t="array" ref="AK88">IF(hp!AK88=0,0,_xll.BDP(AK$4,"YAS_BOND_YLD", "YAS_BOND_PX",hp!AK88, "SETTLE_DT", TEXT(ya!$C88,"YYYYMMDD")))</f>
        <v>0.24349999999999999</v>
      </c>
      <c r="AL88" s="2" cm="1">
        <f t="array" ref="AL88">IF(hp!AL88=0,0,_xll.BDP(AL$4,"YAS_BOND_YLD", "YAS_BOND_PX",hp!AL88, "SETTLE_DT", TEXT(ya!$C88,"YYYYMMDD")))</f>
        <v>0</v>
      </c>
      <c r="AM88" s="2" cm="1">
        <f t="array" ref="AM88">IF(hp!AM88=0,0,_xll.BDP(AM$4,"YAS_BOND_YLD", "YAS_BOND_PX",hp!AM88, "SETTLE_DT", TEXT(ya!$C88,"YYYYMMDD")))</f>
        <v>0</v>
      </c>
      <c r="AN88" s="2" cm="1">
        <f t="array" ref="AN88">IF(hp!AN88=0,0,_xll.BDP(AN$4,"YAS_BOND_YLD", "YAS_BOND_PX",hp!AN88, "SETTLE_DT", TEXT(ya!$C88,"YYYYMMDD")))</f>
        <v>0</v>
      </c>
      <c r="AO88" s="2" cm="1">
        <f t="array" ref="AO88">IF(hp!AO88=0,0,_xll.BDP(AO$4,"YAS_BOND_YLD", "YAS_BOND_PX",hp!AO88, "SETTLE_DT", TEXT(ya!$C88,"YYYYMMDD")))</f>
        <v>0</v>
      </c>
      <c r="AP88" s="2" cm="1">
        <f t="array" ref="AP88">IF(hp!AP88=0,0,_xll.BDP(AP$4,"YAS_BOND_YLD", "YAS_BOND_PX",hp!AP88, "SETTLE_DT", TEXT(ya!$C88,"YYYYMMDD")))</f>
        <v>0</v>
      </c>
      <c r="AQ88" s="2" cm="1">
        <f t="array" ref="AQ88">IF(hp!AQ88=0,0,_xll.BDP(AQ$4,"YAS_BOND_YLD", "YAS_BOND_PX",hp!AQ88, "SETTLE_DT", TEXT(ya!$C88,"YYYYMMDD")))</f>
        <v>0.17269999999999999</v>
      </c>
      <c r="AR88" s="2" cm="1">
        <f t="array" ref="AR88">IF(hp!AR88=0,0,_xll.BDP(AR$4,"YAS_BOND_YLD", "YAS_BOND_PX",hp!AR88, "SETTLE_DT", TEXT(ya!$C88,"YYYYMMDD")))</f>
        <v>4.8062000000000005</v>
      </c>
      <c r="AS88" s="2" cm="1">
        <f t="array" ref="AS88">IF(hp!AS88=0,0,_xll.BDP(AS$4,"YAS_BOND_YLD", "YAS_BOND_PX",hp!AS88, "SETTLE_DT", TEXT(ya!$C88,"YYYYMMDD")))</f>
        <v>0</v>
      </c>
      <c r="AT88" s="2" cm="1">
        <f t="array" ref="AT88">IF(hp!AT88=0,0,_xll.BDP(AT$4,"YAS_BOND_YLD", "YAS_BOND_PX",hp!AT88, "SETTLE_DT", TEXT(ya!$C88,"YYYYMMDD")))</f>
        <v>0</v>
      </c>
      <c r="AU88" s="2" cm="1">
        <f t="array" ref="AU88">IF(hp!AU88=0,0,_xll.BDP(AU$4,"YAS_BOND_YLD", "YAS_BOND_PX",hp!AU88, "SETTLE_DT", TEXT(ya!$C88,"YYYYMMDD")))</f>
        <v>0</v>
      </c>
      <c r="AV88" s="2" cm="1">
        <f t="array" ref="AV88">IF(hp!AV88=0,0,_xll.BDP(AV$4,"YAS_BOND_YLD", "YAS_BOND_PX",hp!AV88, "SETTLE_DT", TEXT(ya!$C88,"YYYYMMDD")))</f>
        <v>0</v>
      </c>
      <c r="AW88" s="2" cm="1">
        <f t="array" ref="AW88">IF(hp!AW88=0,0,_xll.BDP(AW$4,"YAS_BOND_YLD", "YAS_BOND_PX",hp!AW88, "SETTLE_DT", TEXT(ya!$C88,"YYYYMMDD")))</f>
        <v>0</v>
      </c>
      <c r="AX88" s="2" cm="1">
        <f t="array" ref="AX88">IF(hp!AX88=0,0,_xll.BDP(AX$4,"YAS_BOND_YLD", "YAS_BOND_PX",hp!AX88, "SETTLE_DT", TEXT(ya!$C88,"YYYYMMDD")))</f>
        <v>0</v>
      </c>
      <c r="AY88" s="2" cm="1">
        <f t="array" ref="AY88">IF(hp!AY88=0,0,_xll.BDP(AY$4,"YAS_BOND_YLD", "YAS_BOND_PX",hp!AY88, "SETTLE_DT", TEXT(ya!$C88,"YYYYMMDD")))</f>
        <v>0</v>
      </c>
      <c r="AZ88" s="2" cm="1">
        <f t="array" ref="AZ88">IF(hp!AZ88=0,0,_xll.BDP(AZ$4,"YAS_BOND_YLD", "YAS_BOND_PX",hp!AZ88, "SETTLE_DT", TEXT(ya!$C88,"YYYYMMDD")))</f>
        <v>0</v>
      </c>
    </row>
    <row r="89" spans="1:52" x14ac:dyDescent="0.25">
      <c r="A89" s="1"/>
      <c r="B89" s="2"/>
      <c r="C89" s="1">
        <v>44620</v>
      </c>
      <c r="D89" s="2" cm="1">
        <f t="array" ref="D89">IF(hp!D89=0,0,_xll.BDP(D$4,"YAS_BOND_YLD", "YAS_BOND_PX",hp!D89, "SETTLE_DT", TEXT(ya!$C89,"YYYYMMDD")))</f>
        <v>0</v>
      </c>
      <c r="E89" s="2" cm="1">
        <f t="array" ref="E89">IF(hp!E89=0,0,_xll.BDP(E$4,"YAS_BOND_YLD", "YAS_BOND_PX",hp!E89, "SETTLE_DT", TEXT(ya!$C89,"YYYYMMDD")))</f>
        <v>11.56</v>
      </c>
      <c r="F89" s="2" cm="1">
        <f t="array" ref="F89">IF(hp!F89=0,0,_xll.BDP(F$4,"YAS_BOND_YLD", "YAS_BOND_PX",hp!F89, "SETTLE_DT", TEXT(ya!$C89,"YYYYMMDD")))</f>
        <v>11.2858</v>
      </c>
      <c r="G89" s="2" cm="1">
        <f t="array" ref="G89">IF(hp!G89=0,0,_xll.BDP(G$4,"YAS_BOND_YLD", "YAS_BOND_PX",hp!G89, "SETTLE_DT", TEXT(ya!$C89,"YYYYMMDD")))</f>
        <v>5.7492999999999999</v>
      </c>
      <c r="H89" s="2" cm="1">
        <f t="array" ref="H89">IF(hp!H89=0,0,_xll.BDP(H$4,"YAS_BOND_YLD", "YAS_BOND_PX",hp!H89, "SETTLE_DT", TEXT(ya!$C89,"YYYYMMDD")))</f>
        <v>11.542899999999999</v>
      </c>
      <c r="I89" s="2" cm="1">
        <f t="array" ref="I89">IF(hp!I89=0,0,_xll.BDP(I$4,"YAS_BOND_YLD", "YAS_BOND_PX",hp!I89, "SETTLE_DT", TEXT(ya!$C89,"YYYYMMDD")))</f>
        <v>11.690899999999999</v>
      </c>
      <c r="J89" s="2" cm="1">
        <f t="array" ref="J89">IF(hp!J89=0,0,_xll.BDP(J$4,"YAS_BOND_YLD", "YAS_BOND_PX",hp!J89, "SETTLE_DT", TEXT(ya!$C89,"YYYYMMDD")))</f>
        <v>5.7610999999999999</v>
      </c>
      <c r="K89" s="2" cm="1">
        <f t="array" ref="K89">IF(hp!K89=0,0,_xll.BDP(K$4,"YAS_BOND_YLD", "YAS_BOND_PX",hp!K89, "SETTLE_DT", TEXT(ya!$C89,"YYYYMMDD")))</f>
        <v>0</v>
      </c>
      <c r="L89" s="2" cm="1">
        <f t="array" ref="L89">IF(hp!L89=0,0,_xll.BDP(L$4,"YAS_BOND_YLD", "YAS_BOND_PX",hp!L89, "SETTLE_DT", TEXT(ya!$C89,"YYYYMMDD")))</f>
        <v>5.6955</v>
      </c>
      <c r="M89" s="2" cm="1">
        <f t="array" ref="M89">IF(hp!M89=0,0,_xll.BDP(M$4,"YAS_BOND_YLD", "YAS_BOND_PX",hp!M89, "SETTLE_DT", TEXT(ya!$C89,"YYYYMMDD")))</f>
        <v>5.6360999999999999</v>
      </c>
      <c r="N89" s="2" cm="1">
        <f t="array" ref="N89">IF(hp!N89=0,0,_xll.BDP(N$4,"YAS_BOND_YLD", "YAS_BOND_PX",hp!N89, "SETTLE_DT", TEXT(ya!$C89,"YYYYMMDD")))</f>
        <v>5.5182000000000002</v>
      </c>
      <c r="O89" s="2" cm="1">
        <f t="array" ref="O89">IF(hp!O89=0,0,_xll.BDP(O$4,"YAS_BOND_YLD", "YAS_BOND_PX",hp!O89, "SETTLE_DT", TEXT(ya!$C89,"YYYYMMDD")))</f>
        <v>5.7518000000000002</v>
      </c>
      <c r="P89" s="2" cm="1">
        <f t="array" ref="P89">IF(hp!P89=0,0,_xll.BDP(P$4,"YAS_BOND_YLD", "YAS_BOND_PX",hp!P89, "SETTLE_DT", TEXT(ya!$C89,"YYYYMMDD")))</f>
        <v>5.7404999999999999</v>
      </c>
      <c r="Q89" s="2" cm="1">
        <f t="array" ref="Q89">IF(hp!Q89=0,0,_xll.BDP(Q$4,"YAS_BOND_YLD", "YAS_BOND_PX",hp!Q89, "SETTLE_DT", TEXT(ya!$C89,"YYYYMMDD")))</f>
        <v>5.7672999999999996</v>
      </c>
      <c r="R89" s="2" cm="1">
        <f t="array" ref="R89">IF(hp!R89=0,0,_xll.BDP(R$4,"YAS_BOND_YLD", "YAS_BOND_PX",hp!R89, "SETTLE_DT", TEXT(ya!$C89,"YYYYMMDD")))</f>
        <v>0</v>
      </c>
      <c r="S89" s="2" cm="1">
        <f t="array" ref="S89">IF(hp!S89=0,0,_xll.BDP(S$4,"YAS_BOND_YLD", "YAS_BOND_PX",hp!S89, "SETTLE_DT", TEXT(ya!$C89,"YYYYMMDD")))</f>
        <v>0</v>
      </c>
      <c r="T89" s="2" cm="1">
        <f t="array" ref="T89">IF(hp!T89=0,0,_xll.BDP(T$4,"YAS_BOND_YLD", "YAS_BOND_PX",hp!T89, "SETTLE_DT", TEXT(ya!$C89,"YYYYMMDD")))</f>
        <v>5.5602</v>
      </c>
      <c r="U89" s="2" cm="1">
        <f t="array" ref="U89">IF(hp!U89=0,0,_xll.BDP(U$4,"YAS_BOND_YLD", "YAS_BOND_PX",hp!U89, "SETTLE_DT", TEXT(ya!$C89,"YYYYMMDD")))</f>
        <v>5.7659000000000002</v>
      </c>
      <c r="V89" s="2" cm="1">
        <f t="array" ref="V89">IF(hp!V89=0,0,_xll.BDP(V$4,"YAS_BOND_YLD", "YAS_BOND_PX",hp!V89, "SETTLE_DT", TEXT(ya!$C89,"YYYYMMDD")))</f>
        <v>0</v>
      </c>
      <c r="W89" s="2" cm="1">
        <f t="array" ref="W89">IF(hp!W89=0,0,_xll.BDP(W$4,"YAS_BOND_YLD", "YAS_BOND_PX",hp!W89, "SETTLE_DT", TEXT(ya!$C89,"YYYYMMDD")))</f>
        <v>8.3500000000000005E-2</v>
      </c>
      <c r="X89" s="2" cm="1">
        <f t="array" ref="X89">IF(hp!X89=0,0,_xll.BDP(X$4,"YAS_BOND_YLD", "YAS_BOND_PX",hp!X89, "SETTLE_DT", TEXT(ya!$C89,"YYYYMMDD")))</f>
        <v>0</v>
      </c>
      <c r="Y89" s="2" cm="1">
        <f t="array" ref="Y89">IF(hp!Y89=0,0,_xll.BDP(Y$4,"YAS_BOND_YLD", "YAS_BOND_PX",hp!Y89, "SETTLE_DT", TEXT(ya!$C89,"YYYYMMDD")))</f>
        <v>0</v>
      </c>
      <c r="Z89" s="2" cm="1">
        <f t="array" ref="Z89">IF(hp!Z89=0,0,_xll.BDP(Z$4,"YAS_BOND_YLD", "YAS_BOND_PX",hp!Z89, "SETTLE_DT", TEXT(ya!$C89,"YYYYMMDD")))</f>
        <v>0.11119999999999999</v>
      </c>
      <c r="AA89" s="2" cm="1">
        <f t="array" ref="AA89">IF(hp!AA89=0,0,_xll.BDP(AA$4,"YAS_BOND_YLD", "YAS_BOND_PX",hp!AA89, "SETTLE_DT", TEXT(ya!$C89,"YYYYMMDD")))</f>
        <v>0</v>
      </c>
      <c r="AB89" s="2" cm="1">
        <f t="array" ref="AB89">IF(hp!AB89=0,0,_xll.BDP(AB$4,"YAS_BOND_YLD", "YAS_BOND_PX",hp!AB89, "SETTLE_DT", TEXT(ya!$C89,"YYYYMMDD")))</f>
        <v>0.1404</v>
      </c>
      <c r="AC89" s="2" cm="1">
        <f t="array" ref="AC89">IF(hp!AC89=0,0,_xll.BDP(AC$4,"YAS_BOND_YLD", "YAS_BOND_PX",hp!AC89, "SETTLE_DT", TEXT(ya!$C89,"YYYYMMDD")))</f>
        <v>0</v>
      </c>
      <c r="AD89" s="2" cm="1">
        <f t="array" ref="AD89">IF(hp!AD89=0,0,_xll.BDP(AD$4,"YAS_BOND_YLD", "YAS_BOND_PX",hp!AD89, "SETTLE_DT", TEXT(ya!$C89,"YYYYMMDD")))</f>
        <v>5.7519999999999998</v>
      </c>
      <c r="AE89" s="2" cm="1">
        <f t="array" ref="AE89">IF(hp!AE89=0,0,_xll.BDP(AE$4,"YAS_BOND_YLD", "YAS_BOND_PX",hp!AE89, "SETTLE_DT", TEXT(ya!$C89,"YYYYMMDD")))</f>
        <v>0</v>
      </c>
      <c r="AF89" s="2" cm="1">
        <f t="array" ref="AF89">IF(hp!AF89=0,0,_xll.BDP(AF$4,"YAS_BOND_YLD", "YAS_BOND_PX",hp!AF89, "SETTLE_DT", TEXT(ya!$C89,"YYYYMMDD")))</f>
        <v>0</v>
      </c>
      <c r="AG89" s="2" cm="1">
        <f t="array" ref="AG89">IF(hp!AG89=0,0,_xll.BDP(AG$4,"YAS_BOND_YLD", "YAS_BOND_PX",hp!AG89, "SETTLE_DT", TEXT(ya!$C89,"YYYYMMDD")))</f>
        <v>0.13930000000000001</v>
      </c>
      <c r="AH89" s="2" cm="1">
        <f t="array" ref="AH89">IF(hp!AH89=0,0,_xll.BDP(AH$4,"YAS_BOND_YLD", "YAS_BOND_PX",hp!AH89, "SETTLE_DT", TEXT(ya!$C89,"YYYYMMDD")))</f>
        <v>0</v>
      </c>
      <c r="AI89" s="2" cm="1">
        <f t="array" ref="AI89">IF(hp!AI89=0,0,_xll.BDP(AI$4,"YAS_BOND_YLD", "YAS_BOND_PX",hp!AI89, "SETTLE_DT", TEXT(ya!$C89,"YYYYMMDD")))</f>
        <v>0</v>
      </c>
      <c r="AJ89" s="2" cm="1">
        <f t="array" ref="AJ89">IF(hp!AJ89=0,0,_xll.BDP(AJ$4,"YAS_BOND_YLD", "YAS_BOND_PX",hp!AJ89, "SETTLE_DT", TEXT(ya!$C89,"YYYYMMDD")))</f>
        <v>0</v>
      </c>
      <c r="AK89" s="2" cm="1">
        <f t="array" ref="AK89">IF(hp!AK89=0,0,_xll.BDP(AK$4,"YAS_BOND_YLD", "YAS_BOND_PX",hp!AK89, "SETTLE_DT", TEXT(ya!$C89,"YYYYMMDD")))</f>
        <v>0.13980000000000001</v>
      </c>
      <c r="AL89" s="2" cm="1">
        <f t="array" ref="AL89">IF(hp!AL89=0,0,_xll.BDP(AL$4,"YAS_BOND_YLD", "YAS_BOND_PX",hp!AL89, "SETTLE_DT", TEXT(ya!$C89,"YYYYMMDD")))</f>
        <v>0</v>
      </c>
      <c r="AM89" s="2" cm="1">
        <f t="array" ref="AM89">IF(hp!AM89=0,0,_xll.BDP(AM$4,"YAS_BOND_YLD", "YAS_BOND_PX",hp!AM89, "SETTLE_DT", TEXT(ya!$C89,"YYYYMMDD")))</f>
        <v>0</v>
      </c>
      <c r="AN89" s="2" cm="1">
        <f t="array" ref="AN89">IF(hp!AN89=0,0,_xll.BDP(AN$4,"YAS_BOND_YLD", "YAS_BOND_PX",hp!AN89, "SETTLE_DT", TEXT(ya!$C89,"YYYYMMDD")))</f>
        <v>0</v>
      </c>
      <c r="AO89" s="2" cm="1">
        <f t="array" ref="AO89">IF(hp!AO89=0,0,_xll.BDP(AO$4,"YAS_BOND_YLD", "YAS_BOND_PX",hp!AO89, "SETTLE_DT", TEXT(ya!$C89,"YYYYMMDD")))</f>
        <v>0</v>
      </c>
      <c r="AP89" s="2" cm="1">
        <f t="array" ref="AP89">IF(hp!AP89=0,0,_xll.BDP(AP$4,"YAS_BOND_YLD", "YAS_BOND_PX",hp!AP89, "SETTLE_DT", TEXT(ya!$C89,"YYYYMMDD")))</f>
        <v>0</v>
      </c>
      <c r="AQ89" s="2" cm="1">
        <f t="array" ref="AQ89">IF(hp!AQ89=0,0,_xll.BDP(AQ$4,"YAS_BOND_YLD", "YAS_BOND_PX",hp!AQ89, "SETTLE_DT", TEXT(ya!$C89,"YYYYMMDD")))</f>
        <v>0.11550000000000001</v>
      </c>
      <c r="AR89" s="2" cm="1">
        <f t="array" ref="AR89">IF(hp!AR89=0,0,_xll.BDP(AR$4,"YAS_BOND_YLD", "YAS_BOND_PX",hp!AR89, "SETTLE_DT", TEXT(ya!$C89,"YYYYMMDD")))</f>
        <v>4.3642000000000003</v>
      </c>
      <c r="AS89" s="2" cm="1">
        <f t="array" ref="AS89">IF(hp!AS89=0,0,_xll.BDP(AS$4,"YAS_BOND_YLD", "YAS_BOND_PX",hp!AS89, "SETTLE_DT", TEXT(ya!$C89,"YYYYMMDD")))</f>
        <v>0</v>
      </c>
      <c r="AT89" s="2" cm="1">
        <f t="array" ref="AT89">IF(hp!AT89=0,0,_xll.BDP(AT$4,"YAS_BOND_YLD", "YAS_BOND_PX",hp!AT89, "SETTLE_DT", TEXT(ya!$C89,"YYYYMMDD")))</f>
        <v>0</v>
      </c>
      <c r="AU89" s="2" cm="1">
        <f t="array" ref="AU89">IF(hp!AU89=0,0,_xll.BDP(AU$4,"YAS_BOND_YLD", "YAS_BOND_PX",hp!AU89, "SETTLE_DT", TEXT(ya!$C89,"YYYYMMDD")))</f>
        <v>0</v>
      </c>
      <c r="AV89" s="2" cm="1">
        <f t="array" ref="AV89">IF(hp!AV89=0,0,_xll.BDP(AV$4,"YAS_BOND_YLD", "YAS_BOND_PX",hp!AV89, "SETTLE_DT", TEXT(ya!$C89,"YYYYMMDD")))</f>
        <v>0</v>
      </c>
      <c r="AW89" s="2" cm="1">
        <f t="array" ref="AW89">IF(hp!AW89=0,0,_xll.BDP(AW$4,"YAS_BOND_YLD", "YAS_BOND_PX",hp!AW89, "SETTLE_DT", TEXT(ya!$C89,"YYYYMMDD")))</f>
        <v>0</v>
      </c>
      <c r="AX89" s="2" cm="1">
        <f t="array" ref="AX89">IF(hp!AX89=0,0,_xll.BDP(AX$4,"YAS_BOND_YLD", "YAS_BOND_PX",hp!AX89, "SETTLE_DT", TEXT(ya!$C89,"YYYYMMDD")))</f>
        <v>0</v>
      </c>
      <c r="AY89" s="2" cm="1">
        <f t="array" ref="AY89">IF(hp!AY89=0,0,_xll.BDP(AY$4,"YAS_BOND_YLD", "YAS_BOND_PX",hp!AY89, "SETTLE_DT", TEXT(ya!$C89,"YYYYMMDD")))</f>
        <v>0</v>
      </c>
      <c r="AZ89" s="2" cm="1">
        <f t="array" ref="AZ89">IF(hp!AZ89=0,0,_xll.BDP(AZ$4,"YAS_BOND_YLD", "YAS_BOND_PX",hp!AZ89, "SETTLE_DT", TEXT(ya!$C89,"YYYYMMDD")))</f>
        <v>0</v>
      </c>
    </row>
    <row r="90" spans="1:52" x14ac:dyDescent="0.25">
      <c r="A90" s="1"/>
      <c r="B90" s="2"/>
      <c r="C90" s="1">
        <v>44651</v>
      </c>
      <c r="D90" s="2" cm="1">
        <f t="array" ref="D90">IF(hp!D90=0,0,_xll.BDP(D$4,"YAS_BOND_YLD", "YAS_BOND_PX",hp!D90, "SETTLE_DT", TEXT(ya!$C90,"YYYYMMDD")))</f>
        <v>0</v>
      </c>
      <c r="E90" s="2" cm="1">
        <f t="array" ref="E90">IF(hp!E90=0,0,_xll.BDP(E$4,"YAS_BOND_YLD", "YAS_BOND_PX",hp!E90, "SETTLE_DT", TEXT(ya!$C90,"YYYYMMDD")))</f>
        <v>11.626300000000001</v>
      </c>
      <c r="F90" s="2" cm="1">
        <f t="array" ref="F90">IF(hp!F90=0,0,_xll.BDP(F$4,"YAS_BOND_YLD", "YAS_BOND_PX",hp!F90, "SETTLE_DT", TEXT(ya!$C90,"YYYYMMDD")))</f>
        <v>11.3818</v>
      </c>
      <c r="G90" s="2" cm="1">
        <f t="array" ref="G90">IF(hp!G90=0,0,_xll.BDP(G$4,"YAS_BOND_YLD", "YAS_BOND_PX",hp!G90, "SETTLE_DT", TEXT(ya!$C90,"YYYYMMDD")))</f>
        <v>5.4836999999999998</v>
      </c>
      <c r="H90" s="2" cm="1">
        <f t="array" ref="H90">IF(hp!H90=0,0,_xll.BDP(H$4,"YAS_BOND_YLD", "YAS_BOND_PX",hp!H90, "SETTLE_DT", TEXT(ya!$C90,"YYYYMMDD")))</f>
        <v>11.4801</v>
      </c>
      <c r="I90" s="2" cm="1">
        <f t="array" ref="I90">IF(hp!I90=0,0,_xll.BDP(I$4,"YAS_BOND_YLD", "YAS_BOND_PX",hp!I90, "SETTLE_DT", TEXT(ya!$C90,"YYYYMMDD")))</f>
        <v>11.6639</v>
      </c>
      <c r="J90" s="2" cm="1">
        <f t="array" ref="J90">IF(hp!J90=0,0,_xll.BDP(J$4,"YAS_BOND_YLD", "YAS_BOND_PX",hp!J90, "SETTLE_DT", TEXT(ya!$C90,"YYYYMMDD")))</f>
        <v>5.6474000000000002</v>
      </c>
      <c r="K90" s="2" cm="1">
        <f t="array" ref="K90">IF(hp!K90=0,0,_xll.BDP(K$4,"YAS_BOND_YLD", "YAS_BOND_PX",hp!K90, "SETTLE_DT", TEXT(ya!$C90,"YYYYMMDD")))</f>
        <v>0</v>
      </c>
      <c r="L90" s="2" cm="1">
        <f t="array" ref="L90">IF(hp!L90=0,0,_xll.BDP(L$4,"YAS_BOND_YLD", "YAS_BOND_PX",hp!L90, "SETTLE_DT", TEXT(ya!$C90,"YYYYMMDD")))</f>
        <v>5.3975</v>
      </c>
      <c r="M90" s="2" cm="1">
        <f t="array" ref="M90">IF(hp!M90=0,0,_xll.BDP(M$4,"YAS_BOND_YLD", "YAS_BOND_PX",hp!M90, "SETTLE_DT", TEXT(ya!$C90,"YYYYMMDD")))</f>
        <v>5.3343999999999996</v>
      </c>
      <c r="N90" s="2" cm="1">
        <f t="array" ref="N90">IF(hp!N90=0,0,_xll.BDP(N$4,"YAS_BOND_YLD", "YAS_BOND_PX",hp!N90, "SETTLE_DT", TEXT(ya!$C90,"YYYYMMDD")))</f>
        <v>5.2050000000000001</v>
      </c>
      <c r="O90" s="2" cm="1">
        <f t="array" ref="O90">IF(hp!O90=0,0,_xll.BDP(O$4,"YAS_BOND_YLD", "YAS_BOND_PX",hp!O90, "SETTLE_DT", TEXT(ya!$C90,"YYYYMMDD")))</f>
        <v>5.6371000000000002</v>
      </c>
      <c r="P90" s="2" cm="1">
        <f t="array" ref="P90">IF(hp!P90=0,0,_xll.BDP(P$4,"YAS_BOND_YLD", "YAS_BOND_PX",hp!P90, "SETTLE_DT", TEXT(ya!$C90,"YYYYMMDD")))</f>
        <v>5.4635999999999996</v>
      </c>
      <c r="Q90" s="2" cm="1">
        <f t="array" ref="Q90">IF(hp!Q90=0,0,_xll.BDP(Q$4,"YAS_BOND_YLD", "YAS_BOND_PX",hp!Q90, "SETTLE_DT", TEXT(ya!$C90,"YYYYMMDD")))</f>
        <v>5.6388999999999996</v>
      </c>
      <c r="R90" s="2" cm="1">
        <f t="array" ref="R90">IF(hp!R90=0,0,_xll.BDP(R$4,"YAS_BOND_YLD", "YAS_BOND_PX",hp!R90, "SETTLE_DT", TEXT(ya!$C90,"YYYYMMDD")))</f>
        <v>0</v>
      </c>
      <c r="S90" s="2" cm="1">
        <f t="array" ref="S90">IF(hp!S90=0,0,_xll.BDP(S$4,"YAS_BOND_YLD", "YAS_BOND_PX",hp!S90, "SETTLE_DT", TEXT(ya!$C90,"YYYYMMDD")))</f>
        <v>0</v>
      </c>
      <c r="T90" s="2" cm="1">
        <f t="array" ref="T90">IF(hp!T90=0,0,_xll.BDP(T$4,"YAS_BOND_YLD", "YAS_BOND_PX",hp!T90, "SETTLE_DT", TEXT(ya!$C90,"YYYYMMDD")))</f>
        <v>5.2523999999999997</v>
      </c>
      <c r="U90" s="2" cm="1">
        <f t="array" ref="U90">IF(hp!U90=0,0,_xll.BDP(U$4,"YAS_BOND_YLD", "YAS_BOND_PX",hp!U90, "SETTLE_DT", TEXT(ya!$C90,"YYYYMMDD")))</f>
        <v>5.5338000000000003</v>
      </c>
      <c r="V90" s="2" cm="1">
        <f t="array" ref="V90">IF(hp!V90=0,0,_xll.BDP(V$4,"YAS_BOND_YLD", "YAS_BOND_PX",hp!V90, "SETTLE_DT", TEXT(ya!$C90,"YYYYMMDD")))</f>
        <v>0</v>
      </c>
      <c r="W90" s="2" cm="1">
        <f t="array" ref="W90">IF(hp!W90=0,0,_xll.BDP(W$4,"YAS_BOND_YLD", "YAS_BOND_PX",hp!W90, "SETTLE_DT", TEXT(ya!$C90,"YYYYMMDD")))</f>
        <v>6.4600000000000005E-2</v>
      </c>
      <c r="X90" s="2" cm="1">
        <f t="array" ref="X90">IF(hp!X90=0,0,_xll.BDP(X$4,"YAS_BOND_YLD", "YAS_BOND_PX",hp!X90, "SETTLE_DT", TEXT(ya!$C90,"YYYYMMDD")))</f>
        <v>0</v>
      </c>
      <c r="Y90" s="2" cm="1">
        <f t="array" ref="Y90">IF(hp!Y90=0,0,_xll.BDP(Y$4,"YAS_BOND_YLD", "YAS_BOND_PX",hp!Y90, "SETTLE_DT", TEXT(ya!$C90,"YYYYMMDD")))</f>
        <v>0</v>
      </c>
      <c r="Z90" s="2" cm="1">
        <f t="array" ref="Z90">IF(hp!Z90=0,0,_xll.BDP(Z$4,"YAS_BOND_YLD", "YAS_BOND_PX",hp!Z90, "SETTLE_DT", TEXT(ya!$C90,"YYYYMMDD")))</f>
        <v>9.1999999999999998E-2</v>
      </c>
      <c r="AA90" s="2" cm="1">
        <f t="array" ref="AA90">IF(hp!AA90=0,0,_xll.BDP(AA$4,"YAS_BOND_YLD", "YAS_BOND_PX",hp!AA90, "SETTLE_DT", TEXT(ya!$C90,"YYYYMMDD")))</f>
        <v>0</v>
      </c>
      <c r="AB90" s="2" cm="1">
        <f t="array" ref="AB90">IF(hp!AB90=0,0,_xll.BDP(AB$4,"YAS_BOND_YLD", "YAS_BOND_PX",hp!AB90, "SETTLE_DT", TEXT(ya!$C90,"YYYYMMDD")))</f>
        <v>0.15870000000000001</v>
      </c>
      <c r="AC90" s="2" cm="1">
        <f t="array" ref="AC90">IF(hp!AC90=0,0,_xll.BDP(AC$4,"YAS_BOND_YLD", "YAS_BOND_PX",hp!AC90, "SETTLE_DT", TEXT(ya!$C90,"YYYYMMDD")))</f>
        <v>0</v>
      </c>
      <c r="AD90" s="2" cm="1">
        <f t="array" ref="AD90">IF(hp!AD90=0,0,_xll.BDP(AD$4,"YAS_BOND_YLD", "YAS_BOND_PX",hp!AD90, "SETTLE_DT", TEXT(ya!$C90,"YYYYMMDD")))</f>
        <v>5.6401000000000003</v>
      </c>
      <c r="AE90" s="2" cm="1">
        <f t="array" ref="AE90">IF(hp!AE90=0,0,_xll.BDP(AE$4,"YAS_BOND_YLD", "YAS_BOND_PX",hp!AE90, "SETTLE_DT", TEXT(ya!$C90,"YYYYMMDD")))</f>
        <v>0</v>
      </c>
      <c r="AF90" s="2" cm="1">
        <f t="array" ref="AF90">IF(hp!AF90=0,0,_xll.BDP(AF$4,"YAS_BOND_YLD", "YAS_BOND_PX",hp!AF90, "SETTLE_DT", TEXT(ya!$C90,"YYYYMMDD")))</f>
        <v>0</v>
      </c>
      <c r="AG90" s="2" cm="1">
        <f t="array" ref="AG90">IF(hp!AG90=0,0,_xll.BDP(AG$4,"YAS_BOND_YLD", "YAS_BOND_PX",hp!AG90, "SETTLE_DT", TEXT(ya!$C90,"YYYYMMDD")))</f>
        <v>0.16539999999999999</v>
      </c>
      <c r="AH90" s="2" cm="1">
        <f t="array" ref="AH90">IF(hp!AH90=0,0,_xll.BDP(AH$4,"YAS_BOND_YLD", "YAS_BOND_PX",hp!AH90, "SETTLE_DT", TEXT(ya!$C90,"YYYYMMDD")))</f>
        <v>0</v>
      </c>
      <c r="AI90" s="2" cm="1">
        <f t="array" ref="AI90">IF(hp!AI90=0,0,_xll.BDP(AI$4,"YAS_BOND_YLD", "YAS_BOND_PX",hp!AI90, "SETTLE_DT", TEXT(ya!$C90,"YYYYMMDD")))</f>
        <v>0</v>
      </c>
      <c r="AJ90" s="2" cm="1">
        <f t="array" ref="AJ90">IF(hp!AJ90=0,0,_xll.BDP(AJ$4,"YAS_BOND_YLD", "YAS_BOND_PX",hp!AJ90, "SETTLE_DT", TEXT(ya!$C90,"YYYYMMDD")))</f>
        <v>0</v>
      </c>
      <c r="AK90" s="2" cm="1">
        <f t="array" ref="AK90">IF(hp!AK90=0,0,_xll.BDP(AK$4,"YAS_BOND_YLD", "YAS_BOND_PX",hp!AK90, "SETTLE_DT", TEXT(ya!$C90,"YYYYMMDD")))</f>
        <v>0.16450000000000001</v>
      </c>
      <c r="AL90" s="2" cm="1">
        <f t="array" ref="AL90">IF(hp!AL90=0,0,_xll.BDP(AL$4,"YAS_BOND_YLD", "YAS_BOND_PX",hp!AL90, "SETTLE_DT", TEXT(ya!$C90,"YYYYMMDD")))</f>
        <v>0</v>
      </c>
      <c r="AM90" s="2" cm="1">
        <f t="array" ref="AM90">IF(hp!AM90=0,0,_xll.BDP(AM$4,"YAS_BOND_YLD", "YAS_BOND_PX",hp!AM90, "SETTLE_DT", TEXT(ya!$C90,"YYYYMMDD")))</f>
        <v>0</v>
      </c>
      <c r="AN90" s="2" cm="1">
        <f t="array" ref="AN90">IF(hp!AN90=0,0,_xll.BDP(AN$4,"YAS_BOND_YLD", "YAS_BOND_PX",hp!AN90, "SETTLE_DT", TEXT(ya!$C90,"YYYYMMDD")))</f>
        <v>0</v>
      </c>
      <c r="AO90" s="2" cm="1">
        <f t="array" ref="AO90">IF(hp!AO90=0,0,_xll.BDP(AO$4,"YAS_BOND_YLD", "YAS_BOND_PX",hp!AO90, "SETTLE_DT", TEXT(ya!$C90,"YYYYMMDD")))</f>
        <v>0</v>
      </c>
      <c r="AP90" s="2" cm="1">
        <f t="array" ref="AP90">IF(hp!AP90=0,0,_xll.BDP(AP$4,"YAS_BOND_YLD", "YAS_BOND_PX",hp!AP90, "SETTLE_DT", TEXT(ya!$C90,"YYYYMMDD")))</f>
        <v>0</v>
      </c>
      <c r="AQ90" s="2" cm="1">
        <f t="array" ref="AQ90">IF(hp!AQ90=0,0,_xll.BDP(AQ$4,"YAS_BOND_YLD", "YAS_BOND_PX",hp!AQ90, "SETTLE_DT", TEXT(ya!$C90,"YYYYMMDD")))</f>
        <v>9.5500000000000002E-2</v>
      </c>
      <c r="AR90" s="2" cm="1">
        <f t="array" ref="AR90">IF(hp!AR90=0,0,_xll.BDP(AR$4,"YAS_BOND_YLD", "YAS_BOND_PX",hp!AR90, "SETTLE_DT", TEXT(ya!$C90,"YYYYMMDD")))</f>
        <v>4.2916999999999996</v>
      </c>
      <c r="AS90" s="2" cm="1">
        <f t="array" ref="AS90">IF(hp!AS90=0,0,_xll.BDP(AS$4,"YAS_BOND_YLD", "YAS_BOND_PX",hp!AS90, "SETTLE_DT", TEXT(ya!$C90,"YYYYMMDD")))</f>
        <v>0</v>
      </c>
      <c r="AT90" s="2" cm="1">
        <f t="array" ref="AT90">IF(hp!AT90=0,0,_xll.BDP(AT$4,"YAS_BOND_YLD", "YAS_BOND_PX",hp!AT90, "SETTLE_DT", TEXT(ya!$C90,"YYYYMMDD")))</f>
        <v>0</v>
      </c>
      <c r="AU90" s="2" cm="1">
        <f t="array" ref="AU90">IF(hp!AU90=0,0,_xll.BDP(AU$4,"YAS_BOND_YLD", "YAS_BOND_PX",hp!AU90, "SETTLE_DT", TEXT(ya!$C90,"YYYYMMDD")))</f>
        <v>0</v>
      </c>
      <c r="AV90" s="2" cm="1">
        <f t="array" ref="AV90">IF(hp!AV90=0,0,_xll.BDP(AV$4,"YAS_BOND_YLD", "YAS_BOND_PX",hp!AV90, "SETTLE_DT", TEXT(ya!$C90,"YYYYMMDD")))</f>
        <v>0</v>
      </c>
      <c r="AW90" s="2" cm="1">
        <f t="array" ref="AW90">IF(hp!AW90=0,0,_xll.BDP(AW$4,"YAS_BOND_YLD", "YAS_BOND_PX",hp!AW90, "SETTLE_DT", TEXT(ya!$C90,"YYYYMMDD")))</f>
        <v>0</v>
      </c>
      <c r="AX90" s="2" cm="1">
        <f t="array" ref="AX90">IF(hp!AX90=0,0,_xll.BDP(AX$4,"YAS_BOND_YLD", "YAS_BOND_PX",hp!AX90, "SETTLE_DT", TEXT(ya!$C90,"YYYYMMDD")))</f>
        <v>0</v>
      </c>
      <c r="AY90" s="2" cm="1">
        <f t="array" ref="AY90">IF(hp!AY90=0,0,_xll.BDP(AY$4,"YAS_BOND_YLD", "YAS_BOND_PX",hp!AY90, "SETTLE_DT", TEXT(ya!$C90,"YYYYMMDD")))</f>
        <v>0</v>
      </c>
      <c r="AZ90" s="2" cm="1">
        <f t="array" ref="AZ90">IF(hp!AZ90=0,0,_xll.BDP(AZ$4,"YAS_BOND_YLD", "YAS_BOND_PX",hp!AZ90, "SETTLE_DT", TEXT(ya!$C90,"YYYYMMDD")))</f>
        <v>0</v>
      </c>
    </row>
    <row r="91" spans="1:52" x14ac:dyDescent="0.25">
      <c r="A91" s="1"/>
      <c r="B91" s="2"/>
      <c r="C91" s="1">
        <v>44680</v>
      </c>
      <c r="D91" s="2" cm="1">
        <f t="array" ref="D91">IF(hp!D91=0,0,_xll.BDP(D$4,"YAS_BOND_YLD", "YAS_BOND_PX",hp!D91, "SETTLE_DT", TEXT(ya!$C91,"YYYYMMDD")))</f>
        <v>0</v>
      </c>
      <c r="E91" s="2" cm="1">
        <f t="array" ref="E91">IF(hp!E91=0,0,_xll.BDP(E$4,"YAS_BOND_YLD", "YAS_BOND_PX",hp!E91, "SETTLE_DT", TEXT(ya!$C91,"YYYYMMDD")))</f>
        <v>12.248900000000001</v>
      </c>
      <c r="F91" s="2" cm="1">
        <f t="array" ref="F91">IF(hp!F91=0,0,_xll.BDP(F$4,"YAS_BOND_YLD", "YAS_BOND_PX",hp!F91, "SETTLE_DT", TEXT(ya!$C91,"YYYYMMDD")))</f>
        <v>12.0776</v>
      </c>
      <c r="G91" s="2" cm="1">
        <f t="array" ref="G91">IF(hp!G91=0,0,_xll.BDP(G$4,"YAS_BOND_YLD", "YAS_BOND_PX",hp!G91, "SETTLE_DT", TEXT(ya!$C91,"YYYYMMDD")))</f>
        <v>5.6420000000000003</v>
      </c>
      <c r="H91" s="2" cm="1">
        <f t="array" ref="H91">IF(hp!H91=0,0,_xll.BDP(H$4,"YAS_BOND_YLD", "YAS_BOND_PX",hp!H91, "SETTLE_DT", TEXT(ya!$C91,"YYYYMMDD")))</f>
        <v>12.1662</v>
      </c>
      <c r="I91" s="2" cm="1">
        <f t="array" ref="I91">IF(hp!I91=0,0,_xll.BDP(I$4,"YAS_BOND_YLD", "YAS_BOND_PX",hp!I91, "SETTLE_DT", TEXT(ya!$C91,"YYYYMMDD")))</f>
        <v>12.292899999999999</v>
      </c>
      <c r="J91" s="2" cm="1">
        <f t="array" ref="J91">IF(hp!J91=0,0,_xll.BDP(J$4,"YAS_BOND_YLD", "YAS_BOND_PX",hp!J91, "SETTLE_DT", TEXT(ya!$C91,"YYYYMMDD")))</f>
        <v>5.8118999999999996</v>
      </c>
      <c r="K91" s="2" cm="1">
        <f t="array" ref="K91">IF(hp!K91=0,0,_xll.BDP(K$4,"YAS_BOND_YLD", "YAS_BOND_PX",hp!K91, "SETTLE_DT", TEXT(ya!$C91,"YYYYMMDD")))</f>
        <v>0</v>
      </c>
      <c r="L91" s="2" cm="1">
        <f t="array" ref="L91">IF(hp!L91=0,0,_xll.BDP(L$4,"YAS_BOND_YLD", "YAS_BOND_PX",hp!L91, "SETTLE_DT", TEXT(ya!$C91,"YYYYMMDD")))</f>
        <v>5.5331999999999999</v>
      </c>
      <c r="M91" s="2" cm="1">
        <f t="array" ref="M91">IF(hp!M91=0,0,_xll.BDP(M$4,"YAS_BOND_YLD", "YAS_BOND_PX",hp!M91, "SETTLE_DT", TEXT(ya!$C91,"YYYYMMDD")))</f>
        <v>5.5068999999999999</v>
      </c>
      <c r="N91" s="2" cm="1">
        <f t="array" ref="N91">IF(hp!N91=0,0,_xll.BDP(N$4,"YAS_BOND_YLD", "YAS_BOND_PX",hp!N91, "SETTLE_DT", TEXT(ya!$C91,"YYYYMMDD")))</f>
        <v>5.4314999999999998</v>
      </c>
      <c r="O91" s="2" cm="1">
        <f t="array" ref="O91">IF(hp!O91=0,0,_xll.BDP(O$4,"YAS_BOND_YLD", "YAS_BOND_PX",hp!O91, "SETTLE_DT", TEXT(ya!$C91,"YYYYMMDD")))</f>
        <v>5.8262</v>
      </c>
      <c r="P91" s="2" cm="1">
        <f t="array" ref="P91">IF(hp!P91=0,0,_xll.BDP(P$4,"YAS_BOND_YLD", "YAS_BOND_PX",hp!P91, "SETTLE_DT", TEXT(ya!$C91,"YYYYMMDD")))</f>
        <v>5.6005000000000003</v>
      </c>
      <c r="Q91" s="2" cm="1">
        <f t="array" ref="Q91">IF(hp!Q91=0,0,_xll.BDP(Q$4,"YAS_BOND_YLD", "YAS_BOND_PX",hp!Q91, "SETTLE_DT", TEXT(ya!$C91,"YYYYMMDD")))</f>
        <v>5.7907000000000002</v>
      </c>
      <c r="R91" s="2" cm="1">
        <f t="array" ref="R91">IF(hp!R91=0,0,_xll.BDP(R$4,"YAS_BOND_YLD", "YAS_BOND_PX",hp!R91, "SETTLE_DT", TEXT(ya!$C91,"YYYYMMDD")))</f>
        <v>0</v>
      </c>
      <c r="S91" s="2" cm="1">
        <f t="array" ref="S91">IF(hp!S91=0,0,_xll.BDP(S$4,"YAS_BOND_YLD", "YAS_BOND_PX",hp!S91, "SETTLE_DT", TEXT(ya!$C91,"YYYYMMDD")))</f>
        <v>0</v>
      </c>
      <c r="T91" s="2" cm="1">
        <f t="array" ref="T91">IF(hp!T91=0,0,_xll.BDP(T$4,"YAS_BOND_YLD", "YAS_BOND_PX",hp!T91, "SETTLE_DT", TEXT(ya!$C91,"YYYYMMDD")))</f>
        <v>5.5004999999999997</v>
      </c>
      <c r="U91" s="2" cm="1">
        <f t="array" ref="U91">IF(hp!U91=0,0,_xll.BDP(U$4,"YAS_BOND_YLD", "YAS_BOND_PX",hp!U91, "SETTLE_DT", TEXT(ya!$C91,"YYYYMMDD")))</f>
        <v>5.6890000000000001</v>
      </c>
      <c r="V91" s="2" cm="1">
        <f t="array" ref="V91">IF(hp!V91=0,0,_xll.BDP(V$4,"YAS_BOND_YLD", "YAS_BOND_PX",hp!V91, "SETTLE_DT", TEXT(ya!$C91,"YYYYMMDD")))</f>
        <v>0</v>
      </c>
      <c r="W91" s="2" cm="1">
        <f t="array" ref="W91">IF(hp!W91=0,0,_xll.BDP(W$4,"YAS_BOND_YLD", "YAS_BOND_PX",hp!W91, "SETTLE_DT", TEXT(ya!$C91,"YYYYMMDD")))</f>
        <v>0.1406</v>
      </c>
      <c r="X91" s="2" cm="1">
        <f t="array" ref="X91">IF(hp!X91=0,0,_xll.BDP(X$4,"YAS_BOND_YLD", "YAS_BOND_PX",hp!X91, "SETTLE_DT", TEXT(ya!$C91,"YYYYMMDD")))</f>
        <v>0</v>
      </c>
      <c r="Y91" s="2" cm="1">
        <f t="array" ref="Y91">IF(hp!Y91=0,0,_xll.BDP(Y$4,"YAS_BOND_YLD", "YAS_BOND_PX",hp!Y91, "SETTLE_DT", TEXT(ya!$C91,"YYYYMMDD")))</f>
        <v>0</v>
      </c>
      <c r="Z91" s="2" cm="1">
        <f t="array" ref="Z91">IF(hp!Z91=0,0,_xll.BDP(Z$4,"YAS_BOND_YLD", "YAS_BOND_PX",hp!Z91, "SETTLE_DT", TEXT(ya!$C91,"YYYYMMDD")))</f>
        <v>0.15310000000000001</v>
      </c>
      <c r="AA91" s="2" cm="1">
        <f t="array" ref="AA91">IF(hp!AA91=0,0,_xll.BDP(AA$4,"YAS_BOND_YLD", "YAS_BOND_PX",hp!AA91, "SETTLE_DT", TEXT(ya!$C91,"YYYYMMDD")))</f>
        <v>0</v>
      </c>
      <c r="AB91" s="2" cm="1">
        <f t="array" ref="AB91">IF(hp!AB91=0,0,_xll.BDP(AB$4,"YAS_BOND_YLD", "YAS_BOND_PX",hp!AB91, "SETTLE_DT", TEXT(ya!$C91,"YYYYMMDD")))</f>
        <v>0.18459999999999999</v>
      </c>
      <c r="AC91" s="2" cm="1">
        <f t="array" ref="AC91">IF(hp!AC91=0,0,_xll.BDP(AC$4,"YAS_BOND_YLD", "YAS_BOND_PX",hp!AC91, "SETTLE_DT", TEXT(ya!$C91,"YYYYMMDD")))</f>
        <v>0</v>
      </c>
      <c r="AD91" s="2" cm="1">
        <f t="array" ref="AD91">IF(hp!AD91=0,0,_xll.BDP(AD$4,"YAS_BOND_YLD", "YAS_BOND_PX",hp!AD91, "SETTLE_DT", TEXT(ya!$C91,"YYYYMMDD")))</f>
        <v>5.8125</v>
      </c>
      <c r="AE91" s="2" cm="1">
        <f t="array" ref="AE91">IF(hp!AE91=0,0,_xll.BDP(AE$4,"YAS_BOND_YLD", "YAS_BOND_PX",hp!AE91, "SETTLE_DT", TEXT(ya!$C91,"YYYYMMDD")))</f>
        <v>0</v>
      </c>
      <c r="AF91" s="2" cm="1">
        <f t="array" ref="AF91">IF(hp!AF91=0,0,_xll.BDP(AF$4,"YAS_BOND_YLD", "YAS_BOND_PX",hp!AF91, "SETTLE_DT", TEXT(ya!$C91,"YYYYMMDD")))</f>
        <v>0.19789999999999999</v>
      </c>
      <c r="AG91" s="2" cm="1">
        <f t="array" ref="AG91">IF(hp!AG91=0,0,_xll.BDP(AG$4,"YAS_BOND_YLD", "YAS_BOND_PX",hp!AG91, "SETTLE_DT", TEXT(ya!$C91,"YYYYMMDD")))</f>
        <v>0.19159999999999999</v>
      </c>
      <c r="AH91" s="2" cm="1">
        <f t="array" ref="AH91">IF(hp!AH91=0,0,_xll.BDP(AH$4,"YAS_BOND_YLD", "YAS_BOND_PX",hp!AH91, "SETTLE_DT", TEXT(ya!$C91,"YYYYMMDD")))</f>
        <v>0</v>
      </c>
      <c r="AI91" s="2" cm="1">
        <f t="array" ref="AI91">IF(hp!AI91=0,0,_xll.BDP(AI$4,"YAS_BOND_YLD", "YAS_BOND_PX",hp!AI91, "SETTLE_DT", TEXT(ya!$C91,"YYYYMMDD")))</f>
        <v>0</v>
      </c>
      <c r="AJ91" s="2" cm="1">
        <f t="array" ref="AJ91">IF(hp!AJ91=0,0,_xll.BDP(AJ$4,"YAS_BOND_YLD", "YAS_BOND_PX",hp!AJ91, "SETTLE_DT", TEXT(ya!$C91,"YYYYMMDD")))</f>
        <v>0</v>
      </c>
      <c r="AK91" s="2" cm="1">
        <f t="array" ref="AK91">IF(hp!AK91=0,0,_xll.BDP(AK$4,"YAS_BOND_YLD", "YAS_BOND_PX",hp!AK91, "SETTLE_DT", TEXT(ya!$C91,"YYYYMMDD")))</f>
        <v>0.1898</v>
      </c>
      <c r="AL91" s="2" cm="1">
        <f t="array" ref="AL91">IF(hp!AL91=0,0,_xll.BDP(AL$4,"YAS_BOND_YLD", "YAS_BOND_PX",hp!AL91, "SETTLE_DT", TEXT(ya!$C91,"YYYYMMDD")))</f>
        <v>0</v>
      </c>
      <c r="AM91" s="2" cm="1">
        <f t="array" ref="AM91">IF(hp!AM91=0,0,_xll.BDP(AM$4,"YAS_BOND_YLD", "YAS_BOND_PX",hp!AM91, "SETTLE_DT", TEXT(ya!$C91,"YYYYMMDD")))</f>
        <v>0</v>
      </c>
      <c r="AN91" s="2" cm="1">
        <f t="array" ref="AN91">IF(hp!AN91=0,0,_xll.BDP(AN$4,"YAS_BOND_YLD", "YAS_BOND_PX",hp!AN91, "SETTLE_DT", TEXT(ya!$C91,"YYYYMMDD")))</f>
        <v>0</v>
      </c>
      <c r="AO91" s="2" cm="1">
        <f t="array" ref="AO91">IF(hp!AO91=0,0,_xll.BDP(AO$4,"YAS_BOND_YLD", "YAS_BOND_PX",hp!AO91, "SETTLE_DT", TEXT(ya!$C91,"YYYYMMDD")))</f>
        <v>0</v>
      </c>
      <c r="AP91" s="2" cm="1">
        <f t="array" ref="AP91">IF(hp!AP91=0,0,_xll.BDP(AP$4,"YAS_BOND_YLD", "YAS_BOND_PX",hp!AP91, "SETTLE_DT", TEXT(ya!$C91,"YYYYMMDD")))</f>
        <v>0</v>
      </c>
      <c r="AQ91" s="2" cm="1">
        <f t="array" ref="AQ91">IF(hp!AQ91=0,0,_xll.BDP(AQ$4,"YAS_BOND_YLD", "YAS_BOND_PX",hp!AQ91, "SETTLE_DT", TEXT(ya!$C91,"YYYYMMDD")))</f>
        <v>0.1578</v>
      </c>
      <c r="AR91" s="2" cm="1">
        <f t="array" ref="AR91">IF(hp!AR91=0,0,_xll.BDP(AR$4,"YAS_BOND_YLD", "YAS_BOND_PX",hp!AR91, "SETTLE_DT", TEXT(ya!$C91,"YYYYMMDD")))</f>
        <v>4.4081999999999999</v>
      </c>
      <c r="AS91" s="2" cm="1">
        <f t="array" ref="AS91">IF(hp!AS91=0,0,_xll.BDP(AS$4,"YAS_BOND_YLD", "YAS_BOND_PX",hp!AS91, "SETTLE_DT", TEXT(ya!$C91,"YYYYMMDD")))</f>
        <v>0</v>
      </c>
      <c r="AT91" s="2" cm="1">
        <f t="array" ref="AT91">IF(hp!AT91=0,0,_xll.BDP(AT$4,"YAS_BOND_YLD", "YAS_BOND_PX",hp!AT91, "SETTLE_DT", TEXT(ya!$C91,"YYYYMMDD")))</f>
        <v>0</v>
      </c>
      <c r="AU91" s="2" cm="1">
        <f t="array" ref="AU91">IF(hp!AU91=0,0,_xll.BDP(AU$4,"YAS_BOND_YLD", "YAS_BOND_PX",hp!AU91, "SETTLE_DT", TEXT(ya!$C91,"YYYYMMDD")))</f>
        <v>0</v>
      </c>
      <c r="AV91" s="2" cm="1">
        <f t="array" ref="AV91">IF(hp!AV91=0,0,_xll.BDP(AV$4,"YAS_BOND_YLD", "YAS_BOND_PX",hp!AV91, "SETTLE_DT", TEXT(ya!$C91,"YYYYMMDD")))</f>
        <v>0</v>
      </c>
      <c r="AW91" s="2" cm="1">
        <f t="array" ref="AW91">IF(hp!AW91=0,0,_xll.BDP(AW$4,"YAS_BOND_YLD", "YAS_BOND_PX",hp!AW91, "SETTLE_DT", TEXT(ya!$C91,"YYYYMMDD")))</f>
        <v>0</v>
      </c>
      <c r="AX91" s="2" cm="1">
        <f t="array" ref="AX91">IF(hp!AX91=0,0,_xll.BDP(AX$4,"YAS_BOND_YLD", "YAS_BOND_PX",hp!AX91, "SETTLE_DT", TEXT(ya!$C91,"YYYYMMDD")))</f>
        <v>0</v>
      </c>
      <c r="AY91" s="2" cm="1">
        <f t="array" ref="AY91">IF(hp!AY91=0,0,_xll.BDP(AY$4,"YAS_BOND_YLD", "YAS_BOND_PX",hp!AY91, "SETTLE_DT", TEXT(ya!$C91,"YYYYMMDD")))</f>
        <v>0</v>
      </c>
      <c r="AZ91" s="2" cm="1">
        <f t="array" ref="AZ91">IF(hp!AZ91=0,0,_xll.BDP(AZ$4,"YAS_BOND_YLD", "YAS_BOND_PX",hp!AZ91, "SETTLE_DT", TEXT(ya!$C91,"YYYYMMDD")))</f>
        <v>0</v>
      </c>
    </row>
    <row r="92" spans="1:52" x14ac:dyDescent="0.25">
      <c r="A92" s="1"/>
      <c r="B92" s="2"/>
      <c r="C92" s="1">
        <v>44712</v>
      </c>
      <c r="D92" s="2" cm="1">
        <f t="array" ref="D92">IF(hp!D92=0,0,_xll.BDP(D$4,"YAS_BOND_YLD", "YAS_BOND_PX",hp!D92, "SETTLE_DT", TEXT(ya!$C92,"YYYYMMDD")))</f>
        <v>0</v>
      </c>
      <c r="E92" s="2" cm="1">
        <f t="array" ref="E92">IF(hp!E92=0,0,_xll.BDP(E$4,"YAS_BOND_YLD", "YAS_BOND_PX",hp!E92, "SETTLE_DT", TEXT(ya!$C92,"YYYYMMDD")))</f>
        <v>12.567500000000001</v>
      </c>
      <c r="F92" s="2" cm="1">
        <f t="array" ref="F92">IF(hp!F92=0,0,_xll.BDP(F$4,"YAS_BOND_YLD", "YAS_BOND_PX",hp!F92, "SETTLE_DT", TEXT(ya!$C92,"YYYYMMDD")))</f>
        <v>12.441800000000001</v>
      </c>
      <c r="G92" s="2" cm="1">
        <f t="array" ref="G92">IF(hp!G92=0,0,_xll.BDP(G$4,"YAS_BOND_YLD", "YAS_BOND_PX",hp!G92, "SETTLE_DT", TEXT(ya!$C92,"YYYYMMDD")))</f>
        <v>5.6997999999999998</v>
      </c>
      <c r="H92" s="2" cm="1">
        <f t="array" ref="H92">IF(hp!H92=0,0,_xll.BDP(H$4,"YAS_BOND_YLD", "YAS_BOND_PX",hp!H92, "SETTLE_DT", TEXT(ya!$C92,"YYYYMMDD")))</f>
        <v>12.515000000000001</v>
      </c>
      <c r="I92" s="2" cm="1">
        <f t="array" ref="I92">IF(hp!I92=0,0,_xll.BDP(I$4,"YAS_BOND_YLD", "YAS_BOND_PX",hp!I92, "SETTLE_DT", TEXT(ya!$C92,"YYYYMMDD")))</f>
        <v>12.6014</v>
      </c>
      <c r="J92" s="2" cm="1">
        <f t="array" ref="J92">IF(hp!J92=0,0,_xll.BDP(J$4,"YAS_BOND_YLD", "YAS_BOND_PX",hp!J92, "SETTLE_DT", TEXT(ya!$C92,"YYYYMMDD")))</f>
        <v>5.8258999999999999</v>
      </c>
      <c r="K92" s="2" cm="1">
        <f t="array" ref="K92">IF(hp!K92=0,0,_xll.BDP(K$4,"YAS_BOND_YLD", "YAS_BOND_PX",hp!K92, "SETTLE_DT", TEXT(ya!$C92,"YYYYMMDD")))</f>
        <v>0</v>
      </c>
      <c r="L92" s="2" cm="1">
        <f t="array" ref="L92">IF(hp!L92=0,0,_xll.BDP(L$4,"YAS_BOND_YLD", "YAS_BOND_PX",hp!L92, "SETTLE_DT", TEXT(ya!$C92,"YYYYMMDD")))</f>
        <v>5.5918000000000001</v>
      </c>
      <c r="M92" s="2" cm="1">
        <f t="array" ref="M92">IF(hp!M92=0,0,_xll.BDP(M$4,"YAS_BOND_YLD", "YAS_BOND_PX",hp!M92, "SETTLE_DT", TEXT(ya!$C92,"YYYYMMDD")))</f>
        <v>5.5820999999999996</v>
      </c>
      <c r="N92" s="2" cm="1">
        <f t="array" ref="N92">IF(hp!N92=0,0,_xll.BDP(N$4,"YAS_BOND_YLD", "YAS_BOND_PX",hp!N92, "SETTLE_DT", TEXT(ya!$C92,"YYYYMMDD")))</f>
        <v>5.5679999999999996</v>
      </c>
      <c r="O92" s="2" cm="1">
        <f t="array" ref="O92">IF(hp!O92=0,0,_xll.BDP(O$4,"YAS_BOND_YLD", "YAS_BOND_PX",hp!O92, "SETTLE_DT", TEXT(ya!$C92,"YYYYMMDD")))</f>
        <v>5.8669000000000002</v>
      </c>
      <c r="P92" s="2" cm="1">
        <f t="array" ref="P92">IF(hp!P92=0,0,_xll.BDP(P$4,"YAS_BOND_YLD", "YAS_BOND_PX",hp!P92, "SETTLE_DT", TEXT(ya!$C92,"YYYYMMDD")))</f>
        <v>5.6721000000000004</v>
      </c>
      <c r="Q92" s="2" cm="1">
        <f t="array" ref="Q92">IF(hp!Q92=0,0,_xll.BDP(Q$4,"YAS_BOND_YLD", "YAS_BOND_PX",hp!Q92, "SETTLE_DT", TEXT(ya!$C92,"YYYYMMDD")))</f>
        <v>5.8079000000000001</v>
      </c>
      <c r="R92" s="2" cm="1">
        <f t="array" ref="R92">IF(hp!R92=0,0,_xll.BDP(R$4,"YAS_BOND_YLD", "YAS_BOND_PX",hp!R92, "SETTLE_DT", TEXT(ya!$C92,"YYYYMMDD")))</f>
        <v>0</v>
      </c>
      <c r="S92" s="2" cm="1">
        <f t="array" ref="S92">IF(hp!S92=0,0,_xll.BDP(S$4,"YAS_BOND_YLD", "YAS_BOND_PX",hp!S92, "SETTLE_DT", TEXT(ya!$C92,"YYYYMMDD")))</f>
        <v>0</v>
      </c>
      <c r="T92" s="2" cm="1">
        <f t="array" ref="T92">IF(hp!T92=0,0,_xll.BDP(T$4,"YAS_BOND_YLD", "YAS_BOND_PX",hp!T92, "SETTLE_DT", TEXT(ya!$C92,"YYYYMMDD")))</f>
        <v>5.5759999999999996</v>
      </c>
      <c r="U92" s="2" cm="1">
        <f t="array" ref="U92">IF(hp!U92=0,0,_xll.BDP(U$4,"YAS_BOND_YLD", "YAS_BOND_PX",hp!U92, "SETTLE_DT", TEXT(ya!$C92,"YYYYMMDD")))</f>
        <v>5.7180999999999997</v>
      </c>
      <c r="V92" s="2" cm="1">
        <f t="array" ref="V92">IF(hp!V92=0,0,_xll.BDP(V$4,"YAS_BOND_YLD", "YAS_BOND_PX",hp!V92, "SETTLE_DT", TEXT(ya!$C92,"YYYYMMDD")))</f>
        <v>0</v>
      </c>
      <c r="W92" s="2" cm="1">
        <f t="array" ref="W92">IF(hp!W92=0,0,_xll.BDP(W$4,"YAS_BOND_YLD", "YAS_BOND_PX",hp!W92, "SETTLE_DT", TEXT(ya!$C92,"YYYYMMDD")))</f>
        <v>0.126</v>
      </c>
      <c r="X92" s="2" cm="1">
        <f t="array" ref="X92">IF(hp!X92=0,0,_xll.BDP(X$4,"YAS_BOND_YLD", "YAS_BOND_PX",hp!X92, "SETTLE_DT", TEXT(ya!$C92,"YYYYMMDD")))</f>
        <v>0</v>
      </c>
      <c r="Y92" s="2" cm="1">
        <f t="array" ref="Y92">IF(hp!Y92=0,0,_xll.BDP(Y$4,"YAS_BOND_YLD", "YAS_BOND_PX",hp!Y92, "SETTLE_DT", TEXT(ya!$C92,"YYYYMMDD")))</f>
        <v>0</v>
      </c>
      <c r="Z92" s="2" cm="1">
        <f t="array" ref="Z92">IF(hp!Z92=0,0,_xll.BDP(Z$4,"YAS_BOND_YLD", "YAS_BOND_PX",hp!Z92, "SETTLE_DT", TEXT(ya!$C92,"YYYYMMDD")))</f>
        <v>0.1424</v>
      </c>
      <c r="AA92" s="2" cm="1">
        <f t="array" ref="AA92">IF(hp!AA92=0,0,_xll.BDP(AA$4,"YAS_BOND_YLD", "YAS_BOND_PX",hp!AA92, "SETTLE_DT", TEXT(ya!$C92,"YYYYMMDD")))</f>
        <v>0</v>
      </c>
      <c r="AB92" s="2" cm="1">
        <f t="array" ref="AB92">IF(hp!AB92=0,0,_xll.BDP(AB$4,"YAS_BOND_YLD", "YAS_BOND_PX",hp!AB92, "SETTLE_DT", TEXT(ya!$C92,"YYYYMMDD")))</f>
        <v>0.16389999999999999</v>
      </c>
      <c r="AC92" s="2" cm="1">
        <f t="array" ref="AC92">IF(hp!AC92=0,0,_xll.BDP(AC$4,"YAS_BOND_YLD", "YAS_BOND_PX",hp!AC92, "SETTLE_DT", TEXT(ya!$C92,"YYYYMMDD")))</f>
        <v>0</v>
      </c>
      <c r="AD92" s="2" cm="1">
        <f t="array" ref="AD92">IF(hp!AD92=0,0,_xll.BDP(AD$4,"YAS_BOND_YLD", "YAS_BOND_PX",hp!AD92, "SETTLE_DT", TEXT(ya!$C92,"YYYYMMDD")))</f>
        <v>5.8379000000000003</v>
      </c>
      <c r="AE92" s="2" cm="1">
        <f t="array" ref="AE92">IF(hp!AE92=0,0,_xll.BDP(AE$4,"YAS_BOND_YLD", "YAS_BOND_PX",hp!AE92, "SETTLE_DT", TEXT(ya!$C92,"YYYYMMDD")))</f>
        <v>0</v>
      </c>
      <c r="AF92" s="2" cm="1">
        <f t="array" ref="AF92">IF(hp!AF92=0,0,_xll.BDP(AF$4,"YAS_BOND_YLD", "YAS_BOND_PX",hp!AF92, "SETTLE_DT", TEXT(ya!$C92,"YYYYMMDD")))</f>
        <v>0.16850000000000001</v>
      </c>
      <c r="AG92" s="2" cm="1">
        <f t="array" ref="AG92">IF(hp!AG92=0,0,_xll.BDP(AG$4,"YAS_BOND_YLD", "YAS_BOND_PX",hp!AG92, "SETTLE_DT", TEXT(ya!$C92,"YYYYMMDD")))</f>
        <v>0.1663</v>
      </c>
      <c r="AH92" s="2" cm="1">
        <f t="array" ref="AH92">IF(hp!AH92=0,0,_xll.BDP(AH$4,"YAS_BOND_YLD", "YAS_BOND_PX",hp!AH92, "SETTLE_DT", TEXT(ya!$C92,"YYYYMMDD")))</f>
        <v>0</v>
      </c>
      <c r="AI92" s="2" cm="1">
        <f t="array" ref="AI92">IF(hp!AI92=0,0,_xll.BDP(AI$4,"YAS_BOND_YLD", "YAS_BOND_PX",hp!AI92, "SETTLE_DT", TEXT(ya!$C92,"YYYYMMDD")))</f>
        <v>0</v>
      </c>
      <c r="AJ92" s="2" cm="1">
        <f t="array" ref="AJ92">IF(hp!AJ92=0,0,_xll.BDP(AJ$4,"YAS_BOND_YLD", "YAS_BOND_PX",hp!AJ92, "SETTLE_DT", TEXT(ya!$C92,"YYYYMMDD")))</f>
        <v>0</v>
      </c>
      <c r="AK92" s="2" cm="1">
        <f t="array" ref="AK92">IF(hp!AK92=0,0,_xll.BDP(AK$4,"YAS_BOND_YLD", "YAS_BOND_PX",hp!AK92, "SETTLE_DT", TEXT(ya!$C92,"YYYYMMDD")))</f>
        <v>0.1656</v>
      </c>
      <c r="AL92" s="2" cm="1">
        <f t="array" ref="AL92">IF(hp!AL92=0,0,_xll.BDP(AL$4,"YAS_BOND_YLD", "YAS_BOND_PX",hp!AL92, "SETTLE_DT", TEXT(ya!$C92,"YYYYMMDD")))</f>
        <v>0</v>
      </c>
      <c r="AM92" s="2" cm="1">
        <f t="array" ref="AM92">IF(hp!AM92=0,0,_xll.BDP(AM$4,"YAS_BOND_YLD", "YAS_BOND_PX",hp!AM92, "SETTLE_DT", TEXT(ya!$C92,"YYYYMMDD")))</f>
        <v>0</v>
      </c>
      <c r="AN92" s="2" cm="1">
        <f t="array" ref="AN92">IF(hp!AN92=0,0,_xll.BDP(AN$4,"YAS_BOND_YLD", "YAS_BOND_PX",hp!AN92, "SETTLE_DT", TEXT(ya!$C92,"YYYYMMDD")))</f>
        <v>0</v>
      </c>
      <c r="AO92" s="2" cm="1">
        <f t="array" ref="AO92">IF(hp!AO92=0,0,_xll.BDP(AO$4,"YAS_BOND_YLD", "YAS_BOND_PX",hp!AO92, "SETTLE_DT", TEXT(ya!$C92,"YYYYMMDD")))</f>
        <v>0</v>
      </c>
      <c r="AP92" s="2" cm="1">
        <f t="array" ref="AP92">IF(hp!AP92=0,0,_xll.BDP(AP$4,"YAS_BOND_YLD", "YAS_BOND_PX",hp!AP92, "SETTLE_DT", TEXT(ya!$C92,"YYYYMMDD")))</f>
        <v>0</v>
      </c>
      <c r="AQ92" s="2" cm="1">
        <f t="array" ref="AQ92">IF(hp!AQ92=0,0,_xll.BDP(AQ$4,"YAS_BOND_YLD", "YAS_BOND_PX",hp!AQ92, "SETTLE_DT", TEXT(ya!$C92,"YYYYMMDD")))</f>
        <v>0.14399999999999999</v>
      </c>
      <c r="AR92" s="2" cm="1">
        <f t="array" ref="AR92">IF(hp!AR92=0,0,_xll.BDP(AR$4,"YAS_BOND_YLD", "YAS_BOND_PX",hp!AR92, "SETTLE_DT", TEXT(ya!$C92,"YYYYMMDD")))</f>
        <v>4.4391999999999996</v>
      </c>
      <c r="AS92" s="2" cm="1">
        <f t="array" ref="AS92">IF(hp!AS92=0,0,_xll.BDP(AS$4,"YAS_BOND_YLD", "YAS_BOND_PX",hp!AS92, "SETTLE_DT", TEXT(ya!$C92,"YYYYMMDD")))</f>
        <v>0</v>
      </c>
      <c r="AT92" s="2" cm="1">
        <f t="array" ref="AT92">IF(hp!AT92=0,0,_xll.BDP(AT$4,"YAS_BOND_YLD", "YAS_BOND_PX",hp!AT92, "SETTLE_DT", TEXT(ya!$C92,"YYYYMMDD")))</f>
        <v>0</v>
      </c>
      <c r="AU92" s="2" cm="1">
        <f t="array" ref="AU92">IF(hp!AU92=0,0,_xll.BDP(AU$4,"YAS_BOND_YLD", "YAS_BOND_PX",hp!AU92, "SETTLE_DT", TEXT(ya!$C92,"YYYYMMDD")))</f>
        <v>0</v>
      </c>
      <c r="AV92" s="2" cm="1">
        <f t="array" ref="AV92">IF(hp!AV92=0,0,_xll.BDP(AV$4,"YAS_BOND_YLD", "YAS_BOND_PX",hp!AV92, "SETTLE_DT", TEXT(ya!$C92,"YYYYMMDD")))</f>
        <v>0</v>
      </c>
      <c r="AW92" s="2" cm="1">
        <f t="array" ref="AW92">IF(hp!AW92=0,0,_xll.BDP(AW$4,"YAS_BOND_YLD", "YAS_BOND_PX",hp!AW92, "SETTLE_DT", TEXT(ya!$C92,"YYYYMMDD")))</f>
        <v>0</v>
      </c>
      <c r="AX92" s="2" cm="1">
        <f t="array" ref="AX92">IF(hp!AX92=0,0,_xll.BDP(AX$4,"YAS_BOND_YLD", "YAS_BOND_PX",hp!AX92, "SETTLE_DT", TEXT(ya!$C92,"YYYYMMDD")))</f>
        <v>0</v>
      </c>
      <c r="AY92" s="2" cm="1">
        <f t="array" ref="AY92">IF(hp!AY92=0,0,_xll.BDP(AY$4,"YAS_BOND_YLD", "YAS_BOND_PX",hp!AY92, "SETTLE_DT", TEXT(ya!$C92,"YYYYMMDD")))</f>
        <v>0</v>
      </c>
      <c r="AZ92" s="2" cm="1">
        <f t="array" ref="AZ92">IF(hp!AZ92=0,0,_xll.BDP(AZ$4,"YAS_BOND_YLD", "YAS_BOND_PX",hp!AZ92, "SETTLE_DT", TEXT(ya!$C92,"YYYYMMDD")))</f>
        <v>0</v>
      </c>
    </row>
    <row r="93" spans="1:52" x14ac:dyDescent="0.25">
      <c r="A93" s="1"/>
      <c r="B93" s="2"/>
      <c r="C93" s="1">
        <v>44742</v>
      </c>
      <c r="D93" s="2" cm="1">
        <f t="array" ref="D93">IF(hp!D93=0,0,_xll.BDP(D$4,"YAS_BOND_YLD", "YAS_BOND_PX",hp!D93, "SETTLE_DT", TEXT(ya!$C93,"YYYYMMDD")))</f>
        <v>0</v>
      </c>
      <c r="E93" s="2" cm="1">
        <f t="array" ref="E93">IF(hp!E93=0,0,_xll.BDP(E$4,"YAS_BOND_YLD", "YAS_BOND_PX",hp!E93, "SETTLE_DT", TEXT(ya!$C93,"YYYYMMDD")))</f>
        <v>14.255599999999999</v>
      </c>
      <c r="F93" s="2" cm="1">
        <f t="array" ref="F93">IF(hp!F93=0,0,_xll.BDP(F$4,"YAS_BOND_YLD", "YAS_BOND_PX",hp!F93, "SETTLE_DT", TEXT(ya!$C93,"YYYYMMDD")))</f>
        <v>14.5992</v>
      </c>
      <c r="G93" s="2" cm="1">
        <f t="array" ref="G93">IF(hp!G93=0,0,_xll.BDP(G$4,"YAS_BOND_YLD", "YAS_BOND_PX",hp!G93, "SETTLE_DT", TEXT(ya!$C93,"YYYYMMDD")))</f>
        <v>5.8924000000000003</v>
      </c>
      <c r="H93" s="2" cm="1">
        <f t="array" ref="H93">IF(hp!H93=0,0,_xll.BDP(H$4,"YAS_BOND_YLD", "YAS_BOND_PX",hp!H93, "SETTLE_DT", TEXT(ya!$C93,"YYYYMMDD")))</f>
        <v>14.3893</v>
      </c>
      <c r="I93" s="2" cm="1">
        <f t="array" ref="I93">IF(hp!I93=0,0,_xll.BDP(I$4,"YAS_BOND_YLD", "YAS_BOND_PX",hp!I93, "SETTLE_DT", TEXT(ya!$C93,"YYYYMMDD")))</f>
        <v>14.1843</v>
      </c>
      <c r="J93" s="2" cm="1">
        <f t="array" ref="J93">IF(hp!J93=0,0,_xll.BDP(J$4,"YAS_BOND_YLD", "YAS_BOND_PX",hp!J93, "SETTLE_DT", TEXT(ya!$C93,"YYYYMMDD")))</f>
        <v>6.0430000000000001</v>
      </c>
      <c r="K93" s="2" cm="1">
        <f t="array" ref="K93">IF(hp!K93=0,0,_xll.BDP(K$4,"YAS_BOND_YLD", "YAS_BOND_PX",hp!K93, "SETTLE_DT", TEXT(ya!$C93,"YYYYMMDD")))</f>
        <v>0</v>
      </c>
      <c r="L93" s="2" cm="1">
        <f t="array" ref="L93">IF(hp!L93=0,0,_xll.BDP(L$4,"YAS_BOND_YLD", "YAS_BOND_PX",hp!L93, "SETTLE_DT", TEXT(ya!$C93,"YYYYMMDD")))</f>
        <v>5.7553000000000001</v>
      </c>
      <c r="M93" s="2" cm="1">
        <f t="array" ref="M93">IF(hp!M93=0,0,_xll.BDP(M$4,"YAS_BOND_YLD", "YAS_BOND_PX",hp!M93, "SETTLE_DT", TEXT(ya!$C93,"YYYYMMDD")))</f>
        <v>5.7526000000000002</v>
      </c>
      <c r="N93" s="2" cm="1">
        <f t="array" ref="N93">IF(hp!N93=0,0,_xll.BDP(N$4,"YAS_BOND_YLD", "YAS_BOND_PX",hp!N93, "SETTLE_DT", TEXT(ya!$C93,"YYYYMMDD")))</f>
        <v>5.7500999999999998</v>
      </c>
      <c r="O93" s="2" cm="1">
        <f t="array" ref="O93">IF(hp!O93=0,0,_xll.BDP(O$4,"YAS_BOND_YLD", "YAS_BOND_PX",hp!O93, "SETTLE_DT", TEXT(ya!$C93,"YYYYMMDD")))</f>
        <v>6.0568</v>
      </c>
      <c r="P93" s="2" cm="1">
        <f t="array" ref="P93">IF(hp!P93=0,0,_xll.BDP(P$4,"YAS_BOND_YLD", "YAS_BOND_PX",hp!P93, "SETTLE_DT", TEXT(ya!$C93,"YYYYMMDD")))</f>
        <v>5.8133999999999997</v>
      </c>
      <c r="Q93" s="2" cm="1">
        <f t="array" ref="Q93">IF(hp!Q93=0,0,_xll.BDP(Q$4,"YAS_BOND_YLD", "YAS_BOND_PX",hp!Q93, "SETTLE_DT", TEXT(ya!$C93,"YYYYMMDD")))</f>
        <v>6.0233999999999996</v>
      </c>
      <c r="R93" s="2" cm="1">
        <f t="array" ref="R93">IF(hp!R93=0,0,_xll.BDP(R$4,"YAS_BOND_YLD", "YAS_BOND_PX",hp!R93, "SETTLE_DT", TEXT(ya!$C93,"YYYYMMDD")))</f>
        <v>0</v>
      </c>
      <c r="S93" s="2" cm="1">
        <f t="array" ref="S93">IF(hp!S93=0,0,_xll.BDP(S$4,"YAS_BOND_YLD", "YAS_BOND_PX",hp!S93, "SETTLE_DT", TEXT(ya!$C93,"YYYYMMDD")))</f>
        <v>0</v>
      </c>
      <c r="T93" s="2" cm="1">
        <f t="array" ref="T93">IF(hp!T93=0,0,_xll.BDP(T$4,"YAS_BOND_YLD", "YAS_BOND_PX",hp!T93, "SETTLE_DT", TEXT(ya!$C93,"YYYYMMDD")))</f>
        <v>5.7561</v>
      </c>
      <c r="U93" s="2" cm="1">
        <f t="array" ref="U93">IF(hp!U93=0,0,_xll.BDP(U$4,"YAS_BOND_YLD", "YAS_BOND_PX",hp!U93, "SETTLE_DT", TEXT(ya!$C93,"YYYYMMDD")))</f>
        <v>5.9371</v>
      </c>
      <c r="V93" s="2" cm="1">
        <f t="array" ref="V93">IF(hp!V93=0,0,_xll.BDP(V$4,"YAS_BOND_YLD", "YAS_BOND_PX",hp!V93, "SETTLE_DT", TEXT(ya!$C93,"YYYYMMDD")))</f>
        <v>0</v>
      </c>
      <c r="W93" s="2" cm="1">
        <f t="array" ref="W93">IF(hp!W93=0,0,_xll.BDP(W$4,"YAS_BOND_YLD", "YAS_BOND_PX",hp!W93, "SETTLE_DT", TEXT(ya!$C93,"YYYYMMDD")))</f>
        <v>0.106</v>
      </c>
      <c r="X93" s="2" cm="1">
        <f t="array" ref="X93">IF(hp!X93=0,0,_xll.BDP(X$4,"YAS_BOND_YLD", "YAS_BOND_PX",hp!X93, "SETTLE_DT", TEXT(ya!$C93,"YYYYMMDD")))</f>
        <v>0</v>
      </c>
      <c r="Y93" s="2" cm="1">
        <f t="array" ref="Y93">IF(hp!Y93=0,0,_xll.BDP(Y$4,"YAS_BOND_YLD", "YAS_BOND_PX",hp!Y93, "SETTLE_DT", TEXT(ya!$C93,"YYYYMMDD")))</f>
        <v>0</v>
      </c>
      <c r="Z93" s="2" cm="1">
        <f t="array" ref="Z93">IF(hp!Z93=0,0,_xll.BDP(Z$4,"YAS_BOND_YLD", "YAS_BOND_PX",hp!Z93, "SETTLE_DT", TEXT(ya!$C93,"YYYYMMDD")))</f>
        <v>0.1234</v>
      </c>
      <c r="AA93" s="2" cm="1">
        <f t="array" ref="AA93">IF(hp!AA93=0,0,_xll.BDP(AA$4,"YAS_BOND_YLD", "YAS_BOND_PX",hp!AA93, "SETTLE_DT", TEXT(ya!$C93,"YYYYMMDD")))</f>
        <v>0</v>
      </c>
      <c r="AB93" s="2" cm="1">
        <f t="array" ref="AB93">IF(hp!AB93=0,0,_xll.BDP(AB$4,"YAS_BOND_YLD", "YAS_BOND_PX",hp!AB93, "SETTLE_DT", TEXT(ya!$C93,"YYYYMMDD")))</f>
        <v>0.14960000000000001</v>
      </c>
      <c r="AC93" s="2" cm="1">
        <f t="array" ref="AC93">IF(hp!AC93=0,0,_xll.BDP(AC$4,"YAS_BOND_YLD", "YAS_BOND_PX",hp!AC93, "SETTLE_DT", TEXT(ya!$C93,"YYYYMMDD")))</f>
        <v>0</v>
      </c>
      <c r="AD93" s="2" cm="1">
        <f t="array" ref="AD93">IF(hp!AD93=0,0,_xll.BDP(AD$4,"YAS_BOND_YLD", "YAS_BOND_PX",hp!AD93, "SETTLE_DT", TEXT(ya!$C93,"YYYYMMDD")))</f>
        <v>6.0434999999999999</v>
      </c>
      <c r="AE93" s="2" cm="1">
        <f t="array" ref="AE93">IF(hp!AE93=0,0,_xll.BDP(AE$4,"YAS_BOND_YLD", "YAS_BOND_PX",hp!AE93, "SETTLE_DT", TEXT(ya!$C93,"YYYYMMDD")))</f>
        <v>0</v>
      </c>
      <c r="AF93" s="2" cm="1">
        <f t="array" ref="AF93">IF(hp!AF93=0,0,_xll.BDP(AF$4,"YAS_BOND_YLD", "YAS_BOND_PX",hp!AF93, "SETTLE_DT", TEXT(ya!$C93,"YYYYMMDD")))</f>
        <v>0.16189999999999999</v>
      </c>
      <c r="AG93" s="2" cm="1">
        <f t="array" ref="AG93">IF(hp!AG93=0,0,_xll.BDP(AG$4,"YAS_BOND_YLD", "YAS_BOND_PX",hp!AG93, "SETTLE_DT", TEXT(ya!$C93,"YYYYMMDD")))</f>
        <v>0.15160000000000001</v>
      </c>
      <c r="AH93" s="2" cm="1">
        <f t="array" ref="AH93">IF(hp!AH93=0,0,_xll.BDP(AH$4,"YAS_BOND_YLD", "YAS_BOND_PX",hp!AH93, "SETTLE_DT", TEXT(ya!$C93,"YYYYMMDD")))</f>
        <v>0</v>
      </c>
      <c r="AI93" s="2" cm="1">
        <f t="array" ref="AI93">IF(hp!AI93=0,0,_xll.BDP(AI$4,"YAS_BOND_YLD", "YAS_BOND_PX",hp!AI93, "SETTLE_DT", TEXT(ya!$C93,"YYYYMMDD")))</f>
        <v>0</v>
      </c>
      <c r="AJ93" s="2" cm="1">
        <f t="array" ref="AJ93">IF(hp!AJ93=0,0,_xll.BDP(AJ$4,"YAS_BOND_YLD", "YAS_BOND_PX",hp!AJ93, "SETTLE_DT", TEXT(ya!$C93,"YYYYMMDD")))</f>
        <v>0</v>
      </c>
      <c r="AK93" s="2" cm="1">
        <f t="array" ref="AK93">IF(hp!AK93=0,0,_xll.BDP(AK$4,"YAS_BOND_YLD", "YAS_BOND_PX",hp!AK93, "SETTLE_DT", TEXT(ya!$C93,"YYYYMMDD")))</f>
        <v>0.1525</v>
      </c>
      <c r="AL93" s="2" cm="1">
        <f t="array" ref="AL93">IF(hp!AL93=0,0,_xll.BDP(AL$4,"YAS_BOND_YLD", "YAS_BOND_PX",hp!AL93, "SETTLE_DT", TEXT(ya!$C93,"YYYYMMDD")))</f>
        <v>0</v>
      </c>
      <c r="AM93" s="2" cm="1">
        <f t="array" ref="AM93">IF(hp!AM93=0,0,_xll.BDP(AM$4,"YAS_BOND_YLD", "YAS_BOND_PX",hp!AM93, "SETTLE_DT", TEXT(ya!$C93,"YYYYMMDD")))</f>
        <v>0</v>
      </c>
      <c r="AN93" s="2" cm="1">
        <f t="array" ref="AN93">IF(hp!AN93=0,0,_xll.BDP(AN$4,"YAS_BOND_YLD", "YAS_BOND_PX",hp!AN93, "SETTLE_DT", TEXT(ya!$C93,"YYYYMMDD")))</f>
        <v>0</v>
      </c>
      <c r="AO93" s="2" cm="1">
        <f t="array" ref="AO93">IF(hp!AO93=0,0,_xll.BDP(AO$4,"YAS_BOND_YLD", "YAS_BOND_PX",hp!AO93, "SETTLE_DT", TEXT(ya!$C93,"YYYYMMDD")))</f>
        <v>0</v>
      </c>
      <c r="AP93" s="2" cm="1">
        <f t="array" ref="AP93">IF(hp!AP93=0,0,_xll.BDP(AP$4,"YAS_BOND_YLD", "YAS_BOND_PX",hp!AP93, "SETTLE_DT", TEXT(ya!$C93,"YYYYMMDD")))</f>
        <v>0</v>
      </c>
      <c r="AQ93" s="2" cm="1">
        <f t="array" ref="AQ93">IF(hp!AQ93=0,0,_xll.BDP(AQ$4,"YAS_BOND_YLD", "YAS_BOND_PX",hp!AQ93, "SETTLE_DT", TEXT(ya!$C93,"YYYYMMDD")))</f>
        <v>0.12559999999999999</v>
      </c>
      <c r="AR93" s="2" cm="1">
        <f t="array" ref="AR93">IF(hp!AR93=0,0,_xll.BDP(AR$4,"YAS_BOND_YLD", "YAS_BOND_PX",hp!AR93, "SETTLE_DT", TEXT(ya!$C93,"YYYYMMDD")))</f>
        <v>5.0033000000000003</v>
      </c>
      <c r="AS93" s="2" cm="1">
        <f t="array" ref="AS93">IF(hp!AS93=0,0,_xll.BDP(AS$4,"YAS_BOND_YLD", "YAS_BOND_PX",hp!AS93, "SETTLE_DT", TEXT(ya!$C93,"YYYYMMDD")))</f>
        <v>0</v>
      </c>
      <c r="AT93" s="2" cm="1">
        <f t="array" ref="AT93">IF(hp!AT93=0,0,_xll.BDP(AT$4,"YAS_BOND_YLD", "YAS_BOND_PX",hp!AT93, "SETTLE_DT", TEXT(ya!$C93,"YYYYMMDD")))</f>
        <v>0</v>
      </c>
      <c r="AU93" s="2" cm="1">
        <f t="array" ref="AU93">IF(hp!AU93=0,0,_xll.BDP(AU$4,"YAS_BOND_YLD", "YAS_BOND_PX",hp!AU93, "SETTLE_DT", TEXT(ya!$C93,"YYYYMMDD")))</f>
        <v>0</v>
      </c>
      <c r="AV93" s="2" cm="1">
        <f t="array" ref="AV93">IF(hp!AV93=0,0,_xll.BDP(AV$4,"YAS_BOND_YLD", "YAS_BOND_PX",hp!AV93, "SETTLE_DT", TEXT(ya!$C93,"YYYYMMDD")))</f>
        <v>0</v>
      </c>
      <c r="AW93" s="2" cm="1">
        <f t="array" ref="AW93">IF(hp!AW93=0,0,_xll.BDP(AW$4,"YAS_BOND_YLD", "YAS_BOND_PX",hp!AW93, "SETTLE_DT", TEXT(ya!$C93,"YYYYMMDD")))</f>
        <v>0</v>
      </c>
      <c r="AX93" s="2" cm="1">
        <f t="array" ref="AX93">IF(hp!AX93=0,0,_xll.BDP(AX$4,"YAS_BOND_YLD", "YAS_BOND_PX",hp!AX93, "SETTLE_DT", TEXT(ya!$C93,"YYYYMMDD")))</f>
        <v>0</v>
      </c>
      <c r="AY93" s="2" cm="1">
        <f t="array" ref="AY93">IF(hp!AY93=0,0,_xll.BDP(AY$4,"YAS_BOND_YLD", "YAS_BOND_PX",hp!AY93, "SETTLE_DT", TEXT(ya!$C93,"YYYYMMDD")))</f>
        <v>0</v>
      </c>
      <c r="AZ93" s="2" cm="1">
        <f t="array" ref="AZ93">IF(hp!AZ93=0,0,_xll.BDP(AZ$4,"YAS_BOND_YLD", "YAS_BOND_PX",hp!AZ93, "SETTLE_DT", TEXT(ya!$C93,"YYYYMMDD")))</f>
        <v>0</v>
      </c>
    </row>
    <row r="94" spans="1:52" x14ac:dyDescent="0.25">
      <c r="A94" s="1"/>
      <c r="B94" s="2"/>
      <c r="C94" s="1">
        <v>44771</v>
      </c>
      <c r="D94" s="2" cm="1">
        <f t="array" ref="D94">IF(hp!D94=0,0,_xll.BDP(D$4,"YAS_BOND_YLD", "YAS_BOND_PX",hp!D94, "SETTLE_DT", TEXT(ya!$C94,"YYYYMMDD")))</f>
        <v>0</v>
      </c>
      <c r="E94" s="2" cm="1">
        <f t="array" ref="E94">IF(hp!E94=0,0,_xll.BDP(E$4,"YAS_BOND_YLD", "YAS_BOND_PX",hp!E94, "SETTLE_DT", TEXT(ya!$C94,"YYYYMMDD")))</f>
        <v>12.928800000000001</v>
      </c>
      <c r="F94" s="2" cm="1">
        <f t="array" ref="F94">IF(hp!F94=0,0,_xll.BDP(F$4,"YAS_BOND_YLD", "YAS_BOND_PX",hp!F94, "SETTLE_DT", TEXT(ya!$C94,"YYYYMMDD")))</f>
        <v>12.775399999999999</v>
      </c>
      <c r="G94" s="2" cm="1">
        <f t="array" ref="G94">IF(hp!G94=0,0,_xll.BDP(G$4,"YAS_BOND_YLD", "YAS_BOND_PX",hp!G94, "SETTLE_DT", TEXT(ya!$C94,"YYYYMMDD")))</f>
        <v>6.1955</v>
      </c>
      <c r="H94" s="2" cm="1">
        <f t="array" ref="H94">IF(hp!H94=0,0,_xll.BDP(H$4,"YAS_BOND_YLD", "YAS_BOND_PX",hp!H94, "SETTLE_DT", TEXT(ya!$C94,"YYYYMMDD")))</f>
        <v>12.8986</v>
      </c>
      <c r="I94" s="2" cm="1">
        <f t="array" ref="I94">IF(hp!I94=0,0,_xll.BDP(I$4,"YAS_BOND_YLD", "YAS_BOND_PX",hp!I94, "SETTLE_DT", TEXT(ya!$C94,"YYYYMMDD")))</f>
        <v>12.929</v>
      </c>
      <c r="J94" s="2" cm="1">
        <f t="array" ref="J94">IF(hp!J94=0,0,_xll.BDP(J$4,"YAS_BOND_YLD", "YAS_BOND_PX",hp!J94, "SETTLE_DT", TEXT(ya!$C94,"YYYYMMDD")))</f>
        <v>6.2572000000000001</v>
      </c>
      <c r="K94" s="2" cm="1">
        <f t="array" ref="K94">IF(hp!K94=0,0,_xll.BDP(K$4,"YAS_BOND_YLD", "YAS_BOND_PX",hp!K94, "SETTLE_DT", TEXT(ya!$C94,"YYYYMMDD")))</f>
        <v>12.732200000000001</v>
      </c>
      <c r="L94" s="2" cm="1">
        <f t="array" ref="L94">IF(hp!L94=0,0,_xll.BDP(L$4,"YAS_BOND_YLD", "YAS_BOND_PX",hp!L94, "SETTLE_DT", TEXT(ya!$C94,"YYYYMMDD")))</f>
        <v>6.0388999999999999</v>
      </c>
      <c r="M94" s="2" cm="1">
        <f t="array" ref="M94">IF(hp!M94=0,0,_xll.BDP(M$4,"YAS_BOND_YLD", "YAS_BOND_PX",hp!M94, "SETTLE_DT", TEXT(ya!$C94,"YYYYMMDD")))</f>
        <v>6.0270999999999999</v>
      </c>
      <c r="N94" s="2" cm="1">
        <f t="array" ref="N94">IF(hp!N94=0,0,_xll.BDP(N$4,"YAS_BOND_YLD", "YAS_BOND_PX",hp!N94, "SETTLE_DT", TEXT(ya!$C94,"YYYYMMDD")))</f>
        <v>6.0025000000000004</v>
      </c>
      <c r="O94" s="2" cm="1">
        <f t="array" ref="O94">IF(hp!O94=0,0,_xll.BDP(O$4,"YAS_BOND_YLD", "YAS_BOND_PX",hp!O94, "SETTLE_DT", TEXT(ya!$C94,"YYYYMMDD")))</f>
        <v>6.2689000000000004</v>
      </c>
      <c r="P94" s="2" cm="1">
        <f t="array" ref="P94">IF(hp!P94=0,0,_xll.BDP(P$4,"YAS_BOND_YLD", "YAS_BOND_PX",hp!P94, "SETTLE_DT", TEXT(ya!$C94,"YYYYMMDD")))</f>
        <v>6.1241000000000003</v>
      </c>
      <c r="Q94" s="2" cm="1">
        <f t="array" ref="Q94">IF(hp!Q94=0,0,_xll.BDP(Q$4,"YAS_BOND_YLD", "YAS_BOND_PX",hp!Q94, "SETTLE_DT", TEXT(ya!$C94,"YYYYMMDD")))</f>
        <v>6.2508999999999997</v>
      </c>
      <c r="R94" s="2" cm="1">
        <f t="array" ref="R94">IF(hp!R94=0,0,_xll.BDP(R$4,"YAS_BOND_YLD", "YAS_BOND_PX",hp!R94, "SETTLE_DT", TEXT(ya!$C94,"YYYYMMDD")))</f>
        <v>0</v>
      </c>
      <c r="S94" s="2" cm="1">
        <f t="array" ref="S94">IF(hp!S94=0,0,_xll.BDP(S$4,"YAS_BOND_YLD", "YAS_BOND_PX",hp!S94, "SETTLE_DT", TEXT(ya!$C94,"YYYYMMDD")))</f>
        <v>0</v>
      </c>
      <c r="T94" s="2" cm="1">
        <f t="array" ref="T94">IF(hp!T94=0,0,_xll.BDP(T$4,"YAS_BOND_YLD", "YAS_BOND_PX",hp!T94, "SETTLE_DT", TEXT(ya!$C94,"YYYYMMDD")))</f>
        <v>6.016</v>
      </c>
      <c r="U94" s="2" cm="1">
        <f t="array" ref="U94">IF(hp!U94=0,0,_xll.BDP(U$4,"YAS_BOND_YLD", "YAS_BOND_PX",hp!U94, "SETTLE_DT", TEXT(ya!$C94,"YYYYMMDD")))</f>
        <v>6.2146999999999997</v>
      </c>
      <c r="V94" s="2" cm="1">
        <f t="array" ref="V94">IF(hp!V94=0,0,_xll.BDP(V$4,"YAS_BOND_YLD", "YAS_BOND_PX",hp!V94, "SETTLE_DT", TEXT(ya!$C94,"YYYYMMDD")))</f>
        <v>0</v>
      </c>
      <c r="W94" s="2" cm="1">
        <f t="array" ref="W94">IF(hp!W94=0,0,_xll.BDP(W$4,"YAS_BOND_YLD", "YAS_BOND_PX",hp!W94, "SETTLE_DT", TEXT(ya!$C94,"YYYYMMDD")))</f>
        <v>9.5000000000000001E-2</v>
      </c>
      <c r="X94" s="2" cm="1">
        <f t="array" ref="X94">IF(hp!X94=0,0,_xll.BDP(X$4,"YAS_BOND_YLD", "YAS_BOND_PX",hp!X94, "SETTLE_DT", TEXT(ya!$C94,"YYYYMMDD")))</f>
        <v>0</v>
      </c>
      <c r="Y94" s="2" cm="1">
        <f t="array" ref="Y94">IF(hp!Y94=0,0,_xll.BDP(Y$4,"YAS_BOND_YLD", "YAS_BOND_PX",hp!Y94, "SETTLE_DT", TEXT(ya!$C94,"YYYYMMDD")))</f>
        <v>0</v>
      </c>
      <c r="Z94" s="2" cm="1">
        <f t="array" ref="Z94">IF(hp!Z94=0,0,_xll.BDP(Z$4,"YAS_BOND_YLD", "YAS_BOND_PX",hp!Z94, "SETTLE_DT", TEXT(ya!$C94,"YYYYMMDD")))</f>
        <v>0.1186</v>
      </c>
      <c r="AA94" s="2" cm="1">
        <f t="array" ref="AA94">IF(hp!AA94=0,0,_xll.BDP(AA$4,"YAS_BOND_YLD", "YAS_BOND_PX",hp!AA94, "SETTLE_DT", TEXT(ya!$C94,"YYYYMMDD")))</f>
        <v>0</v>
      </c>
      <c r="AB94" s="2" cm="1">
        <f t="array" ref="AB94">IF(hp!AB94=0,0,_xll.BDP(AB$4,"YAS_BOND_YLD", "YAS_BOND_PX",hp!AB94, "SETTLE_DT", TEXT(ya!$C94,"YYYYMMDD")))</f>
        <v>0.15479999999999999</v>
      </c>
      <c r="AC94" s="2" cm="1">
        <f t="array" ref="AC94">IF(hp!AC94=0,0,_xll.BDP(AC$4,"YAS_BOND_YLD", "YAS_BOND_PX",hp!AC94, "SETTLE_DT", TEXT(ya!$C94,"YYYYMMDD")))</f>
        <v>0</v>
      </c>
      <c r="AD94" s="2" cm="1">
        <f t="array" ref="AD94">IF(hp!AD94=0,0,_xll.BDP(AD$4,"YAS_BOND_YLD", "YAS_BOND_PX",hp!AD94, "SETTLE_DT", TEXT(ya!$C94,"YYYYMMDD")))</f>
        <v>6.2607999999999997</v>
      </c>
      <c r="AE94" s="2" cm="1">
        <f t="array" ref="AE94">IF(hp!AE94=0,0,_xll.BDP(AE$4,"YAS_BOND_YLD", "YAS_BOND_PX",hp!AE94, "SETTLE_DT", TEXT(ya!$C94,"YYYYMMDD")))</f>
        <v>0</v>
      </c>
      <c r="AF94" s="2" cm="1">
        <f t="array" ref="AF94">IF(hp!AF94=0,0,_xll.BDP(AF$4,"YAS_BOND_YLD", "YAS_BOND_PX",hp!AF94, "SETTLE_DT", TEXT(ya!$C94,"YYYYMMDD")))</f>
        <v>0.16139999999999999</v>
      </c>
      <c r="AG94" s="2" cm="1">
        <f t="array" ref="AG94">IF(hp!AG94=0,0,_xll.BDP(AG$4,"YAS_BOND_YLD", "YAS_BOND_PX",hp!AG94, "SETTLE_DT", TEXT(ya!$C94,"YYYYMMDD")))</f>
        <v>0.15770000000000001</v>
      </c>
      <c r="AH94" s="2" cm="1">
        <f t="array" ref="AH94">IF(hp!AH94=0,0,_xll.BDP(AH$4,"YAS_BOND_YLD", "YAS_BOND_PX",hp!AH94, "SETTLE_DT", TEXT(ya!$C94,"YYYYMMDD")))</f>
        <v>0</v>
      </c>
      <c r="AI94" s="2" cm="1">
        <f t="array" ref="AI94">IF(hp!AI94=0,0,_xll.BDP(AI$4,"YAS_BOND_YLD", "YAS_BOND_PX",hp!AI94, "SETTLE_DT", TEXT(ya!$C94,"YYYYMMDD")))</f>
        <v>0</v>
      </c>
      <c r="AJ94" s="2" cm="1">
        <f t="array" ref="AJ94">IF(hp!AJ94=0,0,_xll.BDP(AJ$4,"YAS_BOND_YLD", "YAS_BOND_PX",hp!AJ94, "SETTLE_DT", TEXT(ya!$C94,"YYYYMMDD")))</f>
        <v>0</v>
      </c>
      <c r="AK94" s="2" cm="1">
        <f t="array" ref="AK94">IF(hp!AK94=0,0,_xll.BDP(AK$4,"YAS_BOND_YLD", "YAS_BOND_PX",hp!AK94, "SETTLE_DT", TEXT(ya!$C94,"YYYYMMDD")))</f>
        <v>0.1585</v>
      </c>
      <c r="AL94" s="2" cm="1">
        <f t="array" ref="AL94">IF(hp!AL94=0,0,_xll.BDP(AL$4,"YAS_BOND_YLD", "YAS_BOND_PX",hp!AL94, "SETTLE_DT", TEXT(ya!$C94,"YYYYMMDD")))</f>
        <v>0</v>
      </c>
      <c r="AM94" s="2" cm="1">
        <f t="array" ref="AM94">IF(hp!AM94=0,0,_xll.BDP(AM$4,"YAS_BOND_YLD", "YAS_BOND_PX",hp!AM94, "SETTLE_DT", TEXT(ya!$C94,"YYYYMMDD")))</f>
        <v>0</v>
      </c>
      <c r="AN94" s="2" cm="1">
        <f t="array" ref="AN94">IF(hp!AN94=0,0,_xll.BDP(AN$4,"YAS_BOND_YLD", "YAS_BOND_PX",hp!AN94, "SETTLE_DT", TEXT(ya!$C94,"YYYYMMDD")))</f>
        <v>0</v>
      </c>
      <c r="AO94" s="2" cm="1">
        <f t="array" ref="AO94">IF(hp!AO94=0,0,_xll.BDP(AO$4,"YAS_BOND_YLD", "YAS_BOND_PX",hp!AO94, "SETTLE_DT", TEXT(ya!$C94,"YYYYMMDD")))</f>
        <v>0</v>
      </c>
      <c r="AP94" s="2" cm="1">
        <f t="array" ref="AP94">IF(hp!AP94=0,0,_xll.BDP(AP$4,"YAS_BOND_YLD", "YAS_BOND_PX",hp!AP94, "SETTLE_DT", TEXT(ya!$C94,"YYYYMMDD")))</f>
        <v>0</v>
      </c>
      <c r="AQ94" s="2" cm="1">
        <f t="array" ref="AQ94">IF(hp!AQ94=0,0,_xll.BDP(AQ$4,"YAS_BOND_YLD", "YAS_BOND_PX",hp!AQ94, "SETTLE_DT", TEXT(ya!$C94,"YYYYMMDD")))</f>
        <v>0.12239999999999999</v>
      </c>
      <c r="AR94" s="2" cm="1">
        <f t="array" ref="AR94">IF(hp!AR94=0,0,_xll.BDP(AR$4,"YAS_BOND_YLD", "YAS_BOND_PX",hp!AR94, "SETTLE_DT", TEXT(ya!$C94,"YYYYMMDD")))</f>
        <v>4.3922999999999996</v>
      </c>
      <c r="AS94" s="2" cm="1">
        <f t="array" ref="AS94">IF(hp!AS94=0,0,_xll.BDP(AS$4,"YAS_BOND_YLD", "YAS_BOND_PX",hp!AS94, "SETTLE_DT", TEXT(ya!$C94,"YYYYMMDD")))</f>
        <v>0</v>
      </c>
      <c r="AT94" s="2" cm="1">
        <f t="array" ref="AT94">IF(hp!AT94=0,0,_xll.BDP(AT$4,"YAS_BOND_YLD", "YAS_BOND_PX",hp!AT94, "SETTLE_DT", TEXT(ya!$C94,"YYYYMMDD")))</f>
        <v>0</v>
      </c>
      <c r="AU94" s="2" cm="1">
        <f t="array" ref="AU94">IF(hp!AU94=0,0,_xll.BDP(AU$4,"YAS_BOND_YLD", "YAS_BOND_PX",hp!AU94, "SETTLE_DT", TEXT(ya!$C94,"YYYYMMDD")))</f>
        <v>0</v>
      </c>
      <c r="AV94" s="2" cm="1">
        <f t="array" ref="AV94">IF(hp!AV94=0,0,_xll.BDP(AV$4,"YAS_BOND_YLD", "YAS_BOND_PX",hp!AV94, "SETTLE_DT", TEXT(ya!$C94,"YYYYMMDD")))</f>
        <v>0</v>
      </c>
      <c r="AW94" s="2" cm="1">
        <f t="array" ref="AW94">IF(hp!AW94=0,0,_xll.BDP(AW$4,"YAS_BOND_YLD", "YAS_BOND_PX",hp!AW94, "SETTLE_DT", TEXT(ya!$C94,"YYYYMMDD")))</f>
        <v>0</v>
      </c>
      <c r="AX94" s="2" cm="1">
        <f t="array" ref="AX94">IF(hp!AX94=0,0,_xll.BDP(AX$4,"YAS_BOND_YLD", "YAS_BOND_PX",hp!AX94, "SETTLE_DT", TEXT(ya!$C94,"YYYYMMDD")))</f>
        <v>0</v>
      </c>
      <c r="AY94" s="2" cm="1">
        <f t="array" ref="AY94">IF(hp!AY94=0,0,_xll.BDP(AY$4,"YAS_BOND_YLD", "YAS_BOND_PX",hp!AY94, "SETTLE_DT", TEXT(ya!$C94,"YYYYMMDD")))</f>
        <v>0</v>
      </c>
      <c r="AZ94" s="2" cm="1">
        <f t="array" ref="AZ94">IF(hp!AZ94=0,0,_xll.BDP(AZ$4,"YAS_BOND_YLD", "YAS_BOND_PX",hp!AZ94, "SETTLE_DT", TEXT(ya!$C94,"YYYYMMDD")))</f>
        <v>0</v>
      </c>
    </row>
    <row r="95" spans="1:52" x14ac:dyDescent="0.25">
      <c r="A95" s="1"/>
      <c r="B95" s="2"/>
      <c r="C95" s="1">
        <v>44804</v>
      </c>
      <c r="D95" s="2" cm="1">
        <f t="array" ref="D95">IF(hp!D95=0,0,_xll.BDP(D$4,"YAS_BOND_YLD", "YAS_BOND_PX",hp!D95, "SETTLE_DT", TEXT(ya!$C95,"YYYYMMDD")))</f>
        <v>0</v>
      </c>
      <c r="E95" s="2" cm="1">
        <f t="array" ref="E95">IF(hp!E95=0,0,_xll.BDP(E$4,"YAS_BOND_YLD", "YAS_BOND_PX",hp!E95, "SETTLE_DT", TEXT(ya!$C95,"YYYYMMDD")))</f>
        <v>12.194900000000001</v>
      </c>
      <c r="F95" s="2" cm="1">
        <f t="array" ref="F95">IF(hp!F95=0,0,_xll.BDP(F$4,"YAS_BOND_YLD", "YAS_BOND_PX",hp!F95, "SETTLE_DT", TEXT(ya!$C95,"YYYYMMDD")))</f>
        <v>11.9604</v>
      </c>
      <c r="G95" s="2" cm="1">
        <f t="array" ref="G95">IF(hp!G95=0,0,_xll.BDP(G$4,"YAS_BOND_YLD", "YAS_BOND_PX",hp!G95, "SETTLE_DT", TEXT(ya!$C95,"YYYYMMDD")))</f>
        <v>5.9401000000000002</v>
      </c>
      <c r="H95" s="2" cm="1">
        <f t="array" ref="H95">IF(hp!H95=0,0,_xll.BDP(H$4,"YAS_BOND_YLD", "YAS_BOND_PX",hp!H95, "SETTLE_DT", TEXT(ya!$C95,"YYYYMMDD")))</f>
        <v>12.129899999999999</v>
      </c>
      <c r="I95" s="2" cm="1">
        <f t="array" ref="I95">IF(hp!I95=0,0,_xll.BDP(I$4,"YAS_BOND_YLD", "YAS_BOND_PX",hp!I95, "SETTLE_DT", TEXT(ya!$C95,"YYYYMMDD")))</f>
        <v>12.2326</v>
      </c>
      <c r="J95" s="2" cm="1">
        <f t="array" ref="J95">IF(hp!J95=0,0,_xll.BDP(J$4,"YAS_BOND_YLD", "YAS_BOND_PX",hp!J95, "SETTLE_DT", TEXT(ya!$C95,"YYYYMMDD")))</f>
        <v>5.9916999999999998</v>
      </c>
      <c r="K95" s="2" cm="1">
        <f t="array" ref="K95">IF(hp!K95=0,0,_xll.BDP(K$4,"YAS_BOND_YLD", "YAS_BOND_PX",hp!K95, "SETTLE_DT", TEXT(ya!$C95,"YYYYMMDD")))</f>
        <v>11.9604</v>
      </c>
      <c r="L95" s="2" cm="1">
        <f t="array" ref="L95">IF(hp!L95=0,0,_xll.BDP(L$4,"YAS_BOND_YLD", "YAS_BOND_PX",hp!L95, "SETTLE_DT", TEXT(ya!$C95,"YYYYMMDD")))</f>
        <v>5.8444000000000003</v>
      </c>
      <c r="M95" s="2" cm="1">
        <f t="array" ref="M95">IF(hp!M95=0,0,_xll.BDP(M$4,"YAS_BOND_YLD", "YAS_BOND_PX",hp!M95, "SETTLE_DT", TEXT(ya!$C95,"YYYYMMDD")))</f>
        <v>5.8266999999999998</v>
      </c>
      <c r="N95" s="2" cm="1">
        <f t="array" ref="N95">IF(hp!N95=0,0,_xll.BDP(N$4,"YAS_BOND_YLD", "YAS_BOND_PX",hp!N95, "SETTLE_DT", TEXT(ya!$C95,"YYYYMMDD")))</f>
        <v>5.9104999999999999</v>
      </c>
      <c r="O95" s="2" cm="1">
        <f t="array" ref="O95">IF(hp!O95=0,0,_xll.BDP(O$4,"YAS_BOND_YLD", "YAS_BOND_PX",hp!O95, "SETTLE_DT", TEXT(ya!$C95,"YYYYMMDD")))</f>
        <v>5.9960000000000004</v>
      </c>
      <c r="P95" s="2" cm="1">
        <f t="array" ref="P95">IF(hp!P95=0,0,_xll.BDP(P$4,"YAS_BOND_YLD", "YAS_BOND_PX",hp!P95, "SETTLE_DT", TEXT(ya!$C95,"YYYYMMDD")))</f>
        <v>5.9164000000000003</v>
      </c>
      <c r="Q95" s="2" cm="1">
        <f t="array" ref="Q95">IF(hp!Q95=0,0,_xll.BDP(Q$4,"YAS_BOND_YLD", "YAS_BOND_PX",hp!Q95, "SETTLE_DT", TEXT(ya!$C95,"YYYYMMDD")))</f>
        <v>5.9916</v>
      </c>
      <c r="R95" s="2" cm="1">
        <f t="array" ref="R95">IF(hp!R95=0,0,_xll.BDP(R$4,"YAS_BOND_YLD", "YAS_BOND_PX",hp!R95, "SETTLE_DT", TEXT(ya!$C95,"YYYYMMDD")))</f>
        <v>0</v>
      </c>
      <c r="S95" s="2" cm="1">
        <f t="array" ref="S95">IF(hp!S95=0,0,_xll.BDP(S$4,"YAS_BOND_YLD", "YAS_BOND_PX",hp!S95, "SETTLE_DT", TEXT(ya!$C95,"YYYYMMDD")))</f>
        <v>0</v>
      </c>
      <c r="T95" s="2" cm="1">
        <f t="array" ref="T95">IF(hp!T95=0,0,_xll.BDP(T$4,"YAS_BOND_YLD", "YAS_BOND_PX",hp!T95, "SETTLE_DT", TEXT(ya!$C95,"YYYYMMDD")))</f>
        <v>5.8719999999999999</v>
      </c>
      <c r="U95" s="2" cm="1">
        <f t="array" ref="U95">IF(hp!U95=0,0,_xll.BDP(U$4,"YAS_BOND_YLD", "YAS_BOND_PX",hp!U95, "SETTLE_DT", TEXT(ya!$C95,"YYYYMMDD")))</f>
        <v>5.9297000000000004</v>
      </c>
      <c r="V95" s="2" cm="1">
        <f t="array" ref="V95">IF(hp!V95=0,0,_xll.BDP(V$4,"YAS_BOND_YLD", "YAS_BOND_PX",hp!V95, "SETTLE_DT", TEXT(ya!$C95,"YYYYMMDD")))</f>
        <v>0</v>
      </c>
      <c r="W95" s="2" cm="1">
        <f t="array" ref="W95">IF(hp!W95=0,0,_xll.BDP(W$4,"YAS_BOND_YLD", "YAS_BOND_PX",hp!W95, "SETTLE_DT", TEXT(ya!$C95,"YYYYMMDD")))</f>
        <v>8.5300000000000001E-2</v>
      </c>
      <c r="X95" s="2" cm="1">
        <f t="array" ref="X95">IF(hp!X95=0,0,_xll.BDP(X$4,"YAS_BOND_YLD", "YAS_BOND_PX",hp!X95, "SETTLE_DT", TEXT(ya!$C95,"YYYYMMDD")))</f>
        <v>0</v>
      </c>
      <c r="Y95" s="2" cm="1">
        <f t="array" ref="Y95">IF(hp!Y95=0,0,_xll.BDP(Y$4,"YAS_BOND_YLD", "YAS_BOND_PX",hp!Y95, "SETTLE_DT", TEXT(ya!$C95,"YYYYMMDD")))</f>
        <v>0</v>
      </c>
      <c r="Z95" s="2" cm="1">
        <f t="array" ref="Z95">IF(hp!Z95=0,0,_xll.BDP(Z$4,"YAS_BOND_YLD", "YAS_BOND_PX",hp!Z95, "SETTLE_DT", TEXT(ya!$C95,"YYYYMMDD")))</f>
        <v>0.1108</v>
      </c>
      <c r="AA95" s="2" cm="1">
        <f t="array" ref="AA95">IF(hp!AA95=0,0,_xll.BDP(AA$4,"YAS_BOND_YLD", "YAS_BOND_PX",hp!AA95, "SETTLE_DT", TEXT(ya!$C95,"YYYYMMDD")))</f>
        <v>0</v>
      </c>
      <c r="AB95" s="2" cm="1">
        <f t="array" ref="AB95">IF(hp!AB95=0,0,_xll.BDP(AB$4,"YAS_BOND_YLD", "YAS_BOND_PX",hp!AB95, "SETTLE_DT", TEXT(ya!$C95,"YYYYMMDD")))</f>
        <v>0.1605</v>
      </c>
      <c r="AC95" s="2" cm="1">
        <f t="array" ref="AC95">IF(hp!AC95=0,0,_xll.BDP(AC$4,"YAS_BOND_YLD", "YAS_BOND_PX",hp!AC95, "SETTLE_DT", TEXT(ya!$C95,"YYYYMMDD")))</f>
        <v>0</v>
      </c>
      <c r="AD95" s="2" cm="1">
        <f t="array" ref="AD95">IF(hp!AD95=0,0,_xll.BDP(AD$4,"YAS_BOND_YLD", "YAS_BOND_PX",hp!AD95, "SETTLE_DT", TEXT(ya!$C95,"YYYYMMDD")))</f>
        <v>5.9916</v>
      </c>
      <c r="AE95" s="2" cm="1">
        <f t="array" ref="AE95">IF(hp!AE95=0,0,_xll.BDP(AE$4,"YAS_BOND_YLD", "YAS_BOND_PX",hp!AE95, "SETTLE_DT", TEXT(ya!$C95,"YYYYMMDD")))</f>
        <v>0</v>
      </c>
      <c r="AF95" s="2" cm="1">
        <f t="array" ref="AF95">IF(hp!AF95=0,0,_xll.BDP(AF$4,"YAS_BOND_YLD", "YAS_BOND_PX",hp!AF95, "SETTLE_DT", TEXT(ya!$C95,"YYYYMMDD")))</f>
        <v>0.1673</v>
      </c>
      <c r="AG95" s="2" cm="1">
        <f t="array" ref="AG95">IF(hp!AG95=0,0,_xll.BDP(AG$4,"YAS_BOND_YLD", "YAS_BOND_PX",hp!AG95, "SETTLE_DT", TEXT(ya!$C95,"YYYYMMDD")))</f>
        <v>0.16250000000000001</v>
      </c>
      <c r="AH95" s="2" cm="1">
        <f t="array" ref="AH95">IF(hp!AH95=0,0,_xll.BDP(AH$4,"YAS_BOND_YLD", "YAS_BOND_PX",hp!AH95, "SETTLE_DT", TEXT(ya!$C95,"YYYYMMDD")))</f>
        <v>0</v>
      </c>
      <c r="AI95" s="2" cm="1">
        <f t="array" ref="AI95">IF(hp!AI95=0,0,_xll.BDP(AI$4,"YAS_BOND_YLD", "YAS_BOND_PX",hp!AI95, "SETTLE_DT", TEXT(ya!$C95,"YYYYMMDD")))</f>
        <v>0</v>
      </c>
      <c r="AJ95" s="2" cm="1">
        <f t="array" ref="AJ95">IF(hp!AJ95=0,0,_xll.BDP(AJ$4,"YAS_BOND_YLD", "YAS_BOND_PX",hp!AJ95, "SETTLE_DT", TEXT(ya!$C95,"YYYYMMDD")))</f>
        <v>0</v>
      </c>
      <c r="AK95" s="2" cm="1">
        <f t="array" ref="AK95">IF(hp!AK95=0,0,_xll.BDP(AK$4,"YAS_BOND_YLD", "YAS_BOND_PX",hp!AK95, "SETTLE_DT", TEXT(ya!$C95,"YYYYMMDD")))</f>
        <v>0.16339999999999999</v>
      </c>
      <c r="AL95" s="2" cm="1">
        <f t="array" ref="AL95">IF(hp!AL95=0,0,_xll.BDP(AL$4,"YAS_BOND_YLD", "YAS_BOND_PX",hp!AL95, "SETTLE_DT", TEXT(ya!$C95,"YYYYMMDD")))</f>
        <v>0</v>
      </c>
      <c r="AM95" s="2" cm="1">
        <f t="array" ref="AM95">IF(hp!AM95=0,0,_xll.BDP(AM$4,"YAS_BOND_YLD", "YAS_BOND_PX",hp!AM95, "SETTLE_DT", TEXT(ya!$C95,"YYYYMMDD")))</f>
        <v>0</v>
      </c>
      <c r="AN95" s="2" cm="1">
        <f t="array" ref="AN95">IF(hp!AN95=0,0,_xll.BDP(AN$4,"YAS_BOND_YLD", "YAS_BOND_PX",hp!AN95, "SETTLE_DT", TEXT(ya!$C95,"YYYYMMDD")))</f>
        <v>0</v>
      </c>
      <c r="AO95" s="2" cm="1">
        <f t="array" ref="AO95">IF(hp!AO95=0,0,_xll.BDP(AO$4,"YAS_BOND_YLD", "YAS_BOND_PX",hp!AO95, "SETTLE_DT", TEXT(ya!$C95,"YYYYMMDD")))</f>
        <v>0</v>
      </c>
      <c r="AP95" s="2" cm="1">
        <f t="array" ref="AP95">IF(hp!AP95=0,0,_xll.BDP(AP$4,"YAS_BOND_YLD", "YAS_BOND_PX",hp!AP95, "SETTLE_DT", TEXT(ya!$C95,"YYYYMMDD")))</f>
        <v>0</v>
      </c>
      <c r="AQ95" s="2" cm="1">
        <f t="array" ref="AQ95">IF(hp!AQ95=0,0,_xll.BDP(AQ$4,"YAS_BOND_YLD", "YAS_BOND_PX",hp!AQ95, "SETTLE_DT", TEXT(ya!$C95,"YYYYMMDD")))</f>
        <v>0.11219999999999999</v>
      </c>
      <c r="AR95" s="2" cm="1">
        <f t="array" ref="AR95">IF(hp!AR95=0,0,_xll.BDP(AR$4,"YAS_BOND_YLD", "YAS_BOND_PX",hp!AR95, "SETTLE_DT", TEXT(ya!$C95,"YYYYMMDD")))</f>
        <v>4.5331000000000001</v>
      </c>
      <c r="AS95" s="2" cm="1">
        <f t="array" ref="AS95">IF(hp!AS95=0,0,_xll.BDP(AS$4,"YAS_BOND_YLD", "YAS_BOND_PX",hp!AS95, "SETTLE_DT", TEXT(ya!$C95,"YYYYMMDD")))</f>
        <v>0</v>
      </c>
      <c r="AT95" s="2" cm="1">
        <f t="array" ref="AT95">IF(hp!AT95=0,0,_xll.BDP(AT$4,"YAS_BOND_YLD", "YAS_BOND_PX",hp!AT95, "SETTLE_DT", TEXT(ya!$C95,"YYYYMMDD")))</f>
        <v>0</v>
      </c>
      <c r="AU95" s="2" cm="1">
        <f t="array" ref="AU95">IF(hp!AU95=0,0,_xll.BDP(AU$4,"YAS_BOND_YLD", "YAS_BOND_PX",hp!AU95, "SETTLE_DT", TEXT(ya!$C95,"YYYYMMDD")))</f>
        <v>0</v>
      </c>
      <c r="AV95" s="2" cm="1">
        <f t="array" ref="AV95">IF(hp!AV95=0,0,_xll.BDP(AV$4,"YAS_BOND_YLD", "YAS_BOND_PX",hp!AV95, "SETTLE_DT", TEXT(ya!$C95,"YYYYMMDD")))</f>
        <v>0</v>
      </c>
      <c r="AW95" s="2" cm="1">
        <f t="array" ref="AW95">IF(hp!AW95=0,0,_xll.BDP(AW$4,"YAS_BOND_YLD", "YAS_BOND_PX",hp!AW95, "SETTLE_DT", TEXT(ya!$C95,"YYYYMMDD")))</f>
        <v>0</v>
      </c>
      <c r="AX95" s="2" cm="1">
        <f t="array" ref="AX95">IF(hp!AX95=0,0,_xll.BDP(AX$4,"YAS_BOND_YLD", "YAS_BOND_PX",hp!AX95, "SETTLE_DT", TEXT(ya!$C95,"YYYYMMDD")))</f>
        <v>0</v>
      </c>
      <c r="AY95" s="2" cm="1">
        <f t="array" ref="AY95">IF(hp!AY95=0,0,_xll.BDP(AY$4,"YAS_BOND_YLD", "YAS_BOND_PX",hp!AY95, "SETTLE_DT", TEXT(ya!$C95,"YYYYMMDD")))</f>
        <v>0</v>
      </c>
      <c r="AZ95" s="2" cm="1">
        <f t="array" ref="AZ95">IF(hp!AZ95=0,0,_xll.BDP(AZ$4,"YAS_BOND_YLD", "YAS_BOND_PX",hp!AZ95, "SETTLE_DT", TEXT(ya!$C95,"YYYYMMDD")))</f>
        <v>0</v>
      </c>
    </row>
    <row r="96" spans="1:52" x14ac:dyDescent="0.25">
      <c r="A96" s="1"/>
      <c r="B96" s="2"/>
      <c r="C96" s="1">
        <v>44834</v>
      </c>
      <c r="D96" s="2" cm="1">
        <f t="array" ref="D96">IF(hp!D96=0,0,_xll.BDP(D$4,"YAS_BOND_YLD", "YAS_BOND_PX",hp!D96, "SETTLE_DT", TEXT(ya!$C96,"YYYYMMDD")))</f>
        <v>0</v>
      </c>
      <c r="E96" s="2" cm="1">
        <f t="array" ref="E96">IF(hp!E96=0,0,_xll.BDP(E$4,"YAS_BOND_YLD", "YAS_BOND_PX",hp!E96, "SETTLE_DT", TEXT(ya!$C96,"YYYYMMDD")))</f>
        <v>11.9986</v>
      </c>
      <c r="F96" s="2" cm="1">
        <f t="array" ref="F96">IF(hp!F96=0,0,_xll.BDP(F$4,"YAS_BOND_YLD", "YAS_BOND_PX",hp!F96, "SETTLE_DT", TEXT(ya!$C96,"YYYYMMDD")))</f>
        <v>11.769500000000001</v>
      </c>
      <c r="G96" s="2" cm="1">
        <f t="array" ref="G96">IF(hp!G96=0,0,_xll.BDP(G$4,"YAS_BOND_YLD", "YAS_BOND_PX",hp!G96, "SETTLE_DT", TEXT(ya!$C96,"YYYYMMDD")))</f>
        <v>5.7207999999999997</v>
      </c>
      <c r="H96" s="2" cm="1">
        <f t="array" ref="H96">IF(hp!H96=0,0,_xll.BDP(H$4,"YAS_BOND_YLD", "YAS_BOND_PX",hp!H96, "SETTLE_DT", TEXT(ya!$C96,"YYYYMMDD")))</f>
        <v>11.932399999999999</v>
      </c>
      <c r="I96" s="2" cm="1">
        <f t="array" ref="I96">IF(hp!I96=0,0,_xll.BDP(I$4,"YAS_BOND_YLD", "YAS_BOND_PX",hp!I96, "SETTLE_DT", TEXT(ya!$C96,"YYYYMMDD")))</f>
        <v>12.0372</v>
      </c>
      <c r="J96" s="2" cm="1">
        <f t="array" ref="J96">IF(hp!J96=0,0,_xll.BDP(J$4,"YAS_BOND_YLD", "YAS_BOND_PX",hp!J96, "SETTLE_DT", TEXT(ya!$C96,"YYYYMMDD")))</f>
        <v>5.7590000000000003</v>
      </c>
      <c r="K96" s="2" cm="1">
        <f t="array" ref="K96">IF(hp!K96=0,0,_xll.BDP(K$4,"YAS_BOND_YLD", "YAS_BOND_PX",hp!K96, "SETTLE_DT", TEXT(ya!$C96,"YYYYMMDD")))</f>
        <v>11.6486</v>
      </c>
      <c r="L96" s="2" cm="1">
        <f t="array" ref="L96">IF(hp!L96=0,0,_xll.BDP(L$4,"YAS_BOND_YLD", "YAS_BOND_PX",hp!L96, "SETTLE_DT", TEXT(ya!$C96,"YYYYMMDD")))</f>
        <v>5.6700999999999997</v>
      </c>
      <c r="M96" s="2" cm="1">
        <f t="array" ref="M96">IF(hp!M96=0,0,_xll.BDP(M$4,"YAS_BOND_YLD", "YAS_BOND_PX",hp!M96, "SETTLE_DT", TEXT(ya!$C96,"YYYYMMDD")))</f>
        <v>5.7243000000000004</v>
      </c>
      <c r="N96" s="2" cm="1">
        <f t="array" ref="N96">IF(hp!N96=0,0,_xll.BDP(N$4,"YAS_BOND_YLD", "YAS_BOND_PX",hp!N96, "SETTLE_DT", TEXT(ya!$C96,"YYYYMMDD")))</f>
        <v>5.7881999999999998</v>
      </c>
      <c r="O96" s="2" cm="1">
        <f t="array" ref="O96">IF(hp!O96=0,0,_xll.BDP(O$4,"YAS_BOND_YLD", "YAS_BOND_PX",hp!O96, "SETTLE_DT", TEXT(ya!$C96,"YYYYMMDD")))</f>
        <v>5.7600999999999996</v>
      </c>
      <c r="P96" s="2" cm="1">
        <f t="array" ref="P96">IF(hp!P96=0,0,_xll.BDP(P$4,"YAS_BOND_YLD", "YAS_BOND_PX",hp!P96, "SETTLE_DT", TEXT(ya!$C96,"YYYYMMDD")))</f>
        <v>5.7257999999999996</v>
      </c>
      <c r="Q96" s="2" cm="1">
        <f t="array" ref="Q96">IF(hp!Q96=0,0,_xll.BDP(Q$4,"YAS_BOND_YLD", "YAS_BOND_PX",hp!Q96, "SETTLE_DT", TEXT(ya!$C96,"YYYYMMDD")))</f>
        <v>5.7625000000000002</v>
      </c>
      <c r="R96" s="2" cm="1">
        <f t="array" ref="R96">IF(hp!R96=0,0,_xll.BDP(R$4,"YAS_BOND_YLD", "YAS_BOND_PX",hp!R96, "SETTLE_DT", TEXT(ya!$C96,"YYYYMMDD")))</f>
        <v>0</v>
      </c>
      <c r="S96" s="2" cm="1">
        <f t="array" ref="S96">IF(hp!S96=0,0,_xll.BDP(S$4,"YAS_BOND_YLD", "YAS_BOND_PX",hp!S96, "SETTLE_DT", TEXT(ya!$C96,"YYYYMMDD")))</f>
        <v>0</v>
      </c>
      <c r="T96" s="2" cm="1">
        <f t="array" ref="T96">IF(hp!T96=0,0,_xll.BDP(T$4,"YAS_BOND_YLD", "YAS_BOND_PX",hp!T96, "SETTLE_DT", TEXT(ya!$C96,"YYYYMMDD")))</f>
        <v>5.7877000000000001</v>
      </c>
      <c r="U96" s="2" cm="1">
        <f t="array" ref="U96">IF(hp!U96=0,0,_xll.BDP(U$4,"YAS_BOND_YLD", "YAS_BOND_PX",hp!U96, "SETTLE_DT", TEXT(ya!$C96,"YYYYMMDD")))</f>
        <v>5.6993999999999998</v>
      </c>
      <c r="V96" s="2" cm="1">
        <f t="array" ref="V96">IF(hp!V96=0,0,_xll.BDP(V$4,"YAS_BOND_YLD", "YAS_BOND_PX",hp!V96, "SETTLE_DT", TEXT(ya!$C96,"YYYYMMDD")))</f>
        <v>0</v>
      </c>
      <c r="W96" s="2" cm="1">
        <f t="array" ref="W96">IF(hp!W96=0,0,_xll.BDP(W$4,"YAS_BOND_YLD", "YAS_BOND_PX",hp!W96, "SETTLE_DT", TEXT(ya!$C96,"YYYYMMDD")))</f>
        <v>6.6100000000000006E-2</v>
      </c>
      <c r="X96" s="2" cm="1">
        <f t="array" ref="X96">IF(hp!X96=0,0,_xll.BDP(X$4,"YAS_BOND_YLD", "YAS_BOND_PX",hp!X96, "SETTLE_DT", TEXT(ya!$C96,"YYYYMMDD")))</f>
        <v>0</v>
      </c>
      <c r="Y96" s="2" cm="1">
        <f t="array" ref="Y96">IF(hp!Y96=0,0,_xll.BDP(Y$4,"YAS_BOND_YLD", "YAS_BOND_PX",hp!Y96, "SETTLE_DT", TEXT(ya!$C96,"YYYYMMDD")))</f>
        <v>0</v>
      </c>
      <c r="Z96" s="2" cm="1">
        <f t="array" ref="Z96">IF(hp!Z96=0,0,_xll.BDP(Z$4,"YAS_BOND_YLD", "YAS_BOND_PX",hp!Z96, "SETTLE_DT", TEXT(ya!$C96,"YYYYMMDD")))</f>
        <v>0.1017</v>
      </c>
      <c r="AA96" s="2" cm="1">
        <f t="array" ref="AA96">IF(hp!AA96=0,0,_xll.BDP(AA$4,"YAS_BOND_YLD", "YAS_BOND_PX",hp!AA96, "SETTLE_DT", TEXT(ya!$C96,"YYYYMMDD")))</f>
        <v>0</v>
      </c>
      <c r="AB96" s="2" cm="1">
        <f t="array" ref="AB96">IF(hp!AB96=0,0,_xll.BDP(AB$4,"YAS_BOND_YLD", "YAS_BOND_PX",hp!AB96, "SETTLE_DT", TEXT(ya!$C96,"YYYYMMDD")))</f>
        <v>0.14749999999999999</v>
      </c>
      <c r="AC96" s="2" cm="1">
        <f t="array" ref="AC96">IF(hp!AC96=0,0,_xll.BDP(AC$4,"YAS_BOND_YLD", "YAS_BOND_PX",hp!AC96, "SETTLE_DT", TEXT(ya!$C96,"YYYYMMDD")))</f>
        <v>0</v>
      </c>
      <c r="AD96" s="2" cm="1">
        <f t="array" ref="AD96">IF(hp!AD96=0,0,_xll.BDP(AD$4,"YAS_BOND_YLD", "YAS_BOND_PX",hp!AD96, "SETTLE_DT", TEXT(ya!$C96,"YYYYMMDD")))</f>
        <v>5.7534999999999998</v>
      </c>
      <c r="AE96" s="2" cm="1">
        <f t="array" ref="AE96">IF(hp!AE96=0,0,_xll.BDP(AE$4,"YAS_BOND_YLD", "YAS_BOND_PX",hp!AE96, "SETTLE_DT", TEXT(ya!$C96,"YYYYMMDD")))</f>
        <v>0</v>
      </c>
      <c r="AF96" s="2" cm="1">
        <f t="array" ref="AF96">IF(hp!AF96=0,0,_xll.BDP(AF$4,"YAS_BOND_YLD", "YAS_BOND_PX",hp!AF96, "SETTLE_DT", TEXT(ya!$C96,"YYYYMMDD")))</f>
        <v>0.1661</v>
      </c>
      <c r="AG96" s="2" cm="1">
        <f t="array" ref="AG96">IF(hp!AG96=0,0,_xll.BDP(AG$4,"YAS_BOND_YLD", "YAS_BOND_PX",hp!AG96, "SETTLE_DT", TEXT(ya!$C96,"YYYYMMDD")))</f>
        <v>0.15579999999999999</v>
      </c>
      <c r="AH96" s="2" cm="1">
        <f t="array" ref="AH96">IF(hp!AH96=0,0,_xll.BDP(AH$4,"YAS_BOND_YLD", "YAS_BOND_PX",hp!AH96, "SETTLE_DT", TEXT(ya!$C96,"YYYYMMDD")))</f>
        <v>0</v>
      </c>
      <c r="AI96" s="2" cm="1">
        <f t="array" ref="AI96">IF(hp!AI96=0,0,_xll.BDP(AI$4,"YAS_BOND_YLD", "YAS_BOND_PX",hp!AI96, "SETTLE_DT", TEXT(ya!$C96,"YYYYMMDD")))</f>
        <v>0</v>
      </c>
      <c r="AJ96" s="2" cm="1">
        <f t="array" ref="AJ96">IF(hp!AJ96=0,0,_xll.BDP(AJ$4,"YAS_BOND_YLD", "YAS_BOND_PX",hp!AJ96, "SETTLE_DT", TEXT(ya!$C96,"YYYYMMDD")))</f>
        <v>0</v>
      </c>
      <c r="AK96" s="2" cm="1">
        <f t="array" ref="AK96">IF(hp!AK96=0,0,_xll.BDP(AK$4,"YAS_BOND_YLD", "YAS_BOND_PX",hp!AK96, "SETTLE_DT", TEXT(ya!$C96,"YYYYMMDD")))</f>
        <v>0.15590000000000001</v>
      </c>
      <c r="AL96" s="2" cm="1">
        <f t="array" ref="AL96">IF(hp!AL96=0,0,_xll.BDP(AL$4,"YAS_BOND_YLD", "YAS_BOND_PX",hp!AL96, "SETTLE_DT", TEXT(ya!$C96,"YYYYMMDD")))</f>
        <v>0</v>
      </c>
      <c r="AM96" s="2" cm="1">
        <f t="array" ref="AM96">IF(hp!AM96=0,0,_xll.BDP(AM$4,"YAS_BOND_YLD", "YAS_BOND_PX",hp!AM96, "SETTLE_DT", TEXT(ya!$C96,"YYYYMMDD")))</f>
        <v>0</v>
      </c>
      <c r="AN96" s="2" cm="1">
        <f t="array" ref="AN96">IF(hp!AN96=0,0,_xll.BDP(AN$4,"YAS_BOND_YLD", "YAS_BOND_PX",hp!AN96, "SETTLE_DT", TEXT(ya!$C96,"YYYYMMDD")))</f>
        <v>0</v>
      </c>
      <c r="AO96" s="2" cm="1">
        <f t="array" ref="AO96">IF(hp!AO96=0,0,_xll.BDP(AO$4,"YAS_BOND_YLD", "YAS_BOND_PX",hp!AO96, "SETTLE_DT", TEXT(ya!$C96,"YYYYMMDD")))</f>
        <v>0</v>
      </c>
      <c r="AP96" s="2" cm="1">
        <f t="array" ref="AP96">IF(hp!AP96=0,0,_xll.BDP(AP$4,"YAS_BOND_YLD", "YAS_BOND_PX",hp!AP96, "SETTLE_DT", TEXT(ya!$C96,"YYYYMMDD")))</f>
        <v>0</v>
      </c>
      <c r="AQ96" s="2" cm="1">
        <f t="array" ref="AQ96">IF(hp!AQ96=0,0,_xll.BDP(AQ$4,"YAS_BOND_YLD", "YAS_BOND_PX",hp!AQ96, "SETTLE_DT", TEXT(ya!$C96,"YYYYMMDD")))</f>
        <v>0.1037</v>
      </c>
      <c r="AR96" s="2" cm="1">
        <f t="array" ref="AR96">IF(hp!AR96=0,0,_xll.BDP(AR$4,"YAS_BOND_YLD", "YAS_BOND_PX",hp!AR96, "SETTLE_DT", TEXT(ya!$C96,"YYYYMMDD")))</f>
        <v>4.4116</v>
      </c>
      <c r="AS96" s="2" cm="1">
        <f t="array" ref="AS96">IF(hp!AS96=0,0,_xll.BDP(AS$4,"YAS_BOND_YLD", "YAS_BOND_PX",hp!AS96, "SETTLE_DT", TEXT(ya!$C96,"YYYYMMDD")))</f>
        <v>0</v>
      </c>
      <c r="AT96" s="2" cm="1">
        <f t="array" ref="AT96">IF(hp!AT96=0,0,_xll.BDP(AT$4,"YAS_BOND_YLD", "YAS_BOND_PX",hp!AT96, "SETTLE_DT", TEXT(ya!$C96,"YYYYMMDD")))</f>
        <v>0</v>
      </c>
      <c r="AU96" s="2" cm="1">
        <f t="array" ref="AU96">IF(hp!AU96=0,0,_xll.BDP(AU$4,"YAS_BOND_YLD", "YAS_BOND_PX",hp!AU96, "SETTLE_DT", TEXT(ya!$C96,"YYYYMMDD")))</f>
        <v>0</v>
      </c>
      <c r="AV96" s="2" cm="1">
        <f t="array" ref="AV96">IF(hp!AV96=0,0,_xll.BDP(AV$4,"YAS_BOND_YLD", "YAS_BOND_PX",hp!AV96, "SETTLE_DT", TEXT(ya!$C96,"YYYYMMDD")))</f>
        <v>0</v>
      </c>
      <c r="AW96" s="2" cm="1">
        <f t="array" ref="AW96">IF(hp!AW96=0,0,_xll.BDP(AW$4,"YAS_BOND_YLD", "YAS_BOND_PX",hp!AW96, "SETTLE_DT", TEXT(ya!$C96,"YYYYMMDD")))</f>
        <v>0</v>
      </c>
      <c r="AX96" s="2" cm="1">
        <f t="array" ref="AX96">IF(hp!AX96=0,0,_xll.BDP(AX$4,"YAS_BOND_YLD", "YAS_BOND_PX",hp!AX96, "SETTLE_DT", TEXT(ya!$C96,"YYYYMMDD")))</f>
        <v>0</v>
      </c>
      <c r="AY96" s="2" cm="1">
        <f t="array" ref="AY96">IF(hp!AY96=0,0,_xll.BDP(AY$4,"YAS_BOND_YLD", "YAS_BOND_PX",hp!AY96, "SETTLE_DT", TEXT(ya!$C96,"YYYYMMDD")))</f>
        <v>0</v>
      </c>
      <c r="AZ96" s="2" cm="1">
        <f t="array" ref="AZ96">IF(hp!AZ96=0,0,_xll.BDP(AZ$4,"YAS_BOND_YLD", "YAS_BOND_PX",hp!AZ96, "SETTLE_DT", TEXT(ya!$C96,"YYYYMMDD")))</f>
        <v>0</v>
      </c>
    </row>
    <row r="97" spans="1:52" x14ac:dyDescent="0.25">
      <c r="A97" s="1"/>
      <c r="B97" s="2"/>
      <c r="C97" s="1">
        <v>44865</v>
      </c>
      <c r="D97" s="2" cm="1">
        <f t="array" ref="D97">IF(hp!D97=0,0,_xll.BDP(D$4,"YAS_BOND_YLD", "YAS_BOND_PX",hp!D97, "SETTLE_DT", TEXT(ya!$C97,"YYYYMMDD")))</f>
        <v>0</v>
      </c>
      <c r="E97" s="2" cm="1">
        <f t="array" ref="E97">IF(hp!E97=0,0,_xll.BDP(E$4,"YAS_BOND_YLD", "YAS_BOND_PX",hp!E97, "SETTLE_DT", TEXT(ya!$C97,"YYYYMMDD")))</f>
        <v>11.819599999999999</v>
      </c>
      <c r="F97" s="2" cm="1">
        <f t="array" ref="F97">IF(hp!F97=0,0,_xll.BDP(F$4,"YAS_BOND_YLD", "YAS_BOND_PX",hp!F97, "SETTLE_DT", TEXT(ya!$C97,"YYYYMMDD")))</f>
        <v>11.6302</v>
      </c>
      <c r="G97" s="2" cm="1">
        <f t="array" ref="G97">IF(hp!G97=0,0,_xll.BDP(G$4,"YAS_BOND_YLD", "YAS_BOND_PX",hp!G97, "SETTLE_DT", TEXT(ya!$C97,"YYYYMMDD")))</f>
        <v>5.6963999999999997</v>
      </c>
      <c r="H97" s="2" cm="1">
        <f t="array" ref="H97">IF(hp!H97=0,0,_xll.BDP(H$4,"YAS_BOND_YLD", "YAS_BOND_PX",hp!H97, "SETTLE_DT", TEXT(ya!$C97,"YYYYMMDD")))</f>
        <v>11.783799999999999</v>
      </c>
      <c r="I97" s="2" cm="1">
        <f t="array" ref="I97">IF(hp!I97=0,0,_xll.BDP(I$4,"YAS_BOND_YLD", "YAS_BOND_PX",hp!I97, "SETTLE_DT", TEXT(ya!$C97,"YYYYMMDD")))</f>
        <v>11.835599999999999</v>
      </c>
      <c r="J97" s="2" cm="1">
        <f t="array" ref="J97">IF(hp!J97=0,0,_xll.BDP(J$4,"YAS_BOND_YLD", "YAS_BOND_PX",hp!J97, "SETTLE_DT", TEXT(ya!$C97,"YYYYMMDD")))</f>
        <v>5.7736000000000001</v>
      </c>
      <c r="K97" s="2" cm="1">
        <f t="array" ref="K97">IF(hp!K97=0,0,_xll.BDP(K$4,"YAS_BOND_YLD", "YAS_BOND_PX",hp!K97, "SETTLE_DT", TEXT(ya!$C97,"YYYYMMDD")))</f>
        <v>11.700900000000001</v>
      </c>
      <c r="L97" s="2" cm="1">
        <f t="array" ref="L97">IF(hp!L97=0,0,_xll.BDP(L$4,"YAS_BOND_YLD", "YAS_BOND_PX",hp!L97, "SETTLE_DT", TEXT(ya!$C97,"YYYYMMDD")))</f>
        <v>5.5702999999999996</v>
      </c>
      <c r="M97" s="2" cm="1">
        <f t="array" ref="M97">IF(hp!M97=0,0,_xll.BDP(M$4,"YAS_BOND_YLD", "YAS_BOND_PX",hp!M97, "SETTLE_DT", TEXT(ya!$C97,"YYYYMMDD")))</f>
        <v>5.5621</v>
      </c>
      <c r="N97" s="2" cm="1">
        <f t="array" ref="N97">IF(hp!N97=0,0,_xll.BDP(N$4,"YAS_BOND_YLD", "YAS_BOND_PX",hp!N97, "SETTLE_DT", TEXT(ya!$C97,"YYYYMMDD")))</f>
        <v>5.4043000000000001</v>
      </c>
      <c r="O97" s="2" cm="1">
        <f t="array" ref="O97">IF(hp!O97=0,0,_xll.BDP(O$4,"YAS_BOND_YLD", "YAS_BOND_PX",hp!O97, "SETTLE_DT", TEXT(ya!$C97,"YYYYMMDD")))</f>
        <v>5.7831999999999999</v>
      </c>
      <c r="P97" s="2" cm="1">
        <f t="array" ref="P97">IF(hp!P97=0,0,_xll.BDP(P$4,"YAS_BOND_YLD", "YAS_BOND_PX",hp!P97, "SETTLE_DT", TEXT(ya!$C97,"YYYYMMDD")))</f>
        <v>5.6832000000000003</v>
      </c>
      <c r="Q97" s="2" cm="1">
        <f t="array" ref="Q97">IF(hp!Q97=0,0,_xll.BDP(Q$4,"YAS_BOND_YLD", "YAS_BOND_PX",hp!Q97, "SETTLE_DT", TEXT(ya!$C97,"YYYYMMDD")))</f>
        <v>5.7686000000000002</v>
      </c>
      <c r="R97" s="2" cm="1">
        <f t="array" ref="R97">IF(hp!R97=0,0,_xll.BDP(R$4,"YAS_BOND_YLD", "YAS_BOND_PX",hp!R97, "SETTLE_DT", TEXT(ya!$C97,"YYYYMMDD")))</f>
        <v>0</v>
      </c>
      <c r="S97" s="2" cm="1">
        <f t="array" ref="S97">IF(hp!S97=0,0,_xll.BDP(S$4,"YAS_BOND_YLD", "YAS_BOND_PX",hp!S97, "SETTLE_DT", TEXT(ya!$C97,"YYYYMMDD")))</f>
        <v>0</v>
      </c>
      <c r="T97" s="2" cm="1">
        <f t="array" ref="T97">IF(hp!T97=0,0,_xll.BDP(T$4,"YAS_BOND_YLD", "YAS_BOND_PX",hp!T97, "SETTLE_DT", TEXT(ya!$C97,"YYYYMMDD")))</f>
        <v>5.5298999999999996</v>
      </c>
      <c r="U97" s="2" cm="1">
        <f t="array" ref="U97">IF(hp!U97=0,0,_xll.BDP(U$4,"YAS_BOND_YLD", "YAS_BOND_PX",hp!U97, "SETTLE_DT", TEXT(ya!$C97,"YYYYMMDD")))</f>
        <v>5.6536999999999997</v>
      </c>
      <c r="V97" s="2" cm="1">
        <f t="array" ref="V97">IF(hp!V97=0,0,_xll.BDP(V$4,"YAS_BOND_YLD", "YAS_BOND_PX",hp!V97, "SETTLE_DT", TEXT(ya!$C97,"YYYYMMDD")))</f>
        <v>0</v>
      </c>
      <c r="W97" s="2" cm="1">
        <f t="array" ref="W97">IF(hp!W97=0,0,_xll.BDP(W$4,"YAS_BOND_YLD", "YAS_BOND_PX",hp!W97, "SETTLE_DT", TEXT(ya!$C97,"YYYYMMDD")))</f>
        <v>4.6800000000000001E-2</v>
      </c>
      <c r="X97" s="2" cm="1">
        <f t="array" ref="X97">IF(hp!X97=0,0,_xll.BDP(X$4,"YAS_BOND_YLD", "YAS_BOND_PX",hp!X97, "SETTLE_DT", TEXT(ya!$C97,"YYYYMMDD")))</f>
        <v>0</v>
      </c>
      <c r="Y97" s="2" cm="1">
        <f t="array" ref="Y97">IF(hp!Y97=0,0,_xll.BDP(Y$4,"YAS_BOND_YLD", "YAS_BOND_PX",hp!Y97, "SETTLE_DT", TEXT(ya!$C97,"YYYYMMDD")))</f>
        <v>0</v>
      </c>
      <c r="Z97" s="2" cm="1">
        <f t="array" ref="Z97">IF(hp!Z97=0,0,_xll.BDP(Z$4,"YAS_BOND_YLD", "YAS_BOND_PX",hp!Z97, "SETTLE_DT", TEXT(ya!$C97,"YYYYMMDD")))</f>
        <v>8.2100000000000006E-2</v>
      </c>
      <c r="AA97" s="2" cm="1">
        <f t="array" ref="AA97">IF(hp!AA97=0,0,_xll.BDP(AA$4,"YAS_BOND_YLD", "YAS_BOND_PX",hp!AA97, "SETTLE_DT", TEXT(ya!$C97,"YYYYMMDD")))</f>
        <v>0</v>
      </c>
      <c r="AB97" s="2" cm="1">
        <f t="array" ref="AB97">IF(hp!AB97=0,0,_xll.BDP(AB$4,"YAS_BOND_YLD", "YAS_BOND_PX",hp!AB97, "SETTLE_DT", TEXT(ya!$C97,"YYYYMMDD")))</f>
        <v>0.1313</v>
      </c>
      <c r="AC97" s="2" cm="1">
        <f t="array" ref="AC97">IF(hp!AC97=0,0,_xll.BDP(AC$4,"YAS_BOND_YLD", "YAS_BOND_PX",hp!AC97, "SETTLE_DT", TEXT(ya!$C97,"YYYYMMDD")))</f>
        <v>0</v>
      </c>
      <c r="AD97" s="2" cm="1">
        <f t="array" ref="AD97">IF(hp!AD97=0,0,_xll.BDP(AD$4,"YAS_BOND_YLD", "YAS_BOND_PX",hp!AD97, "SETTLE_DT", TEXT(ya!$C97,"YYYYMMDD")))</f>
        <v>5.7727000000000004</v>
      </c>
      <c r="AE97" s="2" cm="1">
        <f t="array" ref="AE97">IF(hp!AE97=0,0,_xll.BDP(AE$4,"YAS_BOND_YLD", "YAS_BOND_PX",hp!AE97, "SETTLE_DT", TEXT(ya!$C97,"YYYYMMDD")))</f>
        <v>0</v>
      </c>
      <c r="AF97" s="2" cm="1">
        <f t="array" ref="AF97">IF(hp!AF97=0,0,_xll.BDP(AF$4,"YAS_BOND_YLD", "YAS_BOND_PX",hp!AF97, "SETTLE_DT", TEXT(ya!$C97,"YYYYMMDD")))</f>
        <v>0.15140000000000001</v>
      </c>
      <c r="AG97" s="2" cm="1">
        <f t="array" ref="AG97">IF(hp!AG97=0,0,_xll.BDP(AG$4,"YAS_BOND_YLD", "YAS_BOND_PX",hp!AG97, "SETTLE_DT", TEXT(ya!$C97,"YYYYMMDD")))</f>
        <v>0.1371</v>
      </c>
      <c r="AH97" s="2" cm="1">
        <f t="array" ref="AH97">IF(hp!AH97=0,0,_xll.BDP(AH$4,"YAS_BOND_YLD", "YAS_BOND_PX",hp!AH97, "SETTLE_DT", TEXT(ya!$C97,"YYYYMMDD")))</f>
        <v>0</v>
      </c>
      <c r="AI97" s="2" cm="1">
        <f t="array" ref="AI97">IF(hp!AI97=0,0,_xll.BDP(AI$4,"YAS_BOND_YLD", "YAS_BOND_PX",hp!AI97, "SETTLE_DT", TEXT(ya!$C97,"YYYYMMDD")))</f>
        <v>0</v>
      </c>
      <c r="AJ97" s="2" cm="1">
        <f t="array" ref="AJ97">IF(hp!AJ97=0,0,_xll.BDP(AJ$4,"YAS_BOND_YLD", "YAS_BOND_PX",hp!AJ97, "SETTLE_DT", TEXT(ya!$C97,"YYYYMMDD")))</f>
        <v>0.16639999999999999</v>
      </c>
      <c r="AK97" s="2" cm="1">
        <f t="array" ref="AK97">IF(hp!AK97=0,0,_xll.BDP(AK$4,"YAS_BOND_YLD", "YAS_BOND_PX",hp!AK97, "SETTLE_DT", TEXT(ya!$C97,"YYYYMMDD")))</f>
        <v>0.13950000000000001</v>
      </c>
      <c r="AL97" s="2" cm="1">
        <f t="array" ref="AL97">IF(hp!AL97=0,0,_xll.BDP(AL$4,"YAS_BOND_YLD", "YAS_BOND_PX",hp!AL97, "SETTLE_DT", TEXT(ya!$C97,"YYYYMMDD")))</f>
        <v>0</v>
      </c>
      <c r="AM97" s="2" cm="1">
        <f t="array" ref="AM97">IF(hp!AM97=0,0,_xll.BDP(AM$4,"YAS_BOND_YLD", "YAS_BOND_PX",hp!AM97, "SETTLE_DT", TEXT(ya!$C97,"YYYYMMDD")))</f>
        <v>0</v>
      </c>
      <c r="AN97" s="2" cm="1">
        <f t="array" ref="AN97">IF(hp!AN97=0,0,_xll.BDP(AN$4,"YAS_BOND_YLD", "YAS_BOND_PX",hp!AN97, "SETTLE_DT", TEXT(ya!$C97,"YYYYMMDD")))</f>
        <v>0</v>
      </c>
      <c r="AO97" s="2" cm="1">
        <f t="array" ref="AO97">IF(hp!AO97=0,0,_xll.BDP(AO$4,"YAS_BOND_YLD", "YAS_BOND_PX",hp!AO97, "SETTLE_DT", TEXT(ya!$C97,"YYYYMMDD")))</f>
        <v>0</v>
      </c>
      <c r="AP97" s="2" cm="1">
        <f t="array" ref="AP97">IF(hp!AP97=0,0,_xll.BDP(AP$4,"YAS_BOND_YLD", "YAS_BOND_PX",hp!AP97, "SETTLE_DT", TEXT(ya!$C97,"YYYYMMDD")))</f>
        <v>0</v>
      </c>
      <c r="AQ97" s="2" cm="1">
        <f t="array" ref="AQ97">IF(hp!AQ97=0,0,_xll.BDP(AQ$4,"YAS_BOND_YLD", "YAS_BOND_PX",hp!AQ97, "SETTLE_DT", TEXT(ya!$C97,"YYYYMMDD")))</f>
        <v>8.3000000000000004E-2</v>
      </c>
      <c r="AR97" s="2" cm="1">
        <f t="array" ref="AR97">IF(hp!AR97=0,0,_xll.BDP(AR$4,"YAS_BOND_YLD", "YAS_BOND_PX",hp!AR97, "SETTLE_DT", TEXT(ya!$C97,"YYYYMMDD")))</f>
        <v>4.6963999999999997</v>
      </c>
      <c r="AS97" s="2" cm="1">
        <f t="array" ref="AS97">IF(hp!AS97=0,0,_xll.BDP(AS$4,"YAS_BOND_YLD", "YAS_BOND_PX",hp!AS97, "SETTLE_DT", TEXT(ya!$C97,"YYYYMMDD")))</f>
        <v>0</v>
      </c>
      <c r="AT97" s="2" cm="1">
        <f t="array" ref="AT97">IF(hp!AT97=0,0,_xll.BDP(AT$4,"YAS_BOND_YLD", "YAS_BOND_PX",hp!AT97, "SETTLE_DT", TEXT(ya!$C97,"YYYYMMDD")))</f>
        <v>0</v>
      </c>
      <c r="AU97" s="2" cm="1">
        <f t="array" ref="AU97">IF(hp!AU97=0,0,_xll.BDP(AU$4,"YAS_BOND_YLD", "YAS_BOND_PX",hp!AU97, "SETTLE_DT", TEXT(ya!$C97,"YYYYMMDD")))</f>
        <v>0</v>
      </c>
      <c r="AV97" s="2" cm="1">
        <f t="array" ref="AV97">IF(hp!AV97=0,0,_xll.BDP(AV$4,"YAS_BOND_YLD", "YAS_BOND_PX",hp!AV97, "SETTLE_DT", TEXT(ya!$C97,"YYYYMMDD")))</f>
        <v>0</v>
      </c>
      <c r="AW97" s="2" cm="1">
        <f t="array" ref="AW97">IF(hp!AW97=0,0,_xll.BDP(AW$4,"YAS_BOND_YLD", "YAS_BOND_PX",hp!AW97, "SETTLE_DT", TEXT(ya!$C97,"YYYYMMDD")))</f>
        <v>0</v>
      </c>
      <c r="AX97" s="2" cm="1">
        <f t="array" ref="AX97">IF(hp!AX97=0,0,_xll.BDP(AX$4,"YAS_BOND_YLD", "YAS_BOND_PX",hp!AX97, "SETTLE_DT", TEXT(ya!$C97,"YYYYMMDD")))</f>
        <v>0</v>
      </c>
      <c r="AY97" s="2" cm="1">
        <f t="array" ref="AY97">IF(hp!AY97=0,0,_xll.BDP(AY$4,"YAS_BOND_YLD", "YAS_BOND_PX",hp!AY97, "SETTLE_DT", TEXT(ya!$C97,"YYYYMMDD")))</f>
        <v>0</v>
      </c>
      <c r="AZ97" s="2" cm="1">
        <f t="array" ref="AZ97">IF(hp!AZ97=0,0,_xll.BDP(AZ$4,"YAS_BOND_YLD", "YAS_BOND_PX",hp!AZ97, "SETTLE_DT", TEXT(ya!$C97,"YYYYMMDD")))</f>
        <v>0</v>
      </c>
    </row>
    <row r="98" spans="1:52" x14ac:dyDescent="0.25">
      <c r="A98" s="1"/>
      <c r="B98" s="2"/>
      <c r="C98" s="1">
        <v>44895</v>
      </c>
      <c r="D98" s="2" cm="1">
        <f t="array" ref="D98">IF(hp!D98=0,0,_xll.BDP(D$4,"YAS_BOND_YLD", "YAS_BOND_PX",hp!D98, "SETTLE_DT", TEXT(ya!$C98,"YYYYMMDD")))</f>
        <v>0</v>
      </c>
      <c r="E98" s="2" cm="1">
        <f t="array" ref="E98">IF(hp!E98=0,0,_xll.BDP(E$4,"YAS_BOND_YLD", "YAS_BOND_PX",hp!E98, "SETTLE_DT", TEXT(ya!$C98,"YYYYMMDD")))</f>
        <v>12.7448</v>
      </c>
      <c r="F98" s="2" cm="1">
        <f t="array" ref="F98">IF(hp!F98=0,0,_xll.BDP(F$4,"YAS_BOND_YLD", "YAS_BOND_PX",hp!F98, "SETTLE_DT", TEXT(ya!$C98,"YYYYMMDD")))</f>
        <v>12.743600000000001</v>
      </c>
      <c r="G98" s="2" cm="1">
        <f t="array" ref="G98">IF(hp!G98=0,0,_xll.BDP(G$4,"YAS_BOND_YLD", "YAS_BOND_PX",hp!G98, "SETTLE_DT", TEXT(ya!$C98,"YYYYMMDD")))</f>
        <v>5.9424000000000001</v>
      </c>
      <c r="H98" s="2" cm="1">
        <f t="array" ref="H98">IF(hp!H98=0,0,_xll.BDP(H$4,"YAS_BOND_YLD", "YAS_BOND_PX",hp!H98, "SETTLE_DT", TEXT(ya!$C98,"YYYYMMDD")))</f>
        <v>12.7766</v>
      </c>
      <c r="I98" s="2" cm="1">
        <f t="array" ref="I98">IF(hp!I98=0,0,_xll.BDP(I$4,"YAS_BOND_YLD", "YAS_BOND_PX",hp!I98, "SETTLE_DT", TEXT(ya!$C98,"YYYYMMDD")))</f>
        <v>12.7394</v>
      </c>
      <c r="J98" s="2" cm="1">
        <f t="array" ref="J98">IF(hp!J98=0,0,_xll.BDP(J$4,"YAS_BOND_YLD", "YAS_BOND_PX",hp!J98, "SETTLE_DT", TEXT(ya!$C98,"YYYYMMDD")))</f>
        <v>5.9733999999999998</v>
      </c>
      <c r="K98" s="2" cm="1">
        <f t="array" ref="K98">IF(hp!K98=0,0,_xll.BDP(K$4,"YAS_BOND_YLD", "YAS_BOND_PX",hp!K98, "SETTLE_DT", TEXT(ya!$C98,"YYYYMMDD")))</f>
        <v>12.863799999999999</v>
      </c>
      <c r="L98" s="2" cm="1">
        <f t="array" ref="L98">IF(hp!L98=0,0,_xll.BDP(L$4,"YAS_BOND_YLD", "YAS_BOND_PX",hp!L98, "SETTLE_DT", TEXT(ya!$C98,"YYYYMMDD")))</f>
        <v>5.8883999999999999</v>
      </c>
      <c r="M98" s="2" cm="1">
        <f t="array" ref="M98">IF(hp!M98=0,0,_xll.BDP(M$4,"YAS_BOND_YLD", "YAS_BOND_PX",hp!M98, "SETTLE_DT", TEXT(ya!$C98,"YYYYMMDD")))</f>
        <v>5.9322999999999997</v>
      </c>
      <c r="N98" s="2" cm="1">
        <f t="array" ref="N98">IF(hp!N98=0,0,_xll.BDP(N$4,"YAS_BOND_YLD", "YAS_BOND_PX",hp!N98, "SETTLE_DT", TEXT(ya!$C98,"YYYYMMDD")))</f>
        <v>6.0250000000000004</v>
      </c>
      <c r="O98" s="2" cm="1">
        <f t="array" ref="O98">IF(hp!O98=0,0,_xll.BDP(O$4,"YAS_BOND_YLD", "YAS_BOND_PX",hp!O98, "SETTLE_DT", TEXT(ya!$C98,"YYYYMMDD")))</f>
        <v>5.9660000000000002</v>
      </c>
      <c r="P98" s="2" cm="1">
        <f t="array" ref="P98">IF(hp!P98=0,0,_xll.BDP(P$4,"YAS_BOND_YLD", "YAS_BOND_PX",hp!P98, "SETTLE_DT", TEXT(ya!$C98,"YYYYMMDD")))</f>
        <v>5.9585999999999997</v>
      </c>
      <c r="Q98" s="2" cm="1">
        <f t="array" ref="Q98">IF(hp!Q98=0,0,_xll.BDP(Q$4,"YAS_BOND_YLD", "YAS_BOND_PX",hp!Q98, "SETTLE_DT", TEXT(ya!$C98,"YYYYMMDD")))</f>
        <v>5.9741</v>
      </c>
      <c r="R98" s="2" cm="1">
        <f t="array" ref="R98">IF(hp!R98=0,0,_xll.BDP(R$4,"YAS_BOND_YLD", "YAS_BOND_PX",hp!R98, "SETTLE_DT", TEXT(ya!$C98,"YYYYMMDD")))</f>
        <v>0</v>
      </c>
      <c r="S98" s="2" cm="1">
        <f t="array" ref="S98">IF(hp!S98=0,0,_xll.BDP(S$4,"YAS_BOND_YLD", "YAS_BOND_PX",hp!S98, "SETTLE_DT", TEXT(ya!$C98,"YYYYMMDD")))</f>
        <v>0</v>
      </c>
      <c r="T98" s="2" cm="1">
        <f t="array" ref="T98">IF(hp!T98=0,0,_xll.BDP(T$4,"YAS_BOND_YLD", "YAS_BOND_PX",hp!T98, "SETTLE_DT", TEXT(ya!$C98,"YYYYMMDD")))</f>
        <v>5.9908999999999999</v>
      </c>
      <c r="U98" s="2" cm="1">
        <f t="array" ref="U98">IF(hp!U98=0,0,_xll.BDP(U$4,"YAS_BOND_YLD", "YAS_BOND_PX",hp!U98, "SETTLE_DT", TEXT(ya!$C98,"YYYYMMDD")))</f>
        <v>5.8986999999999998</v>
      </c>
      <c r="V98" s="2" cm="1">
        <f t="array" ref="V98">IF(hp!V98=0,0,_xll.BDP(V$4,"YAS_BOND_YLD", "YAS_BOND_PX",hp!V98, "SETTLE_DT", TEXT(ya!$C98,"YYYYMMDD")))</f>
        <v>0</v>
      </c>
      <c r="W98" s="2" cm="1">
        <f t="array" ref="W98">IF(hp!W98=0,0,_xll.BDP(W$4,"YAS_BOND_YLD", "YAS_BOND_PX",hp!W98, "SETTLE_DT", TEXT(ya!$C98,"YYYYMMDD")))</f>
        <v>4.8300000000000003E-2</v>
      </c>
      <c r="X98" s="2" cm="1">
        <f t="array" ref="X98">IF(hp!X98=0,0,_xll.BDP(X$4,"YAS_BOND_YLD", "YAS_BOND_PX",hp!X98, "SETTLE_DT", TEXT(ya!$C98,"YYYYMMDD")))</f>
        <v>0</v>
      </c>
      <c r="Y98" s="2" cm="1">
        <f t="array" ref="Y98">IF(hp!Y98=0,0,_xll.BDP(Y$4,"YAS_BOND_YLD", "YAS_BOND_PX",hp!Y98, "SETTLE_DT", TEXT(ya!$C98,"YYYYMMDD")))</f>
        <v>0</v>
      </c>
      <c r="Z98" s="2" cm="1">
        <f t="array" ref="Z98">IF(hp!Z98=0,0,_xll.BDP(Z$4,"YAS_BOND_YLD", "YAS_BOND_PX",hp!Z98, "SETTLE_DT", TEXT(ya!$C98,"YYYYMMDD")))</f>
        <v>8.3699999999999997E-2</v>
      </c>
      <c r="AA98" s="2" cm="1">
        <f t="array" ref="AA98">IF(hp!AA98=0,0,_xll.BDP(AA$4,"YAS_BOND_YLD", "YAS_BOND_PX",hp!AA98, "SETTLE_DT", TEXT(ya!$C98,"YYYYMMDD")))</f>
        <v>0</v>
      </c>
      <c r="AB98" s="2" cm="1">
        <f t="array" ref="AB98">IF(hp!AB98=0,0,_xll.BDP(AB$4,"YAS_BOND_YLD", "YAS_BOND_PX",hp!AB98, "SETTLE_DT", TEXT(ya!$C98,"YYYYMMDD")))</f>
        <v>0.1404</v>
      </c>
      <c r="AC98" s="2" cm="1">
        <f t="array" ref="AC98">IF(hp!AC98=0,0,_xll.BDP(AC$4,"YAS_BOND_YLD", "YAS_BOND_PX",hp!AC98, "SETTLE_DT", TEXT(ya!$C98,"YYYYMMDD")))</f>
        <v>0</v>
      </c>
      <c r="AD98" s="2" cm="1">
        <f t="array" ref="AD98">IF(hp!AD98=0,0,_xll.BDP(AD$4,"YAS_BOND_YLD", "YAS_BOND_PX",hp!AD98, "SETTLE_DT", TEXT(ya!$C98,"YYYYMMDD")))</f>
        <v>5.97</v>
      </c>
      <c r="AE98" s="2" cm="1">
        <f t="array" ref="AE98">IF(hp!AE98=0,0,_xll.BDP(AE$4,"YAS_BOND_YLD", "YAS_BOND_PX",hp!AE98, "SETTLE_DT", TEXT(ya!$C98,"YYYYMMDD")))</f>
        <v>0</v>
      </c>
      <c r="AF98" s="2" cm="1">
        <f t="array" ref="AF98">IF(hp!AF98=0,0,_xll.BDP(AF$4,"YAS_BOND_YLD", "YAS_BOND_PX",hp!AF98, "SETTLE_DT", TEXT(ya!$C98,"YYYYMMDD")))</f>
        <v>0.1565</v>
      </c>
      <c r="AG98" s="2" cm="1">
        <f t="array" ref="AG98">IF(hp!AG98=0,0,_xll.BDP(AG$4,"YAS_BOND_YLD", "YAS_BOND_PX",hp!AG98, "SETTLE_DT", TEXT(ya!$C98,"YYYYMMDD")))</f>
        <v>0.14330000000000001</v>
      </c>
      <c r="AH98" s="2" cm="1">
        <f t="array" ref="AH98">IF(hp!AH98=0,0,_xll.BDP(AH$4,"YAS_BOND_YLD", "YAS_BOND_PX",hp!AH98, "SETTLE_DT", TEXT(ya!$C98,"YYYYMMDD")))</f>
        <v>0</v>
      </c>
      <c r="AI98" s="2" cm="1">
        <f t="array" ref="AI98">IF(hp!AI98=0,0,_xll.BDP(AI$4,"YAS_BOND_YLD", "YAS_BOND_PX",hp!AI98, "SETTLE_DT", TEXT(ya!$C98,"YYYYMMDD")))</f>
        <v>0</v>
      </c>
      <c r="AJ98" s="2" cm="1">
        <f t="array" ref="AJ98">IF(hp!AJ98=0,0,_xll.BDP(AJ$4,"YAS_BOND_YLD", "YAS_BOND_PX",hp!AJ98, "SETTLE_DT", TEXT(ya!$C98,"YYYYMMDD")))</f>
        <v>0.1706</v>
      </c>
      <c r="AK98" s="2" cm="1">
        <f t="array" ref="AK98">IF(hp!AK98=0,0,_xll.BDP(AK$4,"YAS_BOND_YLD", "YAS_BOND_PX",hp!AK98, "SETTLE_DT", TEXT(ya!$C98,"YYYYMMDD")))</f>
        <v>0.14449999999999999</v>
      </c>
      <c r="AL98" s="2" cm="1">
        <f t="array" ref="AL98">IF(hp!AL98=0,0,_xll.BDP(AL$4,"YAS_BOND_YLD", "YAS_BOND_PX",hp!AL98, "SETTLE_DT", TEXT(ya!$C98,"YYYYMMDD")))</f>
        <v>0</v>
      </c>
      <c r="AM98" s="2" cm="1">
        <f t="array" ref="AM98">IF(hp!AM98=0,0,_xll.BDP(AM$4,"YAS_BOND_YLD", "YAS_BOND_PX",hp!AM98, "SETTLE_DT", TEXT(ya!$C98,"YYYYMMDD")))</f>
        <v>0</v>
      </c>
      <c r="AN98" s="2" cm="1">
        <f t="array" ref="AN98">IF(hp!AN98=0,0,_xll.BDP(AN$4,"YAS_BOND_YLD", "YAS_BOND_PX",hp!AN98, "SETTLE_DT", TEXT(ya!$C98,"YYYYMMDD")))</f>
        <v>0</v>
      </c>
      <c r="AO98" s="2" cm="1">
        <f t="array" ref="AO98">IF(hp!AO98=0,0,_xll.BDP(AO$4,"YAS_BOND_YLD", "YAS_BOND_PX",hp!AO98, "SETTLE_DT", TEXT(ya!$C98,"YYYYMMDD")))</f>
        <v>0</v>
      </c>
      <c r="AP98" s="2" cm="1">
        <f t="array" ref="AP98">IF(hp!AP98=0,0,_xll.BDP(AP$4,"YAS_BOND_YLD", "YAS_BOND_PX",hp!AP98, "SETTLE_DT", TEXT(ya!$C98,"YYYYMMDD")))</f>
        <v>0</v>
      </c>
      <c r="AQ98" s="2" cm="1">
        <f t="array" ref="AQ98">IF(hp!AQ98=0,0,_xll.BDP(AQ$4,"YAS_BOND_YLD", "YAS_BOND_PX",hp!AQ98, "SETTLE_DT", TEXT(ya!$C98,"YYYYMMDD")))</f>
        <v>8.6400000000000005E-2</v>
      </c>
      <c r="AR98" s="2" cm="1">
        <f t="array" ref="AR98">IF(hp!AR98=0,0,_xll.BDP(AR$4,"YAS_BOND_YLD", "YAS_BOND_PX",hp!AR98, "SETTLE_DT", TEXT(ya!$C98,"YYYYMMDD")))</f>
        <v>5.3741000000000003</v>
      </c>
      <c r="AS98" s="2" cm="1">
        <f t="array" ref="AS98">IF(hp!AS98=0,0,_xll.BDP(AS$4,"YAS_BOND_YLD", "YAS_BOND_PX",hp!AS98, "SETTLE_DT", TEXT(ya!$C98,"YYYYMMDD")))</f>
        <v>0</v>
      </c>
      <c r="AT98" s="2" cm="1">
        <f t="array" ref="AT98">IF(hp!AT98=0,0,_xll.BDP(AT$4,"YAS_BOND_YLD", "YAS_BOND_PX",hp!AT98, "SETTLE_DT", TEXT(ya!$C98,"YYYYMMDD")))</f>
        <v>0</v>
      </c>
      <c r="AU98" s="2" cm="1">
        <f t="array" ref="AU98">IF(hp!AU98=0,0,_xll.BDP(AU$4,"YAS_BOND_YLD", "YAS_BOND_PX",hp!AU98, "SETTLE_DT", TEXT(ya!$C98,"YYYYMMDD")))</f>
        <v>0</v>
      </c>
      <c r="AV98" s="2" cm="1">
        <f t="array" ref="AV98">IF(hp!AV98=0,0,_xll.BDP(AV$4,"YAS_BOND_YLD", "YAS_BOND_PX",hp!AV98, "SETTLE_DT", TEXT(ya!$C98,"YYYYMMDD")))</f>
        <v>0</v>
      </c>
      <c r="AW98" s="2" cm="1">
        <f t="array" ref="AW98">IF(hp!AW98=0,0,_xll.BDP(AW$4,"YAS_BOND_YLD", "YAS_BOND_PX",hp!AW98, "SETTLE_DT", TEXT(ya!$C98,"YYYYMMDD")))</f>
        <v>0</v>
      </c>
      <c r="AX98" s="2" cm="1">
        <f t="array" ref="AX98">IF(hp!AX98=0,0,_xll.BDP(AX$4,"YAS_BOND_YLD", "YAS_BOND_PX",hp!AX98, "SETTLE_DT", TEXT(ya!$C98,"YYYYMMDD")))</f>
        <v>0</v>
      </c>
      <c r="AY98" s="2" cm="1">
        <f t="array" ref="AY98">IF(hp!AY98=0,0,_xll.BDP(AY$4,"YAS_BOND_YLD", "YAS_BOND_PX",hp!AY98, "SETTLE_DT", TEXT(ya!$C98,"YYYYMMDD")))</f>
        <v>0</v>
      </c>
      <c r="AZ98" s="2" cm="1">
        <f t="array" ref="AZ98">IF(hp!AZ98=0,0,_xll.BDP(AZ$4,"YAS_BOND_YLD", "YAS_BOND_PX",hp!AZ98, "SETTLE_DT", TEXT(ya!$C98,"YYYYMMDD")))</f>
        <v>0</v>
      </c>
    </row>
    <row r="99" spans="1:52" x14ac:dyDescent="0.25">
      <c r="A99" s="1"/>
      <c r="B99" s="2"/>
      <c r="C99" s="1">
        <v>44925</v>
      </c>
      <c r="D99" s="2" cm="1">
        <f t="array" ref="D99">IF(hp!D99=0,0,_xll.BDP(D$4,"YAS_BOND_YLD", "YAS_BOND_PX",hp!D99, "SETTLE_DT", TEXT(ya!$C99,"YYYYMMDD")))</f>
        <v>0</v>
      </c>
      <c r="E99" s="2" cm="1">
        <f t="array" ref="E99">IF(hp!E99=0,0,_xll.BDP(E$4,"YAS_BOND_YLD", "YAS_BOND_PX",hp!E99, "SETTLE_DT", TEXT(ya!$C99,"YYYYMMDD")))</f>
        <v>12.8484</v>
      </c>
      <c r="F99" s="2" cm="1">
        <f t="array" ref="F99">IF(hp!F99=0,0,_xll.BDP(F$4,"YAS_BOND_YLD", "YAS_BOND_PX",hp!F99, "SETTLE_DT", TEXT(ya!$C99,"YYYYMMDD")))</f>
        <v>13.2766</v>
      </c>
      <c r="G99" s="2" cm="1">
        <f t="array" ref="G99">IF(hp!G99=0,0,_xll.BDP(G$4,"YAS_BOND_YLD", "YAS_BOND_PX",hp!G99, "SETTLE_DT", TEXT(ya!$C99,"YYYYMMDD")))</f>
        <v>5.7164000000000001</v>
      </c>
      <c r="H99" s="2" cm="1">
        <f t="array" ref="H99">IF(hp!H99=0,0,_xll.BDP(H$4,"YAS_BOND_YLD", "YAS_BOND_PX",hp!H99, "SETTLE_DT", TEXT(ya!$C99,"YYYYMMDD")))</f>
        <v>13.0017</v>
      </c>
      <c r="I99" s="2" cm="1">
        <f t="array" ref="I99">IF(hp!I99=0,0,_xll.BDP(I$4,"YAS_BOND_YLD", "YAS_BOND_PX",hp!I99, "SETTLE_DT", TEXT(ya!$C99,"YYYYMMDD")))</f>
        <v>12.754200000000001</v>
      </c>
      <c r="J99" s="2" cm="1">
        <f t="array" ref="J99">IF(hp!J99=0,0,_xll.BDP(J$4,"YAS_BOND_YLD", "YAS_BOND_PX",hp!J99, "SETTLE_DT", TEXT(ya!$C99,"YYYYMMDD")))</f>
        <v>5.7545000000000002</v>
      </c>
      <c r="K99" s="2" cm="1">
        <f t="array" ref="K99">IF(hp!K99=0,0,_xll.BDP(K$4,"YAS_BOND_YLD", "YAS_BOND_PX",hp!K99, "SETTLE_DT", TEXT(ya!$C99,"YYYYMMDD")))</f>
        <v>11.4565</v>
      </c>
      <c r="L99" s="2" cm="1">
        <f t="array" ref="L99">IF(hp!L99=0,0,_xll.BDP(L$4,"YAS_BOND_YLD", "YAS_BOND_PX",hp!L99, "SETTLE_DT", TEXT(ya!$C99,"YYYYMMDD")))</f>
        <v>5.6492000000000004</v>
      </c>
      <c r="M99" s="2" cm="1">
        <f t="array" ref="M99">IF(hp!M99=0,0,_xll.BDP(M$4,"YAS_BOND_YLD", "YAS_BOND_PX",hp!M99, "SETTLE_DT", TEXT(ya!$C99,"YYYYMMDD")))</f>
        <v>5.6905000000000001</v>
      </c>
      <c r="N99" s="2" cm="1">
        <f t="array" ref="N99">IF(hp!N99=0,0,_xll.BDP(N$4,"YAS_BOND_YLD", "YAS_BOND_PX",hp!N99, "SETTLE_DT", TEXT(ya!$C99,"YYYYMMDD")))</f>
        <v>5.7351999999999999</v>
      </c>
      <c r="O99" s="2" cm="1">
        <f t="array" ref="O99">IF(hp!O99=0,0,_xll.BDP(O$4,"YAS_BOND_YLD", "YAS_BOND_PX",hp!O99, "SETTLE_DT", TEXT(ya!$C99,"YYYYMMDD")))</f>
        <v>5.7572000000000001</v>
      </c>
      <c r="P99" s="2" cm="1">
        <f t="array" ref="P99">IF(hp!P99=0,0,_xll.BDP(P$4,"YAS_BOND_YLD", "YAS_BOND_PX",hp!P99, "SETTLE_DT", TEXT(ya!$C99,"YYYYMMDD")))</f>
        <v>5.7142999999999997</v>
      </c>
      <c r="Q99" s="2" cm="1">
        <f t="array" ref="Q99">IF(hp!Q99=0,0,_xll.BDP(Q$4,"YAS_BOND_YLD", "YAS_BOND_PX",hp!Q99, "SETTLE_DT", TEXT(ya!$C99,"YYYYMMDD")))</f>
        <v>5.7534999999999998</v>
      </c>
      <c r="R99" s="2" cm="1">
        <f t="array" ref="R99">IF(hp!R99=0,0,_xll.BDP(R$4,"YAS_BOND_YLD", "YAS_BOND_PX",hp!R99, "SETTLE_DT", TEXT(ya!$C99,"YYYYMMDD")))</f>
        <v>0</v>
      </c>
      <c r="S99" s="2" cm="1">
        <f t="array" ref="S99">IF(hp!S99=0,0,_xll.BDP(S$4,"YAS_BOND_YLD", "YAS_BOND_PX",hp!S99, "SETTLE_DT", TEXT(ya!$C99,"YYYYMMDD")))</f>
        <v>0</v>
      </c>
      <c r="T99" s="2" cm="1">
        <f t="array" ref="T99">IF(hp!T99=0,0,_xll.BDP(T$4,"YAS_BOND_YLD", "YAS_BOND_PX",hp!T99, "SETTLE_DT", TEXT(ya!$C99,"YYYYMMDD")))</f>
        <v>5.7412000000000001</v>
      </c>
      <c r="U99" s="2" cm="1">
        <f t="array" ref="U99">IF(hp!U99=0,0,_xll.BDP(U$4,"YAS_BOND_YLD", "YAS_BOND_PX",hp!U99, "SETTLE_DT", TEXT(ya!$C99,"YYYYMMDD")))</f>
        <v>5.6925999999999997</v>
      </c>
      <c r="V99" s="2" cm="1">
        <f t="array" ref="V99">IF(hp!V99=0,0,_xll.BDP(V$4,"YAS_BOND_YLD", "YAS_BOND_PX",hp!V99, "SETTLE_DT", TEXT(ya!$C99,"YYYYMMDD")))</f>
        <v>0</v>
      </c>
      <c r="W99" s="2" cm="1">
        <f t="array" ref="W99">IF(hp!W99=0,0,_xll.BDP(W$4,"YAS_BOND_YLD", "YAS_BOND_PX",hp!W99, "SETTLE_DT", TEXT(ya!$C99,"YYYYMMDD")))</f>
        <v>6.5799999999999997E-2</v>
      </c>
      <c r="X99" s="2" cm="1">
        <f t="array" ref="X99">IF(hp!X99=0,0,_xll.BDP(X$4,"YAS_BOND_YLD", "YAS_BOND_PX",hp!X99, "SETTLE_DT", TEXT(ya!$C99,"YYYYMMDD")))</f>
        <v>0</v>
      </c>
      <c r="Y99" s="2" cm="1">
        <f t="array" ref="Y99">IF(hp!Y99=0,0,_xll.BDP(Y$4,"YAS_BOND_YLD", "YAS_BOND_PX",hp!Y99, "SETTLE_DT", TEXT(ya!$C99,"YYYYMMDD")))</f>
        <v>0</v>
      </c>
      <c r="Z99" s="2" cm="1">
        <f t="array" ref="Z99">IF(hp!Z99=0,0,_xll.BDP(Z$4,"YAS_BOND_YLD", "YAS_BOND_PX",hp!Z99, "SETTLE_DT", TEXT(ya!$C99,"YYYYMMDD")))</f>
        <v>0.1033</v>
      </c>
      <c r="AA99" s="2" cm="1">
        <f t="array" ref="AA99">IF(hp!AA99=0,0,_xll.BDP(AA$4,"YAS_BOND_YLD", "YAS_BOND_PX",hp!AA99, "SETTLE_DT", TEXT(ya!$C99,"YYYYMMDD")))</f>
        <v>0</v>
      </c>
      <c r="AB99" s="2" cm="1">
        <f t="array" ref="AB99">IF(hp!AB99=0,0,_xll.BDP(AB$4,"YAS_BOND_YLD", "YAS_BOND_PX",hp!AB99, "SETTLE_DT", TEXT(ya!$C99,"YYYYMMDD")))</f>
        <v>0.14779999999999999</v>
      </c>
      <c r="AC99" s="2" cm="1">
        <f t="array" ref="AC99">IF(hp!AC99=0,0,_xll.BDP(AC$4,"YAS_BOND_YLD", "YAS_BOND_PX",hp!AC99, "SETTLE_DT", TEXT(ya!$C99,"YYYYMMDD")))</f>
        <v>0</v>
      </c>
      <c r="AD99" s="2" cm="1">
        <f t="array" ref="AD99">IF(hp!AD99=0,0,_xll.BDP(AD$4,"YAS_BOND_YLD", "YAS_BOND_PX",hp!AD99, "SETTLE_DT", TEXT(ya!$C99,"YYYYMMDD")))</f>
        <v>5.7536000000000005</v>
      </c>
      <c r="AE99" s="2" cm="1">
        <f t="array" ref="AE99">IF(hp!AE99=0,0,_xll.BDP(AE$4,"YAS_BOND_YLD", "YAS_BOND_PX",hp!AE99, "SETTLE_DT", TEXT(ya!$C99,"YYYYMMDD")))</f>
        <v>0</v>
      </c>
      <c r="AF99" s="2" cm="1">
        <f t="array" ref="AF99">IF(hp!AF99=0,0,_xll.BDP(AF$4,"YAS_BOND_YLD", "YAS_BOND_PX",hp!AF99, "SETTLE_DT", TEXT(ya!$C99,"YYYYMMDD")))</f>
        <v>0.1666</v>
      </c>
      <c r="AG99" s="2" cm="1">
        <f t="array" ref="AG99">IF(hp!AG99=0,0,_xll.BDP(AG$4,"YAS_BOND_YLD", "YAS_BOND_PX",hp!AG99, "SETTLE_DT", TEXT(ya!$C99,"YYYYMMDD")))</f>
        <v>0.1565</v>
      </c>
      <c r="AH99" s="2" cm="1">
        <f t="array" ref="AH99">IF(hp!AH99=0,0,_xll.BDP(AH$4,"YAS_BOND_YLD", "YAS_BOND_PX",hp!AH99, "SETTLE_DT", TEXT(ya!$C99,"YYYYMMDD")))</f>
        <v>0</v>
      </c>
      <c r="AI99" s="2" cm="1">
        <f t="array" ref="AI99">IF(hp!AI99=0,0,_xll.BDP(AI$4,"YAS_BOND_YLD", "YAS_BOND_PX",hp!AI99, "SETTLE_DT", TEXT(ya!$C99,"YYYYMMDD")))</f>
        <v>0</v>
      </c>
      <c r="AJ99" s="2" cm="1">
        <f t="array" ref="AJ99">IF(hp!AJ99=0,0,_xll.BDP(AJ$4,"YAS_BOND_YLD", "YAS_BOND_PX",hp!AJ99, "SETTLE_DT", TEXT(ya!$C99,"YYYYMMDD")))</f>
        <v>0.1759</v>
      </c>
      <c r="AK99" s="2" cm="1">
        <f t="array" ref="AK99">IF(hp!AK99=0,0,_xll.BDP(AK$4,"YAS_BOND_YLD", "YAS_BOND_PX",hp!AK99, "SETTLE_DT", TEXT(ya!$C99,"YYYYMMDD")))</f>
        <v>0.15890000000000001</v>
      </c>
      <c r="AL99" s="2" cm="1">
        <f t="array" ref="AL99">IF(hp!AL99=0,0,_xll.BDP(AL$4,"YAS_BOND_YLD", "YAS_BOND_PX",hp!AL99, "SETTLE_DT", TEXT(ya!$C99,"YYYYMMDD")))</f>
        <v>0</v>
      </c>
      <c r="AM99" s="2" cm="1">
        <f t="array" ref="AM99">IF(hp!AM99=0,0,_xll.BDP(AM$4,"YAS_BOND_YLD", "YAS_BOND_PX",hp!AM99, "SETTLE_DT", TEXT(ya!$C99,"YYYYMMDD")))</f>
        <v>0</v>
      </c>
      <c r="AN99" s="2" cm="1">
        <f t="array" ref="AN99">IF(hp!AN99=0,0,_xll.BDP(AN$4,"YAS_BOND_YLD", "YAS_BOND_PX",hp!AN99, "SETTLE_DT", TEXT(ya!$C99,"YYYYMMDD")))</f>
        <v>0</v>
      </c>
      <c r="AO99" s="2" cm="1">
        <f t="array" ref="AO99">IF(hp!AO99=0,0,_xll.BDP(AO$4,"YAS_BOND_YLD", "YAS_BOND_PX",hp!AO99, "SETTLE_DT", TEXT(ya!$C99,"YYYYMMDD")))</f>
        <v>0</v>
      </c>
      <c r="AP99" s="2" cm="1">
        <f t="array" ref="AP99">IF(hp!AP99=0,0,_xll.BDP(AP$4,"YAS_BOND_YLD", "YAS_BOND_PX",hp!AP99, "SETTLE_DT", TEXT(ya!$C99,"YYYYMMDD")))</f>
        <v>0</v>
      </c>
      <c r="AQ99" s="2" cm="1">
        <f t="array" ref="AQ99">IF(hp!AQ99=0,0,_xll.BDP(AQ$4,"YAS_BOND_YLD", "YAS_BOND_PX",hp!AQ99, "SETTLE_DT", TEXT(ya!$C99,"YYYYMMDD")))</f>
        <v>0.1056</v>
      </c>
      <c r="AR99" s="2" cm="1">
        <f t="array" ref="AR99">IF(hp!AR99=0,0,_xll.BDP(AR$4,"YAS_BOND_YLD", "YAS_BOND_PX",hp!AR99, "SETTLE_DT", TEXT(ya!$C99,"YYYYMMDD")))</f>
        <v>5.2550999999999997</v>
      </c>
      <c r="AS99" s="2" cm="1">
        <f t="array" ref="AS99">IF(hp!AS99=0,0,_xll.BDP(AS$4,"YAS_BOND_YLD", "YAS_BOND_PX",hp!AS99, "SETTLE_DT", TEXT(ya!$C99,"YYYYMMDD")))</f>
        <v>0</v>
      </c>
      <c r="AT99" s="2" cm="1">
        <f t="array" ref="AT99">IF(hp!AT99=0,0,_xll.BDP(AT$4,"YAS_BOND_YLD", "YAS_BOND_PX",hp!AT99, "SETTLE_DT", TEXT(ya!$C99,"YYYYMMDD")))</f>
        <v>0</v>
      </c>
      <c r="AU99" s="2" cm="1">
        <f t="array" ref="AU99">IF(hp!AU99=0,0,_xll.BDP(AU$4,"YAS_BOND_YLD", "YAS_BOND_PX",hp!AU99, "SETTLE_DT", TEXT(ya!$C99,"YYYYMMDD")))</f>
        <v>0</v>
      </c>
      <c r="AV99" s="2" cm="1">
        <f t="array" ref="AV99">IF(hp!AV99=0,0,_xll.BDP(AV$4,"YAS_BOND_YLD", "YAS_BOND_PX",hp!AV99, "SETTLE_DT", TEXT(ya!$C99,"YYYYMMDD")))</f>
        <v>0</v>
      </c>
      <c r="AW99" s="2" cm="1">
        <f t="array" ref="AW99">IF(hp!AW99=0,0,_xll.BDP(AW$4,"YAS_BOND_YLD", "YAS_BOND_PX",hp!AW99, "SETTLE_DT", TEXT(ya!$C99,"YYYYMMDD")))</f>
        <v>0</v>
      </c>
      <c r="AX99" s="2" cm="1">
        <f t="array" ref="AX99">IF(hp!AX99=0,0,_xll.BDP(AX$4,"YAS_BOND_YLD", "YAS_BOND_PX",hp!AX99, "SETTLE_DT", TEXT(ya!$C99,"YYYYMMDD")))</f>
        <v>0</v>
      </c>
      <c r="AY99" s="2" cm="1">
        <f t="array" ref="AY99">IF(hp!AY99=0,0,_xll.BDP(AY$4,"YAS_BOND_YLD", "YAS_BOND_PX",hp!AY99, "SETTLE_DT", TEXT(ya!$C99,"YYYYMMDD")))</f>
        <v>0</v>
      </c>
      <c r="AZ99" s="2" cm="1">
        <f t="array" ref="AZ99">IF(hp!AZ99=0,0,_xll.BDP(AZ$4,"YAS_BOND_YLD", "YAS_BOND_PX",hp!AZ99, "SETTLE_DT", TEXT(ya!$C99,"YYYYMMDD")))</f>
        <v>0</v>
      </c>
    </row>
    <row r="100" spans="1:52" x14ac:dyDescent="0.25">
      <c r="A100" s="1"/>
      <c r="B100" s="2"/>
      <c r="C100" s="1">
        <v>44957</v>
      </c>
      <c r="D100" s="2" cm="1">
        <f t="array" ref="D100">IF(hp!D100=0,0,_xll.BDP(D$4,"YAS_BOND_YLD", "YAS_BOND_PX",hp!D100, "SETTLE_DT", TEXT(ya!$C100,"YYYYMMDD")))</f>
        <v>0</v>
      </c>
      <c r="E100" s="2" cm="1">
        <f t="array" ref="E100">IF(hp!E100=0,0,_xll.BDP(E$4,"YAS_BOND_YLD", "YAS_BOND_PX",hp!E100, "SETTLE_DT", TEXT(ya!$C100,"YYYYMMDD")))</f>
        <v>13.040800000000001</v>
      </c>
      <c r="F100" s="2" cm="1">
        <f t="array" ref="F100">IF(hp!F100=0,0,_xll.BDP(F$4,"YAS_BOND_YLD", "YAS_BOND_PX",hp!F100, "SETTLE_DT", TEXT(ya!$C100,"YYYYMMDD")))</f>
        <v>12.791700000000001</v>
      </c>
      <c r="G100" s="2" cm="1">
        <f t="array" ref="G100">IF(hp!G100=0,0,_xll.BDP(G$4,"YAS_BOND_YLD", "YAS_BOND_PX",hp!G100, "SETTLE_DT", TEXT(ya!$C100,"YYYYMMDD")))</f>
        <v>6.3978000000000002</v>
      </c>
      <c r="H100" s="2" cm="1">
        <f t="array" ref="H100">IF(hp!H100=0,0,_xll.BDP(H$4,"YAS_BOND_YLD", "YAS_BOND_PX",hp!H100, "SETTLE_DT", TEXT(ya!$C100,"YYYYMMDD")))</f>
        <v>12.9933</v>
      </c>
      <c r="I100" s="2" cm="1">
        <f t="array" ref="I100">IF(hp!I100=0,0,_xll.BDP(I$4,"YAS_BOND_YLD", "YAS_BOND_PX",hp!I100, "SETTLE_DT", TEXT(ya!$C100,"YYYYMMDD")))</f>
        <v>13.084199999999999</v>
      </c>
      <c r="J100" s="2" cm="1">
        <f t="array" ref="J100">IF(hp!J100=0,0,_xll.BDP(J$4,"YAS_BOND_YLD", "YAS_BOND_PX",hp!J100, "SETTLE_DT", TEXT(ya!$C100,"YYYYMMDD")))</f>
        <v>6.4644000000000004</v>
      </c>
      <c r="K100" s="2" cm="1">
        <f t="array" ref="K100">IF(hp!K100=0,0,_xll.BDP(K$4,"YAS_BOND_YLD", "YAS_BOND_PX",hp!K100, "SETTLE_DT", TEXT(ya!$C100,"YYYYMMDD")))</f>
        <v>12.831300000000001</v>
      </c>
      <c r="L100" s="2" cm="1">
        <f t="array" ref="L100">IF(hp!L100=0,0,_xll.BDP(L$4,"YAS_BOND_YLD", "YAS_BOND_PX",hp!L100, "SETTLE_DT", TEXT(ya!$C100,"YYYYMMDD")))</f>
        <v>6.2118000000000002</v>
      </c>
      <c r="M100" s="2" cm="1">
        <f t="array" ref="M100">IF(hp!M100=0,0,_xll.BDP(M$4,"YAS_BOND_YLD", "YAS_BOND_PX",hp!M100, "SETTLE_DT", TEXT(ya!$C100,"YYYYMMDD")))</f>
        <v>6.2462999999999997</v>
      </c>
      <c r="N100" s="2" cm="1">
        <f t="array" ref="N100">IF(hp!N100=0,0,_xll.BDP(N$4,"YAS_BOND_YLD", "YAS_BOND_PX",hp!N100, "SETTLE_DT", TEXT(ya!$C100,"YYYYMMDD")))</f>
        <v>6.165</v>
      </c>
      <c r="O100" s="2" cm="1">
        <f t="array" ref="O100">IF(hp!O100=0,0,_xll.BDP(O$4,"YAS_BOND_YLD", "YAS_BOND_PX",hp!O100, "SETTLE_DT", TEXT(ya!$C100,"YYYYMMDD")))</f>
        <v>6.4566999999999997</v>
      </c>
      <c r="P100" s="2" cm="1">
        <f t="array" ref="P100">IF(hp!P100=0,0,_xll.BDP(P$4,"YAS_BOND_YLD", "YAS_BOND_PX",hp!P100, "SETTLE_DT", TEXT(ya!$C100,"YYYYMMDD")))</f>
        <v>6.3017000000000003</v>
      </c>
      <c r="Q100" s="2" cm="1">
        <f t="array" ref="Q100">IF(hp!Q100=0,0,_xll.BDP(Q$4,"YAS_BOND_YLD", "YAS_BOND_PX",hp!Q100, "SETTLE_DT", TEXT(ya!$C100,"YYYYMMDD")))</f>
        <v>6.4653999999999998</v>
      </c>
      <c r="R100" s="2" cm="1">
        <f t="array" ref="R100">IF(hp!R100=0,0,_xll.BDP(R$4,"YAS_BOND_YLD", "YAS_BOND_PX",hp!R100, "SETTLE_DT", TEXT(ya!$C100,"YYYYMMDD")))</f>
        <v>12.927</v>
      </c>
      <c r="S100" s="2" cm="1">
        <f t="array" ref="S100">IF(hp!S100=0,0,_xll.BDP(S$4,"YAS_BOND_YLD", "YAS_BOND_PX",hp!S100, "SETTLE_DT", TEXT(ya!$C100,"YYYYMMDD")))</f>
        <v>0</v>
      </c>
      <c r="T100" s="2" cm="1">
        <f t="array" ref="T100">IF(hp!T100=0,0,_xll.BDP(T$4,"YAS_BOND_YLD", "YAS_BOND_PX",hp!T100, "SETTLE_DT", TEXT(ya!$C100,"YYYYMMDD")))</f>
        <v>6.1340000000000003</v>
      </c>
      <c r="U100" s="2" cm="1">
        <f t="array" ref="U100">IF(hp!U100=0,0,_xll.BDP(U$4,"YAS_BOND_YLD", "YAS_BOND_PX",hp!U100, "SETTLE_DT", TEXT(ya!$C100,"YYYYMMDD")))</f>
        <v>6.4526000000000003</v>
      </c>
      <c r="V100" s="2" cm="1">
        <f t="array" ref="V100">IF(hp!V100=0,0,_xll.BDP(V$4,"YAS_BOND_YLD", "YAS_BOND_PX",hp!V100, "SETTLE_DT", TEXT(ya!$C100,"YYYYMMDD")))</f>
        <v>0</v>
      </c>
      <c r="W100" s="2" cm="1">
        <f t="array" ref="W100">IF(hp!W100=0,0,_xll.BDP(W$4,"YAS_BOND_YLD", "YAS_BOND_PX",hp!W100, "SETTLE_DT", TEXT(ya!$C100,"YYYYMMDD")))</f>
        <v>3.0800000000000001E-2</v>
      </c>
      <c r="X100" s="2" cm="1">
        <f t="array" ref="X100">IF(hp!X100=0,0,_xll.BDP(X$4,"YAS_BOND_YLD", "YAS_BOND_PX",hp!X100, "SETTLE_DT", TEXT(ya!$C100,"YYYYMMDD")))</f>
        <v>0</v>
      </c>
      <c r="Y100" s="2" cm="1">
        <f t="array" ref="Y100">IF(hp!Y100=0,0,_xll.BDP(Y$4,"YAS_BOND_YLD", "YAS_BOND_PX",hp!Y100, "SETTLE_DT", TEXT(ya!$C100,"YYYYMMDD")))</f>
        <v>0</v>
      </c>
      <c r="Z100" s="2" cm="1">
        <f t="array" ref="Z100">IF(hp!Z100=0,0,_xll.BDP(Z$4,"YAS_BOND_YLD", "YAS_BOND_PX",hp!Z100, "SETTLE_DT", TEXT(ya!$C100,"YYYYMMDD")))</f>
        <v>8.3000000000000004E-2</v>
      </c>
      <c r="AA100" s="2" cm="1">
        <f t="array" ref="AA100">IF(hp!AA100=0,0,_xll.BDP(AA$4,"YAS_BOND_YLD", "YAS_BOND_PX",hp!AA100, "SETTLE_DT", TEXT(ya!$C100,"YYYYMMDD")))</f>
        <v>0</v>
      </c>
      <c r="AB100" s="2" cm="1">
        <f t="array" ref="AB100">IF(hp!AB100=0,0,_xll.BDP(AB$4,"YAS_BOND_YLD", "YAS_BOND_PX",hp!AB100, "SETTLE_DT", TEXT(ya!$C100,"YYYYMMDD")))</f>
        <v>0.14460000000000001</v>
      </c>
      <c r="AC100" s="2" cm="1">
        <f t="array" ref="AC100">IF(hp!AC100=0,0,_xll.BDP(AC$4,"YAS_BOND_YLD", "YAS_BOND_PX",hp!AC100, "SETTLE_DT", TEXT(ya!$C100,"YYYYMMDD")))</f>
        <v>0</v>
      </c>
      <c r="AD100" s="2" cm="1">
        <f t="array" ref="AD100">IF(hp!AD100=0,0,_xll.BDP(AD$4,"YAS_BOND_YLD", "YAS_BOND_PX",hp!AD100, "SETTLE_DT", TEXT(ya!$C100,"YYYYMMDD")))</f>
        <v>6.4554</v>
      </c>
      <c r="AE100" s="2" cm="1">
        <f t="array" ref="AE100">IF(hp!AE100=0,0,_xll.BDP(AE$4,"YAS_BOND_YLD", "YAS_BOND_PX",hp!AE100, "SETTLE_DT", TEXT(ya!$C100,"YYYYMMDD")))</f>
        <v>0</v>
      </c>
      <c r="AF100" s="2" cm="1">
        <f t="array" ref="AF100">IF(hp!AF100=0,0,_xll.BDP(AF$4,"YAS_BOND_YLD", "YAS_BOND_PX",hp!AF100, "SETTLE_DT", TEXT(ya!$C100,"YYYYMMDD")))</f>
        <v>0.16489999999999999</v>
      </c>
      <c r="AG100" s="2" cm="1">
        <f t="array" ref="AG100">IF(hp!AG100=0,0,_xll.BDP(AG$4,"YAS_BOND_YLD", "YAS_BOND_PX",hp!AG100, "SETTLE_DT", TEXT(ya!$C100,"YYYYMMDD")))</f>
        <v>0.15060000000000001</v>
      </c>
      <c r="AH100" s="2" cm="1">
        <f t="array" ref="AH100">IF(hp!AH100=0,0,_xll.BDP(AH$4,"YAS_BOND_YLD", "YAS_BOND_PX",hp!AH100, "SETTLE_DT", TEXT(ya!$C100,"YYYYMMDD")))</f>
        <v>0</v>
      </c>
      <c r="AI100" s="2" cm="1">
        <f t="array" ref="AI100">IF(hp!AI100=0,0,_xll.BDP(AI$4,"YAS_BOND_YLD", "YAS_BOND_PX",hp!AI100, "SETTLE_DT", TEXT(ya!$C100,"YYYYMMDD")))</f>
        <v>6.3606999999999996</v>
      </c>
      <c r="AJ100" s="2" cm="1">
        <f t="array" ref="AJ100">IF(hp!AJ100=0,0,_xll.BDP(AJ$4,"YAS_BOND_YLD", "YAS_BOND_PX",hp!AJ100, "SETTLE_DT", TEXT(ya!$C100,"YYYYMMDD")))</f>
        <v>0.16919999999999999</v>
      </c>
      <c r="AK100" s="2" cm="1">
        <f t="array" ref="AK100">IF(hp!AK100=0,0,_xll.BDP(AK$4,"YAS_BOND_YLD", "YAS_BOND_PX",hp!AK100, "SETTLE_DT", TEXT(ya!$C100,"YYYYMMDD")))</f>
        <v>0.16070000000000001</v>
      </c>
      <c r="AL100" s="2" cm="1">
        <f t="array" ref="AL100">IF(hp!AL100=0,0,_xll.BDP(AL$4,"YAS_BOND_YLD", "YAS_BOND_PX",hp!AL100, "SETTLE_DT", TEXT(ya!$C100,"YYYYMMDD")))</f>
        <v>0</v>
      </c>
      <c r="AM100" s="2" cm="1">
        <f t="array" ref="AM100">IF(hp!AM100=0,0,_xll.BDP(AM$4,"YAS_BOND_YLD", "YAS_BOND_PX",hp!AM100, "SETTLE_DT", TEXT(ya!$C100,"YYYYMMDD")))</f>
        <v>0</v>
      </c>
      <c r="AN100" s="2" cm="1">
        <f t="array" ref="AN100">IF(hp!AN100=0,0,_xll.BDP(AN$4,"YAS_BOND_YLD", "YAS_BOND_PX",hp!AN100, "SETTLE_DT", TEXT(ya!$C100,"YYYYMMDD")))</f>
        <v>0</v>
      </c>
      <c r="AO100" s="2" cm="1">
        <f t="array" ref="AO100">IF(hp!AO100=0,0,_xll.BDP(AO$4,"YAS_BOND_YLD", "YAS_BOND_PX",hp!AO100, "SETTLE_DT", TEXT(ya!$C100,"YYYYMMDD")))</f>
        <v>0</v>
      </c>
      <c r="AP100" s="2" cm="1">
        <f t="array" ref="AP100">IF(hp!AP100=0,0,_xll.BDP(AP$4,"YAS_BOND_YLD", "YAS_BOND_PX",hp!AP100, "SETTLE_DT", TEXT(ya!$C100,"YYYYMMDD")))</f>
        <v>0</v>
      </c>
      <c r="AQ100" s="2" cm="1">
        <f t="array" ref="AQ100">IF(hp!AQ100=0,0,_xll.BDP(AQ$4,"YAS_BOND_YLD", "YAS_BOND_PX",hp!AQ100, "SETTLE_DT", TEXT(ya!$C100,"YYYYMMDD")))</f>
        <v>8.4900000000000003E-2</v>
      </c>
      <c r="AR100" s="2" cm="1">
        <f t="array" ref="AR100">IF(hp!AR100=0,0,_xll.BDP(AR$4,"YAS_BOND_YLD", "YAS_BOND_PX",hp!AR100, "SETTLE_DT", TEXT(ya!$C100,"YYYYMMDD")))</f>
        <v>5.9614000000000003</v>
      </c>
      <c r="AS100" s="2" cm="1">
        <f t="array" ref="AS100">IF(hp!AS100=0,0,_xll.BDP(AS$4,"YAS_BOND_YLD", "YAS_BOND_PX",hp!AS100, "SETTLE_DT", TEXT(ya!$C100,"YYYYMMDD")))</f>
        <v>0</v>
      </c>
      <c r="AT100" s="2" cm="1">
        <f t="array" ref="AT100">IF(hp!AT100=0,0,_xll.BDP(AT$4,"YAS_BOND_YLD", "YAS_BOND_PX",hp!AT100, "SETTLE_DT", TEXT(ya!$C100,"YYYYMMDD")))</f>
        <v>0</v>
      </c>
      <c r="AU100" s="2" cm="1">
        <f t="array" ref="AU100">IF(hp!AU100=0,0,_xll.BDP(AU$4,"YAS_BOND_YLD", "YAS_BOND_PX",hp!AU100, "SETTLE_DT", TEXT(ya!$C100,"YYYYMMDD")))</f>
        <v>0</v>
      </c>
      <c r="AV100" s="2" cm="1">
        <f t="array" ref="AV100">IF(hp!AV100=0,0,_xll.BDP(AV$4,"YAS_BOND_YLD", "YAS_BOND_PX",hp!AV100, "SETTLE_DT", TEXT(ya!$C100,"YYYYMMDD")))</f>
        <v>0</v>
      </c>
      <c r="AW100" s="2" cm="1">
        <f t="array" ref="AW100">IF(hp!AW100=0,0,_xll.BDP(AW$4,"YAS_BOND_YLD", "YAS_BOND_PX",hp!AW100, "SETTLE_DT", TEXT(ya!$C100,"YYYYMMDD")))</f>
        <v>0</v>
      </c>
      <c r="AX100" s="2" cm="1">
        <f t="array" ref="AX100">IF(hp!AX100=0,0,_xll.BDP(AX$4,"YAS_BOND_YLD", "YAS_BOND_PX",hp!AX100, "SETTLE_DT", TEXT(ya!$C100,"YYYYMMDD")))</f>
        <v>0</v>
      </c>
      <c r="AY100" s="2" cm="1">
        <f t="array" ref="AY100">IF(hp!AY100=0,0,_xll.BDP(AY$4,"YAS_BOND_YLD", "YAS_BOND_PX",hp!AY100, "SETTLE_DT", TEXT(ya!$C100,"YYYYMMDD")))</f>
        <v>0</v>
      </c>
      <c r="AZ100" s="2" cm="1">
        <f t="array" ref="AZ100">IF(hp!AZ100=0,0,_xll.BDP(AZ$4,"YAS_BOND_YLD", "YAS_BOND_PX",hp!AZ100, "SETTLE_DT", TEXT(ya!$C100,"YYYYMMDD")))</f>
        <v>0</v>
      </c>
    </row>
    <row r="101" spans="1:52" x14ac:dyDescent="0.25">
      <c r="A101" s="1"/>
      <c r="B101" s="2"/>
      <c r="C101" s="1">
        <v>44985</v>
      </c>
      <c r="D101" s="2" cm="1">
        <f t="array" ref="D101">IF(hp!D101=0,0,_xll.BDP(D$4,"YAS_BOND_YLD", "YAS_BOND_PX",hp!D101, "SETTLE_DT", TEXT(ya!$C101,"YYYYMMDD")))</f>
        <v>0</v>
      </c>
      <c r="E101" s="2" cm="1">
        <f t="array" ref="E101">IF(hp!E101=0,0,_xll.BDP(E$4,"YAS_BOND_YLD", "YAS_BOND_PX",hp!E101, "SETTLE_DT", TEXT(ya!$C101,"YYYYMMDD")))</f>
        <v>13.2872</v>
      </c>
      <c r="F101" s="2" cm="1">
        <f t="array" ref="F101">IF(hp!F101=0,0,_xll.BDP(F$4,"YAS_BOND_YLD", "YAS_BOND_PX",hp!F101, "SETTLE_DT", TEXT(ya!$C101,"YYYYMMDD")))</f>
        <v>12.9094</v>
      </c>
      <c r="G101" s="2" cm="1">
        <f t="array" ref="G101">IF(hp!G101=0,0,_xll.BDP(G$4,"YAS_BOND_YLD", "YAS_BOND_PX",hp!G101, "SETTLE_DT", TEXT(ya!$C101,"YYYYMMDD")))</f>
        <v>6.3659999999999997</v>
      </c>
      <c r="H101" s="2" cm="1">
        <f t="array" ref="H101">IF(hp!H101=0,0,_xll.BDP(H$4,"YAS_BOND_YLD", "YAS_BOND_PX",hp!H101, "SETTLE_DT", TEXT(ya!$C101,"YYYYMMDD")))</f>
        <v>13.234299999999999</v>
      </c>
      <c r="I101" s="2" cm="1">
        <f t="array" ref="I101">IF(hp!I101=0,0,_xll.BDP(I$4,"YAS_BOND_YLD", "YAS_BOND_PX",hp!I101, "SETTLE_DT", TEXT(ya!$C101,"YYYYMMDD")))</f>
        <v>13.3316</v>
      </c>
      <c r="J101" s="2" cm="1">
        <f t="array" ref="J101">IF(hp!J101=0,0,_xll.BDP(J$4,"YAS_BOND_YLD", "YAS_BOND_PX",hp!J101, "SETTLE_DT", TEXT(ya!$C101,"YYYYMMDD")))</f>
        <v>6.4603000000000002</v>
      </c>
      <c r="K101" s="2" cm="1">
        <f t="array" ref="K101">IF(hp!K101=0,0,_xll.BDP(K$4,"YAS_BOND_YLD", "YAS_BOND_PX",hp!K101, "SETTLE_DT", TEXT(ya!$C101,"YYYYMMDD")))</f>
        <v>12.826599999999999</v>
      </c>
      <c r="L101" s="2" cm="1">
        <f t="array" ref="L101">IF(hp!L101=0,0,_xll.BDP(L$4,"YAS_BOND_YLD", "YAS_BOND_PX",hp!L101, "SETTLE_DT", TEXT(ya!$C101,"YYYYMMDD")))</f>
        <v>6.1463999999999999</v>
      </c>
      <c r="M101" s="2" cm="1">
        <f t="array" ref="M101">IF(hp!M101=0,0,_xll.BDP(M$4,"YAS_BOND_YLD", "YAS_BOND_PX",hp!M101, "SETTLE_DT", TEXT(ya!$C101,"YYYYMMDD")))</f>
        <v>6.1368</v>
      </c>
      <c r="N101" s="2" cm="1">
        <f t="array" ref="N101">IF(hp!N101=0,0,_xll.BDP(N$4,"YAS_BOND_YLD", "YAS_BOND_PX",hp!N101, "SETTLE_DT", TEXT(ya!$C101,"YYYYMMDD")))</f>
        <v>5.8852000000000002</v>
      </c>
      <c r="O101" s="2" cm="1">
        <f t="array" ref="O101">IF(hp!O101=0,0,_xll.BDP(O$4,"YAS_BOND_YLD", "YAS_BOND_PX",hp!O101, "SETTLE_DT", TEXT(ya!$C101,"YYYYMMDD")))</f>
        <v>6.4486999999999997</v>
      </c>
      <c r="P101" s="2" cm="1">
        <f t="array" ref="P101">IF(hp!P101=0,0,_xll.BDP(P$4,"YAS_BOND_YLD", "YAS_BOND_PX",hp!P101, "SETTLE_DT", TEXT(ya!$C101,"YYYYMMDD")))</f>
        <v>6.2685000000000004</v>
      </c>
      <c r="Q101" s="2" cm="1">
        <f t="array" ref="Q101">IF(hp!Q101=0,0,_xll.BDP(Q$4,"YAS_BOND_YLD", "YAS_BOND_PX",hp!Q101, "SETTLE_DT", TEXT(ya!$C101,"YYYYMMDD")))</f>
        <v>6.4587000000000003</v>
      </c>
      <c r="R101" s="2" cm="1">
        <f t="array" ref="R101">IF(hp!R101=0,0,_xll.BDP(R$4,"YAS_BOND_YLD", "YAS_BOND_PX",hp!R101, "SETTLE_DT", TEXT(ya!$C101,"YYYYMMDD")))</f>
        <v>12.9771</v>
      </c>
      <c r="S101" s="2" cm="1">
        <f t="array" ref="S101">IF(hp!S101=0,0,_xll.BDP(S$4,"YAS_BOND_YLD", "YAS_BOND_PX",hp!S101, "SETTLE_DT", TEXT(ya!$C101,"YYYYMMDD")))</f>
        <v>0</v>
      </c>
      <c r="T101" s="2" cm="1">
        <f t="array" ref="T101">IF(hp!T101=0,0,_xll.BDP(T$4,"YAS_BOND_YLD", "YAS_BOND_PX",hp!T101, "SETTLE_DT", TEXT(ya!$C101,"YYYYMMDD")))</f>
        <v>5.9161999999999999</v>
      </c>
      <c r="U101" s="2" cm="1">
        <f t="array" ref="U101">IF(hp!U101=0,0,_xll.BDP(U$4,"YAS_BOND_YLD", "YAS_BOND_PX",hp!U101, "SETTLE_DT", TEXT(ya!$C101,"YYYYMMDD")))</f>
        <v>6.4268000000000001</v>
      </c>
      <c r="V101" s="2" cm="1">
        <f t="array" ref="V101">IF(hp!V101=0,0,_xll.BDP(V$4,"YAS_BOND_YLD", "YAS_BOND_PX",hp!V101, "SETTLE_DT", TEXT(ya!$C101,"YYYYMMDD")))</f>
        <v>0</v>
      </c>
      <c r="W101" s="2" cm="1">
        <f t="array" ref="W101">IF(hp!W101=0,0,_xll.BDP(W$4,"YAS_BOND_YLD", "YAS_BOND_PX",hp!W101, "SETTLE_DT", TEXT(ya!$C101,"YYYYMMDD")))</f>
        <v>1.84E-2</v>
      </c>
      <c r="X101" s="2" cm="1">
        <f t="array" ref="X101">IF(hp!X101=0,0,_xll.BDP(X$4,"YAS_BOND_YLD", "YAS_BOND_PX",hp!X101, "SETTLE_DT", TEXT(ya!$C101,"YYYYMMDD")))</f>
        <v>0</v>
      </c>
      <c r="Y101" s="2" cm="1">
        <f t="array" ref="Y101">IF(hp!Y101=0,0,_xll.BDP(Y$4,"YAS_BOND_YLD", "YAS_BOND_PX",hp!Y101, "SETTLE_DT", TEXT(ya!$C101,"YYYYMMDD")))</f>
        <v>0</v>
      </c>
      <c r="Z101" s="2" cm="1">
        <f t="array" ref="Z101">IF(hp!Z101=0,0,_xll.BDP(Z$4,"YAS_BOND_YLD", "YAS_BOND_PX",hp!Z101, "SETTLE_DT", TEXT(ya!$C101,"YYYYMMDD")))</f>
        <v>7.1900000000000006E-2</v>
      </c>
      <c r="AA101" s="2" cm="1">
        <f t="array" ref="AA101">IF(hp!AA101=0,0,_xll.BDP(AA$4,"YAS_BOND_YLD", "YAS_BOND_PX",hp!AA101, "SETTLE_DT", TEXT(ya!$C101,"YYYYMMDD")))</f>
        <v>0</v>
      </c>
      <c r="AB101" s="2" cm="1">
        <f t="array" ref="AB101">IF(hp!AB101=0,0,_xll.BDP(AB$4,"YAS_BOND_YLD", "YAS_BOND_PX",hp!AB101, "SETTLE_DT", TEXT(ya!$C101,"YYYYMMDD")))</f>
        <v>0.1191</v>
      </c>
      <c r="AC101" s="2" cm="1">
        <f t="array" ref="AC101">IF(hp!AC101=0,0,_xll.BDP(AC$4,"YAS_BOND_YLD", "YAS_BOND_PX",hp!AC101, "SETTLE_DT", TEXT(ya!$C101,"YYYYMMDD")))</f>
        <v>0</v>
      </c>
      <c r="AD101" s="2" cm="1">
        <f t="array" ref="AD101">IF(hp!AD101=0,0,_xll.BDP(AD$4,"YAS_BOND_YLD", "YAS_BOND_PX",hp!AD101, "SETTLE_DT", TEXT(ya!$C101,"YYYYMMDD")))</f>
        <v>6.4478999999999997</v>
      </c>
      <c r="AE101" s="2" cm="1">
        <f t="array" ref="AE101">IF(hp!AE101=0,0,_xll.BDP(AE$4,"YAS_BOND_YLD", "YAS_BOND_PX",hp!AE101, "SETTLE_DT", TEXT(ya!$C101,"YYYYMMDD")))</f>
        <v>0</v>
      </c>
      <c r="AF101" s="2" cm="1">
        <f t="array" ref="AF101">IF(hp!AF101=0,0,_xll.BDP(AF$4,"YAS_BOND_YLD", "YAS_BOND_PX",hp!AF101, "SETTLE_DT", TEXT(ya!$C101,"YYYYMMDD")))</f>
        <v>0.1527</v>
      </c>
      <c r="AG101" s="2" cm="1">
        <f t="array" ref="AG101">IF(hp!AG101=0,0,_xll.BDP(AG$4,"YAS_BOND_YLD", "YAS_BOND_PX",hp!AG101, "SETTLE_DT", TEXT(ya!$C101,"YYYYMMDD")))</f>
        <v>0.13150000000000001</v>
      </c>
      <c r="AH101" s="2" cm="1">
        <f t="array" ref="AH101">IF(hp!AH101=0,0,_xll.BDP(AH$4,"YAS_BOND_YLD", "YAS_BOND_PX",hp!AH101, "SETTLE_DT", TEXT(ya!$C101,"YYYYMMDD")))</f>
        <v>0</v>
      </c>
      <c r="AI101" s="2" cm="1">
        <f t="array" ref="AI101">IF(hp!AI101=0,0,_xll.BDP(AI$4,"YAS_BOND_YLD", "YAS_BOND_PX",hp!AI101, "SETTLE_DT", TEXT(ya!$C101,"YYYYMMDD")))</f>
        <v>6.3193000000000001</v>
      </c>
      <c r="AJ101" s="2" cm="1">
        <f t="array" ref="AJ101">IF(hp!AJ101=0,0,_xll.BDP(AJ$4,"YAS_BOND_YLD", "YAS_BOND_PX",hp!AJ101, "SETTLE_DT", TEXT(ya!$C101,"YYYYMMDD")))</f>
        <v>0.16719999999999999</v>
      </c>
      <c r="AK101" s="2" cm="1">
        <f t="array" ref="AK101">IF(hp!AK101=0,0,_xll.BDP(AK$4,"YAS_BOND_YLD", "YAS_BOND_PX",hp!AK101, "SETTLE_DT", TEXT(ya!$C101,"YYYYMMDD")))</f>
        <v>0.14879999999999999</v>
      </c>
      <c r="AL101" s="2" cm="1">
        <f t="array" ref="AL101">IF(hp!AL101=0,0,_xll.BDP(AL$4,"YAS_BOND_YLD", "YAS_BOND_PX",hp!AL101, "SETTLE_DT", TEXT(ya!$C101,"YYYYMMDD")))</f>
        <v>0</v>
      </c>
      <c r="AM101" s="2" cm="1">
        <f t="array" ref="AM101">IF(hp!AM101=0,0,_xll.BDP(AM$4,"YAS_BOND_YLD", "YAS_BOND_PX",hp!AM101, "SETTLE_DT", TEXT(ya!$C101,"YYYYMMDD")))</f>
        <v>0</v>
      </c>
      <c r="AN101" s="2" cm="1">
        <f t="array" ref="AN101">IF(hp!AN101=0,0,_xll.BDP(AN$4,"YAS_BOND_YLD", "YAS_BOND_PX",hp!AN101, "SETTLE_DT", TEXT(ya!$C101,"YYYYMMDD")))</f>
        <v>0</v>
      </c>
      <c r="AO101" s="2" cm="1">
        <f t="array" ref="AO101">IF(hp!AO101=0,0,_xll.BDP(AO$4,"YAS_BOND_YLD", "YAS_BOND_PX",hp!AO101, "SETTLE_DT", TEXT(ya!$C101,"YYYYMMDD")))</f>
        <v>0</v>
      </c>
      <c r="AP101" s="2" cm="1">
        <f t="array" ref="AP101">IF(hp!AP101=0,0,_xll.BDP(AP$4,"YAS_BOND_YLD", "YAS_BOND_PX",hp!AP101, "SETTLE_DT", TEXT(ya!$C101,"YYYYMMDD")))</f>
        <v>0</v>
      </c>
      <c r="AQ101" s="2" cm="1">
        <f t="array" ref="AQ101">IF(hp!AQ101=0,0,_xll.BDP(AQ$4,"YAS_BOND_YLD", "YAS_BOND_PX",hp!AQ101, "SETTLE_DT", TEXT(ya!$C101,"YYYYMMDD")))</f>
        <v>7.6399999999999996E-2</v>
      </c>
      <c r="AR101" s="2" cm="1">
        <f t="array" ref="AR101">IF(hp!AR101=0,0,_xll.BDP(AR$4,"YAS_BOND_YLD", "YAS_BOND_PX",hp!AR101, "SETTLE_DT", TEXT(ya!$C101,"YYYYMMDD")))</f>
        <v>5.9798</v>
      </c>
      <c r="AS101" s="2" cm="1">
        <f t="array" ref="AS101">IF(hp!AS101=0,0,_xll.BDP(AS$4,"YAS_BOND_YLD", "YAS_BOND_PX",hp!AS101, "SETTLE_DT", TEXT(ya!$C101,"YYYYMMDD")))</f>
        <v>0</v>
      </c>
      <c r="AT101" s="2" cm="1">
        <f t="array" ref="AT101">IF(hp!AT101=0,0,_xll.BDP(AT$4,"YAS_BOND_YLD", "YAS_BOND_PX",hp!AT101, "SETTLE_DT", TEXT(ya!$C101,"YYYYMMDD")))</f>
        <v>0</v>
      </c>
      <c r="AU101" s="2" cm="1">
        <f t="array" ref="AU101">IF(hp!AU101=0,0,_xll.BDP(AU$4,"YAS_BOND_YLD", "YAS_BOND_PX",hp!AU101, "SETTLE_DT", TEXT(ya!$C101,"YYYYMMDD")))</f>
        <v>0</v>
      </c>
      <c r="AV101" s="2" cm="1">
        <f t="array" ref="AV101">IF(hp!AV101=0,0,_xll.BDP(AV$4,"YAS_BOND_YLD", "YAS_BOND_PX",hp!AV101, "SETTLE_DT", TEXT(ya!$C101,"YYYYMMDD")))</f>
        <v>0</v>
      </c>
      <c r="AW101" s="2" cm="1">
        <f t="array" ref="AW101">IF(hp!AW101=0,0,_xll.BDP(AW$4,"YAS_BOND_YLD", "YAS_BOND_PX",hp!AW101, "SETTLE_DT", TEXT(ya!$C101,"YYYYMMDD")))</f>
        <v>0</v>
      </c>
      <c r="AX101" s="2" cm="1">
        <f t="array" ref="AX101">IF(hp!AX101=0,0,_xll.BDP(AX$4,"YAS_BOND_YLD", "YAS_BOND_PX",hp!AX101, "SETTLE_DT", TEXT(ya!$C101,"YYYYMMDD")))</f>
        <v>0</v>
      </c>
      <c r="AY101" s="2" cm="1">
        <f t="array" ref="AY101">IF(hp!AY101=0,0,_xll.BDP(AY$4,"YAS_BOND_YLD", "YAS_BOND_PX",hp!AY101, "SETTLE_DT", TEXT(ya!$C101,"YYYYMMDD")))</f>
        <v>0</v>
      </c>
      <c r="AZ101" s="2" cm="1">
        <f t="array" ref="AZ101">IF(hp!AZ101=0,0,_xll.BDP(AZ$4,"YAS_BOND_YLD", "YAS_BOND_PX",hp!AZ101, "SETTLE_DT", TEXT(ya!$C101,"YYYYMMDD")))</f>
        <v>0</v>
      </c>
    </row>
    <row r="102" spans="1:52" x14ac:dyDescent="0.25">
      <c r="A102" s="1"/>
      <c r="B102" s="2"/>
      <c r="C102" s="1">
        <v>45016</v>
      </c>
      <c r="D102" s="2" cm="1">
        <f t="array" ref="D102">IF(hp!D102=0,0,_xll.BDP(D$4,"YAS_BOND_YLD", "YAS_BOND_PX",hp!D102, "SETTLE_DT", TEXT(ya!$C102,"YYYYMMDD")))</f>
        <v>0</v>
      </c>
      <c r="E102" s="2" cm="1">
        <f t="array" ref="E102">IF(hp!E102=0,0,_xll.BDP(E$4,"YAS_BOND_YLD", "YAS_BOND_PX",hp!E102, "SETTLE_DT", TEXT(ya!$C102,"YYYYMMDD")))</f>
        <v>12.672499999999999</v>
      </c>
      <c r="F102" s="2" cm="1">
        <f t="array" ref="F102">IF(hp!F102=0,0,_xll.BDP(F$4,"YAS_BOND_YLD", "YAS_BOND_PX",hp!F102, "SETTLE_DT", TEXT(ya!$C102,"YYYYMMDD")))</f>
        <v>12.1327</v>
      </c>
      <c r="G102" s="2" cm="1">
        <f t="array" ref="G102">IF(hp!G102=0,0,_xll.BDP(G$4,"YAS_BOND_YLD", "YAS_BOND_PX",hp!G102, "SETTLE_DT", TEXT(ya!$C102,"YYYYMMDD")))</f>
        <v>6.1261999999999999</v>
      </c>
      <c r="H102" s="2" cm="1">
        <f t="array" ref="H102">IF(hp!H102=0,0,_xll.BDP(H$4,"YAS_BOND_YLD", "YAS_BOND_PX",hp!H102, "SETTLE_DT", TEXT(ya!$C102,"YYYYMMDD")))</f>
        <v>12.556000000000001</v>
      </c>
      <c r="I102" s="2" cm="1">
        <f t="array" ref="I102">IF(hp!I102=0,0,_xll.BDP(I$4,"YAS_BOND_YLD", "YAS_BOND_PX",hp!I102, "SETTLE_DT", TEXT(ya!$C102,"YYYYMMDD")))</f>
        <v>12.801</v>
      </c>
      <c r="J102" s="2" cm="1">
        <f t="array" ref="J102">IF(hp!J102=0,0,_xll.BDP(J$4,"YAS_BOND_YLD", "YAS_BOND_PX",hp!J102, "SETTLE_DT", TEXT(ya!$C102,"YYYYMMDD")))</f>
        <v>6.2488999999999999</v>
      </c>
      <c r="K102" s="2" cm="1">
        <f t="array" ref="K102">IF(hp!K102=0,0,_xll.BDP(K$4,"YAS_BOND_YLD", "YAS_BOND_PX",hp!K102, "SETTLE_DT", TEXT(ya!$C102,"YYYYMMDD")))</f>
        <v>12.0098</v>
      </c>
      <c r="L102" s="2" cm="1">
        <f t="array" ref="L102">IF(hp!L102=0,0,_xll.BDP(L$4,"YAS_BOND_YLD", "YAS_BOND_PX",hp!L102, "SETTLE_DT", TEXT(ya!$C102,"YYYYMMDD")))</f>
        <v>5.9226000000000001</v>
      </c>
      <c r="M102" s="2" cm="1">
        <f t="array" ref="M102">IF(hp!M102=0,0,_xll.BDP(M$4,"YAS_BOND_YLD", "YAS_BOND_PX",hp!M102, "SETTLE_DT", TEXT(ya!$C102,"YYYYMMDD")))</f>
        <v>5.9104000000000001</v>
      </c>
      <c r="N102" s="2" cm="1">
        <f t="array" ref="N102">IF(hp!N102=0,0,_xll.BDP(N$4,"YAS_BOND_YLD", "YAS_BOND_PX",hp!N102, "SETTLE_DT", TEXT(ya!$C102,"YYYYMMDD")))</f>
        <v>5.7268999999999997</v>
      </c>
      <c r="O102" s="2" cm="1">
        <f t="array" ref="O102">IF(hp!O102=0,0,_xll.BDP(O$4,"YAS_BOND_YLD", "YAS_BOND_PX",hp!O102, "SETTLE_DT", TEXT(ya!$C102,"YYYYMMDD")))</f>
        <v>6.2005999999999997</v>
      </c>
      <c r="P102" s="2" cm="1">
        <f t="array" ref="P102">IF(hp!P102=0,0,_xll.BDP(P$4,"YAS_BOND_YLD", "YAS_BOND_PX",hp!P102, "SETTLE_DT", TEXT(ya!$C102,"YYYYMMDD")))</f>
        <v>6.0340999999999996</v>
      </c>
      <c r="Q102" s="2" cm="1">
        <f t="array" ref="Q102">IF(hp!Q102=0,0,_xll.BDP(Q$4,"YAS_BOND_YLD", "YAS_BOND_PX",hp!Q102, "SETTLE_DT", TEXT(ya!$C102,"YYYYMMDD")))</f>
        <v>6.2493999999999996</v>
      </c>
      <c r="R102" s="2" cm="1">
        <f t="array" ref="R102">IF(hp!R102=0,0,_xll.BDP(R$4,"YAS_BOND_YLD", "YAS_BOND_PX",hp!R102, "SETTLE_DT", TEXT(ya!$C102,"YYYYMMDD")))</f>
        <v>12.145899999999999</v>
      </c>
      <c r="S102" s="2" cm="1">
        <f t="array" ref="S102">IF(hp!S102=0,0,_xll.BDP(S$4,"YAS_BOND_YLD", "YAS_BOND_PX",hp!S102, "SETTLE_DT", TEXT(ya!$C102,"YYYYMMDD")))</f>
        <v>0</v>
      </c>
      <c r="T102" s="2" cm="1">
        <f t="array" ref="T102">IF(hp!T102=0,0,_xll.BDP(T$4,"YAS_BOND_YLD", "YAS_BOND_PX",hp!T102, "SETTLE_DT", TEXT(ya!$C102,"YYYYMMDD")))</f>
        <v>5.7195999999999998</v>
      </c>
      <c r="U102" s="2" cm="1">
        <f t="array" ref="U102">IF(hp!U102=0,0,_xll.BDP(U$4,"YAS_BOND_YLD", "YAS_BOND_PX",hp!U102, "SETTLE_DT", TEXT(ya!$C102,"YYYYMMDD")))</f>
        <v>6.1829000000000001</v>
      </c>
      <c r="V102" s="2" cm="1">
        <f t="array" ref="V102">IF(hp!V102=0,0,_xll.BDP(V$4,"YAS_BOND_YLD", "YAS_BOND_PX",hp!V102, "SETTLE_DT", TEXT(ya!$C102,"YYYYMMDD")))</f>
        <v>0</v>
      </c>
      <c r="W102" s="2" cm="1">
        <f t="array" ref="W102">IF(hp!W102=0,0,_xll.BDP(W$4,"YAS_BOND_YLD", "YAS_BOND_PX",hp!W102, "SETTLE_DT", TEXT(ya!$C102,"YYYYMMDD")))</f>
        <v>0</v>
      </c>
      <c r="X102" s="2" cm="1">
        <f t="array" ref="X102">IF(hp!X102=0,0,_xll.BDP(X$4,"YAS_BOND_YLD", "YAS_BOND_PX",hp!X102, "SETTLE_DT", TEXT(ya!$C102,"YYYYMMDD")))</f>
        <v>0</v>
      </c>
      <c r="Y102" s="2" cm="1">
        <f t="array" ref="Y102">IF(hp!Y102=0,0,_xll.BDP(Y$4,"YAS_BOND_YLD", "YAS_BOND_PX",hp!Y102, "SETTLE_DT", TEXT(ya!$C102,"YYYYMMDD")))</f>
        <v>0</v>
      </c>
      <c r="Z102" s="2" cm="1">
        <f t="array" ref="Z102">IF(hp!Z102=0,0,_xll.BDP(Z$4,"YAS_BOND_YLD", "YAS_BOND_PX",hp!Z102, "SETTLE_DT", TEXT(ya!$C102,"YYYYMMDD")))</f>
        <v>8.0299999999999996E-2</v>
      </c>
      <c r="AA102" s="2" cm="1">
        <f t="array" ref="AA102">IF(hp!AA102=0,0,_xll.BDP(AA$4,"YAS_BOND_YLD", "YAS_BOND_PX",hp!AA102, "SETTLE_DT", TEXT(ya!$C102,"YYYYMMDD")))</f>
        <v>0</v>
      </c>
      <c r="AB102" s="2" cm="1">
        <f t="array" ref="AB102">IF(hp!AB102=0,0,_xll.BDP(AB$4,"YAS_BOND_YLD", "YAS_BOND_PX",hp!AB102, "SETTLE_DT", TEXT(ya!$C102,"YYYYMMDD")))</f>
        <v>0.1406</v>
      </c>
      <c r="AC102" s="2" cm="1">
        <f t="array" ref="AC102">IF(hp!AC102=0,0,_xll.BDP(AC$4,"YAS_BOND_YLD", "YAS_BOND_PX",hp!AC102, "SETTLE_DT", TEXT(ya!$C102,"YYYYMMDD")))</f>
        <v>0</v>
      </c>
      <c r="AD102" s="2" cm="1">
        <f t="array" ref="AD102">IF(hp!AD102=0,0,_xll.BDP(AD$4,"YAS_BOND_YLD", "YAS_BOND_PX",hp!AD102, "SETTLE_DT", TEXT(ya!$C102,"YYYYMMDD")))</f>
        <v>6.2239000000000004</v>
      </c>
      <c r="AE102" s="2" cm="1">
        <f t="array" ref="AE102">IF(hp!AE102=0,0,_xll.BDP(AE$4,"YAS_BOND_YLD", "YAS_BOND_PX",hp!AE102, "SETTLE_DT", TEXT(ya!$C102,"YYYYMMDD")))</f>
        <v>0</v>
      </c>
      <c r="AF102" s="2" cm="1">
        <f t="array" ref="AF102">IF(hp!AF102=0,0,_xll.BDP(AF$4,"YAS_BOND_YLD", "YAS_BOND_PX",hp!AF102, "SETTLE_DT", TEXT(ya!$C102,"YYYYMMDD")))</f>
        <v>0.1575</v>
      </c>
      <c r="AG102" s="2" cm="1">
        <f t="array" ref="AG102">IF(hp!AG102=0,0,_xll.BDP(AG$4,"YAS_BOND_YLD", "YAS_BOND_PX",hp!AG102, "SETTLE_DT", TEXT(ya!$C102,"YYYYMMDD")))</f>
        <v>0.14810000000000001</v>
      </c>
      <c r="AH102" s="2" cm="1">
        <f t="array" ref="AH102">IF(hp!AH102=0,0,_xll.BDP(AH$4,"YAS_BOND_YLD", "YAS_BOND_PX",hp!AH102, "SETTLE_DT", TEXT(ya!$C102,"YYYYMMDD")))</f>
        <v>0</v>
      </c>
      <c r="AI102" s="2" cm="1">
        <f t="array" ref="AI102">IF(hp!AI102=0,0,_xll.BDP(AI$4,"YAS_BOND_YLD", "YAS_BOND_PX",hp!AI102, "SETTLE_DT", TEXT(ya!$C102,"YYYYMMDD")))</f>
        <v>6.0959000000000003</v>
      </c>
      <c r="AJ102" s="2" cm="1">
        <f t="array" ref="AJ102">IF(hp!AJ102=0,0,_xll.BDP(AJ$4,"YAS_BOND_YLD", "YAS_BOND_PX",hp!AJ102, "SETTLE_DT", TEXT(ya!$C102,"YYYYMMDD")))</f>
        <v>0.1741</v>
      </c>
      <c r="AK102" s="2" cm="1">
        <f t="array" ref="AK102">IF(hp!AK102=0,0,_xll.BDP(AK$4,"YAS_BOND_YLD", "YAS_BOND_PX",hp!AK102, "SETTLE_DT", TEXT(ya!$C102,"YYYYMMDD")))</f>
        <v>0.15640000000000001</v>
      </c>
      <c r="AL102" s="2" cm="1">
        <f t="array" ref="AL102">IF(hp!AL102=0,0,_xll.BDP(AL$4,"YAS_BOND_YLD", "YAS_BOND_PX",hp!AL102, "SETTLE_DT", TEXT(ya!$C102,"YYYYMMDD")))</f>
        <v>0</v>
      </c>
      <c r="AM102" s="2" cm="1">
        <f t="array" ref="AM102">IF(hp!AM102=0,0,_xll.BDP(AM$4,"YAS_BOND_YLD", "YAS_BOND_PX",hp!AM102, "SETTLE_DT", TEXT(ya!$C102,"YYYYMMDD")))</f>
        <v>0</v>
      </c>
      <c r="AN102" s="2" cm="1">
        <f t="array" ref="AN102">IF(hp!AN102=0,0,_xll.BDP(AN$4,"YAS_BOND_YLD", "YAS_BOND_PX",hp!AN102, "SETTLE_DT", TEXT(ya!$C102,"YYYYMMDD")))</f>
        <v>0</v>
      </c>
      <c r="AO102" s="2" cm="1">
        <f t="array" ref="AO102">IF(hp!AO102=0,0,_xll.BDP(AO$4,"YAS_BOND_YLD", "YAS_BOND_PX",hp!AO102, "SETTLE_DT", TEXT(ya!$C102,"YYYYMMDD")))</f>
        <v>0</v>
      </c>
      <c r="AP102" s="2" cm="1">
        <f t="array" ref="AP102">IF(hp!AP102=0,0,_xll.BDP(AP$4,"YAS_BOND_YLD", "YAS_BOND_PX",hp!AP102, "SETTLE_DT", TEXT(ya!$C102,"YYYYMMDD")))</f>
        <v>0</v>
      </c>
      <c r="AQ102" s="2" cm="1">
        <f t="array" ref="AQ102">IF(hp!AQ102=0,0,_xll.BDP(AQ$4,"YAS_BOND_YLD", "YAS_BOND_PX",hp!AQ102, "SETTLE_DT", TEXT(ya!$C102,"YYYYMMDD")))</f>
        <v>9.0399999999999994E-2</v>
      </c>
      <c r="AR102" s="2" cm="1">
        <f t="array" ref="AR102">IF(hp!AR102=0,0,_xll.BDP(AR$4,"YAS_BOND_YLD", "YAS_BOND_PX",hp!AR102, "SETTLE_DT", TEXT(ya!$C102,"YYYYMMDD")))</f>
        <v>5.8925999999999998</v>
      </c>
      <c r="AS102" s="2" cm="1">
        <f t="array" ref="AS102">IF(hp!AS102=0,0,_xll.BDP(AS$4,"YAS_BOND_YLD", "YAS_BOND_PX",hp!AS102, "SETTLE_DT", TEXT(ya!$C102,"YYYYMMDD")))</f>
        <v>0</v>
      </c>
      <c r="AT102" s="2" cm="1">
        <f t="array" ref="AT102">IF(hp!AT102=0,0,_xll.BDP(AT$4,"YAS_BOND_YLD", "YAS_BOND_PX",hp!AT102, "SETTLE_DT", TEXT(ya!$C102,"YYYYMMDD")))</f>
        <v>0</v>
      </c>
      <c r="AU102" s="2" cm="1">
        <f t="array" ref="AU102">IF(hp!AU102=0,0,_xll.BDP(AU$4,"YAS_BOND_YLD", "YAS_BOND_PX",hp!AU102, "SETTLE_DT", TEXT(ya!$C102,"YYYYMMDD")))</f>
        <v>0</v>
      </c>
      <c r="AV102" s="2" cm="1">
        <f t="array" ref="AV102">IF(hp!AV102=0,0,_xll.BDP(AV$4,"YAS_BOND_YLD", "YAS_BOND_PX",hp!AV102, "SETTLE_DT", TEXT(ya!$C102,"YYYYMMDD")))</f>
        <v>0</v>
      </c>
      <c r="AW102" s="2" cm="1">
        <f t="array" ref="AW102">IF(hp!AW102=0,0,_xll.BDP(AW$4,"YAS_BOND_YLD", "YAS_BOND_PX",hp!AW102, "SETTLE_DT", TEXT(ya!$C102,"YYYYMMDD")))</f>
        <v>0</v>
      </c>
      <c r="AX102" s="2" cm="1">
        <f t="array" ref="AX102">IF(hp!AX102=0,0,_xll.BDP(AX$4,"YAS_BOND_YLD", "YAS_BOND_PX",hp!AX102, "SETTLE_DT", TEXT(ya!$C102,"YYYYMMDD")))</f>
        <v>0</v>
      </c>
      <c r="AY102" s="2" cm="1">
        <f t="array" ref="AY102">IF(hp!AY102=0,0,_xll.BDP(AY$4,"YAS_BOND_YLD", "YAS_BOND_PX",hp!AY102, "SETTLE_DT", TEXT(ya!$C102,"YYYYMMDD")))</f>
        <v>0</v>
      </c>
      <c r="AZ102" s="2" cm="1">
        <f t="array" ref="AZ102">IF(hp!AZ102=0,0,_xll.BDP(AZ$4,"YAS_BOND_YLD", "YAS_BOND_PX",hp!AZ102, "SETTLE_DT", TEXT(ya!$C102,"YYYYMMDD")))</f>
        <v>0</v>
      </c>
    </row>
    <row r="103" spans="1:52" x14ac:dyDescent="0.25">
      <c r="A103" s="1"/>
      <c r="B103" s="2"/>
      <c r="C103" s="1">
        <v>45044</v>
      </c>
      <c r="D103" s="2" cm="1">
        <f t="array" ref="D103">IF(hp!D103=0,0,_xll.BDP(D$4,"YAS_BOND_YLD", "YAS_BOND_PX",hp!D103, "SETTLE_DT", TEXT(ya!$C103,"YYYYMMDD")))</f>
        <v>0</v>
      </c>
      <c r="E103" s="2" cm="1">
        <f t="array" ref="E103">IF(hp!E103=0,0,_xll.BDP(E$4,"YAS_BOND_YLD", "YAS_BOND_PX",hp!E103, "SETTLE_DT", TEXT(ya!$C103,"YYYYMMDD")))</f>
        <v>12.2597</v>
      </c>
      <c r="F103" s="2" cm="1">
        <f t="array" ref="F103">IF(hp!F103=0,0,_xll.BDP(F$4,"YAS_BOND_YLD", "YAS_BOND_PX",hp!F103, "SETTLE_DT", TEXT(ya!$C103,"YYYYMMDD")))</f>
        <v>11.848000000000001</v>
      </c>
      <c r="G103" s="2" cm="1">
        <f t="array" ref="G103">IF(hp!G103=0,0,_xll.BDP(G$4,"YAS_BOND_YLD", "YAS_BOND_PX",hp!G103, "SETTLE_DT", TEXT(ya!$C103,"YYYYMMDD")))</f>
        <v>5.9562999999999997</v>
      </c>
      <c r="H103" s="2" cm="1">
        <f t="array" ref="H103">IF(hp!H103=0,0,_xll.BDP(H$4,"YAS_BOND_YLD", "YAS_BOND_PX",hp!H103, "SETTLE_DT", TEXT(ya!$C103,"YYYYMMDD")))</f>
        <v>12.1777</v>
      </c>
      <c r="I103" s="2" cm="1">
        <f t="array" ref="I103">IF(hp!I103=0,0,_xll.BDP(I$4,"YAS_BOND_YLD", "YAS_BOND_PX",hp!I103, "SETTLE_DT", TEXT(ya!$C103,"YYYYMMDD")))</f>
        <v>12.3499</v>
      </c>
      <c r="J103" s="2" cm="1">
        <f t="array" ref="J103">IF(hp!J103=0,0,_xll.BDP(J$4,"YAS_BOND_YLD", "YAS_BOND_PX",hp!J103, "SETTLE_DT", TEXT(ya!$C103,"YYYYMMDD")))</f>
        <v>6.0137</v>
      </c>
      <c r="K103" s="2" cm="1">
        <f t="array" ref="K103">IF(hp!K103=0,0,_xll.BDP(K$4,"YAS_BOND_YLD", "YAS_BOND_PX",hp!K103, "SETTLE_DT", TEXT(ya!$C103,"YYYYMMDD")))</f>
        <v>11.8565</v>
      </c>
      <c r="L103" s="2" cm="1">
        <f t="array" ref="L103">IF(hp!L103=0,0,_xll.BDP(L$4,"YAS_BOND_YLD", "YAS_BOND_PX",hp!L103, "SETTLE_DT", TEXT(ya!$C103,"YYYYMMDD")))</f>
        <v>5.7595999999999998</v>
      </c>
      <c r="M103" s="2" cm="1">
        <f t="array" ref="M103">IF(hp!M103=0,0,_xll.BDP(M$4,"YAS_BOND_YLD", "YAS_BOND_PX",hp!M103, "SETTLE_DT", TEXT(ya!$C103,"YYYYMMDD")))</f>
        <v>5.7361000000000004</v>
      </c>
      <c r="N103" s="2" cm="1">
        <f t="array" ref="N103">IF(hp!N103=0,0,_xll.BDP(N$4,"YAS_BOND_YLD", "YAS_BOND_PX",hp!N103, "SETTLE_DT", TEXT(ya!$C103,"YYYYMMDD")))</f>
        <v>5.6169000000000002</v>
      </c>
      <c r="O103" s="2" cm="1">
        <f t="array" ref="O103">IF(hp!O103=0,0,_xll.BDP(O$4,"YAS_BOND_YLD", "YAS_BOND_PX",hp!O103, "SETTLE_DT", TEXT(ya!$C103,"YYYYMMDD")))</f>
        <v>5.9904999999999999</v>
      </c>
      <c r="P103" s="2" cm="1">
        <f t="array" ref="P103">IF(hp!P103=0,0,_xll.BDP(P$4,"YAS_BOND_YLD", "YAS_BOND_PX",hp!P103, "SETTLE_DT", TEXT(ya!$C103,"YYYYMMDD")))</f>
        <v>5.8821000000000003</v>
      </c>
      <c r="Q103" s="2" cm="1">
        <f t="array" ref="Q103">IF(hp!Q103=0,0,_xll.BDP(Q$4,"YAS_BOND_YLD", "YAS_BOND_PX",hp!Q103, "SETTLE_DT", TEXT(ya!$C103,"YYYYMMDD")))</f>
        <v>6.0128000000000004</v>
      </c>
      <c r="R103" s="2" cm="1">
        <f t="array" ref="R103">IF(hp!R103=0,0,_xll.BDP(R$4,"YAS_BOND_YLD", "YAS_BOND_PX",hp!R103, "SETTLE_DT", TEXT(ya!$C103,"YYYYMMDD")))</f>
        <v>11.9412</v>
      </c>
      <c r="S103" s="2" cm="1">
        <f t="array" ref="S103">IF(hp!S103=0,0,_xll.BDP(S$4,"YAS_BOND_YLD", "YAS_BOND_PX",hp!S103, "SETTLE_DT", TEXT(ya!$C103,"YYYYMMDD")))</f>
        <v>0</v>
      </c>
      <c r="T103" s="2" cm="1">
        <f t="array" ref="T103">IF(hp!T103=0,0,_xll.BDP(T$4,"YAS_BOND_YLD", "YAS_BOND_PX",hp!T103, "SETTLE_DT", TEXT(ya!$C103,"YYYYMMDD")))</f>
        <v>5.6025999999999998</v>
      </c>
      <c r="U103" s="2" cm="1">
        <f t="array" ref="U103">IF(hp!U103=0,0,_xll.BDP(U$4,"YAS_BOND_YLD", "YAS_BOND_PX",hp!U103, "SETTLE_DT", TEXT(ya!$C103,"YYYYMMDD")))</f>
        <v>5.9816000000000003</v>
      </c>
      <c r="V103" s="2" cm="1">
        <f t="array" ref="V103">IF(hp!V103=0,0,_xll.BDP(V$4,"YAS_BOND_YLD", "YAS_BOND_PX",hp!V103, "SETTLE_DT", TEXT(ya!$C103,"YYYYMMDD")))</f>
        <v>0</v>
      </c>
      <c r="W103" s="2" cm="1">
        <f t="array" ref="W103">IF(hp!W103=0,0,_xll.BDP(W$4,"YAS_BOND_YLD", "YAS_BOND_PX",hp!W103, "SETTLE_DT", TEXT(ya!$C103,"YYYYMMDD")))</f>
        <v>2.0799999999999999E-2</v>
      </c>
      <c r="X103" s="2" cm="1">
        <f t="array" ref="X103">IF(hp!X103=0,0,_xll.BDP(X$4,"YAS_BOND_YLD", "YAS_BOND_PX",hp!X103, "SETTLE_DT", TEXT(ya!$C103,"YYYYMMDD")))</f>
        <v>0</v>
      </c>
      <c r="Y103" s="2" cm="1">
        <f t="array" ref="Y103">IF(hp!Y103=0,0,_xll.BDP(Y$4,"YAS_BOND_YLD", "YAS_BOND_PX",hp!Y103, "SETTLE_DT", TEXT(ya!$C103,"YYYYMMDD")))</f>
        <v>0</v>
      </c>
      <c r="Z103" s="2" cm="1">
        <f t="array" ref="Z103">IF(hp!Z103=0,0,_xll.BDP(Z$4,"YAS_BOND_YLD", "YAS_BOND_PX",hp!Z103, "SETTLE_DT", TEXT(ya!$C103,"YYYYMMDD")))</f>
        <v>0.10539999999999999</v>
      </c>
      <c r="AA103" s="2" cm="1">
        <f t="array" ref="AA103">IF(hp!AA103=0,0,_xll.BDP(AA$4,"YAS_BOND_YLD", "YAS_BOND_PX",hp!AA103, "SETTLE_DT", TEXT(ya!$C103,"YYYYMMDD")))</f>
        <v>0</v>
      </c>
      <c r="AB103" s="2" cm="1">
        <f t="array" ref="AB103">IF(hp!AB103=0,0,_xll.BDP(AB$4,"YAS_BOND_YLD", "YAS_BOND_PX",hp!AB103, "SETTLE_DT", TEXT(ya!$C103,"YYYYMMDD")))</f>
        <v>0.15390000000000001</v>
      </c>
      <c r="AC103" s="2" cm="1">
        <f t="array" ref="AC103">IF(hp!AC103=0,0,_xll.BDP(AC$4,"YAS_BOND_YLD", "YAS_BOND_PX",hp!AC103, "SETTLE_DT", TEXT(ya!$C103,"YYYYMMDD")))</f>
        <v>0</v>
      </c>
      <c r="AD103" s="2" cm="1">
        <f t="array" ref="AD103">IF(hp!AD103=0,0,_xll.BDP(AD$4,"YAS_BOND_YLD", "YAS_BOND_PX",hp!AD103, "SETTLE_DT", TEXT(ya!$C103,"YYYYMMDD")))</f>
        <v>6.0038</v>
      </c>
      <c r="AE103" s="2" cm="1">
        <f t="array" ref="AE103">IF(hp!AE103=0,0,_xll.BDP(AE$4,"YAS_BOND_YLD", "YAS_BOND_PX",hp!AE103, "SETTLE_DT", TEXT(ya!$C103,"YYYYMMDD")))</f>
        <v>0</v>
      </c>
      <c r="AF103" s="2" cm="1">
        <f t="array" ref="AF103">IF(hp!AF103=0,0,_xll.BDP(AF$4,"YAS_BOND_YLD", "YAS_BOND_PX",hp!AF103, "SETTLE_DT", TEXT(ya!$C103,"YYYYMMDD")))</f>
        <v>0.18379999999999999</v>
      </c>
      <c r="AG103" s="2" cm="1">
        <f t="array" ref="AG103">IF(hp!AG103=0,0,_xll.BDP(AG$4,"YAS_BOND_YLD", "YAS_BOND_PX",hp!AG103, "SETTLE_DT", TEXT(ya!$C103,"YYYYMMDD")))</f>
        <v>0.17050000000000001</v>
      </c>
      <c r="AH103" s="2" cm="1">
        <f t="array" ref="AH103">IF(hp!AH103=0,0,_xll.BDP(AH$4,"YAS_BOND_YLD", "YAS_BOND_PX",hp!AH103, "SETTLE_DT", TEXT(ya!$C103,"YYYYMMDD")))</f>
        <v>0</v>
      </c>
      <c r="AI103" s="2" cm="1">
        <f t="array" ref="AI103">IF(hp!AI103=0,0,_xll.BDP(AI$4,"YAS_BOND_YLD", "YAS_BOND_PX",hp!AI103, "SETTLE_DT", TEXT(ya!$C103,"YYYYMMDD")))</f>
        <v>5.9535999999999998</v>
      </c>
      <c r="AJ103" s="2" cm="1">
        <f t="array" ref="AJ103">IF(hp!AJ103=0,0,_xll.BDP(AJ$4,"YAS_BOND_YLD", "YAS_BOND_PX",hp!AJ103, "SETTLE_DT", TEXT(ya!$C103,"YYYYMMDD")))</f>
        <v>0.2104</v>
      </c>
      <c r="AK103" s="2" cm="1">
        <f t="array" ref="AK103">IF(hp!AK103=0,0,_xll.BDP(AK$4,"YAS_BOND_YLD", "YAS_BOND_PX",hp!AK103, "SETTLE_DT", TEXT(ya!$C103,"YYYYMMDD")))</f>
        <v>0.17899999999999999</v>
      </c>
      <c r="AL103" s="2" cm="1">
        <f t="array" ref="AL103">IF(hp!AL103=0,0,_xll.BDP(AL$4,"YAS_BOND_YLD", "YAS_BOND_PX",hp!AL103, "SETTLE_DT", TEXT(ya!$C103,"YYYYMMDD")))</f>
        <v>0</v>
      </c>
      <c r="AM103" s="2" cm="1">
        <f t="array" ref="AM103">IF(hp!AM103=0,0,_xll.BDP(AM$4,"YAS_BOND_YLD", "YAS_BOND_PX",hp!AM103, "SETTLE_DT", TEXT(ya!$C103,"YYYYMMDD")))</f>
        <v>0</v>
      </c>
      <c r="AN103" s="2" cm="1">
        <f t="array" ref="AN103">IF(hp!AN103=0,0,_xll.BDP(AN$4,"YAS_BOND_YLD", "YAS_BOND_PX",hp!AN103, "SETTLE_DT", TEXT(ya!$C103,"YYYYMMDD")))</f>
        <v>0</v>
      </c>
      <c r="AO103" s="2" cm="1">
        <f t="array" ref="AO103">IF(hp!AO103=0,0,_xll.BDP(AO$4,"YAS_BOND_YLD", "YAS_BOND_PX",hp!AO103, "SETTLE_DT", TEXT(ya!$C103,"YYYYMMDD")))</f>
        <v>0</v>
      </c>
      <c r="AP103" s="2" cm="1">
        <f t="array" ref="AP103">IF(hp!AP103=0,0,_xll.BDP(AP$4,"YAS_BOND_YLD", "YAS_BOND_PX",hp!AP103, "SETTLE_DT", TEXT(ya!$C103,"YYYYMMDD")))</f>
        <v>0</v>
      </c>
      <c r="AQ103" s="2" cm="1">
        <f t="array" ref="AQ103">IF(hp!AQ103=0,0,_xll.BDP(AQ$4,"YAS_BOND_YLD", "YAS_BOND_PX",hp!AQ103, "SETTLE_DT", TEXT(ya!$C103,"YYYYMMDD")))</f>
        <v>0.10589999999999999</v>
      </c>
      <c r="AR103" s="2" cm="1">
        <f t="array" ref="AR103">IF(hp!AR103=0,0,_xll.BDP(AR$4,"YAS_BOND_YLD", "YAS_BOND_PX",hp!AR103, "SETTLE_DT", TEXT(ya!$C103,"YYYYMMDD")))</f>
        <v>5.9771999999999998</v>
      </c>
      <c r="AS103" s="2" cm="1">
        <f t="array" ref="AS103">IF(hp!AS103=0,0,_xll.BDP(AS$4,"YAS_BOND_YLD", "YAS_BOND_PX",hp!AS103, "SETTLE_DT", TEXT(ya!$C103,"YYYYMMDD")))</f>
        <v>0</v>
      </c>
      <c r="AT103" s="2" cm="1">
        <f t="array" ref="AT103">IF(hp!AT103=0,0,_xll.BDP(AT$4,"YAS_BOND_YLD", "YAS_BOND_PX",hp!AT103, "SETTLE_DT", TEXT(ya!$C103,"YYYYMMDD")))</f>
        <v>0</v>
      </c>
      <c r="AU103" s="2" cm="1">
        <f t="array" ref="AU103">IF(hp!AU103=0,0,_xll.BDP(AU$4,"YAS_BOND_YLD", "YAS_BOND_PX",hp!AU103, "SETTLE_DT", TEXT(ya!$C103,"YYYYMMDD")))</f>
        <v>0</v>
      </c>
      <c r="AV103" s="2" cm="1">
        <f t="array" ref="AV103">IF(hp!AV103=0,0,_xll.BDP(AV$4,"YAS_BOND_YLD", "YAS_BOND_PX",hp!AV103, "SETTLE_DT", TEXT(ya!$C103,"YYYYMMDD")))</f>
        <v>0</v>
      </c>
      <c r="AW103" s="2" cm="1">
        <f t="array" ref="AW103">IF(hp!AW103=0,0,_xll.BDP(AW$4,"YAS_BOND_YLD", "YAS_BOND_PX",hp!AW103, "SETTLE_DT", TEXT(ya!$C103,"YYYYMMDD")))</f>
        <v>0</v>
      </c>
      <c r="AX103" s="2" cm="1">
        <f t="array" ref="AX103">IF(hp!AX103=0,0,_xll.BDP(AX$4,"YAS_BOND_YLD", "YAS_BOND_PX",hp!AX103, "SETTLE_DT", TEXT(ya!$C103,"YYYYMMDD")))</f>
        <v>0</v>
      </c>
      <c r="AY103" s="2" cm="1">
        <f t="array" ref="AY103">IF(hp!AY103=0,0,_xll.BDP(AY$4,"YAS_BOND_YLD", "YAS_BOND_PX",hp!AY103, "SETTLE_DT", TEXT(ya!$C103,"YYYYMMDD")))</f>
        <v>0</v>
      </c>
      <c r="AZ103" s="2" cm="1">
        <f t="array" ref="AZ103">IF(hp!AZ103=0,0,_xll.BDP(AZ$4,"YAS_BOND_YLD", "YAS_BOND_PX",hp!AZ103, "SETTLE_DT", TEXT(ya!$C103,"YYYYMMDD")))</f>
        <v>0</v>
      </c>
    </row>
    <row r="104" spans="1:52" x14ac:dyDescent="0.25">
      <c r="A104" s="1"/>
      <c r="B104" s="2"/>
      <c r="C104" s="1">
        <v>45077</v>
      </c>
      <c r="D104" s="2" cm="1">
        <f t="array" ref="D104">IF(hp!D104=0,0,_xll.BDP(D$4,"YAS_BOND_YLD", "YAS_BOND_PX",hp!D104, "SETTLE_DT", TEXT(ya!$C104,"YYYYMMDD")))</f>
        <v>0</v>
      </c>
      <c r="E104" s="2" cm="1">
        <f t="array" ref="E104">IF(hp!E104=0,0,_xll.BDP(E$4,"YAS_BOND_YLD", "YAS_BOND_PX",hp!E104, "SETTLE_DT", TEXT(ya!$C104,"YYYYMMDD")))</f>
        <v>11.426399999999999</v>
      </c>
      <c r="F104" s="2" cm="1">
        <f t="array" ref="F104">IF(hp!F104=0,0,_xll.BDP(F$4,"YAS_BOND_YLD", "YAS_BOND_PX",hp!F104, "SETTLE_DT", TEXT(ya!$C104,"YYYYMMDD")))</f>
        <v>10.946899999999999</v>
      </c>
      <c r="G104" s="2" cm="1">
        <f t="array" ref="G104">IF(hp!G104=0,0,_xll.BDP(G$4,"YAS_BOND_YLD", "YAS_BOND_PX",hp!G104, "SETTLE_DT", TEXT(ya!$C104,"YYYYMMDD")))</f>
        <v>5.5461</v>
      </c>
      <c r="H104" s="2" cm="1">
        <f t="array" ref="H104">IF(hp!H104=0,0,_xll.BDP(H$4,"YAS_BOND_YLD", "YAS_BOND_PX",hp!H104, "SETTLE_DT", TEXT(ya!$C104,"YYYYMMDD")))</f>
        <v>11.3003</v>
      </c>
      <c r="I104" s="2" cm="1">
        <f t="array" ref="I104">IF(hp!I104=0,0,_xll.BDP(I$4,"YAS_BOND_YLD", "YAS_BOND_PX",hp!I104, "SETTLE_DT", TEXT(ya!$C104,"YYYYMMDD")))</f>
        <v>11.5427</v>
      </c>
      <c r="J104" s="2" cm="1">
        <f t="array" ref="J104">IF(hp!J104=0,0,_xll.BDP(J$4,"YAS_BOND_YLD", "YAS_BOND_PX",hp!J104, "SETTLE_DT", TEXT(ya!$C104,"YYYYMMDD")))</f>
        <v>5.7219999999999995</v>
      </c>
      <c r="K104" s="2" cm="1">
        <f t="array" ref="K104">IF(hp!K104=0,0,_xll.BDP(K$4,"YAS_BOND_YLD", "YAS_BOND_PX",hp!K104, "SETTLE_DT", TEXT(ya!$C104,"YYYYMMDD")))</f>
        <v>10.960599999999999</v>
      </c>
      <c r="L104" s="2" cm="1">
        <f t="array" ref="L104">IF(hp!L104=0,0,_xll.BDP(L$4,"YAS_BOND_YLD", "YAS_BOND_PX",hp!L104, "SETTLE_DT", TEXT(ya!$C104,"YYYYMMDD")))</f>
        <v>5.4421999999999997</v>
      </c>
      <c r="M104" s="2" cm="1">
        <f t="array" ref="M104">IF(hp!M104=0,0,_xll.BDP(M$4,"YAS_BOND_YLD", "YAS_BOND_PX",hp!M104, "SETTLE_DT", TEXT(ya!$C104,"YYYYMMDD")))</f>
        <v>5.4878</v>
      </c>
      <c r="N104" s="2" cm="1">
        <f t="array" ref="N104">IF(hp!N104=0,0,_xll.BDP(N$4,"YAS_BOND_YLD", "YAS_BOND_PX",hp!N104, "SETTLE_DT", TEXT(ya!$C104,"YYYYMMDD")))</f>
        <v>5.5987</v>
      </c>
      <c r="O104" s="2" cm="1">
        <f t="array" ref="O104">IF(hp!O104=0,0,_xll.BDP(O$4,"YAS_BOND_YLD", "YAS_BOND_PX",hp!O104, "SETTLE_DT", TEXT(ya!$C104,"YYYYMMDD")))</f>
        <v>5.7218999999999998</v>
      </c>
      <c r="P104" s="2" cm="1">
        <f t="array" ref="P104">IF(hp!P104=0,0,_xll.BDP(P$4,"YAS_BOND_YLD", "YAS_BOND_PX",hp!P104, "SETTLE_DT", TEXT(ya!$C104,"YYYYMMDD")))</f>
        <v>5.5019999999999998</v>
      </c>
      <c r="Q104" s="2" cm="1">
        <f t="array" ref="Q104">IF(hp!Q104=0,0,_xll.BDP(Q$4,"YAS_BOND_YLD", "YAS_BOND_PX",hp!Q104, "SETTLE_DT", TEXT(ya!$C104,"YYYYMMDD")))</f>
        <v>5.7271000000000001</v>
      </c>
      <c r="R104" s="2" cm="1">
        <f t="array" ref="R104">IF(hp!R104=0,0,_xll.BDP(R$4,"YAS_BOND_YLD", "YAS_BOND_PX",hp!R104, "SETTLE_DT", TEXT(ya!$C104,"YYYYMMDD")))</f>
        <v>11.017799999999999</v>
      </c>
      <c r="S104" s="2" cm="1">
        <f t="array" ref="S104">IF(hp!S104=0,0,_xll.BDP(S$4,"YAS_BOND_YLD", "YAS_BOND_PX",hp!S104, "SETTLE_DT", TEXT(ya!$C104,"YYYYMMDD")))</f>
        <v>0</v>
      </c>
      <c r="T104" s="2" cm="1">
        <f t="array" ref="T104">IF(hp!T104=0,0,_xll.BDP(T$4,"YAS_BOND_YLD", "YAS_BOND_PX",hp!T104, "SETTLE_DT", TEXT(ya!$C104,"YYYYMMDD")))</f>
        <v>5.4478999999999997</v>
      </c>
      <c r="U104" s="2" cm="1">
        <f t="array" ref="U104">IF(hp!U104=0,0,_xll.BDP(U$4,"YAS_BOND_YLD", "YAS_BOND_PX",hp!U104, "SETTLE_DT", TEXT(ya!$C104,"YYYYMMDD")))</f>
        <v>5.6702000000000004</v>
      </c>
      <c r="V104" s="2" cm="1">
        <f t="array" ref="V104">IF(hp!V104=0,0,_xll.BDP(V$4,"YAS_BOND_YLD", "YAS_BOND_PX",hp!V104, "SETTLE_DT", TEXT(ya!$C104,"YYYYMMDD")))</f>
        <v>0</v>
      </c>
      <c r="W104" s="2" cm="1">
        <f t="array" ref="W104">IF(hp!W104=0,0,_xll.BDP(W$4,"YAS_BOND_YLD", "YAS_BOND_PX",hp!W104, "SETTLE_DT", TEXT(ya!$C104,"YYYYMMDD")))</f>
        <v>9.4000000000000004E-3</v>
      </c>
      <c r="X104" s="2" cm="1">
        <f t="array" ref="X104">IF(hp!X104=0,0,_xll.BDP(X$4,"YAS_BOND_YLD", "YAS_BOND_PX",hp!X104, "SETTLE_DT", TEXT(ya!$C104,"YYYYMMDD")))</f>
        <v>0</v>
      </c>
      <c r="Y104" s="2" cm="1">
        <f t="array" ref="Y104">IF(hp!Y104=0,0,_xll.BDP(Y$4,"YAS_BOND_YLD", "YAS_BOND_PX",hp!Y104, "SETTLE_DT", TEXT(ya!$C104,"YYYYMMDD")))</f>
        <v>0</v>
      </c>
      <c r="Z104" s="2" cm="1">
        <f t="array" ref="Z104">IF(hp!Z104=0,0,_xll.BDP(Z$4,"YAS_BOND_YLD", "YAS_BOND_PX",hp!Z104, "SETTLE_DT", TEXT(ya!$C104,"YYYYMMDD")))</f>
        <v>5.9799999999999999E-2</v>
      </c>
      <c r="AA104" s="2" cm="1">
        <f t="array" ref="AA104">IF(hp!AA104=0,0,_xll.BDP(AA$4,"YAS_BOND_YLD", "YAS_BOND_PX",hp!AA104, "SETTLE_DT", TEXT(ya!$C104,"YYYYMMDD")))</f>
        <v>0</v>
      </c>
      <c r="AB104" s="2" cm="1">
        <f t="array" ref="AB104">IF(hp!AB104=0,0,_xll.BDP(AB$4,"YAS_BOND_YLD", "YAS_BOND_PX",hp!AB104, "SETTLE_DT", TEXT(ya!$C104,"YYYYMMDD")))</f>
        <v>0.12690000000000001</v>
      </c>
      <c r="AC104" s="2" cm="1">
        <f t="array" ref="AC104">IF(hp!AC104=0,0,_xll.BDP(AC$4,"YAS_BOND_YLD", "YAS_BOND_PX",hp!AC104, "SETTLE_DT", TEXT(ya!$C104,"YYYYMMDD")))</f>
        <v>0</v>
      </c>
      <c r="AD104" s="2" cm="1">
        <f t="array" ref="AD104">IF(hp!AD104=0,0,_xll.BDP(AD$4,"YAS_BOND_YLD", "YAS_BOND_PX",hp!AD104, "SETTLE_DT", TEXT(ya!$C104,"YYYYMMDD")))</f>
        <v>5.7183000000000002</v>
      </c>
      <c r="AE104" s="2" cm="1">
        <f t="array" ref="AE104">IF(hp!AE104=0,0,_xll.BDP(AE$4,"YAS_BOND_YLD", "YAS_BOND_PX",hp!AE104, "SETTLE_DT", TEXT(ya!$C104,"YYYYMMDD")))</f>
        <v>0</v>
      </c>
      <c r="AF104" s="2" cm="1">
        <f t="array" ref="AF104">IF(hp!AF104=0,0,_xll.BDP(AF$4,"YAS_BOND_YLD", "YAS_BOND_PX",hp!AF104, "SETTLE_DT", TEXT(ya!$C104,"YYYYMMDD")))</f>
        <v>0.15529999999999999</v>
      </c>
      <c r="AG104" s="2" cm="1">
        <f t="array" ref="AG104">IF(hp!AG104=0,0,_xll.BDP(AG$4,"YAS_BOND_YLD", "YAS_BOND_PX",hp!AG104, "SETTLE_DT", TEXT(ya!$C104,"YYYYMMDD")))</f>
        <v>0.1414</v>
      </c>
      <c r="AH104" s="2" cm="1">
        <f t="array" ref="AH104">IF(hp!AH104=0,0,_xll.BDP(AH$4,"YAS_BOND_YLD", "YAS_BOND_PX",hp!AH104, "SETTLE_DT", TEXT(ya!$C104,"YYYYMMDD")))</f>
        <v>0</v>
      </c>
      <c r="AI104" s="2" cm="1">
        <f t="array" ref="AI104">IF(hp!AI104=0,0,_xll.BDP(AI$4,"YAS_BOND_YLD", "YAS_BOND_PX",hp!AI104, "SETTLE_DT", TEXT(ya!$C104,"YYYYMMDD")))</f>
        <v>5.5757000000000003</v>
      </c>
      <c r="AJ104" s="2" cm="1">
        <f t="array" ref="AJ104">IF(hp!AJ104=0,0,_xll.BDP(AJ$4,"YAS_BOND_YLD", "YAS_BOND_PX",hp!AJ104, "SETTLE_DT", TEXT(ya!$C104,"YYYYMMDD")))</f>
        <v>0.1729</v>
      </c>
      <c r="AK104" s="2" cm="1">
        <f t="array" ref="AK104">IF(hp!AK104=0,0,_xll.BDP(AK$4,"YAS_BOND_YLD", "YAS_BOND_PX",hp!AK104, "SETTLE_DT", TEXT(ya!$C104,"YYYYMMDD")))</f>
        <v>0.1552</v>
      </c>
      <c r="AL104" s="2" cm="1">
        <f t="array" ref="AL104">IF(hp!AL104=0,0,_xll.BDP(AL$4,"YAS_BOND_YLD", "YAS_BOND_PX",hp!AL104, "SETTLE_DT", TEXT(ya!$C104,"YYYYMMDD")))</f>
        <v>0</v>
      </c>
      <c r="AM104" s="2" cm="1">
        <f t="array" ref="AM104">IF(hp!AM104=0,0,_xll.BDP(AM$4,"YAS_BOND_YLD", "YAS_BOND_PX",hp!AM104, "SETTLE_DT", TEXT(ya!$C104,"YYYYMMDD")))</f>
        <v>0</v>
      </c>
      <c r="AN104" s="2" cm="1">
        <f t="array" ref="AN104">IF(hp!AN104=0,0,_xll.BDP(AN$4,"YAS_BOND_YLD", "YAS_BOND_PX",hp!AN104, "SETTLE_DT", TEXT(ya!$C104,"YYYYMMDD")))</f>
        <v>0</v>
      </c>
      <c r="AO104" s="2" cm="1">
        <f t="array" ref="AO104">IF(hp!AO104=0,0,_xll.BDP(AO$4,"YAS_BOND_YLD", "YAS_BOND_PX",hp!AO104, "SETTLE_DT", TEXT(ya!$C104,"YYYYMMDD")))</f>
        <v>0</v>
      </c>
      <c r="AP104" s="2" cm="1">
        <f t="array" ref="AP104">IF(hp!AP104=0,0,_xll.BDP(AP$4,"YAS_BOND_YLD", "YAS_BOND_PX",hp!AP104, "SETTLE_DT", TEXT(ya!$C104,"YYYYMMDD")))</f>
        <v>0</v>
      </c>
      <c r="AQ104" s="2" cm="1">
        <f t="array" ref="AQ104">IF(hp!AQ104=0,0,_xll.BDP(AQ$4,"YAS_BOND_YLD", "YAS_BOND_PX",hp!AQ104, "SETTLE_DT", TEXT(ya!$C104,"YYYYMMDD")))</f>
        <v>6.6500000000000004E-2</v>
      </c>
      <c r="AR104" s="2" cm="1">
        <f t="array" ref="AR104">IF(hp!AR104=0,0,_xll.BDP(AR$4,"YAS_BOND_YLD", "YAS_BOND_PX",hp!AR104, "SETTLE_DT", TEXT(ya!$C104,"YYYYMMDD")))</f>
        <v>6.5641999999999996</v>
      </c>
      <c r="AS104" s="2" cm="1">
        <f t="array" ref="AS104">IF(hp!AS104=0,0,_xll.BDP(AS$4,"YAS_BOND_YLD", "YAS_BOND_PX",hp!AS104, "SETTLE_DT", TEXT(ya!$C104,"YYYYMMDD")))</f>
        <v>0</v>
      </c>
      <c r="AT104" s="2" cm="1">
        <f t="array" ref="AT104">IF(hp!AT104=0,0,_xll.BDP(AT$4,"YAS_BOND_YLD", "YAS_BOND_PX",hp!AT104, "SETTLE_DT", TEXT(ya!$C104,"YYYYMMDD")))</f>
        <v>0</v>
      </c>
      <c r="AU104" s="2" cm="1">
        <f t="array" ref="AU104">IF(hp!AU104=0,0,_xll.BDP(AU$4,"YAS_BOND_YLD", "YAS_BOND_PX",hp!AU104, "SETTLE_DT", TEXT(ya!$C104,"YYYYMMDD")))</f>
        <v>0</v>
      </c>
      <c r="AV104" s="2" cm="1">
        <f t="array" ref="AV104">IF(hp!AV104=0,0,_xll.BDP(AV$4,"YAS_BOND_YLD", "YAS_BOND_PX",hp!AV104, "SETTLE_DT", TEXT(ya!$C104,"YYYYMMDD")))</f>
        <v>0</v>
      </c>
      <c r="AW104" s="2" cm="1">
        <f t="array" ref="AW104">IF(hp!AW104=0,0,_xll.BDP(AW$4,"YAS_BOND_YLD", "YAS_BOND_PX",hp!AW104, "SETTLE_DT", TEXT(ya!$C104,"YYYYMMDD")))</f>
        <v>0</v>
      </c>
      <c r="AX104" s="2" cm="1">
        <f t="array" ref="AX104">IF(hp!AX104=0,0,_xll.BDP(AX$4,"YAS_BOND_YLD", "YAS_BOND_PX",hp!AX104, "SETTLE_DT", TEXT(ya!$C104,"YYYYMMDD")))</f>
        <v>0</v>
      </c>
      <c r="AY104" s="2" cm="1">
        <f t="array" ref="AY104">IF(hp!AY104=0,0,_xll.BDP(AY$4,"YAS_BOND_YLD", "YAS_BOND_PX",hp!AY104, "SETTLE_DT", TEXT(ya!$C104,"YYYYMMDD")))</f>
        <v>0</v>
      </c>
      <c r="AZ104" s="2" cm="1">
        <f t="array" ref="AZ104">IF(hp!AZ104=0,0,_xll.BDP(AZ$4,"YAS_BOND_YLD", "YAS_BOND_PX",hp!AZ104, "SETTLE_DT", TEXT(ya!$C104,"YYYYMMDD")))</f>
        <v>0</v>
      </c>
    </row>
    <row r="105" spans="1:52" x14ac:dyDescent="0.25">
      <c r="A105" s="1"/>
      <c r="B105" s="2"/>
      <c r="C105" s="1">
        <v>45107</v>
      </c>
      <c r="D105" s="2" cm="1">
        <f t="array" ref="D105">IF(hp!D105=0,0,_xll.BDP(D$4,"YAS_BOND_YLD", "YAS_BOND_PX",hp!D105, "SETTLE_DT", TEXT(ya!$C105,"YYYYMMDD")))</f>
        <v>0</v>
      </c>
      <c r="E105" s="2" cm="1">
        <f t="array" ref="E105">IF(hp!E105=0,0,_xll.BDP(E$4,"YAS_BOND_YLD", "YAS_BOND_PX",hp!E105, "SETTLE_DT", TEXT(ya!$C105,"YYYYMMDD")))</f>
        <v>11.6599</v>
      </c>
      <c r="F105" s="2" cm="1">
        <f t="array" ref="F105">IF(hp!F105=0,0,_xll.BDP(F$4,"YAS_BOND_YLD", "YAS_BOND_PX",hp!F105, "SETTLE_DT", TEXT(ya!$C105,"YYYYMMDD")))</f>
        <v>12.0421</v>
      </c>
      <c r="G105" s="2" cm="1">
        <f t="array" ref="G105">IF(hp!G105=0,0,_xll.BDP(G$4,"YAS_BOND_YLD", "YAS_BOND_PX",hp!G105, "SETTLE_DT", TEXT(ya!$C105,"YYYYMMDD")))</f>
        <v>5.2313000000000001</v>
      </c>
      <c r="H105" s="2" cm="1">
        <f t="array" ref="H105">IF(hp!H105=0,0,_xll.BDP(H$4,"YAS_BOND_YLD", "YAS_BOND_PX",hp!H105, "SETTLE_DT", TEXT(ya!$C105,"YYYYMMDD")))</f>
        <v>11.85</v>
      </c>
      <c r="I105" s="2" cm="1">
        <f t="array" ref="I105">IF(hp!I105=0,0,_xll.BDP(I$4,"YAS_BOND_YLD", "YAS_BOND_PX",hp!I105, "SETTLE_DT", TEXT(ya!$C105,"YYYYMMDD")))</f>
        <v>11.591799999999999</v>
      </c>
      <c r="J105" s="2" cm="1">
        <f t="array" ref="J105">IF(hp!J105=0,0,_xll.BDP(J$4,"YAS_BOND_YLD", "YAS_BOND_PX",hp!J105, "SETTLE_DT", TEXT(ya!$C105,"YYYYMMDD")))</f>
        <v>5.4579000000000004</v>
      </c>
      <c r="K105" s="2" cm="1">
        <f t="array" ref="K105">IF(hp!K105=0,0,_xll.BDP(K$4,"YAS_BOND_YLD", "YAS_BOND_PX",hp!K105, "SETTLE_DT", TEXT(ya!$C105,"YYYYMMDD")))</f>
        <v>10.188700000000001</v>
      </c>
      <c r="L105" s="2" cm="1">
        <f t="array" ref="L105">IF(hp!L105=0,0,_xll.BDP(L$4,"YAS_BOND_YLD", "YAS_BOND_PX",hp!L105, "SETTLE_DT", TEXT(ya!$C105,"YYYYMMDD")))</f>
        <v>5.1296999999999997</v>
      </c>
      <c r="M105" s="2" cm="1">
        <f t="array" ref="M105">IF(hp!M105=0,0,_xll.BDP(M$4,"YAS_BOND_YLD", "YAS_BOND_PX",hp!M105, "SETTLE_DT", TEXT(ya!$C105,"YYYYMMDD")))</f>
        <v>5.2084999999999999</v>
      </c>
      <c r="N105" s="2" cm="1">
        <f t="array" ref="N105">IF(hp!N105=0,0,_xll.BDP(N$4,"YAS_BOND_YLD", "YAS_BOND_PX",hp!N105, "SETTLE_DT", TEXT(ya!$C105,"YYYYMMDD")))</f>
        <v>5.4057000000000004</v>
      </c>
      <c r="O105" s="2" cm="1">
        <f t="array" ref="O105">IF(hp!O105=0,0,_xll.BDP(O$4,"YAS_BOND_YLD", "YAS_BOND_PX",hp!O105, "SETTLE_DT", TEXT(ya!$C105,"YYYYMMDD")))</f>
        <v>5.4490999999999996</v>
      </c>
      <c r="P105" s="2" cm="1">
        <f t="array" ref="P105">IF(hp!P105=0,0,_xll.BDP(P$4,"YAS_BOND_YLD", "YAS_BOND_PX",hp!P105, "SETTLE_DT", TEXT(ya!$C105,"YYYYMMDD")))</f>
        <v>5.1768000000000001</v>
      </c>
      <c r="Q105" s="2" cm="1">
        <f t="array" ref="Q105">IF(hp!Q105=0,0,_xll.BDP(Q$4,"YAS_BOND_YLD", "YAS_BOND_PX",hp!Q105, "SETTLE_DT", TEXT(ya!$C105,"YYYYMMDD")))</f>
        <v>5.4554999999999998</v>
      </c>
      <c r="R105" s="2" cm="1">
        <f t="array" ref="R105">IF(hp!R105=0,0,_xll.BDP(R$4,"YAS_BOND_YLD", "YAS_BOND_PX",hp!R105, "SETTLE_DT", TEXT(ya!$C105,"YYYYMMDD")))</f>
        <v>10.2133</v>
      </c>
      <c r="S105" s="2" cm="1">
        <f t="array" ref="S105">IF(hp!S105=0,0,_xll.BDP(S$4,"YAS_BOND_YLD", "YAS_BOND_PX",hp!S105, "SETTLE_DT", TEXT(ya!$C105,"YYYYMMDD")))</f>
        <v>0</v>
      </c>
      <c r="T105" s="2" cm="1">
        <f t="array" ref="T105">IF(hp!T105=0,0,_xll.BDP(T$4,"YAS_BOND_YLD", "YAS_BOND_PX",hp!T105, "SETTLE_DT", TEXT(ya!$C105,"YYYYMMDD")))</f>
        <v>5.2958999999999996</v>
      </c>
      <c r="U105" s="2" cm="1">
        <f t="array" ref="U105">IF(hp!U105=0,0,_xll.BDP(U$4,"YAS_BOND_YLD", "YAS_BOND_PX",hp!U105, "SETTLE_DT", TEXT(ya!$C105,"YYYYMMDD")))</f>
        <v>5.3687000000000005</v>
      </c>
      <c r="V105" s="2" cm="1">
        <f t="array" ref="V105">IF(hp!V105=0,0,_xll.BDP(V$4,"YAS_BOND_YLD", "YAS_BOND_PX",hp!V105, "SETTLE_DT", TEXT(ya!$C105,"YYYYMMDD")))</f>
        <v>0</v>
      </c>
      <c r="W105" s="2" cm="1">
        <f t="array" ref="W105">IF(hp!W105=0,0,_xll.BDP(W$4,"YAS_BOND_YLD", "YAS_BOND_PX",hp!W105, "SETTLE_DT", TEXT(ya!$C105,"YYYYMMDD")))</f>
        <v>-1.1599999999999999E-2</v>
      </c>
      <c r="X105" s="2" cm="1">
        <f t="array" ref="X105">IF(hp!X105=0,0,_xll.BDP(X$4,"YAS_BOND_YLD", "YAS_BOND_PX",hp!X105, "SETTLE_DT", TEXT(ya!$C105,"YYYYMMDD")))</f>
        <v>0</v>
      </c>
      <c r="Y105" s="2" cm="1">
        <f t="array" ref="Y105">IF(hp!Y105=0,0,_xll.BDP(Y$4,"YAS_BOND_YLD", "YAS_BOND_PX",hp!Y105, "SETTLE_DT", TEXT(ya!$C105,"YYYYMMDD")))</f>
        <v>0</v>
      </c>
      <c r="Z105" s="2" cm="1">
        <f t="array" ref="Z105">IF(hp!Z105=0,0,_xll.BDP(Z$4,"YAS_BOND_YLD", "YAS_BOND_PX",hp!Z105, "SETTLE_DT", TEXT(ya!$C105,"YYYYMMDD")))</f>
        <v>4.5600000000000002E-2</v>
      </c>
      <c r="AA105" s="2" cm="1">
        <f t="array" ref="AA105">IF(hp!AA105=0,0,_xll.BDP(AA$4,"YAS_BOND_YLD", "YAS_BOND_PX",hp!AA105, "SETTLE_DT", TEXT(ya!$C105,"YYYYMMDD")))</f>
        <v>0</v>
      </c>
      <c r="AB105" s="2" cm="1">
        <f t="array" ref="AB105">IF(hp!AB105=0,0,_xll.BDP(AB$4,"YAS_BOND_YLD", "YAS_BOND_PX",hp!AB105, "SETTLE_DT", TEXT(ya!$C105,"YYYYMMDD")))</f>
        <v>0.11119999999999999</v>
      </c>
      <c r="AC105" s="2" cm="1">
        <f t="array" ref="AC105">IF(hp!AC105=0,0,_xll.BDP(AC$4,"YAS_BOND_YLD", "YAS_BOND_PX",hp!AC105, "SETTLE_DT", TEXT(ya!$C105,"YYYYMMDD")))</f>
        <v>0</v>
      </c>
      <c r="AD105" s="2" cm="1">
        <f t="array" ref="AD105">IF(hp!AD105=0,0,_xll.BDP(AD$4,"YAS_BOND_YLD", "YAS_BOND_PX",hp!AD105, "SETTLE_DT", TEXT(ya!$C105,"YYYYMMDD")))</f>
        <v>5.4512999999999998</v>
      </c>
      <c r="AE105" s="2" cm="1">
        <f t="array" ref="AE105">IF(hp!AE105=0,0,_xll.BDP(AE$4,"YAS_BOND_YLD", "YAS_BOND_PX",hp!AE105, "SETTLE_DT", TEXT(ya!$C105,"YYYYMMDD")))</f>
        <v>0</v>
      </c>
      <c r="AF105" s="2" cm="1">
        <f t="array" ref="AF105">IF(hp!AF105=0,0,_xll.BDP(AF$4,"YAS_BOND_YLD", "YAS_BOND_PX",hp!AF105, "SETTLE_DT", TEXT(ya!$C105,"YYYYMMDD")))</f>
        <v>0.13539999999999999</v>
      </c>
      <c r="AG105" s="2" cm="1">
        <f t="array" ref="AG105">IF(hp!AG105=0,0,_xll.BDP(AG$4,"YAS_BOND_YLD", "YAS_BOND_PX",hp!AG105, "SETTLE_DT", TEXT(ya!$C105,"YYYYMMDD")))</f>
        <v>0.12130000000000001</v>
      </c>
      <c r="AH105" s="2" cm="1">
        <f t="array" ref="AH105">IF(hp!AH105=0,0,_xll.BDP(AH$4,"YAS_BOND_YLD", "YAS_BOND_PX",hp!AH105, "SETTLE_DT", TEXT(ya!$C105,"YYYYMMDD")))</f>
        <v>0</v>
      </c>
      <c r="AI105" s="2" cm="1">
        <f t="array" ref="AI105">IF(hp!AI105=0,0,_xll.BDP(AI$4,"YAS_BOND_YLD", "YAS_BOND_PX",hp!AI105, "SETTLE_DT", TEXT(ya!$C105,"YYYYMMDD")))</f>
        <v>5.2404999999999999</v>
      </c>
      <c r="AJ105" s="2" cm="1">
        <f t="array" ref="AJ105">IF(hp!AJ105=0,0,_xll.BDP(AJ$4,"YAS_BOND_YLD", "YAS_BOND_PX",hp!AJ105, "SETTLE_DT", TEXT(ya!$C105,"YYYYMMDD")))</f>
        <v>0.14910000000000001</v>
      </c>
      <c r="AK105" s="2" cm="1">
        <f t="array" ref="AK105">IF(hp!AK105=0,0,_xll.BDP(AK$4,"YAS_BOND_YLD", "YAS_BOND_PX",hp!AK105, "SETTLE_DT", TEXT(ya!$C105,"YYYYMMDD")))</f>
        <v>0.1336</v>
      </c>
      <c r="AL105" s="2" cm="1">
        <f t="array" ref="AL105">IF(hp!AL105=0,0,_xll.BDP(AL$4,"YAS_BOND_YLD", "YAS_BOND_PX",hp!AL105, "SETTLE_DT", TEXT(ya!$C105,"YYYYMMDD")))</f>
        <v>0</v>
      </c>
      <c r="AM105" s="2" cm="1">
        <f t="array" ref="AM105">IF(hp!AM105=0,0,_xll.BDP(AM$4,"YAS_BOND_YLD", "YAS_BOND_PX",hp!AM105, "SETTLE_DT", TEXT(ya!$C105,"YYYYMMDD")))</f>
        <v>0</v>
      </c>
      <c r="AN105" s="2" cm="1">
        <f t="array" ref="AN105">IF(hp!AN105=0,0,_xll.BDP(AN$4,"YAS_BOND_YLD", "YAS_BOND_PX",hp!AN105, "SETTLE_DT", TEXT(ya!$C105,"YYYYMMDD")))</f>
        <v>0</v>
      </c>
      <c r="AO105" s="2" cm="1">
        <f t="array" ref="AO105">IF(hp!AO105=0,0,_xll.BDP(AO$4,"YAS_BOND_YLD", "YAS_BOND_PX",hp!AO105, "SETTLE_DT", TEXT(ya!$C105,"YYYYMMDD")))</f>
        <v>0</v>
      </c>
      <c r="AP105" s="2" cm="1">
        <f t="array" ref="AP105">IF(hp!AP105=0,0,_xll.BDP(AP$4,"YAS_BOND_YLD", "YAS_BOND_PX",hp!AP105, "SETTLE_DT", TEXT(ya!$C105,"YYYYMMDD")))</f>
        <v>0</v>
      </c>
      <c r="AQ105" s="2" cm="1">
        <f t="array" ref="AQ105">IF(hp!AQ105=0,0,_xll.BDP(AQ$4,"YAS_BOND_YLD", "YAS_BOND_PX",hp!AQ105, "SETTLE_DT", TEXT(ya!$C105,"YYYYMMDD")))</f>
        <v>6.2399999999999997E-2</v>
      </c>
      <c r="AR105" s="2" cm="1">
        <f t="array" ref="AR105">IF(hp!AR105=0,0,_xll.BDP(AR$4,"YAS_BOND_YLD", "YAS_BOND_PX",hp!AR105, "SETTLE_DT", TEXT(ya!$C105,"YYYYMMDD")))</f>
        <v>7.2897999999999996</v>
      </c>
      <c r="AS105" s="2" cm="1">
        <f t="array" ref="AS105">IF(hp!AS105=0,0,_xll.BDP(AS$4,"YAS_BOND_YLD", "YAS_BOND_PX",hp!AS105, "SETTLE_DT", TEXT(ya!$C105,"YYYYMMDD")))</f>
        <v>0</v>
      </c>
      <c r="AT105" s="2" cm="1">
        <f t="array" ref="AT105">IF(hp!AT105=0,0,_xll.BDP(AT$4,"YAS_BOND_YLD", "YAS_BOND_PX",hp!AT105, "SETTLE_DT", TEXT(ya!$C105,"YYYYMMDD")))</f>
        <v>0</v>
      </c>
      <c r="AU105" s="2" cm="1">
        <f t="array" ref="AU105">IF(hp!AU105=0,0,_xll.BDP(AU$4,"YAS_BOND_YLD", "YAS_BOND_PX",hp!AU105, "SETTLE_DT", TEXT(ya!$C105,"YYYYMMDD")))</f>
        <v>0</v>
      </c>
      <c r="AV105" s="2" cm="1">
        <f t="array" ref="AV105">IF(hp!AV105=0,0,_xll.BDP(AV$4,"YAS_BOND_YLD", "YAS_BOND_PX",hp!AV105, "SETTLE_DT", TEXT(ya!$C105,"YYYYMMDD")))</f>
        <v>0</v>
      </c>
      <c r="AW105" s="2" cm="1">
        <f t="array" ref="AW105">IF(hp!AW105=0,0,_xll.BDP(AW$4,"YAS_BOND_YLD", "YAS_BOND_PX",hp!AW105, "SETTLE_DT", TEXT(ya!$C105,"YYYYMMDD")))</f>
        <v>0</v>
      </c>
      <c r="AX105" s="2" cm="1">
        <f t="array" ref="AX105">IF(hp!AX105=0,0,_xll.BDP(AX$4,"YAS_BOND_YLD", "YAS_BOND_PX",hp!AX105, "SETTLE_DT", TEXT(ya!$C105,"YYYYMMDD")))</f>
        <v>0</v>
      </c>
      <c r="AY105" s="2" cm="1">
        <f t="array" ref="AY105">IF(hp!AY105=0,0,_xll.BDP(AY$4,"YAS_BOND_YLD", "YAS_BOND_PX",hp!AY105, "SETTLE_DT", TEXT(ya!$C105,"YYYYMMDD")))</f>
        <v>0</v>
      </c>
      <c r="AZ105" s="2" cm="1">
        <f t="array" ref="AZ105">IF(hp!AZ105=0,0,_xll.BDP(AZ$4,"YAS_BOND_YLD", "YAS_BOND_PX",hp!AZ105, "SETTLE_DT", TEXT(ya!$C105,"YYYYMMDD")))</f>
        <v>0</v>
      </c>
    </row>
    <row r="106" spans="1:52" x14ac:dyDescent="0.25">
      <c r="A106" s="1"/>
      <c r="B106" s="2"/>
      <c r="C106" s="1">
        <v>45138</v>
      </c>
      <c r="D106" s="2" cm="1">
        <f t="array" ref="D106">IF(hp!D106=0,0,_xll.BDP(D$4,"YAS_BOND_YLD", "YAS_BOND_PX",hp!D106, "SETTLE_DT", TEXT(ya!$C106,"YYYYMMDD")))</f>
        <v>0</v>
      </c>
      <c r="E106" s="2" cm="1">
        <f t="array" ref="E106">IF(hp!E106=0,0,_xll.BDP(E$4,"YAS_BOND_YLD", "YAS_BOND_PX",hp!E106, "SETTLE_DT", TEXT(ya!$C106,"YYYYMMDD")))</f>
        <v>10.7371</v>
      </c>
      <c r="F106" s="2" cm="1">
        <f t="array" ref="F106">IF(hp!F106=0,0,_xll.BDP(F$4,"YAS_BOND_YLD", "YAS_BOND_PX",hp!F106, "SETTLE_DT", TEXT(ya!$C106,"YYYYMMDD")))</f>
        <v>10.242599999999999</v>
      </c>
      <c r="G106" s="2" cm="1">
        <f t="array" ref="G106">IF(hp!G106=0,0,_xll.BDP(G$4,"YAS_BOND_YLD", "YAS_BOND_PX",hp!G106, "SETTLE_DT", TEXT(ya!$C106,"YYYYMMDD")))</f>
        <v>5.2352999999999996</v>
      </c>
      <c r="H106" s="2" cm="1">
        <f t="array" ref="H106">IF(hp!H106=0,0,_xll.BDP(H$4,"YAS_BOND_YLD", "YAS_BOND_PX",hp!H106, "SETTLE_DT", TEXT(ya!$C106,"YYYYMMDD")))</f>
        <v>10.5905</v>
      </c>
      <c r="I106" s="2" cm="1">
        <f t="array" ref="I106">IF(hp!I106=0,0,_xll.BDP(I$4,"YAS_BOND_YLD", "YAS_BOND_PX",hp!I106, "SETTLE_DT", TEXT(ya!$C106,"YYYYMMDD")))</f>
        <v>10.845599999999999</v>
      </c>
      <c r="J106" s="2" cm="1">
        <f t="array" ref="J106">IF(hp!J106=0,0,_xll.BDP(J$4,"YAS_BOND_YLD", "YAS_BOND_PX",hp!J106, "SETTLE_DT", TEXT(ya!$C106,"YYYYMMDD")))</f>
        <v>5.4379</v>
      </c>
      <c r="K106" s="2" cm="1">
        <f t="array" ref="K106">IF(hp!K106=0,0,_xll.BDP(K$4,"YAS_BOND_YLD", "YAS_BOND_PX",hp!K106, "SETTLE_DT", TEXT(ya!$C106,"YYYYMMDD")))</f>
        <v>10.146100000000001</v>
      </c>
      <c r="L106" s="2" cm="1">
        <f t="array" ref="L106">IF(hp!L106=0,0,_xll.BDP(L$4,"YAS_BOND_YLD", "YAS_BOND_PX",hp!L106, "SETTLE_DT", TEXT(ya!$C106,"YYYYMMDD")))</f>
        <v>5.0732999999999997</v>
      </c>
      <c r="M106" s="2" cm="1">
        <f t="array" ref="M106">IF(hp!M106=0,0,_xll.BDP(M$4,"YAS_BOND_YLD", "YAS_BOND_PX",hp!M106, "SETTLE_DT", TEXT(ya!$C106,"YYYYMMDD")))</f>
        <v>5.1120999999999999</v>
      </c>
      <c r="N106" s="2" cm="1">
        <f t="array" ref="N106">IF(hp!N106=0,0,_xll.BDP(N$4,"YAS_BOND_YLD", "YAS_BOND_PX",hp!N106, "SETTLE_DT", TEXT(ya!$C106,"YYYYMMDD")))</f>
        <v>5.2146999999999997</v>
      </c>
      <c r="O106" s="2" cm="1">
        <f t="array" ref="O106">IF(hp!O106=0,0,_xll.BDP(O$4,"YAS_BOND_YLD", "YAS_BOND_PX",hp!O106, "SETTLE_DT", TEXT(ya!$C106,"YYYYMMDD")))</f>
        <v>5.4271000000000003</v>
      </c>
      <c r="P106" s="2" cm="1">
        <f t="array" ref="P106">IF(hp!P106=0,0,_xll.BDP(P$4,"YAS_BOND_YLD", "YAS_BOND_PX",hp!P106, "SETTLE_DT", TEXT(ya!$C106,"YYYYMMDD")))</f>
        <v>5.1816000000000004</v>
      </c>
      <c r="Q106" s="2" cm="1">
        <f t="array" ref="Q106">IF(hp!Q106=0,0,_xll.BDP(Q$4,"YAS_BOND_YLD", "YAS_BOND_PX",hp!Q106, "SETTLE_DT", TEXT(ya!$C106,"YYYYMMDD")))</f>
        <v>5.4039000000000001</v>
      </c>
      <c r="R106" s="2" cm="1">
        <f t="array" ref="R106">IF(hp!R106=0,0,_xll.BDP(R$4,"YAS_BOND_YLD", "YAS_BOND_PX",hp!R106, "SETTLE_DT", TEXT(ya!$C106,"YYYYMMDD")))</f>
        <v>10.191000000000001</v>
      </c>
      <c r="S106" s="2" cm="1">
        <f t="array" ref="S106">IF(hp!S106=0,0,_xll.BDP(S$4,"YAS_BOND_YLD", "YAS_BOND_PX",hp!S106, "SETTLE_DT", TEXT(ya!$C106,"YYYYMMDD")))</f>
        <v>0</v>
      </c>
      <c r="T106" s="2" cm="1">
        <f t="array" ref="T106">IF(hp!T106=0,0,_xll.BDP(T$4,"YAS_BOND_YLD", "YAS_BOND_PX",hp!T106, "SETTLE_DT", TEXT(ya!$C106,"YYYYMMDD")))</f>
        <v>5.1692</v>
      </c>
      <c r="U106" s="2" cm="1">
        <f t="array" ref="U106">IF(hp!U106=0,0,_xll.BDP(U$4,"YAS_BOND_YLD", "YAS_BOND_PX",hp!U106, "SETTLE_DT", TEXT(ya!$C106,"YYYYMMDD")))</f>
        <v>5.3395999999999999</v>
      </c>
      <c r="V106" s="2" cm="1">
        <f t="array" ref="V106">IF(hp!V106=0,0,_xll.BDP(V$4,"YAS_BOND_YLD", "YAS_BOND_PX",hp!V106, "SETTLE_DT", TEXT(ya!$C106,"YYYYMMDD")))</f>
        <v>10.227600000000001</v>
      </c>
      <c r="W106" s="2" cm="1">
        <f t="array" ref="W106">IF(hp!W106=0,0,_xll.BDP(W$4,"YAS_BOND_YLD", "YAS_BOND_PX",hp!W106, "SETTLE_DT", TEXT(ya!$C106,"YYYYMMDD")))</f>
        <v>-3.8E-3</v>
      </c>
      <c r="X106" s="2" cm="1">
        <f t="array" ref="X106">IF(hp!X106=0,0,_xll.BDP(X$4,"YAS_BOND_YLD", "YAS_BOND_PX",hp!X106, "SETTLE_DT", TEXT(ya!$C106,"YYYYMMDD")))</f>
        <v>0</v>
      </c>
      <c r="Y106" s="2" cm="1">
        <f t="array" ref="Y106">IF(hp!Y106=0,0,_xll.BDP(Y$4,"YAS_BOND_YLD", "YAS_BOND_PX",hp!Y106, "SETTLE_DT", TEXT(ya!$C106,"YYYYMMDD")))</f>
        <v>0</v>
      </c>
      <c r="Z106" s="2" cm="1">
        <f t="array" ref="Z106">IF(hp!Z106=0,0,_xll.BDP(Z$4,"YAS_BOND_YLD", "YAS_BOND_PX",hp!Z106, "SETTLE_DT", TEXT(ya!$C106,"YYYYMMDD")))</f>
        <v>5.5599999999999997E-2</v>
      </c>
      <c r="AA106" s="2" cm="1">
        <f t="array" ref="AA106">IF(hp!AA106=0,0,_xll.BDP(AA$4,"YAS_BOND_YLD", "YAS_BOND_PX",hp!AA106, "SETTLE_DT", TEXT(ya!$C106,"YYYYMMDD")))</f>
        <v>0</v>
      </c>
      <c r="AB106" s="2" cm="1">
        <f t="array" ref="AB106">IF(hp!AB106=0,0,_xll.BDP(AB$4,"YAS_BOND_YLD", "YAS_BOND_PX",hp!AB106, "SETTLE_DT", TEXT(ya!$C106,"YYYYMMDD")))</f>
        <v>0.1135</v>
      </c>
      <c r="AC106" s="2" cm="1">
        <f t="array" ref="AC106">IF(hp!AC106=0,0,_xll.BDP(AC$4,"YAS_BOND_YLD", "YAS_BOND_PX",hp!AC106, "SETTLE_DT", TEXT(ya!$C106,"YYYYMMDD")))</f>
        <v>10.434100000000001</v>
      </c>
      <c r="AD106" s="2" cm="1">
        <f t="array" ref="AD106">IF(hp!AD106=0,0,_xll.BDP(AD$4,"YAS_BOND_YLD", "YAS_BOND_PX",hp!AD106, "SETTLE_DT", TEXT(ya!$C106,"YYYYMMDD")))</f>
        <v>5.4249000000000001</v>
      </c>
      <c r="AE106" s="2" cm="1">
        <f t="array" ref="AE106">IF(hp!AE106=0,0,_xll.BDP(AE$4,"YAS_BOND_YLD", "YAS_BOND_PX",hp!AE106, "SETTLE_DT", TEXT(ya!$C106,"YYYYMMDD")))</f>
        <v>0</v>
      </c>
      <c r="AF106" s="2" cm="1">
        <f t="array" ref="AF106">IF(hp!AF106=0,0,_xll.BDP(AF$4,"YAS_BOND_YLD", "YAS_BOND_PX",hp!AF106, "SETTLE_DT", TEXT(ya!$C106,"YYYYMMDD")))</f>
        <v>0.13789999999999999</v>
      </c>
      <c r="AG106" s="2" cm="1">
        <f t="array" ref="AG106">IF(hp!AG106=0,0,_xll.BDP(AG$4,"YAS_BOND_YLD", "YAS_BOND_PX",hp!AG106, "SETTLE_DT", TEXT(ya!$C106,"YYYYMMDD")))</f>
        <v>0.12540000000000001</v>
      </c>
      <c r="AH106" s="2" cm="1">
        <f t="array" ref="AH106">IF(hp!AH106=0,0,_xll.BDP(AH$4,"YAS_BOND_YLD", "YAS_BOND_PX",hp!AH106, "SETTLE_DT", TEXT(ya!$C106,"YYYYMMDD")))</f>
        <v>0</v>
      </c>
      <c r="AI106" s="2" cm="1">
        <f t="array" ref="AI106">IF(hp!AI106=0,0,_xll.BDP(AI$4,"YAS_BOND_YLD", "YAS_BOND_PX",hp!AI106, "SETTLE_DT", TEXT(ya!$C106,"YYYYMMDD")))</f>
        <v>5.2450999999999999</v>
      </c>
      <c r="AJ106" s="2" cm="1">
        <f t="array" ref="AJ106">IF(hp!AJ106=0,0,_xll.BDP(AJ$4,"YAS_BOND_YLD", "YAS_BOND_PX",hp!AJ106, "SETTLE_DT", TEXT(ya!$C106,"YYYYMMDD")))</f>
        <v>0.15490000000000001</v>
      </c>
      <c r="AK106" s="2" cm="1">
        <f t="array" ref="AK106">IF(hp!AK106=0,0,_xll.BDP(AK$4,"YAS_BOND_YLD", "YAS_BOND_PX",hp!AK106, "SETTLE_DT", TEXT(ya!$C106,"YYYYMMDD")))</f>
        <v>0.13389999999999999</v>
      </c>
      <c r="AL106" s="2" cm="1">
        <f t="array" ref="AL106">IF(hp!AL106=0,0,_xll.BDP(AL$4,"YAS_BOND_YLD", "YAS_BOND_PX",hp!AL106, "SETTLE_DT", TEXT(ya!$C106,"YYYYMMDD")))</f>
        <v>0</v>
      </c>
      <c r="AM106" s="2" cm="1">
        <f t="array" ref="AM106">IF(hp!AM106=0,0,_xll.BDP(AM$4,"YAS_BOND_YLD", "YAS_BOND_PX",hp!AM106, "SETTLE_DT", TEXT(ya!$C106,"YYYYMMDD")))</f>
        <v>0</v>
      </c>
      <c r="AN106" s="2" cm="1">
        <f t="array" ref="AN106">IF(hp!AN106=0,0,_xll.BDP(AN$4,"YAS_BOND_YLD", "YAS_BOND_PX",hp!AN106, "SETTLE_DT", TEXT(ya!$C106,"YYYYMMDD")))</f>
        <v>0.1613</v>
      </c>
      <c r="AO106" s="2" cm="1">
        <f t="array" ref="AO106">IF(hp!AO106=0,0,_xll.BDP(AO$4,"YAS_BOND_YLD", "YAS_BOND_PX",hp!AO106, "SETTLE_DT", TEXT(ya!$C106,"YYYYMMDD")))</f>
        <v>0</v>
      </c>
      <c r="AP106" s="2" cm="1">
        <f t="array" ref="AP106">IF(hp!AP106=0,0,_xll.BDP(AP$4,"YAS_BOND_YLD", "YAS_BOND_PX",hp!AP106, "SETTLE_DT", TEXT(ya!$C106,"YYYYMMDD")))</f>
        <v>0</v>
      </c>
      <c r="AQ106" s="2" cm="1">
        <f t="array" ref="AQ106">IF(hp!AQ106=0,0,_xll.BDP(AQ$4,"YAS_BOND_YLD", "YAS_BOND_PX",hp!AQ106, "SETTLE_DT", TEXT(ya!$C106,"YYYYMMDD")))</f>
        <v>7.2499999999999995E-2</v>
      </c>
      <c r="AR106" s="2" cm="1">
        <f t="array" ref="AR106">IF(hp!AR106=0,0,_xll.BDP(AR$4,"YAS_BOND_YLD", "YAS_BOND_PX",hp!AR106, "SETTLE_DT", TEXT(ya!$C106,"YYYYMMDD")))</f>
        <v>5.8213999999999997</v>
      </c>
      <c r="AS106" s="2" cm="1">
        <f t="array" ref="AS106">IF(hp!AS106=0,0,_xll.BDP(AS$4,"YAS_BOND_YLD", "YAS_BOND_PX",hp!AS106, "SETTLE_DT", TEXT(ya!$C106,"YYYYMMDD")))</f>
        <v>0</v>
      </c>
      <c r="AT106" s="2" cm="1">
        <f t="array" ref="AT106">IF(hp!AT106=0,0,_xll.BDP(AT$4,"YAS_BOND_YLD", "YAS_BOND_PX",hp!AT106, "SETTLE_DT", TEXT(ya!$C106,"YYYYMMDD")))</f>
        <v>0</v>
      </c>
      <c r="AU106" s="2" cm="1">
        <f t="array" ref="AU106">IF(hp!AU106=0,0,_xll.BDP(AU$4,"YAS_BOND_YLD", "YAS_BOND_PX",hp!AU106, "SETTLE_DT", TEXT(ya!$C106,"YYYYMMDD")))</f>
        <v>0</v>
      </c>
      <c r="AV106" s="2" cm="1">
        <f t="array" ref="AV106">IF(hp!AV106=0,0,_xll.BDP(AV$4,"YAS_BOND_YLD", "YAS_BOND_PX",hp!AV106, "SETTLE_DT", TEXT(ya!$C106,"YYYYMMDD")))</f>
        <v>0</v>
      </c>
      <c r="AW106" s="2" cm="1">
        <f t="array" ref="AW106">IF(hp!AW106=0,0,_xll.BDP(AW$4,"YAS_BOND_YLD", "YAS_BOND_PX",hp!AW106, "SETTLE_DT", TEXT(ya!$C106,"YYYYMMDD")))</f>
        <v>0</v>
      </c>
      <c r="AX106" s="2" cm="1">
        <f t="array" ref="AX106">IF(hp!AX106=0,0,_xll.BDP(AX$4,"YAS_BOND_YLD", "YAS_BOND_PX",hp!AX106, "SETTLE_DT", TEXT(ya!$C106,"YYYYMMDD")))</f>
        <v>0</v>
      </c>
      <c r="AY106" s="2" cm="1">
        <f t="array" ref="AY106">IF(hp!AY106=0,0,_xll.BDP(AY$4,"YAS_BOND_YLD", "YAS_BOND_PX",hp!AY106, "SETTLE_DT", TEXT(ya!$C106,"YYYYMMDD")))</f>
        <v>0</v>
      </c>
      <c r="AZ106" s="2" cm="1">
        <f t="array" ref="AZ106">IF(hp!AZ106=0,0,_xll.BDP(AZ$4,"YAS_BOND_YLD", "YAS_BOND_PX",hp!AZ106, "SETTLE_DT", TEXT(ya!$C106,"YYYYMMDD")))</f>
        <v>0</v>
      </c>
    </row>
    <row r="107" spans="1:52" x14ac:dyDescent="0.25">
      <c r="A107" s="1"/>
      <c r="B107" s="2"/>
      <c r="C107" s="1">
        <v>45169</v>
      </c>
      <c r="D107" s="2" cm="1">
        <f t="array" ref="D107">IF(hp!D107=0,0,_xll.BDP(D$4,"YAS_BOND_YLD", "YAS_BOND_PX",hp!D107, "SETTLE_DT", TEXT(ya!$C107,"YYYYMMDD")))</f>
        <v>0</v>
      </c>
      <c r="E107" s="2" cm="1">
        <f t="array" ref="E107">IF(hp!E107=0,0,_xll.BDP(E$4,"YAS_BOND_YLD", "YAS_BOND_PX",hp!E107, "SETTLE_DT", TEXT(ya!$C107,"YYYYMMDD")))</f>
        <v>11.036</v>
      </c>
      <c r="F107" s="2" cm="1">
        <f t="array" ref="F107">IF(hp!F107=0,0,_xll.BDP(F$4,"YAS_BOND_YLD", "YAS_BOND_PX",hp!F107, "SETTLE_DT", TEXT(ya!$C107,"YYYYMMDD")))</f>
        <v>10.4297</v>
      </c>
      <c r="G107" s="2" cm="1">
        <f t="array" ref="G107">IF(hp!G107=0,0,_xll.BDP(G$4,"YAS_BOND_YLD", "YAS_BOND_PX",hp!G107, "SETTLE_DT", TEXT(ya!$C107,"YYYYMMDD")))</f>
        <v>5.3983999999999996</v>
      </c>
      <c r="H107" s="2" cm="1">
        <f t="array" ref="H107">IF(hp!H107=0,0,_xll.BDP(H$4,"YAS_BOND_YLD", "YAS_BOND_PX",hp!H107, "SETTLE_DT", TEXT(ya!$C107,"YYYYMMDD")))</f>
        <v>10.866300000000001</v>
      </c>
      <c r="I107" s="2" cm="1">
        <f t="array" ref="I107">IF(hp!I107=0,0,_xll.BDP(I$4,"YAS_BOND_YLD", "YAS_BOND_PX",hp!I107, "SETTLE_DT", TEXT(ya!$C107,"YYYYMMDD")))</f>
        <v>11.144399999999999</v>
      </c>
      <c r="J107" s="2" cm="1">
        <f t="array" ref="J107">IF(hp!J107=0,0,_xll.BDP(J$4,"YAS_BOND_YLD", "YAS_BOND_PX",hp!J107, "SETTLE_DT", TEXT(ya!$C107,"YYYYMMDD")))</f>
        <v>5.6333000000000002</v>
      </c>
      <c r="K107" s="2" cm="1">
        <f t="array" ref="K107">IF(hp!K107=0,0,_xll.BDP(K$4,"YAS_BOND_YLD", "YAS_BOND_PX",hp!K107, "SETTLE_DT", TEXT(ya!$C107,"YYYYMMDD")))</f>
        <v>10.215299999999999</v>
      </c>
      <c r="L107" s="2" cm="1">
        <f t="array" ref="L107">IF(hp!L107=0,0,_xll.BDP(L$4,"YAS_BOND_YLD", "YAS_BOND_PX",hp!L107, "SETTLE_DT", TEXT(ya!$C107,"YYYYMMDD")))</f>
        <v>5.2363999999999997</v>
      </c>
      <c r="M107" s="2" cm="1">
        <f t="array" ref="M107">IF(hp!M107=0,0,_xll.BDP(M$4,"YAS_BOND_YLD", "YAS_BOND_PX",hp!M107, "SETTLE_DT", TEXT(ya!$C107,"YYYYMMDD")))</f>
        <v>5.2682000000000002</v>
      </c>
      <c r="N107" s="2" cm="1">
        <f t="array" ref="N107">IF(hp!N107=0,0,_xll.BDP(N$4,"YAS_BOND_YLD", "YAS_BOND_PX",hp!N107, "SETTLE_DT", TEXT(ya!$C107,"YYYYMMDD")))</f>
        <v>5.2081</v>
      </c>
      <c r="O107" s="2" cm="1">
        <f t="array" ref="O107">IF(hp!O107=0,0,_xll.BDP(O$4,"YAS_BOND_YLD", "YAS_BOND_PX",hp!O107, "SETTLE_DT", TEXT(ya!$C107,"YYYYMMDD")))</f>
        <v>5.6242999999999999</v>
      </c>
      <c r="P107" s="2" cm="1">
        <f t="array" ref="P107">IF(hp!P107=0,0,_xll.BDP(P$4,"YAS_BOND_YLD", "YAS_BOND_PX",hp!P107, "SETTLE_DT", TEXT(ya!$C107,"YYYYMMDD")))</f>
        <v>5.3319999999999999</v>
      </c>
      <c r="Q107" s="2" cm="1">
        <f t="array" ref="Q107">IF(hp!Q107=0,0,_xll.BDP(Q$4,"YAS_BOND_YLD", "YAS_BOND_PX",hp!Q107, "SETTLE_DT", TEXT(ya!$C107,"YYYYMMDD")))</f>
        <v>5.5933999999999999</v>
      </c>
      <c r="R107" s="2" cm="1">
        <f t="array" ref="R107">IF(hp!R107=0,0,_xll.BDP(R$4,"YAS_BOND_YLD", "YAS_BOND_PX",hp!R107, "SETTLE_DT", TEXT(ya!$C107,"YYYYMMDD")))</f>
        <v>10.3316</v>
      </c>
      <c r="S107" s="2" cm="1">
        <f t="array" ref="S107">IF(hp!S107=0,0,_xll.BDP(S$4,"YAS_BOND_YLD", "YAS_BOND_PX",hp!S107, "SETTLE_DT", TEXT(ya!$C107,"YYYYMMDD")))</f>
        <v>0</v>
      </c>
      <c r="T107" s="2" cm="1">
        <f t="array" ref="T107">IF(hp!T107=0,0,_xll.BDP(T$4,"YAS_BOND_YLD", "YAS_BOND_PX",hp!T107, "SETTLE_DT", TEXT(ya!$C107,"YYYYMMDD")))</f>
        <v>5.2507000000000001</v>
      </c>
      <c r="U107" s="2" cm="1">
        <f t="array" ref="U107">IF(hp!U107=0,0,_xll.BDP(U$4,"YAS_BOND_YLD", "YAS_BOND_PX",hp!U107, "SETTLE_DT", TEXT(ya!$C107,"YYYYMMDD")))</f>
        <v>5.4897</v>
      </c>
      <c r="V107" s="2" cm="1">
        <f t="array" ref="V107">IF(hp!V107=0,0,_xll.BDP(V$4,"YAS_BOND_YLD", "YAS_BOND_PX",hp!V107, "SETTLE_DT", TEXT(ya!$C107,"YYYYMMDD")))</f>
        <v>10.2403</v>
      </c>
      <c r="W107" s="2" cm="1">
        <f t="array" ref="W107">IF(hp!W107=0,0,_xll.BDP(W$4,"YAS_BOND_YLD", "YAS_BOND_PX",hp!W107, "SETTLE_DT", TEXT(ya!$C107,"YYYYMMDD")))</f>
        <v>-1.9099999999999999E-2</v>
      </c>
      <c r="X107" s="2" cm="1">
        <f t="array" ref="X107">IF(hp!X107=0,0,_xll.BDP(X$4,"YAS_BOND_YLD", "YAS_BOND_PX",hp!X107, "SETTLE_DT", TEXT(ya!$C107,"YYYYMMDD")))</f>
        <v>0</v>
      </c>
      <c r="Y107" s="2" cm="1">
        <f t="array" ref="Y107">IF(hp!Y107=0,0,_xll.BDP(Y$4,"YAS_BOND_YLD", "YAS_BOND_PX",hp!Y107, "SETTLE_DT", TEXT(ya!$C107,"YYYYMMDD")))</f>
        <v>0</v>
      </c>
      <c r="Z107" s="2" cm="1">
        <f t="array" ref="Z107">IF(hp!Z107=0,0,_xll.BDP(Z$4,"YAS_BOND_YLD", "YAS_BOND_PX",hp!Z107, "SETTLE_DT", TEXT(ya!$C107,"YYYYMMDD")))</f>
        <v>2.2100000000000002E-2</v>
      </c>
      <c r="AA107" s="2" cm="1">
        <f t="array" ref="AA107">IF(hp!AA107=0,0,_xll.BDP(AA$4,"YAS_BOND_YLD", "YAS_BOND_PX",hp!AA107, "SETTLE_DT", TEXT(ya!$C107,"YYYYMMDD")))</f>
        <v>0</v>
      </c>
      <c r="AB107" s="2" cm="1">
        <f t="array" ref="AB107">IF(hp!AB107=0,0,_xll.BDP(AB$4,"YAS_BOND_YLD", "YAS_BOND_PX",hp!AB107, "SETTLE_DT", TEXT(ya!$C107,"YYYYMMDD")))</f>
        <v>9.7500000000000003E-2</v>
      </c>
      <c r="AC107" s="2" cm="1">
        <f t="array" ref="AC107">IF(hp!AC107=0,0,_xll.BDP(AC$4,"YAS_BOND_YLD", "YAS_BOND_PX",hp!AC107, "SETTLE_DT", TEXT(ya!$C107,"YYYYMMDD")))</f>
        <v>10.6279</v>
      </c>
      <c r="AD107" s="2" cm="1">
        <f t="array" ref="AD107">IF(hp!AD107=0,0,_xll.BDP(AD$4,"YAS_BOND_YLD", "YAS_BOND_PX",hp!AD107, "SETTLE_DT", TEXT(ya!$C107,"YYYYMMDD")))</f>
        <v>5.6257999999999999</v>
      </c>
      <c r="AE107" s="2" cm="1">
        <f t="array" ref="AE107">IF(hp!AE107=0,0,_xll.BDP(AE$4,"YAS_BOND_YLD", "YAS_BOND_PX",hp!AE107, "SETTLE_DT", TEXT(ya!$C107,"YYYYMMDD")))</f>
        <v>0</v>
      </c>
      <c r="AF107" s="2" cm="1">
        <f t="array" ref="AF107">IF(hp!AF107=0,0,_xll.BDP(AF$4,"YAS_BOND_YLD", "YAS_BOND_PX",hp!AF107, "SETTLE_DT", TEXT(ya!$C107,"YYYYMMDD")))</f>
        <v>0.13619999999999999</v>
      </c>
      <c r="AG107" s="2" cm="1">
        <f t="array" ref="AG107">IF(hp!AG107=0,0,_xll.BDP(AG$4,"YAS_BOND_YLD", "YAS_BOND_PX",hp!AG107, "SETTLE_DT", TEXT(ya!$C107,"YYYYMMDD")))</f>
        <v>0.1143</v>
      </c>
      <c r="AH107" s="2" cm="1">
        <f t="array" ref="AH107">IF(hp!AH107=0,0,_xll.BDP(AH$4,"YAS_BOND_YLD", "YAS_BOND_PX",hp!AH107, "SETTLE_DT", TEXT(ya!$C107,"YYYYMMDD")))</f>
        <v>0</v>
      </c>
      <c r="AI107" s="2" cm="1">
        <f t="array" ref="AI107">IF(hp!AI107=0,0,_xll.BDP(AI$4,"YAS_BOND_YLD", "YAS_BOND_PX",hp!AI107, "SETTLE_DT", TEXT(ya!$C107,"YYYYMMDD")))</f>
        <v>5.3822000000000001</v>
      </c>
      <c r="AJ107" s="2" cm="1">
        <f t="array" ref="AJ107">IF(hp!AJ107=0,0,_xll.BDP(AJ$4,"YAS_BOND_YLD", "YAS_BOND_PX",hp!AJ107, "SETTLE_DT", TEXT(ya!$C107,"YYYYMMDD")))</f>
        <v>0.14699999999999999</v>
      </c>
      <c r="AK107" s="2" cm="1">
        <f t="array" ref="AK107">IF(hp!AK107=0,0,_xll.BDP(AK$4,"YAS_BOND_YLD", "YAS_BOND_PX",hp!AK107, "SETTLE_DT", TEXT(ya!$C107,"YYYYMMDD")))</f>
        <v>0.13159999999999999</v>
      </c>
      <c r="AL107" s="2" cm="1">
        <f t="array" ref="AL107">IF(hp!AL107=0,0,_xll.BDP(AL$4,"YAS_BOND_YLD", "YAS_BOND_PX",hp!AL107, "SETTLE_DT", TEXT(ya!$C107,"YYYYMMDD")))</f>
        <v>0</v>
      </c>
      <c r="AM107" s="2" cm="1">
        <f t="array" ref="AM107">IF(hp!AM107=0,0,_xll.BDP(AM$4,"YAS_BOND_YLD", "YAS_BOND_PX",hp!AM107, "SETTLE_DT", TEXT(ya!$C107,"YYYYMMDD")))</f>
        <v>0</v>
      </c>
      <c r="AN107" s="2" cm="1">
        <f t="array" ref="AN107">IF(hp!AN107=0,0,_xll.BDP(AN$4,"YAS_BOND_YLD", "YAS_BOND_PX",hp!AN107, "SETTLE_DT", TEXT(ya!$C107,"YYYYMMDD")))</f>
        <v>0.15670000000000001</v>
      </c>
      <c r="AO107" s="2" cm="1">
        <f t="array" ref="AO107">IF(hp!AO107=0,0,_xll.BDP(AO$4,"YAS_BOND_YLD", "YAS_BOND_PX",hp!AO107, "SETTLE_DT", TEXT(ya!$C107,"YYYYMMDD")))</f>
        <v>0</v>
      </c>
      <c r="AP107" s="2" cm="1">
        <f t="array" ref="AP107">IF(hp!AP107=0,0,_xll.BDP(AP$4,"YAS_BOND_YLD", "YAS_BOND_PX",hp!AP107, "SETTLE_DT", TEXT(ya!$C107,"YYYYMMDD")))</f>
        <v>0</v>
      </c>
      <c r="AQ107" s="2" cm="1">
        <f t="array" ref="AQ107">IF(hp!AQ107=0,0,_xll.BDP(AQ$4,"YAS_BOND_YLD", "YAS_BOND_PX",hp!AQ107, "SETTLE_DT", TEXT(ya!$C107,"YYYYMMDD")))</f>
        <v>5.0900000000000001E-2</v>
      </c>
      <c r="AR107" s="2" cm="1">
        <f t="array" ref="AR107">IF(hp!AR107=0,0,_xll.BDP(AR$4,"YAS_BOND_YLD", "YAS_BOND_PX",hp!AR107, "SETTLE_DT", TEXT(ya!$C107,"YYYYMMDD")))</f>
        <v>5.5655999999999999</v>
      </c>
      <c r="AS107" s="2" cm="1">
        <f t="array" ref="AS107">IF(hp!AS107=0,0,_xll.BDP(AS$4,"YAS_BOND_YLD", "YAS_BOND_PX",hp!AS107, "SETTLE_DT", TEXT(ya!$C107,"YYYYMMDD")))</f>
        <v>0</v>
      </c>
      <c r="AT107" s="2" cm="1">
        <f t="array" ref="AT107">IF(hp!AT107=0,0,_xll.BDP(AT$4,"YAS_BOND_YLD", "YAS_BOND_PX",hp!AT107, "SETTLE_DT", TEXT(ya!$C107,"YYYYMMDD")))</f>
        <v>0</v>
      </c>
      <c r="AU107" s="2" cm="1">
        <f t="array" ref="AU107">IF(hp!AU107=0,0,_xll.BDP(AU$4,"YAS_BOND_YLD", "YAS_BOND_PX",hp!AU107, "SETTLE_DT", TEXT(ya!$C107,"YYYYMMDD")))</f>
        <v>0</v>
      </c>
      <c r="AV107" s="2" cm="1">
        <f t="array" ref="AV107">IF(hp!AV107=0,0,_xll.BDP(AV$4,"YAS_BOND_YLD", "YAS_BOND_PX",hp!AV107, "SETTLE_DT", TEXT(ya!$C107,"YYYYMMDD")))</f>
        <v>0</v>
      </c>
      <c r="AW107" s="2" cm="1">
        <f t="array" ref="AW107">IF(hp!AW107=0,0,_xll.BDP(AW$4,"YAS_BOND_YLD", "YAS_BOND_PX",hp!AW107, "SETTLE_DT", TEXT(ya!$C107,"YYYYMMDD")))</f>
        <v>0</v>
      </c>
      <c r="AX107" s="2" cm="1">
        <f t="array" ref="AX107">IF(hp!AX107=0,0,_xll.BDP(AX$4,"YAS_BOND_YLD", "YAS_BOND_PX",hp!AX107, "SETTLE_DT", TEXT(ya!$C107,"YYYYMMDD")))</f>
        <v>0</v>
      </c>
      <c r="AY107" s="2" cm="1">
        <f t="array" ref="AY107">IF(hp!AY107=0,0,_xll.BDP(AY$4,"YAS_BOND_YLD", "YAS_BOND_PX",hp!AY107, "SETTLE_DT", TEXT(ya!$C107,"YYYYMMDD")))</f>
        <v>0</v>
      </c>
      <c r="AZ107" s="2" cm="1">
        <f t="array" ref="AZ107">IF(hp!AZ107=0,0,_xll.BDP(AZ$4,"YAS_BOND_YLD", "YAS_BOND_PX",hp!AZ107, "SETTLE_DT", TEXT(ya!$C107,"YYYYMMDD")))</f>
        <v>0</v>
      </c>
    </row>
    <row r="108" spans="1:52" x14ac:dyDescent="0.25">
      <c r="A108" s="1"/>
      <c r="B108" s="2"/>
      <c r="C108" s="1">
        <v>45198</v>
      </c>
      <c r="D108" s="2" cm="1">
        <f t="array" ref="D108">IF(hp!D108=0,0,_xll.BDP(D$4,"YAS_BOND_YLD", "YAS_BOND_PX",hp!D108, "SETTLE_DT", TEXT(ya!$C108,"YYYYMMDD")))</f>
        <v>0</v>
      </c>
      <c r="E108" s="2" cm="1">
        <f t="array" ref="E108">IF(hp!E108=0,0,_xll.BDP(E$4,"YAS_BOND_YLD", "YAS_BOND_PX",hp!E108, "SETTLE_DT", TEXT(ya!$C108,"YYYYMMDD")))</f>
        <v>11.539300000000001</v>
      </c>
      <c r="F108" s="2" cm="1">
        <f t="array" ref="F108">IF(hp!F108=0,0,_xll.BDP(F$4,"YAS_BOND_YLD", "YAS_BOND_PX",hp!F108, "SETTLE_DT", TEXT(ya!$C108,"YYYYMMDD")))</f>
        <v>10.8782</v>
      </c>
      <c r="G108" s="2" cm="1">
        <f t="array" ref="G108">IF(hp!G108=0,0,_xll.BDP(G$4,"YAS_BOND_YLD", "YAS_BOND_PX",hp!G108, "SETTLE_DT", TEXT(ya!$C108,"YYYYMMDD")))</f>
        <v>5.6845999999999997</v>
      </c>
      <c r="H108" s="2" cm="1">
        <f t="array" ref="H108">IF(hp!H108=0,0,_xll.BDP(H$4,"YAS_BOND_YLD", "YAS_BOND_PX",hp!H108, "SETTLE_DT", TEXT(ya!$C108,"YYYYMMDD")))</f>
        <v>11.319100000000001</v>
      </c>
      <c r="I108" s="2" cm="1">
        <f t="array" ref="I108">IF(hp!I108=0,0,_xll.BDP(I$4,"YAS_BOND_YLD", "YAS_BOND_PX",hp!I108, "SETTLE_DT", TEXT(ya!$C108,"YYYYMMDD")))</f>
        <v>11.6609</v>
      </c>
      <c r="J108" s="2" cm="1">
        <f t="array" ref="J108">IF(hp!J108=0,0,_xll.BDP(J$4,"YAS_BOND_YLD", "YAS_BOND_PX",hp!J108, "SETTLE_DT", TEXT(ya!$C108,"YYYYMMDD")))</f>
        <v>5.8506</v>
      </c>
      <c r="K108" s="2" cm="1">
        <f t="array" ref="K108">IF(hp!K108=0,0,_xll.BDP(K$4,"YAS_BOND_YLD", "YAS_BOND_PX",hp!K108, "SETTLE_DT", TEXT(ya!$C108,"YYYYMMDD")))</f>
        <v>10.6065</v>
      </c>
      <c r="L108" s="2" cm="1">
        <f t="array" ref="L108">IF(hp!L108=0,0,_xll.BDP(L$4,"YAS_BOND_YLD", "YAS_BOND_PX",hp!L108, "SETTLE_DT", TEXT(ya!$C108,"YYYYMMDD")))</f>
        <v>5.5834999999999999</v>
      </c>
      <c r="M108" s="2" cm="1">
        <f t="array" ref="M108">IF(hp!M108=0,0,_xll.BDP(M$4,"YAS_BOND_YLD", "YAS_BOND_PX",hp!M108, "SETTLE_DT", TEXT(ya!$C108,"YYYYMMDD")))</f>
        <v>5.6109999999999998</v>
      </c>
      <c r="N108" s="2" cm="1">
        <f t="array" ref="N108">IF(hp!N108=0,0,_xll.BDP(N$4,"YAS_BOND_YLD", "YAS_BOND_PX",hp!N108, "SETTLE_DT", TEXT(ya!$C108,"YYYYMMDD")))</f>
        <v>5.5811999999999999</v>
      </c>
      <c r="O108" s="2" cm="1">
        <f t="array" ref="O108">IF(hp!O108=0,0,_xll.BDP(O$4,"YAS_BOND_YLD", "YAS_BOND_PX",hp!O108, "SETTLE_DT", TEXT(ya!$C108,"YYYYMMDD")))</f>
        <v>5.8751999999999995</v>
      </c>
      <c r="P108" s="2" cm="1">
        <f t="array" ref="P108">IF(hp!P108=0,0,_xll.BDP(P$4,"YAS_BOND_YLD", "YAS_BOND_PX",hp!P108, "SETTLE_DT", TEXT(ya!$C108,"YYYYMMDD")))</f>
        <v>5.6029999999999998</v>
      </c>
      <c r="Q108" s="2" cm="1">
        <f t="array" ref="Q108">IF(hp!Q108=0,0,_xll.BDP(Q$4,"YAS_BOND_YLD", "YAS_BOND_PX",hp!Q108, "SETTLE_DT", TEXT(ya!$C108,"YYYYMMDD")))</f>
        <v>5.8215000000000003</v>
      </c>
      <c r="R108" s="2" cm="1">
        <f t="array" ref="R108">IF(hp!R108=0,0,_xll.BDP(R$4,"YAS_BOND_YLD", "YAS_BOND_PX",hp!R108, "SETTLE_DT", TEXT(ya!$C108,"YYYYMMDD")))</f>
        <v>10.755700000000001</v>
      </c>
      <c r="S108" s="2" cm="1">
        <f t="array" ref="S108">IF(hp!S108=0,0,_xll.BDP(S$4,"YAS_BOND_YLD", "YAS_BOND_PX",hp!S108, "SETTLE_DT", TEXT(ya!$C108,"YYYYMMDD")))</f>
        <v>0</v>
      </c>
      <c r="T108" s="2" cm="1">
        <f t="array" ref="T108">IF(hp!T108=0,0,_xll.BDP(T$4,"YAS_BOND_YLD", "YAS_BOND_PX",hp!T108, "SETTLE_DT", TEXT(ya!$C108,"YYYYMMDD")))</f>
        <v>5.5868000000000002</v>
      </c>
      <c r="U108" s="2" cm="1">
        <f t="array" ref="U108">IF(hp!U108=0,0,_xll.BDP(U$4,"YAS_BOND_YLD", "YAS_BOND_PX",hp!U108, "SETTLE_DT", TEXT(ya!$C108,"YYYYMMDD")))</f>
        <v>5.7739000000000003</v>
      </c>
      <c r="V108" s="2" cm="1">
        <f t="array" ref="V108">IF(hp!V108=0,0,_xll.BDP(V$4,"YAS_BOND_YLD", "YAS_BOND_PX",hp!V108, "SETTLE_DT", TEXT(ya!$C108,"YYYYMMDD")))</f>
        <v>10.615</v>
      </c>
      <c r="W108" s="2" cm="1">
        <f t="array" ref="W108">IF(hp!W108=0,0,_xll.BDP(W$4,"YAS_BOND_YLD", "YAS_BOND_PX",hp!W108, "SETTLE_DT", TEXT(ya!$C108,"YYYYMMDD")))</f>
        <v>-2.1399999999999999E-2</v>
      </c>
      <c r="X108" s="2" cm="1">
        <f t="array" ref="X108">IF(hp!X108=0,0,_xll.BDP(X$4,"YAS_BOND_YLD", "YAS_BOND_PX",hp!X108, "SETTLE_DT", TEXT(ya!$C108,"YYYYMMDD")))</f>
        <v>0</v>
      </c>
      <c r="Y108" s="2" cm="1">
        <f t="array" ref="Y108">IF(hp!Y108=0,0,_xll.BDP(Y$4,"YAS_BOND_YLD", "YAS_BOND_PX",hp!Y108, "SETTLE_DT", TEXT(ya!$C108,"YYYYMMDD")))</f>
        <v>0</v>
      </c>
      <c r="Z108" s="2" cm="1">
        <f t="array" ref="Z108">IF(hp!Z108=0,0,_xll.BDP(Z$4,"YAS_BOND_YLD", "YAS_BOND_PX",hp!Z108, "SETTLE_DT", TEXT(ya!$C108,"YYYYMMDD")))</f>
        <v>8.8999999999999999E-3</v>
      </c>
      <c r="AA108" s="2" cm="1">
        <f t="array" ref="AA108">IF(hp!AA108=0,0,_xll.BDP(AA$4,"YAS_BOND_YLD", "YAS_BOND_PX",hp!AA108, "SETTLE_DT", TEXT(ya!$C108,"YYYYMMDD")))</f>
        <v>0</v>
      </c>
      <c r="AB108" s="2" cm="1">
        <f t="array" ref="AB108">IF(hp!AB108=0,0,_xll.BDP(AB$4,"YAS_BOND_YLD", "YAS_BOND_PX",hp!AB108, "SETTLE_DT", TEXT(ya!$C108,"YYYYMMDD")))</f>
        <v>8.72E-2</v>
      </c>
      <c r="AC108" s="2" cm="1">
        <f t="array" ref="AC108">IF(hp!AC108=0,0,_xll.BDP(AC$4,"YAS_BOND_YLD", "YAS_BOND_PX",hp!AC108, "SETTLE_DT", TEXT(ya!$C108,"YYYYMMDD")))</f>
        <v>11.0421</v>
      </c>
      <c r="AD108" s="2" cm="1">
        <f t="array" ref="AD108">IF(hp!AD108=0,0,_xll.BDP(AD$4,"YAS_BOND_YLD", "YAS_BOND_PX",hp!AD108, "SETTLE_DT", TEXT(ya!$C108,"YYYYMMDD")))</f>
        <v>5.8602999999999996</v>
      </c>
      <c r="AE108" s="2" cm="1">
        <f t="array" ref="AE108">IF(hp!AE108=0,0,_xll.BDP(AE$4,"YAS_BOND_YLD", "YAS_BOND_PX",hp!AE108, "SETTLE_DT", TEXT(ya!$C108,"YYYYMMDD")))</f>
        <v>0</v>
      </c>
      <c r="AF108" s="2" cm="1">
        <f t="array" ref="AF108">IF(hp!AF108=0,0,_xll.BDP(AF$4,"YAS_BOND_YLD", "YAS_BOND_PX",hp!AF108, "SETTLE_DT", TEXT(ya!$C108,"YYYYMMDD")))</f>
        <v>0.1333</v>
      </c>
      <c r="AG108" s="2" cm="1">
        <f t="array" ref="AG108">IF(hp!AG108=0,0,_xll.BDP(AG$4,"YAS_BOND_YLD", "YAS_BOND_PX",hp!AG108, "SETTLE_DT", TEXT(ya!$C108,"YYYYMMDD")))</f>
        <v>0.1091</v>
      </c>
      <c r="AH108" s="2" cm="1">
        <f t="array" ref="AH108">IF(hp!AH108=0,0,_xll.BDP(AH$4,"YAS_BOND_YLD", "YAS_BOND_PX",hp!AH108, "SETTLE_DT", TEXT(ya!$C108,"YYYYMMDD")))</f>
        <v>0</v>
      </c>
      <c r="AI108" s="2" cm="1">
        <f t="array" ref="AI108">IF(hp!AI108=0,0,_xll.BDP(AI$4,"YAS_BOND_YLD", "YAS_BOND_PX",hp!AI108, "SETTLE_DT", TEXT(ya!$C108,"YYYYMMDD")))</f>
        <v>5.6859000000000002</v>
      </c>
      <c r="AJ108" s="2" cm="1">
        <f t="array" ref="AJ108">IF(hp!AJ108=0,0,_xll.BDP(AJ$4,"YAS_BOND_YLD", "YAS_BOND_PX",hp!AJ108, "SETTLE_DT", TEXT(ya!$C108,"YYYYMMDD")))</f>
        <v>0.1381</v>
      </c>
      <c r="AK108" s="2" cm="1">
        <f t="array" ref="AK108">IF(hp!AK108=0,0,_xll.BDP(AK$4,"YAS_BOND_YLD", "YAS_BOND_PX",hp!AK108, "SETTLE_DT", TEXT(ya!$C108,"YYYYMMDD")))</f>
        <v>0.123</v>
      </c>
      <c r="AL108" s="2" cm="1">
        <f t="array" ref="AL108">IF(hp!AL108=0,0,_xll.BDP(AL$4,"YAS_BOND_YLD", "YAS_BOND_PX",hp!AL108, "SETTLE_DT", TEXT(ya!$C108,"YYYYMMDD")))</f>
        <v>0</v>
      </c>
      <c r="AM108" s="2" cm="1">
        <f t="array" ref="AM108">IF(hp!AM108=0,0,_xll.BDP(AM$4,"YAS_BOND_YLD", "YAS_BOND_PX",hp!AM108, "SETTLE_DT", TEXT(ya!$C108,"YYYYMMDD")))</f>
        <v>0</v>
      </c>
      <c r="AN108" s="2" cm="1">
        <f t="array" ref="AN108">IF(hp!AN108=0,0,_xll.BDP(AN$4,"YAS_BOND_YLD", "YAS_BOND_PX",hp!AN108, "SETTLE_DT", TEXT(ya!$C108,"YYYYMMDD")))</f>
        <v>0.1512</v>
      </c>
      <c r="AO108" s="2" cm="1">
        <f t="array" ref="AO108">IF(hp!AO108=0,0,_xll.BDP(AO$4,"YAS_BOND_YLD", "YAS_BOND_PX",hp!AO108, "SETTLE_DT", TEXT(ya!$C108,"YYYYMMDD")))</f>
        <v>0</v>
      </c>
      <c r="AP108" s="2" cm="1">
        <f t="array" ref="AP108">IF(hp!AP108=0,0,_xll.BDP(AP$4,"YAS_BOND_YLD", "YAS_BOND_PX",hp!AP108, "SETTLE_DT", TEXT(ya!$C108,"YYYYMMDD")))</f>
        <v>0</v>
      </c>
      <c r="AQ108" s="2" cm="1">
        <f t="array" ref="AQ108">IF(hp!AQ108=0,0,_xll.BDP(AQ$4,"YAS_BOND_YLD", "YAS_BOND_PX",hp!AQ108, "SETTLE_DT", TEXT(ya!$C108,"YYYYMMDD")))</f>
        <v>4.58E-2</v>
      </c>
      <c r="AR108" s="2" cm="1">
        <f t="array" ref="AR108">IF(hp!AR108=0,0,_xll.BDP(AR$4,"YAS_BOND_YLD", "YAS_BOND_PX",hp!AR108, "SETTLE_DT", TEXT(ya!$C108,"YYYYMMDD")))</f>
        <v>5.4515000000000002</v>
      </c>
      <c r="AS108" s="2" cm="1">
        <f t="array" ref="AS108">IF(hp!AS108=0,0,_xll.BDP(AS$4,"YAS_BOND_YLD", "YAS_BOND_PX",hp!AS108, "SETTLE_DT", TEXT(ya!$C108,"YYYYMMDD")))</f>
        <v>0</v>
      </c>
      <c r="AT108" s="2" cm="1">
        <f t="array" ref="AT108">IF(hp!AT108=0,0,_xll.BDP(AT$4,"YAS_BOND_YLD", "YAS_BOND_PX",hp!AT108, "SETTLE_DT", TEXT(ya!$C108,"YYYYMMDD")))</f>
        <v>0</v>
      </c>
      <c r="AU108" s="2" cm="1">
        <f t="array" ref="AU108">IF(hp!AU108=0,0,_xll.BDP(AU$4,"YAS_BOND_YLD", "YAS_BOND_PX",hp!AU108, "SETTLE_DT", TEXT(ya!$C108,"YYYYMMDD")))</f>
        <v>0</v>
      </c>
      <c r="AV108" s="2" cm="1">
        <f t="array" ref="AV108">IF(hp!AV108=0,0,_xll.BDP(AV$4,"YAS_BOND_YLD", "YAS_BOND_PX",hp!AV108, "SETTLE_DT", TEXT(ya!$C108,"YYYYMMDD")))</f>
        <v>0</v>
      </c>
      <c r="AW108" s="2" cm="1">
        <f t="array" ref="AW108">IF(hp!AW108=0,0,_xll.BDP(AW$4,"YAS_BOND_YLD", "YAS_BOND_PX",hp!AW108, "SETTLE_DT", TEXT(ya!$C108,"YYYYMMDD")))</f>
        <v>0</v>
      </c>
      <c r="AX108" s="2" cm="1">
        <f t="array" ref="AX108">IF(hp!AX108=0,0,_xll.BDP(AX$4,"YAS_BOND_YLD", "YAS_BOND_PX",hp!AX108, "SETTLE_DT", TEXT(ya!$C108,"YYYYMMDD")))</f>
        <v>0</v>
      </c>
      <c r="AY108" s="2" cm="1">
        <f t="array" ref="AY108">IF(hp!AY108=0,0,_xll.BDP(AY$4,"YAS_BOND_YLD", "YAS_BOND_PX",hp!AY108, "SETTLE_DT", TEXT(ya!$C108,"YYYYMMDD")))</f>
        <v>0</v>
      </c>
      <c r="AZ108" s="2" cm="1">
        <f t="array" ref="AZ108">IF(hp!AZ108=0,0,_xll.BDP(AZ$4,"YAS_BOND_YLD", "YAS_BOND_PX",hp!AZ108, "SETTLE_DT", TEXT(ya!$C108,"YYYYMMDD")))</f>
        <v>0</v>
      </c>
    </row>
    <row r="109" spans="1:52" x14ac:dyDescent="0.25">
      <c r="A109" s="1"/>
      <c r="B109" s="2"/>
      <c r="C109" s="1">
        <v>45230</v>
      </c>
      <c r="D109" s="2" cm="1">
        <f t="array" ref="D109">IF(hp!D109=0,0,_xll.BDP(D$4,"YAS_BOND_YLD", "YAS_BOND_PX",hp!D109, "SETTLE_DT", TEXT(ya!$C109,"YYYYMMDD")))</f>
        <v>0</v>
      </c>
      <c r="E109" s="2" cm="1">
        <f t="array" ref="E109">IF(hp!E109=0,0,_xll.BDP(E$4,"YAS_BOND_YLD", "YAS_BOND_PX",hp!E109, "SETTLE_DT", TEXT(ya!$C109,"YYYYMMDD")))</f>
        <v>11.7666</v>
      </c>
      <c r="F109" s="2" cm="1">
        <f t="array" ref="F109">IF(hp!F109=0,0,_xll.BDP(F$4,"YAS_BOND_YLD", "YAS_BOND_PX",hp!F109, "SETTLE_DT", TEXT(ya!$C109,"YYYYMMDD")))</f>
        <v>11.2441</v>
      </c>
      <c r="G109" s="2" cm="1">
        <f t="array" ref="G109">IF(hp!G109=0,0,_xll.BDP(G$4,"YAS_BOND_YLD", "YAS_BOND_PX",hp!G109, "SETTLE_DT", TEXT(ya!$C109,"YYYYMMDD")))</f>
        <v>5.8693</v>
      </c>
      <c r="H109" s="2" cm="1">
        <f t="array" ref="H109">IF(hp!H109=0,0,_xll.BDP(H$4,"YAS_BOND_YLD", "YAS_BOND_PX",hp!H109, "SETTLE_DT", TEXT(ya!$C109,"YYYYMMDD")))</f>
        <v>11.594799999999999</v>
      </c>
      <c r="I109" s="2" cm="1">
        <f t="array" ref="I109">IF(hp!I109=0,0,_xll.BDP(I$4,"YAS_BOND_YLD", "YAS_BOND_PX",hp!I109, "SETTLE_DT", TEXT(ya!$C109,"YYYYMMDD")))</f>
        <v>11.8218</v>
      </c>
      <c r="J109" s="2" cm="1">
        <f t="array" ref="J109">IF(hp!J109=0,0,_xll.BDP(J$4,"YAS_BOND_YLD", "YAS_BOND_PX",hp!J109, "SETTLE_DT", TEXT(ya!$C109,"YYYYMMDD")))</f>
        <v>6.0053000000000001</v>
      </c>
      <c r="K109" s="2" cm="1">
        <f t="array" ref="K109">IF(hp!K109=0,0,_xll.BDP(K$4,"YAS_BOND_YLD", "YAS_BOND_PX",hp!K109, "SETTLE_DT", TEXT(ya!$C109,"YYYYMMDD")))</f>
        <v>11.0854</v>
      </c>
      <c r="L109" s="2" cm="1">
        <f t="array" ref="L109">IF(hp!L109=0,0,_xll.BDP(L$4,"YAS_BOND_YLD", "YAS_BOND_PX",hp!L109, "SETTLE_DT", TEXT(ya!$C109,"YYYYMMDD")))</f>
        <v>5.8682999999999996</v>
      </c>
      <c r="M109" s="2" cm="1">
        <f t="array" ref="M109">IF(hp!M109=0,0,_xll.BDP(M$4,"YAS_BOND_YLD", "YAS_BOND_PX",hp!M109, "SETTLE_DT", TEXT(ya!$C109,"YYYYMMDD")))</f>
        <v>5.97</v>
      </c>
      <c r="N109" s="2" cm="1">
        <f t="array" ref="N109">IF(hp!N109=0,0,_xll.BDP(N$4,"YAS_BOND_YLD", "YAS_BOND_PX",hp!N109, "SETTLE_DT", TEXT(ya!$C109,"YYYYMMDD")))</f>
        <v>6.1520999999999999</v>
      </c>
      <c r="O109" s="2" cm="1">
        <f t="array" ref="O109">IF(hp!O109=0,0,_xll.BDP(O$4,"YAS_BOND_YLD", "YAS_BOND_PX",hp!O109, "SETTLE_DT", TEXT(ya!$C109,"YYYYMMDD")))</f>
        <v>6.0071000000000003</v>
      </c>
      <c r="P109" s="2" cm="1">
        <f t="array" ref="P109">IF(hp!P109=0,0,_xll.BDP(P$4,"YAS_BOND_YLD", "YAS_BOND_PX",hp!P109, "SETTLE_DT", TEXT(ya!$C109,"YYYYMMDD")))</f>
        <v>5.8687000000000005</v>
      </c>
      <c r="Q109" s="2" cm="1">
        <f t="array" ref="Q109">IF(hp!Q109=0,0,_xll.BDP(Q$4,"YAS_BOND_YLD", "YAS_BOND_PX",hp!Q109, "SETTLE_DT", TEXT(ya!$C109,"YYYYMMDD")))</f>
        <v>5.95</v>
      </c>
      <c r="R109" s="2" cm="1">
        <f t="array" ref="R109">IF(hp!R109=0,0,_xll.BDP(R$4,"YAS_BOND_YLD", "YAS_BOND_PX",hp!R109, "SETTLE_DT", TEXT(ya!$C109,"YYYYMMDD")))</f>
        <v>11.218400000000001</v>
      </c>
      <c r="S109" s="2" cm="1">
        <f t="array" ref="S109">IF(hp!S109=0,0,_xll.BDP(S$4,"YAS_BOND_YLD", "YAS_BOND_PX",hp!S109, "SETTLE_DT", TEXT(ya!$C109,"YYYYMMDD")))</f>
        <v>0</v>
      </c>
      <c r="T109" s="2" cm="1">
        <f t="array" ref="T109">IF(hp!T109=0,0,_xll.BDP(T$4,"YAS_BOND_YLD", "YAS_BOND_PX",hp!T109, "SETTLE_DT", TEXT(ya!$C109,"YYYYMMDD")))</f>
        <v>6.1661999999999999</v>
      </c>
      <c r="U109" s="2" cm="1">
        <f t="array" ref="U109">IF(hp!U109=0,0,_xll.BDP(U$4,"YAS_BOND_YLD", "YAS_BOND_PX",hp!U109, "SETTLE_DT", TEXT(ya!$C109,"YYYYMMDD")))</f>
        <v>5.9390000000000001</v>
      </c>
      <c r="V109" s="2" cm="1">
        <f t="array" ref="V109">IF(hp!V109=0,0,_xll.BDP(V$4,"YAS_BOND_YLD", "YAS_BOND_PX",hp!V109, "SETTLE_DT", TEXT(ya!$C109,"YYYYMMDD")))</f>
        <v>11.0611</v>
      </c>
      <c r="W109" s="2" cm="1">
        <f t="array" ref="W109">IF(hp!W109=0,0,_xll.BDP(W$4,"YAS_BOND_YLD", "YAS_BOND_PX",hp!W109, "SETTLE_DT", TEXT(ya!$C109,"YYYYMMDD")))</f>
        <v>-2.1600000000000001E-2</v>
      </c>
      <c r="X109" s="2" cm="1">
        <f t="array" ref="X109">IF(hp!X109=0,0,_xll.BDP(X$4,"YAS_BOND_YLD", "YAS_BOND_PX",hp!X109, "SETTLE_DT", TEXT(ya!$C109,"YYYYMMDD")))</f>
        <v>0</v>
      </c>
      <c r="Y109" s="2" cm="1">
        <f t="array" ref="Y109">IF(hp!Y109=0,0,_xll.BDP(Y$4,"YAS_BOND_YLD", "YAS_BOND_PX",hp!Y109, "SETTLE_DT", TEXT(ya!$C109,"YYYYMMDD")))</f>
        <v>0</v>
      </c>
      <c r="Z109" s="2" cm="1">
        <f t="array" ref="Z109">IF(hp!Z109=0,0,_xll.BDP(Z$4,"YAS_BOND_YLD", "YAS_BOND_PX",hp!Z109, "SETTLE_DT", TEXT(ya!$C109,"YYYYMMDD")))</f>
        <v>1.03E-2</v>
      </c>
      <c r="AA109" s="2" cm="1">
        <f t="array" ref="AA109">IF(hp!AA109=0,0,_xll.BDP(AA$4,"YAS_BOND_YLD", "YAS_BOND_PX",hp!AA109, "SETTLE_DT", TEXT(ya!$C109,"YYYYMMDD")))</f>
        <v>0</v>
      </c>
      <c r="AB109" s="2" cm="1">
        <f t="array" ref="AB109">IF(hp!AB109=0,0,_xll.BDP(AB$4,"YAS_BOND_YLD", "YAS_BOND_PX",hp!AB109, "SETTLE_DT", TEXT(ya!$C109,"YYYYMMDD")))</f>
        <v>0.10150000000000001</v>
      </c>
      <c r="AC109" s="2" cm="1">
        <f t="array" ref="AC109">IF(hp!AC109=0,0,_xll.BDP(AC$4,"YAS_BOND_YLD", "YAS_BOND_PX",hp!AC109, "SETTLE_DT", TEXT(ya!$C109,"YYYYMMDD")))</f>
        <v>11.425000000000001</v>
      </c>
      <c r="AD109" s="2" cm="1">
        <f t="array" ref="AD109">IF(hp!AD109=0,0,_xll.BDP(AD$4,"YAS_BOND_YLD", "YAS_BOND_PX",hp!AD109, "SETTLE_DT", TEXT(ya!$C109,"YYYYMMDD")))</f>
        <v>5.9992999999999999</v>
      </c>
      <c r="AE109" s="2" cm="1">
        <f t="array" ref="AE109">IF(hp!AE109=0,0,_xll.BDP(AE$4,"YAS_BOND_YLD", "YAS_BOND_PX",hp!AE109, "SETTLE_DT", TEXT(ya!$C109,"YYYYMMDD")))</f>
        <v>0</v>
      </c>
      <c r="AF109" s="2" cm="1">
        <f t="array" ref="AF109">IF(hp!AF109=0,0,_xll.BDP(AF$4,"YAS_BOND_YLD", "YAS_BOND_PX",hp!AF109, "SETTLE_DT", TEXT(ya!$C109,"YYYYMMDD")))</f>
        <v>0.1515</v>
      </c>
      <c r="AG109" s="2" cm="1">
        <f t="array" ref="AG109">IF(hp!AG109=0,0,_xll.BDP(AG$4,"YAS_BOND_YLD", "YAS_BOND_PX",hp!AG109, "SETTLE_DT", TEXT(ya!$C109,"YYYYMMDD")))</f>
        <v>0.1273</v>
      </c>
      <c r="AH109" s="2" cm="1">
        <f t="array" ref="AH109">IF(hp!AH109=0,0,_xll.BDP(AH$4,"YAS_BOND_YLD", "YAS_BOND_PX",hp!AH109, "SETTLE_DT", TEXT(ya!$C109,"YYYYMMDD")))</f>
        <v>0</v>
      </c>
      <c r="AI109" s="2" cm="1">
        <f t="array" ref="AI109">IF(hp!AI109=0,0,_xll.BDP(AI$4,"YAS_BOND_YLD", "YAS_BOND_PX",hp!AI109, "SETTLE_DT", TEXT(ya!$C109,"YYYYMMDD")))</f>
        <v>5.8995999999999995</v>
      </c>
      <c r="AJ109" s="2" cm="1">
        <f t="array" ref="AJ109">IF(hp!AJ109=0,0,_xll.BDP(AJ$4,"YAS_BOND_YLD", "YAS_BOND_PX",hp!AJ109, "SETTLE_DT", TEXT(ya!$C109,"YYYYMMDD")))</f>
        <v>0.15670000000000001</v>
      </c>
      <c r="AK109" s="2" cm="1">
        <f t="array" ref="AK109">IF(hp!AK109=0,0,_xll.BDP(AK$4,"YAS_BOND_YLD", "YAS_BOND_PX",hp!AK109, "SETTLE_DT", TEXT(ya!$C109,"YYYYMMDD")))</f>
        <v>0.13439999999999999</v>
      </c>
      <c r="AL109" s="2" cm="1">
        <f t="array" ref="AL109">IF(hp!AL109=0,0,_xll.BDP(AL$4,"YAS_BOND_YLD", "YAS_BOND_PX",hp!AL109, "SETTLE_DT", TEXT(ya!$C109,"YYYYMMDD")))</f>
        <v>0</v>
      </c>
      <c r="AM109" s="2" cm="1">
        <f t="array" ref="AM109">IF(hp!AM109=0,0,_xll.BDP(AM$4,"YAS_BOND_YLD", "YAS_BOND_PX",hp!AM109, "SETTLE_DT", TEXT(ya!$C109,"YYYYMMDD")))</f>
        <v>0</v>
      </c>
      <c r="AN109" s="2" cm="1">
        <f t="array" ref="AN109">IF(hp!AN109=0,0,_xll.BDP(AN$4,"YAS_BOND_YLD", "YAS_BOND_PX",hp!AN109, "SETTLE_DT", TEXT(ya!$C109,"YYYYMMDD")))</f>
        <v>0.1653</v>
      </c>
      <c r="AO109" s="2" cm="1">
        <f t="array" ref="AO109">IF(hp!AO109=0,0,_xll.BDP(AO$4,"YAS_BOND_YLD", "YAS_BOND_PX",hp!AO109, "SETTLE_DT", TEXT(ya!$C109,"YYYYMMDD")))</f>
        <v>0</v>
      </c>
      <c r="AP109" s="2" cm="1">
        <f t="array" ref="AP109">IF(hp!AP109=0,0,_xll.BDP(AP$4,"YAS_BOND_YLD", "YAS_BOND_PX",hp!AP109, "SETTLE_DT", TEXT(ya!$C109,"YYYYMMDD")))</f>
        <v>0</v>
      </c>
      <c r="AQ109" s="2" cm="1">
        <f t="array" ref="AQ109">IF(hp!AQ109=0,0,_xll.BDP(AQ$4,"YAS_BOND_YLD", "YAS_BOND_PX",hp!AQ109, "SETTLE_DT", TEXT(ya!$C109,"YYYYMMDD")))</f>
        <v>5.5800000000000002E-2</v>
      </c>
      <c r="AR109" s="2" cm="1">
        <f t="array" ref="AR109">IF(hp!AR109=0,0,_xll.BDP(AR$4,"YAS_BOND_YLD", "YAS_BOND_PX",hp!AR109, "SETTLE_DT", TEXT(ya!$C109,"YYYYMMDD")))</f>
        <v>5.7263000000000002</v>
      </c>
      <c r="AS109" s="2" cm="1">
        <f t="array" ref="AS109">IF(hp!AS109=0,0,_xll.BDP(AS$4,"YAS_BOND_YLD", "YAS_BOND_PX",hp!AS109, "SETTLE_DT", TEXT(ya!$C109,"YYYYMMDD")))</f>
        <v>0</v>
      </c>
      <c r="AT109" s="2" cm="1">
        <f t="array" ref="AT109">IF(hp!AT109=0,0,_xll.BDP(AT$4,"YAS_BOND_YLD", "YAS_BOND_PX",hp!AT109, "SETTLE_DT", TEXT(ya!$C109,"YYYYMMDD")))</f>
        <v>0</v>
      </c>
      <c r="AU109" s="2" cm="1">
        <f t="array" ref="AU109">IF(hp!AU109=0,0,_xll.BDP(AU$4,"YAS_BOND_YLD", "YAS_BOND_PX",hp!AU109, "SETTLE_DT", TEXT(ya!$C109,"YYYYMMDD")))</f>
        <v>0</v>
      </c>
      <c r="AV109" s="2" cm="1">
        <f t="array" ref="AV109">IF(hp!AV109=0,0,_xll.BDP(AV$4,"YAS_BOND_YLD", "YAS_BOND_PX",hp!AV109, "SETTLE_DT", TEXT(ya!$C109,"YYYYMMDD")))</f>
        <v>0</v>
      </c>
      <c r="AW109" s="2" cm="1">
        <f t="array" ref="AW109">IF(hp!AW109=0,0,_xll.BDP(AW$4,"YAS_BOND_YLD", "YAS_BOND_PX",hp!AW109, "SETTLE_DT", TEXT(ya!$C109,"YYYYMMDD")))</f>
        <v>0</v>
      </c>
      <c r="AX109" s="2" cm="1">
        <f t="array" ref="AX109">IF(hp!AX109=0,0,_xll.BDP(AX$4,"YAS_BOND_YLD", "YAS_BOND_PX",hp!AX109, "SETTLE_DT", TEXT(ya!$C109,"YYYYMMDD")))</f>
        <v>0</v>
      </c>
      <c r="AY109" s="2" cm="1">
        <f t="array" ref="AY109">IF(hp!AY109=0,0,_xll.BDP(AY$4,"YAS_BOND_YLD", "YAS_BOND_PX",hp!AY109, "SETTLE_DT", TEXT(ya!$C109,"YYYYMMDD")))</f>
        <v>0</v>
      </c>
      <c r="AZ109" s="2" cm="1">
        <f t="array" ref="AZ109">IF(hp!AZ109=0,0,_xll.BDP(AZ$4,"YAS_BOND_YLD", "YAS_BOND_PX",hp!AZ109, "SETTLE_DT", TEXT(ya!$C109,"YYYYMMDD")))</f>
        <v>0</v>
      </c>
    </row>
    <row r="110" spans="1:52" x14ac:dyDescent="0.25">
      <c r="A110" s="1"/>
      <c r="B110" s="2"/>
      <c r="C110" s="1">
        <v>45260</v>
      </c>
      <c r="D110" s="2" cm="1">
        <f t="array" ref="D110">IF(hp!D110=0,0,_xll.BDP(D$4,"YAS_BOND_YLD", "YAS_BOND_PX",hp!D110, "SETTLE_DT", TEXT(ya!$C110,"YYYYMMDD")))</f>
        <v>0</v>
      </c>
      <c r="E110" s="2" cm="1">
        <f t="array" ref="E110">IF(hp!E110=0,0,_xll.BDP(E$4,"YAS_BOND_YLD", "YAS_BOND_PX",hp!E110, "SETTLE_DT", TEXT(ya!$C110,"YYYYMMDD")))</f>
        <v>10.745900000000001</v>
      </c>
      <c r="F110" s="2" cm="1">
        <f t="array" ref="F110">IF(hp!F110=0,0,_xll.BDP(F$4,"YAS_BOND_YLD", "YAS_BOND_PX",hp!F110, "SETTLE_DT", TEXT(ya!$C110,"YYYYMMDD")))</f>
        <v>10.123699999999999</v>
      </c>
      <c r="G110" s="2" cm="1">
        <f t="array" ref="G110">IF(hp!G110=0,0,_xll.BDP(G$4,"YAS_BOND_YLD", "YAS_BOND_PX",hp!G110, "SETTLE_DT", TEXT(ya!$C110,"YYYYMMDD")))</f>
        <v>5.6172000000000004</v>
      </c>
      <c r="H110" s="2" cm="1">
        <f t="array" ref="H110">IF(hp!H110=0,0,_xll.BDP(H$4,"YAS_BOND_YLD", "YAS_BOND_PX",hp!H110, "SETTLE_DT", TEXT(ya!$C110,"YYYYMMDD")))</f>
        <v>10.54</v>
      </c>
      <c r="I110" s="2" cm="1">
        <f t="array" ref="I110">IF(hp!I110=0,0,_xll.BDP(I$4,"YAS_BOND_YLD", "YAS_BOND_PX",hp!I110, "SETTLE_DT", TEXT(ya!$C110,"YYYYMMDD")))</f>
        <v>10.8436</v>
      </c>
      <c r="J110" s="2" cm="1">
        <f t="array" ref="J110">IF(hp!J110=0,0,_xll.BDP(J$4,"YAS_BOND_YLD", "YAS_BOND_PX",hp!J110, "SETTLE_DT", TEXT(ya!$C110,"YYYYMMDD")))</f>
        <v>5.7550999999999997</v>
      </c>
      <c r="K110" s="2" cm="1">
        <f t="array" ref="K110">IF(hp!K110=0,0,_xll.BDP(K$4,"YAS_BOND_YLD", "YAS_BOND_PX",hp!K110, "SETTLE_DT", TEXT(ya!$C110,"YYYYMMDD")))</f>
        <v>10.0067</v>
      </c>
      <c r="L110" s="2" cm="1">
        <f t="array" ref="L110">IF(hp!L110=0,0,_xll.BDP(L$4,"YAS_BOND_YLD", "YAS_BOND_PX",hp!L110, "SETTLE_DT", TEXT(ya!$C110,"YYYYMMDD")))</f>
        <v>5.4870999999999999</v>
      </c>
      <c r="M110" s="2" cm="1">
        <f t="array" ref="M110">IF(hp!M110=0,0,_xll.BDP(M$4,"YAS_BOND_YLD", "YAS_BOND_PX",hp!M110, "SETTLE_DT", TEXT(ya!$C110,"YYYYMMDD")))</f>
        <v>5.5062999999999995</v>
      </c>
      <c r="N110" s="2" cm="1">
        <f t="array" ref="N110">IF(hp!N110=0,0,_xll.BDP(N$4,"YAS_BOND_YLD", "YAS_BOND_PX",hp!N110, "SETTLE_DT", TEXT(ya!$C110,"YYYYMMDD")))</f>
        <v>5.4893000000000001</v>
      </c>
      <c r="O110" s="2" cm="1">
        <f t="array" ref="O110">IF(hp!O110=0,0,_xll.BDP(O$4,"YAS_BOND_YLD", "YAS_BOND_PX",hp!O110, "SETTLE_DT", TEXT(ya!$C110,"YYYYMMDD")))</f>
        <v>5.7501999999999995</v>
      </c>
      <c r="P110" s="2" cm="1">
        <f t="array" ref="P110">IF(hp!P110=0,0,_xll.BDP(P$4,"YAS_BOND_YLD", "YAS_BOND_PX",hp!P110, "SETTLE_DT", TEXT(ya!$C110,"YYYYMMDD")))</f>
        <v>5.5644999999999998</v>
      </c>
      <c r="Q110" s="2" cm="1">
        <f t="array" ref="Q110">IF(hp!Q110=0,0,_xll.BDP(Q$4,"YAS_BOND_YLD", "YAS_BOND_PX",hp!Q110, "SETTLE_DT", TEXT(ya!$C110,"YYYYMMDD")))</f>
        <v>5.7141999999999999</v>
      </c>
      <c r="R110" s="2" cm="1">
        <f t="array" ref="R110">IF(hp!R110=0,0,_xll.BDP(R$4,"YAS_BOND_YLD", "YAS_BOND_PX",hp!R110, "SETTLE_DT", TEXT(ya!$C110,"YYYYMMDD")))</f>
        <v>10.0822</v>
      </c>
      <c r="S110" s="2" cm="1">
        <f t="array" ref="S110">IF(hp!S110=0,0,_xll.BDP(S$4,"YAS_BOND_YLD", "YAS_BOND_PX",hp!S110, "SETTLE_DT", TEXT(ya!$C110,"YYYYMMDD")))</f>
        <v>0</v>
      </c>
      <c r="T110" s="2" cm="1">
        <f t="array" ref="T110">IF(hp!T110=0,0,_xll.BDP(T$4,"YAS_BOND_YLD", "YAS_BOND_PX",hp!T110, "SETTLE_DT", TEXT(ya!$C110,"YYYYMMDD")))</f>
        <v>5.5379000000000005</v>
      </c>
      <c r="U110" s="2" cm="1">
        <f t="array" ref="U110">IF(hp!U110=0,0,_xll.BDP(U$4,"YAS_BOND_YLD", "YAS_BOND_PX",hp!U110, "SETTLE_DT", TEXT(ya!$C110,"YYYYMMDD")))</f>
        <v>5.6967999999999996</v>
      </c>
      <c r="V110" s="2" cm="1">
        <f t="array" ref="V110">IF(hp!V110=0,0,_xll.BDP(V$4,"YAS_BOND_YLD", "YAS_BOND_PX",hp!V110, "SETTLE_DT", TEXT(ya!$C110,"YYYYMMDD")))</f>
        <v>10.0755</v>
      </c>
      <c r="W110" s="2" cm="1">
        <f t="array" ref="W110">IF(hp!W110=0,0,_xll.BDP(W$4,"YAS_BOND_YLD", "YAS_BOND_PX",hp!W110, "SETTLE_DT", TEXT(ya!$C110,"YYYYMMDD")))</f>
        <v>-3.3E-3</v>
      </c>
      <c r="X110" s="2" cm="1">
        <f t="array" ref="X110">IF(hp!X110=0,0,_xll.BDP(X$4,"YAS_BOND_YLD", "YAS_BOND_PX",hp!X110, "SETTLE_DT", TEXT(ya!$C110,"YYYYMMDD")))</f>
        <v>0</v>
      </c>
      <c r="Y110" s="2" cm="1">
        <f t="array" ref="Y110">IF(hp!Y110=0,0,_xll.BDP(Y$4,"YAS_BOND_YLD", "YAS_BOND_PX",hp!Y110, "SETTLE_DT", TEXT(ya!$C110,"YYYYMMDD")))</f>
        <v>0</v>
      </c>
      <c r="Z110" s="2" cm="1">
        <f t="array" ref="Z110">IF(hp!Z110=0,0,_xll.BDP(Z$4,"YAS_BOND_YLD", "YAS_BOND_PX",hp!Z110, "SETTLE_DT", TEXT(ya!$C110,"YYYYMMDD")))</f>
        <v>2.4199999999999999E-2</v>
      </c>
      <c r="AA110" s="2" cm="1">
        <f t="array" ref="AA110">IF(hp!AA110=0,0,_xll.BDP(AA$4,"YAS_BOND_YLD", "YAS_BOND_PX",hp!AA110, "SETTLE_DT", TEXT(ya!$C110,"YYYYMMDD")))</f>
        <v>0</v>
      </c>
      <c r="AB110" s="2" cm="1">
        <f t="array" ref="AB110">IF(hp!AB110=0,0,_xll.BDP(AB$4,"YAS_BOND_YLD", "YAS_BOND_PX",hp!AB110, "SETTLE_DT", TEXT(ya!$C110,"YYYYMMDD")))</f>
        <v>0.1095</v>
      </c>
      <c r="AC110" s="2" cm="1">
        <f t="array" ref="AC110">IF(hp!AC110=0,0,_xll.BDP(AC$4,"YAS_BOND_YLD", "YAS_BOND_PX",hp!AC110, "SETTLE_DT", TEXT(ya!$C110,"YYYYMMDD")))</f>
        <v>10.3078</v>
      </c>
      <c r="AD110" s="2" cm="1">
        <f t="array" ref="AD110">IF(hp!AD110=0,0,_xll.BDP(AD$4,"YAS_BOND_YLD", "YAS_BOND_PX",hp!AD110, "SETTLE_DT", TEXT(ya!$C110,"YYYYMMDD")))</f>
        <v>5.7500999999999998</v>
      </c>
      <c r="AE110" s="2" cm="1">
        <f t="array" ref="AE110">IF(hp!AE110=0,0,_xll.BDP(AE$4,"YAS_BOND_YLD", "YAS_BOND_PX",hp!AE110, "SETTLE_DT", TEXT(ya!$C110,"YYYYMMDD")))</f>
        <v>0</v>
      </c>
      <c r="AF110" s="2" cm="1">
        <f t="array" ref="AF110">IF(hp!AF110=0,0,_xll.BDP(AF$4,"YAS_BOND_YLD", "YAS_BOND_PX",hp!AF110, "SETTLE_DT", TEXT(ya!$C110,"YYYYMMDD")))</f>
        <v>0.14799999999999999</v>
      </c>
      <c r="AG110" s="2" cm="1">
        <f t="array" ref="AG110">IF(hp!AG110=0,0,_xll.BDP(AG$4,"YAS_BOND_YLD", "YAS_BOND_PX",hp!AG110, "SETTLE_DT", TEXT(ya!$C110,"YYYYMMDD")))</f>
        <v>0.12820000000000001</v>
      </c>
      <c r="AH110" s="2" cm="1">
        <f t="array" ref="AH110">IF(hp!AH110=0,0,_xll.BDP(AH$4,"YAS_BOND_YLD", "YAS_BOND_PX",hp!AH110, "SETTLE_DT", TEXT(ya!$C110,"YYYYMMDD")))</f>
        <v>0</v>
      </c>
      <c r="AI110" s="2" cm="1">
        <f t="array" ref="AI110">IF(hp!AI110=0,0,_xll.BDP(AI$4,"YAS_BOND_YLD", "YAS_BOND_PX",hp!AI110, "SETTLE_DT", TEXT(ya!$C110,"YYYYMMDD")))</f>
        <v>5.6204999999999998</v>
      </c>
      <c r="AJ110" s="2" cm="1">
        <f t="array" ref="AJ110">IF(hp!AJ110=0,0,_xll.BDP(AJ$4,"YAS_BOND_YLD", "YAS_BOND_PX",hp!AJ110, "SETTLE_DT", TEXT(ya!$C110,"YYYYMMDD")))</f>
        <v>0.15870000000000001</v>
      </c>
      <c r="AK110" s="2" cm="1">
        <f t="array" ref="AK110">IF(hp!AK110=0,0,_xll.BDP(AK$4,"YAS_BOND_YLD", "YAS_BOND_PX",hp!AK110, "SETTLE_DT", TEXT(ya!$C110,"YYYYMMDD")))</f>
        <v>0.13450000000000001</v>
      </c>
      <c r="AL110" s="2" cm="1">
        <f t="array" ref="AL110">IF(hp!AL110=0,0,_xll.BDP(AL$4,"YAS_BOND_YLD", "YAS_BOND_PX",hp!AL110, "SETTLE_DT", TEXT(ya!$C110,"YYYYMMDD")))</f>
        <v>0</v>
      </c>
      <c r="AM110" s="2" cm="1">
        <f t="array" ref="AM110">IF(hp!AM110=0,0,_xll.BDP(AM$4,"YAS_BOND_YLD", "YAS_BOND_PX",hp!AM110, "SETTLE_DT", TEXT(ya!$C110,"YYYYMMDD")))</f>
        <v>0</v>
      </c>
      <c r="AN110" s="2" cm="1">
        <f t="array" ref="AN110">IF(hp!AN110=0,0,_xll.BDP(AN$4,"YAS_BOND_YLD", "YAS_BOND_PX",hp!AN110, "SETTLE_DT", TEXT(ya!$C110,"YYYYMMDD")))</f>
        <v>0.16420000000000001</v>
      </c>
      <c r="AO110" s="2" cm="1">
        <f t="array" ref="AO110">IF(hp!AO110=0,0,_xll.BDP(AO$4,"YAS_BOND_YLD", "YAS_BOND_PX",hp!AO110, "SETTLE_DT", TEXT(ya!$C110,"YYYYMMDD")))</f>
        <v>0</v>
      </c>
      <c r="AP110" s="2" cm="1">
        <f t="array" ref="AP110">IF(hp!AP110=0,0,_xll.BDP(AP$4,"YAS_BOND_YLD", "YAS_BOND_PX",hp!AP110, "SETTLE_DT", TEXT(ya!$C110,"YYYYMMDD")))</f>
        <v>0</v>
      </c>
      <c r="AQ110" s="2" cm="1">
        <f t="array" ref="AQ110">IF(hp!AQ110=0,0,_xll.BDP(AQ$4,"YAS_BOND_YLD", "YAS_BOND_PX",hp!AQ110, "SETTLE_DT", TEXT(ya!$C110,"YYYYMMDD")))</f>
        <v>6.7699999999999996E-2</v>
      </c>
      <c r="AR110" s="2" cm="1">
        <f t="array" ref="AR110">IF(hp!AR110=0,0,_xll.BDP(AR$4,"YAS_BOND_YLD", "YAS_BOND_PX",hp!AR110, "SETTLE_DT", TEXT(ya!$C110,"YYYYMMDD")))</f>
        <v>5.6844999999999999</v>
      </c>
      <c r="AS110" s="2" cm="1">
        <f t="array" ref="AS110">IF(hp!AS110=0,0,_xll.BDP(AS$4,"YAS_BOND_YLD", "YAS_BOND_PX",hp!AS110, "SETTLE_DT", TEXT(ya!$C110,"YYYYMMDD")))</f>
        <v>0</v>
      </c>
      <c r="AT110" s="2" cm="1">
        <f t="array" ref="AT110">IF(hp!AT110=0,0,_xll.BDP(AT$4,"YAS_BOND_YLD", "YAS_BOND_PX",hp!AT110, "SETTLE_DT", TEXT(ya!$C110,"YYYYMMDD")))</f>
        <v>0</v>
      </c>
      <c r="AU110" s="2" cm="1">
        <f t="array" ref="AU110">IF(hp!AU110=0,0,_xll.BDP(AU$4,"YAS_BOND_YLD", "YAS_BOND_PX",hp!AU110, "SETTLE_DT", TEXT(ya!$C110,"YYYYMMDD")))</f>
        <v>0</v>
      </c>
      <c r="AV110" s="2" cm="1">
        <f t="array" ref="AV110">IF(hp!AV110=0,0,_xll.BDP(AV$4,"YAS_BOND_YLD", "YAS_BOND_PX",hp!AV110, "SETTLE_DT", TEXT(ya!$C110,"YYYYMMDD")))</f>
        <v>0</v>
      </c>
      <c r="AW110" s="2" cm="1">
        <f t="array" ref="AW110">IF(hp!AW110=0,0,_xll.BDP(AW$4,"YAS_BOND_YLD", "YAS_BOND_PX",hp!AW110, "SETTLE_DT", TEXT(ya!$C110,"YYYYMMDD")))</f>
        <v>0</v>
      </c>
      <c r="AX110" s="2" cm="1">
        <f t="array" ref="AX110">IF(hp!AX110=0,0,_xll.BDP(AX$4,"YAS_BOND_YLD", "YAS_BOND_PX",hp!AX110, "SETTLE_DT", TEXT(ya!$C110,"YYYYMMDD")))</f>
        <v>0</v>
      </c>
      <c r="AY110" s="2" cm="1">
        <f t="array" ref="AY110">IF(hp!AY110=0,0,_xll.BDP(AY$4,"YAS_BOND_YLD", "YAS_BOND_PX",hp!AY110, "SETTLE_DT", TEXT(ya!$C110,"YYYYMMDD")))</f>
        <v>0</v>
      </c>
      <c r="AZ110" s="2" cm="1">
        <f t="array" ref="AZ110">IF(hp!AZ110=0,0,_xll.BDP(AZ$4,"YAS_BOND_YLD", "YAS_BOND_PX",hp!AZ110, "SETTLE_DT", TEXT(ya!$C110,"YYYYMMDD")))</f>
        <v>0</v>
      </c>
    </row>
    <row r="111" spans="1:52" x14ac:dyDescent="0.25">
      <c r="A111" s="1"/>
      <c r="B111" s="2"/>
      <c r="C111" s="1">
        <v>45289</v>
      </c>
      <c r="D111" s="2" cm="1">
        <f t="array" ref="D111">IF(hp!D111=0,0,_xll.BDP(D$4,"YAS_BOND_YLD", "YAS_BOND_PX",hp!D111, "SETTLE_DT", TEXT(ya!$C111,"YYYYMMDD")))</f>
        <v>0</v>
      </c>
      <c r="E111" s="2" cm="1">
        <f t="array" ref="E111">IF(hp!E111=0,0,_xll.BDP(E$4,"YAS_BOND_YLD", "YAS_BOND_PX",hp!E111, "SETTLE_DT", TEXT(ya!$C111,"YYYYMMDD")))</f>
        <v>11.3764</v>
      </c>
      <c r="F111" s="2" cm="1">
        <f t="array" ref="F111">IF(hp!F111=0,0,_xll.BDP(F$4,"YAS_BOND_YLD", "YAS_BOND_PX",hp!F111, "SETTLE_DT", TEXT(ya!$C111,"YYYYMMDD")))</f>
        <v>11.879099999999999</v>
      </c>
      <c r="G111" s="2" cm="1">
        <f t="array" ref="G111">IF(hp!G111=0,0,_xll.BDP(G$4,"YAS_BOND_YLD", "YAS_BOND_PX",hp!G111, "SETTLE_DT", TEXT(ya!$C111,"YYYYMMDD")))</f>
        <v>5.3364000000000003</v>
      </c>
      <c r="H111" s="2" cm="1">
        <f t="array" ref="H111">IF(hp!H111=0,0,_xll.BDP(H$4,"YAS_BOND_YLD", "YAS_BOND_PX",hp!H111, "SETTLE_DT", TEXT(ya!$C111,"YYYYMMDD")))</f>
        <v>11.482900000000001</v>
      </c>
      <c r="I111" s="2" cm="1">
        <f t="array" ref="I111">IF(hp!I111=0,0,_xll.BDP(I$4,"YAS_BOND_YLD", "YAS_BOND_PX",hp!I111, "SETTLE_DT", TEXT(ya!$C111,"YYYYMMDD")))</f>
        <v>11.275499999999999</v>
      </c>
      <c r="J111" s="2" cm="1">
        <f t="array" ref="J111">IF(hp!J111=0,0,_xll.BDP(J$4,"YAS_BOND_YLD", "YAS_BOND_PX",hp!J111, "SETTLE_DT", TEXT(ya!$C111,"YYYYMMDD")))</f>
        <v>5.4710999999999999</v>
      </c>
      <c r="K111" s="2" cm="1">
        <f t="array" ref="K111">IF(hp!K111=0,0,_xll.BDP(K$4,"YAS_BOND_YLD", "YAS_BOND_PX",hp!K111, "SETTLE_DT", TEXT(ya!$C111,"YYYYMMDD")))</f>
        <v>9.64</v>
      </c>
      <c r="L111" s="2" cm="1">
        <f t="array" ref="L111">IF(hp!L111=0,0,_xll.BDP(L$4,"YAS_BOND_YLD", "YAS_BOND_PX",hp!L111, "SETTLE_DT", TEXT(ya!$C111,"YYYYMMDD")))</f>
        <v>5.2118000000000002</v>
      </c>
      <c r="M111" s="2" cm="1">
        <f t="array" ref="M111">IF(hp!M111=0,0,_xll.BDP(M$4,"YAS_BOND_YLD", "YAS_BOND_PX",hp!M111, "SETTLE_DT", TEXT(ya!$C111,"YYYYMMDD")))</f>
        <v>5.2088999999999999</v>
      </c>
      <c r="N111" s="2" cm="1">
        <f t="array" ref="N111">IF(hp!N111=0,0,_xll.BDP(N$4,"YAS_BOND_YLD", "YAS_BOND_PX",hp!N111, "SETTLE_DT", TEXT(ya!$C111,"YYYYMMDD")))</f>
        <v>5.1787999999999998</v>
      </c>
      <c r="O111" s="2" cm="1">
        <f t="array" ref="O111">IF(hp!O111=0,0,_xll.BDP(O$4,"YAS_BOND_YLD", "YAS_BOND_PX",hp!O111, "SETTLE_DT", TEXT(ya!$C111,"YYYYMMDD")))</f>
        <v>5.4877000000000002</v>
      </c>
      <c r="P111" s="2" cm="1">
        <f t="array" ref="P111">IF(hp!P111=0,0,_xll.BDP(P$4,"YAS_BOND_YLD", "YAS_BOND_PX",hp!P111, "SETTLE_DT", TEXT(ya!$C111,"YYYYMMDD")))</f>
        <v>5.3152999999999997</v>
      </c>
      <c r="Q111" s="2" cm="1">
        <f t="array" ref="Q111">IF(hp!Q111=0,0,_xll.BDP(Q$4,"YAS_BOND_YLD", "YAS_BOND_PX",hp!Q111, "SETTLE_DT", TEXT(ya!$C111,"YYYYMMDD")))</f>
        <v>5.4745999999999997</v>
      </c>
      <c r="R111" s="2" cm="1">
        <f t="array" ref="R111">IF(hp!R111=0,0,_xll.BDP(R$4,"YAS_BOND_YLD", "YAS_BOND_PX",hp!R111, "SETTLE_DT", TEXT(ya!$C111,"YYYYMMDD")))</f>
        <v>9.7243999999999993</v>
      </c>
      <c r="S111" s="2" cm="1">
        <f t="array" ref="S111">IF(hp!S111=0,0,_xll.BDP(S$4,"YAS_BOND_YLD", "YAS_BOND_PX",hp!S111, "SETTLE_DT", TEXT(ya!$C111,"YYYYMMDD")))</f>
        <v>0</v>
      </c>
      <c r="T111" s="2" cm="1">
        <f t="array" ref="T111">IF(hp!T111=0,0,_xll.BDP(T$4,"YAS_BOND_YLD", "YAS_BOND_PX",hp!T111, "SETTLE_DT", TEXT(ya!$C111,"YYYYMMDD")))</f>
        <v>5.2481999999999998</v>
      </c>
      <c r="U111" s="2" cm="1">
        <f t="array" ref="U111">IF(hp!U111=0,0,_xll.BDP(U$4,"YAS_BOND_YLD", "YAS_BOND_PX",hp!U111, "SETTLE_DT", TEXT(ya!$C111,"YYYYMMDD")))</f>
        <v>5.3791000000000002</v>
      </c>
      <c r="V111" s="2" cm="1">
        <f t="array" ref="V111">IF(hp!V111=0,0,_xll.BDP(V$4,"YAS_BOND_YLD", "YAS_BOND_PX",hp!V111, "SETTLE_DT", TEXT(ya!$C111,"YYYYMMDD")))</f>
        <v>9.6884999999999994</v>
      </c>
      <c r="W111" s="2" cm="1">
        <f t="array" ref="W111">IF(hp!W111=0,0,_xll.BDP(W$4,"YAS_BOND_YLD", "YAS_BOND_PX",hp!W111, "SETTLE_DT", TEXT(ya!$C111,"YYYYMMDD")))</f>
        <v>-5.5999999999999999E-3</v>
      </c>
      <c r="X111" s="2" cm="1">
        <f t="array" ref="X111">IF(hp!X111=0,0,_xll.BDP(X$4,"YAS_BOND_YLD", "YAS_BOND_PX",hp!X111, "SETTLE_DT", TEXT(ya!$C111,"YYYYMMDD")))</f>
        <v>0</v>
      </c>
      <c r="Y111" s="2" cm="1">
        <f t="array" ref="Y111">IF(hp!Y111=0,0,_xll.BDP(Y$4,"YAS_BOND_YLD", "YAS_BOND_PX",hp!Y111, "SETTLE_DT", TEXT(ya!$C111,"YYYYMMDD")))</f>
        <v>0</v>
      </c>
      <c r="Z111" s="2" cm="1">
        <f t="array" ref="Z111">IF(hp!Z111=0,0,_xll.BDP(Z$4,"YAS_BOND_YLD", "YAS_BOND_PX",hp!Z111, "SETTLE_DT", TEXT(ya!$C111,"YYYYMMDD")))</f>
        <v>2.3800000000000002E-2</v>
      </c>
      <c r="AA111" s="2" cm="1">
        <f t="array" ref="AA111">IF(hp!AA111=0,0,_xll.BDP(AA$4,"YAS_BOND_YLD", "YAS_BOND_PX",hp!AA111, "SETTLE_DT", TEXT(ya!$C111,"YYYYMMDD")))</f>
        <v>0</v>
      </c>
      <c r="AB111" s="2" cm="1">
        <f t="array" ref="AB111">IF(hp!AB111=0,0,_xll.BDP(AB$4,"YAS_BOND_YLD", "YAS_BOND_PX",hp!AB111, "SETTLE_DT", TEXT(ya!$C111,"YYYYMMDD")))</f>
        <v>0.1084</v>
      </c>
      <c r="AC111" s="2" cm="1">
        <f t="array" ref="AC111">IF(hp!AC111=0,0,_xll.BDP(AC$4,"YAS_BOND_YLD", "YAS_BOND_PX",hp!AC111, "SETTLE_DT", TEXT(ya!$C111,"YYYYMMDD")))</f>
        <v>9.9215999999999998</v>
      </c>
      <c r="AD111" s="2" cm="1">
        <f t="array" ref="AD111">IF(hp!AD111=0,0,_xll.BDP(AD$4,"YAS_BOND_YLD", "YAS_BOND_PX",hp!AD111, "SETTLE_DT", TEXT(ya!$C111,"YYYYMMDD")))</f>
        <v>5.4711999999999996</v>
      </c>
      <c r="AE111" s="2" cm="1">
        <f t="array" ref="AE111">IF(hp!AE111=0,0,_xll.BDP(AE$4,"YAS_BOND_YLD", "YAS_BOND_PX",hp!AE111, "SETTLE_DT", TEXT(ya!$C111,"YYYYMMDD")))</f>
        <v>0</v>
      </c>
      <c r="AF111" s="2" cm="1">
        <f t="array" ref="AF111">IF(hp!AF111=0,0,_xll.BDP(AF$4,"YAS_BOND_YLD", "YAS_BOND_PX",hp!AF111, "SETTLE_DT", TEXT(ya!$C111,"YYYYMMDD")))</f>
        <v>0.14019999999999999</v>
      </c>
      <c r="AG111" s="2" cm="1">
        <f t="array" ref="AG111">IF(hp!AG111=0,0,_xll.BDP(AG$4,"YAS_BOND_YLD", "YAS_BOND_PX",hp!AG111, "SETTLE_DT", TEXT(ya!$C111,"YYYYMMDD")))</f>
        <v>0.12039999999999999</v>
      </c>
      <c r="AH111" s="2" cm="1">
        <f t="array" ref="AH111">IF(hp!AH111=0,0,_xll.BDP(AH$4,"YAS_BOND_YLD", "YAS_BOND_PX",hp!AH111, "SETTLE_DT", TEXT(ya!$C111,"YYYYMMDD")))</f>
        <v>0</v>
      </c>
      <c r="AI111" s="2" cm="1">
        <f t="array" ref="AI111">IF(hp!AI111=0,0,_xll.BDP(AI$4,"YAS_BOND_YLD", "YAS_BOND_PX",hp!AI111, "SETTLE_DT", TEXT(ya!$C111,"YYYYMMDD")))</f>
        <v>5.3220000000000001</v>
      </c>
      <c r="AJ111" s="2" cm="1">
        <f t="array" ref="AJ111">IF(hp!AJ111=0,0,_xll.BDP(AJ$4,"YAS_BOND_YLD", "YAS_BOND_PX",hp!AJ111, "SETTLE_DT", TEXT(ya!$C111,"YYYYMMDD")))</f>
        <v>0.15329999999999999</v>
      </c>
      <c r="AK111" s="2" cm="1">
        <f t="array" ref="AK111">IF(hp!AK111=0,0,_xll.BDP(AK$4,"YAS_BOND_YLD", "YAS_BOND_PX",hp!AK111, "SETTLE_DT", TEXT(ya!$C111,"YYYYMMDD")))</f>
        <v>0.12870000000000001</v>
      </c>
      <c r="AL111" s="2" cm="1">
        <f t="array" ref="AL111">IF(hp!AL111=0,0,_xll.BDP(AL$4,"YAS_BOND_YLD", "YAS_BOND_PX",hp!AL111, "SETTLE_DT", TEXT(ya!$C111,"YYYYMMDD")))</f>
        <v>0</v>
      </c>
      <c r="AM111" s="2" cm="1">
        <f t="array" ref="AM111">IF(hp!AM111=0,0,_xll.BDP(AM$4,"YAS_BOND_YLD", "YAS_BOND_PX",hp!AM111, "SETTLE_DT", TEXT(ya!$C111,"YYYYMMDD")))</f>
        <v>0</v>
      </c>
      <c r="AN111" s="2" cm="1">
        <f t="array" ref="AN111">IF(hp!AN111=0,0,_xll.BDP(AN$4,"YAS_BOND_YLD", "YAS_BOND_PX",hp!AN111, "SETTLE_DT", TEXT(ya!$C111,"YYYYMMDD")))</f>
        <v>0.16059999999999999</v>
      </c>
      <c r="AO111" s="2" cm="1">
        <f t="array" ref="AO111">IF(hp!AO111=0,0,_xll.BDP(AO$4,"YAS_BOND_YLD", "YAS_BOND_PX",hp!AO111, "SETTLE_DT", TEXT(ya!$C111,"YYYYMMDD")))</f>
        <v>0</v>
      </c>
      <c r="AP111" s="2" cm="1">
        <f t="array" ref="AP111">IF(hp!AP111=0,0,_xll.BDP(AP$4,"YAS_BOND_YLD", "YAS_BOND_PX",hp!AP111, "SETTLE_DT", TEXT(ya!$C111,"YYYYMMDD")))</f>
        <v>0</v>
      </c>
      <c r="AQ111" s="2" cm="1">
        <f t="array" ref="AQ111">IF(hp!AQ111=0,0,_xll.BDP(AQ$4,"YAS_BOND_YLD", "YAS_BOND_PX",hp!AQ111, "SETTLE_DT", TEXT(ya!$C111,"YYYYMMDD")))</f>
        <v>5.8500000000000003E-2</v>
      </c>
      <c r="AR111" s="2" cm="1">
        <f t="array" ref="AR111">IF(hp!AR111=0,0,_xll.BDP(AR$4,"YAS_BOND_YLD", "YAS_BOND_PX",hp!AR111, "SETTLE_DT", TEXT(ya!$C111,"YYYYMMDD")))</f>
        <v>6.4120999999999997</v>
      </c>
      <c r="AS111" s="2" cm="1">
        <f t="array" ref="AS111">IF(hp!AS111=0,0,_xll.BDP(AS$4,"YAS_BOND_YLD", "YAS_BOND_PX",hp!AS111, "SETTLE_DT", TEXT(ya!$C111,"YYYYMMDD")))</f>
        <v>0</v>
      </c>
      <c r="AT111" s="2" cm="1">
        <f t="array" ref="AT111">IF(hp!AT111=0,0,_xll.BDP(AT$4,"YAS_BOND_YLD", "YAS_BOND_PX",hp!AT111, "SETTLE_DT", TEXT(ya!$C111,"YYYYMMDD")))</f>
        <v>0</v>
      </c>
      <c r="AU111" s="2" cm="1">
        <f t="array" ref="AU111">IF(hp!AU111=0,0,_xll.BDP(AU$4,"YAS_BOND_YLD", "YAS_BOND_PX",hp!AU111, "SETTLE_DT", TEXT(ya!$C111,"YYYYMMDD")))</f>
        <v>0</v>
      </c>
      <c r="AV111" s="2" cm="1">
        <f t="array" ref="AV111">IF(hp!AV111=0,0,_xll.BDP(AV$4,"YAS_BOND_YLD", "YAS_BOND_PX",hp!AV111, "SETTLE_DT", TEXT(ya!$C111,"YYYYMMDD")))</f>
        <v>0</v>
      </c>
      <c r="AW111" s="2" cm="1">
        <f t="array" ref="AW111">IF(hp!AW111=0,0,_xll.BDP(AW$4,"YAS_BOND_YLD", "YAS_BOND_PX",hp!AW111, "SETTLE_DT", TEXT(ya!$C111,"YYYYMMDD")))</f>
        <v>0</v>
      </c>
      <c r="AX111" s="2" cm="1">
        <f t="array" ref="AX111">IF(hp!AX111=0,0,_xll.BDP(AX$4,"YAS_BOND_YLD", "YAS_BOND_PX",hp!AX111, "SETTLE_DT", TEXT(ya!$C111,"YYYYMMDD")))</f>
        <v>0</v>
      </c>
      <c r="AY111" s="2" cm="1">
        <f t="array" ref="AY111">IF(hp!AY111=0,0,_xll.BDP(AY$4,"YAS_BOND_YLD", "YAS_BOND_PX",hp!AY111, "SETTLE_DT", TEXT(ya!$C111,"YYYYMMDD")))</f>
        <v>0</v>
      </c>
      <c r="AZ111" s="2" cm="1">
        <f t="array" ref="AZ111">IF(hp!AZ111=0,0,_xll.BDP(AZ$4,"YAS_BOND_YLD", "YAS_BOND_PX",hp!AZ111, "SETTLE_DT", TEXT(ya!$C111,"YYYYMMDD")))</f>
        <v>0</v>
      </c>
    </row>
    <row r="112" spans="1:52" x14ac:dyDescent="0.25">
      <c r="A112" s="1"/>
      <c r="B112" s="2"/>
      <c r="C112" s="1">
        <v>45322</v>
      </c>
      <c r="D112" s="2" cm="1">
        <f t="array" ref="D112">IF(hp!D112=0,0,_xll.BDP(D$4,"YAS_BOND_YLD", "YAS_BOND_PX",hp!D112, "SETTLE_DT", TEXT(ya!$C112,"YYYYMMDD")))</f>
        <v>10.6471</v>
      </c>
      <c r="E112" s="2" cm="1">
        <f t="array" ref="E112">IF(hp!E112=0,0,_xll.BDP(E$4,"YAS_BOND_YLD", "YAS_BOND_PX",hp!E112, "SETTLE_DT", TEXT(ya!$C112,"YYYYMMDD")))</f>
        <v>10.5296</v>
      </c>
      <c r="F112" s="2" cm="1">
        <f t="array" ref="F112">IF(hp!F112=0,0,_xll.BDP(F$4,"YAS_BOND_YLD", "YAS_BOND_PX",hp!F112, "SETTLE_DT", TEXT(ya!$C112,"YYYYMMDD")))</f>
        <v>9.8527000000000005</v>
      </c>
      <c r="G112" s="2" cm="1">
        <f t="array" ref="G112">IF(hp!G112=0,0,_xll.BDP(G$4,"YAS_BOND_YLD", "YAS_BOND_PX",hp!G112, "SETTLE_DT", TEXT(ya!$C112,"YYYYMMDD")))</f>
        <v>5.6131000000000002</v>
      </c>
      <c r="H112" s="2" cm="1">
        <f t="array" ref="H112">IF(hp!H112=0,0,_xll.BDP(H$4,"YAS_BOND_YLD", "YAS_BOND_PX",hp!H112, "SETTLE_DT", TEXT(ya!$C112,"YYYYMMDD")))</f>
        <v>10.2681</v>
      </c>
      <c r="I112" s="2" cm="1">
        <f t="array" ref="I112">IF(hp!I112=0,0,_xll.BDP(I$4,"YAS_BOND_YLD", "YAS_BOND_PX",hp!I112, "SETTLE_DT", TEXT(ya!$C112,"YYYYMMDD")))</f>
        <v>10.5769</v>
      </c>
      <c r="J112" s="2" cm="1">
        <f t="array" ref="J112">IF(hp!J112=0,0,_xll.BDP(J$4,"YAS_BOND_YLD", "YAS_BOND_PX",hp!J112, "SETTLE_DT", TEXT(ya!$C112,"YYYYMMDD")))</f>
        <v>5.6974</v>
      </c>
      <c r="K112" s="2" cm="1">
        <f t="array" ref="K112">IF(hp!K112=0,0,_xll.BDP(K$4,"YAS_BOND_YLD", "YAS_BOND_PX",hp!K112, "SETTLE_DT", TEXT(ya!$C112,"YYYYMMDD")))</f>
        <v>9.6763999999999992</v>
      </c>
      <c r="L112" s="2" cm="1">
        <f t="array" ref="L112">IF(hp!L112=0,0,_xll.BDP(L$4,"YAS_BOND_YLD", "YAS_BOND_PX",hp!L112, "SETTLE_DT", TEXT(ya!$C112,"YYYYMMDD")))</f>
        <v>5.4725000000000001</v>
      </c>
      <c r="M112" s="2" cm="1">
        <f t="array" ref="M112">IF(hp!M112=0,0,_xll.BDP(M$4,"YAS_BOND_YLD", "YAS_BOND_PX",hp!M112, "SETTLE_DT", TEXT(ya!$C112,"YYYYMMDD")))</f>
        <v>5.4485999999999999</v>
      </c>
      <c r="N112" s="2" cm="1">
        <f t="array" ref="N112">IF(hp!N112=0,0,_xll.BDP(N$4,"YAS_BOND_YLD", "YAS_BOND_PX",hp!N112, "SETTLE_DT", TEXT(ya!$C112,"YYYYMMDD")))</f>
        <v>5.3436000000000003</v>
      </c>
      <c r="O112" s="2" cm="1">
        <f t="array" ref="O112">IF(hp!O112=0,0,_xll.BDP(O$4,"YAS_BOND_YLD", "YAS_BOND_PX",hp!O112, "SETTLE_DT", TEXT(ya!$C112,"YYYYMMDD")))</f>
        <v>5.7168000000000001</v>
      </c>
      <c r="P112" s="2" cm="1">
        <f t="array" ref="P112">IF(hp!P112=0,0,_xll.BDP(P$4,"YAS_BOND_YLD", "YAS_BOND_PX",hp!P112, "SETTLE_DT", TEXT(ya!$C112,"YYYYMMDD")))</f>
        <v>5.5990000000000002</v>
      </c>
      <c r="Q112" s="2" cm="1">
        <f t="array" ref="Q112">IF(hp!Q112=0,0,_xll.BDP(Q$4,"YAS_BOND_YLD", "YAS_BOND_PX",hp!Q112, "SETTLE_DT", TEXT(ya!$C112,"YYYYMMDD")))</f>
        <v>5.6942000000000004</v>
      </c>
      <c r="R112" s="2" cm="1">
        <f t="array" ref="R112">IF(hp!R112=0,0,_xll.BDP(R$4,"YAS_BOND_YLD", "YAS_BOND_PX",hp!R112, "SETTLE_DT", TEXT(ya!$C112,"YYYYMMDD")))</f>
        <v>9.7843999999999998</v>
      </c>
      <c r="S112" s="2" cm="1">
        <f t="array" ref="S112">IF(hp!S112=0,0,_xll.BDP(S$4,"YAS_BOND_YLD", "YAS_BOND_PX",hp!S112, "SETTLE_DT", TEXT(ya!$C112,"YYYYMMDD")))</f>
        <v>9.7454000000000001</v>
      </c>
      <c r="T112" s="2" cm="1">
        <f t="array" ref="T112">IF(hp!T112=0,0,_xll.BDP(T$4,"YAS_BOND_YLD", "YAS_BOND_PX",hp!T112, "SETTLE_DT", TEXT(ya!$C112,"YYYYMMDD")))</f>
        <v>5.3960999999999997</v>
      </c>
      <c r="U112" s="2" cm="1">
        <f t="array" ref="U112">IF(hp!U112=0,0,_xll.BDP(U$4,"YAS_BOND_YLD", "YAS_BOND_PX",hp!U112, "SETTLE_DT", TEXT(ya!$C112,"YYYYMMDD")))</f>
        <v>5.6409000000000002</v>
      </c>
      <c r="V112" s="2" cm="1">
        <f t="array" ref="V112">IF(hp!V112=0,0,_xll.BDP(V$4,"YAS_BOND_YLD", "YAS_BOND_PX",hp!V112, "SETTLE_DT", TEXT(ya!$C112,"YYYYMMDD")))</f>
        <v>9.6957000000000004</v>
      </c>
      <c r="W112" s="2" cm="1">
        <f t="array" ref="W112">IF(hp!W112=0,0,_xll.BDP(W$4,"YAS_BOND_YLD", "YAS_BOND_PX",hp!W112, "SETTLE_DT", TEXT(ya!$C112,"YYYYMMDD")))</f>
        <v>-1.2999999999999999E-3</v>
      </c>
      <c r="X112" s="2" cm="1">
        <f t="array" ref="X112">IF(hp!X112=0,0,_xll.BDP(X$4,"YAS_BOND_YLD", "YAS_BOND_PX",hp!X112, "SETTLE_DT", TEXT(ya!$C112,"YYYYMMDD")))</f>
        <v>0</v>
      </c>
      <c r="Y112" s="2" cm="1">
        <f t="array" ref="Y112">IF(hp!Y112=0,0,_xll.BDP(Y$4,"YAS_BOND_YLD", "YAS_BOND_PX",hp!Y112, "SETTLE_DT", TEXT(ya!$C112,"YYYYMMDD")))</f>
        <v>5.5098000000000003</v>
      </c>
      <c r="Z112" s="2" cm="1">
        <f t="array" ref="Z112">IF(hp!Z112=0,0,_xll.BDP(Z$4,"YAS_BOND_YLD", "YAS_BOND_PX",hp!Z112, "SETTLE_DT", TEXT(ya!$C112,"YYYYMMDD")))</f>
        <v>1.72E-2</v>
      </c>
      <c r="AA112" s="2" cm="1">
        <f t="array" ref="AA112">IF(hp!AA112=0,0,_xll.BDP(AA$4,"YAS_BOND_YLD", "YAS_BOND_PX",hp!AA112, "SETTLE_DT", TEXT(ya!$C112,"YYYYMMDD")))</f>
        <v>10.542199999999999</v>
      </c>
      <c r="AB112" s="2" cm="1">
        <f t="array" ref="AB112">IF(hp!AB112=0,0,_xll.BDP(AB$4,"YAS_BOND_YLD", "YAS_BOND_PX",hp!AB112, "SETTLE_DT", TEXT(ya!$C112,"YYYYMMDD")))</f>
        <v>0.1012</v>
      </c>
      <c r="AC112" s="2" cm="1">
        <f t="array" ref="AC112">IF(hp!AC112=0,0,_xll.BDP(AC$4,"YAS_BOND_YLD", "YAS_BOND_PX",hp!AC112, "SETTLE_DT", TEXT(ya!$C112,"YYYYMMDD")))</f>
        <v>10.0197</v>
      </c>
      <c r="AD112" s="2" cm="1">
        <f t="array" ref="AD112">IF(hp!AD112=0,0,_xll.BDP(AD$4,"YAS_BOND_YLD", "YAS_BOND_PX",hp!AD112, "SETTLE_DT", TEXT(ya!$C112,"YYYYMMDD")))</f>
        <v>5.6873000000000005</v>
      </c>
      <c r="AE112" s="2" cm="1">
        <f t="array" ref="AE112">IF(hp!AE112=0,0,_xll.BDP(AE$4,"YAS_BOND_YLD", "YAS_BOND_PX",hp!AE112, "SETTLE_DT", TEXT(ya!$C112,"YYYYMMDD")))</f>
        <v>0</v>
      </c>
      <c r="AF112" s="2" cm="1">
        <f t="array" ref="AF112">IF(hp!AF112=0,0,_xll.BDP(AF$4,"YAS_BOND_YLD", "YAS_BOND_PX",hp!AF112, "SETTLE_DT", TEXT(ya!$C112,"YYYYMMDD")))</f>
        <v>0.13420000000000001</v>
      </c>
      <c r="AG112" s="2" cm="1">
        <f t="array" ref="AG112">IF(hp!AG112=0,0,_xll.BDP(AG$4,"YAS_BOND_YLD", "YAS_BOND_PX",hp!AG112, "SETTLE_DT", TEXT(ya!$C112,"YYYYMMDD")))</f>
        <v>0.1133</v>
      </c>
      <c r="AH112" s="2" cm="1">
        <f t="array" ref="AH112">IF(hp!AH112=0,0,_xll.BDP(AH$4,"YAS_BOND_YLD", "YAS_BOND_PX",hp!AH112, "SETTLE_DT", TEXT(ya!$C112,"YYYYMMDD")))</f>
        <v>0</v>
      </c>
      <c r="AI112" s="2" cm="1">
        <f t="array" ref="AI112">IF(hp!AI112=0,0,_xll.BDP(AI$4,"YAS_BOND_YLD", "YAS_BOND_PX",hp!AI112, "SETTLE_DT", TEXT(ya!$C112,"YYYYMMDD")))</f>
        <v>5.5793999999999997</v>
      </c>
      <c r="AJ112" s="2" cm="1">
        <f t="array" ref="AJ112">IF(hp!AJ112=0,0,_xll.BDP(AJ$4,"YAS_BOND_YLD", "YAS_BOND_PX",hp!AJ112, "SETTLE_DT", TEXT(ya!$C112,"YYYYMMDD")))</f>
        <v>0.15060000000000001</v>
      </c>
      <c r="AK112" s="2" cm="1">
        <f t="array" ref="AK112">IF(hp!AK112=0,0,_xll.BDP(AK$4,"YAS_BOND_YLD", "YAS_BOND_PX",hp!AK112, "SETTLE_DT", TEXT(ya!$C112,"YYYYMMDD")))</f>
        <v>0.12280000000000001</v>
      </c>
      <c r="AL112" s="2" cm="1">
        <f t="array" ref="AL112">IF(hp!AL112=0,0,_xll.BDP(AL$4,"YAS_BOND_YLD", "YAS_BOND_PX",hp!AL112, "SETTLE_DT", TEXT(ya!$C112,"YYYYMMDD")))</f>
        <v>0</v>
      </c>
      <c r="AM112" s="2" cm="1">
        <f t="array" ref="AM112">IF(hp!AM112=0,0,_xll.BDP(AM$4,"YAS_BOND_YLD", "YAS_BOND_PX",hp!AM112, "SETTLE_DT", TEXT(ya!$C112,"YYYYMMDD")))</f>
        <v>10.180999999999999</v>
      </c>
      <c r="AN112" s="2" cm="1">
        <f t="array" ref="AN112">IF(hp!AN112=0,0,_xll.BDP(AN$4,"YAS_BOND_YLD", "YAS_BOND_PX",hp!AN112, "SETTLE_DT", TEXT(ya!$C112,"YYYYMMDD")))</f>
        <v>0.16569999999999999</v>
      </c>
      <c r="AO112" s="2" cm="1">
        <f t="array" ref="AO112">IF(hp!AO112=0,0,_xll.BDP(AO$4,"YAS_BOND_YLD", "YAS_BOND_PX",hp!AO112, "SETTLE_DT", TEXT(ya!$C112,"YYYYMMDD")))</f>
        <v>0.1759</v>
      </c>
      <c r="AP112" s="2" cm="1">
        <f t="array" ref="AP112">IF(hp!AP112=0,0,_xll.BDP(AP$4,"YAS_BOND_YLD", "YAS_BOND_PX",hp!AP112, "SETTLE_DT", TEXT(ya!$C112,"YYYYMMDD")))</f>
        <v>0</v>
      </c>
      <c r="AQ112" s="2" cm="1">
        <f t="array" ref="AQ112">IF(hp!AQ112=0,0,_xll.BDP(AQ$4,"YAS_BOND_YLD", "YAS_BOND_PX",hp!AQ112, "SETTLE_DT", TEXT(ya!$C112,"YYYYMMDD")))</f>
        <v>4.7E-2</v>
      </c>
      <c r="AR112" s="2" cm="1">
        <f t="array" ref="AR112">IF(hp!AR112=0,0,_xll.BDP(AR$4,"YAS_BOND_YLD", "YAS_BOND_PX",hp!AR112, "SETTLE_DT", TEXT(ya!$C112,"YYYYMMDD")))</f>
        <v>5.4782999999999999</v>
      </c>
      <c r="AS112" s="2" cm="1">
        <f t="array" ref="AS112">IF(hp!AS112=0,0,_xll.BDP(AS$4,"YAS_BOND_YLD", "YAS_BOND_PX",hp!AS112, "SETTLE_DT", TEXT(ya!$C112,"YYYYMMDD")))</f>
        <v>0</v>
      </c>
      <c r="AT112" s="2" cm="1">
        <f t="array" ref="AT112">IF(hp!AT112=0,0,_xll.BDP(AT$4,"YAS_BOND_YLD", "YAS_BOND_PX",hp!AT112, "SETTLE_DT", TEXT(ya!$C112,"YYYYMMDD")))</f>
        <v>0</v>
      </c>
      <c r="AU112" s="2" cm="1">
        <f t="array" ref="AU112">IF(hp!AU112=0,0,_xll.BDP(AU$4,"YAS_BOND_YLD", "YAS_BOND_PX",hp!AU112, "SETTLE_DT", TEXT(ya!$C112,"YYYYMMDD")))</f>
        <v>0</v>
      </c>
      <c r="AV112" s="2" cm="1">
        <f t="array" ref="AV112">IF(hp!AV112=0,0,_xll.BDP(AV$4,"YAS_BOND_YLD", "YAS_BOND_PX",hp!AV112, "SETTLE_DT", TEXT(ya!$C112,"YYYYMMDD")))</f>
        <v>0</v>
      </c>
      <c r="AW112" s="2" cm="1">
        <f t="array" ref="AW112">IF(hp!AW112=0,0,_xll.BDP(AW$4,"YAS_BOND_YLD", "YAS_BOND_PX",hp!AW112, "SETTLE_DT", TEXT(ya!$C112,"YYYYMMDD")))</f>
        <v>0</v>
      </c>
      <c r="AX112" s="2" cm="1">
        <f t="array" ref="AX112">IF(hp!AX112=0,0,_xll.BDP(AX$4,"YAS_BOND_YLD", "YAS_BOND_PX",hp!AX112, "SETTLE_DT", TEXT(ya!$C112,"YYYYMMDD")))</f>
        <v>0</v>
      </c>
      <c r="AY112" s="2" cm="1">
        <f t="array" ref="AY112">IF(hp!AY112=0,0,_xll.BDP(AY$4,"YAS_BOND_YLD", "YAS_BOND_PX",hp!AY112, "SETTLE_DT", TEXT(ya!$C112,"YYYYMMDD")))</f>
        <v>0</v>
      </c>
      <c r="AZ112" s="2" cm="1">
        <f t="array" ref="AZ112">IF(hp!AZ112=0,0,_xll.BDP(AZ$4,"YAS_BOND_YLD", "YAS_BOND_PX",hp!AZ112, "SETTLE_DT", TEXT(ya!$C112,"YYYYMMDD")))</f>
        <v>0</v>
      </c>
    </row>
    <row r="113" spans="1:52" x14ac:dyDescent="0.25">
      <c r="A113" s="1"/>
      <c r="B113" s="2"/>
      <c r="C113" s="1">
        <v>45351</v>
      </c>
      <c r="D113" s="2" cm="1">
        <f t="array" ref="D113">IF(hp!D113=0,0,_xll.BDP(D$4,"YAS_BOND_YLD", "YAS_BOND_PX",hp!D113, "SETTLE_DT", TEXT(ya!$C113,"YYYYMMDD")))</f>
        <v>10.8497</v>
      </c>
      <c r="E113" s="2" cm="1">
        <f t="array" ref="E113">IF(hp!E113=0,0,_xll.BDP(E$4,"YAS_BOND_YLD", "YAS_BOND_PX",hp!E113, "SETTLE_DT", TEXT(ya!$C113,"YYYYMMDD")))</f>
        <v>10.6999</v>
      </c>
      <c r="F113" s="2" cm="1">
        <f t="array" ref="F113">IF(hp!F113=0,0,_xll.BDP(F$4,"YAS_BOND_YLD", "YAS_BOND_PX",hp!F113, "SETTLE_DT", TEXT(ya!$C113,"YYYYMMDD")))</f>
        <v>10.0312</v>
      </c>
      <c r="G113" s="2" cm="1">
        <f t="array" ref="G113">IF(hp!G113=0,0,_xll.BDP(G$4,"YAS_BOND_YLD", "YAS_BOND_PX",hp!G113, "SETTLE_DT", TEXT(ya!$C113,"YYYYMMDD")))</f>
        <v>5.6627999999999998</v>
      </c>
      <c r="H113" s="2" cm="1">
        <f t="array" ref="H113">IF(hp!H113=0,0,_xll.BDP(H$4,"YAS_BOND_YLD", "YAS_BOND_PX",hp!H113, "SETTLE_DT", TEXT(ya!$C113,"YYYYMMDD")))</f>
        <v>10.456899999999999</v>
      </c>
      <c r="I113" s="2" cm="1">
        <f t="array" ref="I113">IF(hp!I113=0,0,_xll.BDP(I$4,"YAS_BOND_YLD", "YAS_BOND_PX",hp!I113, "SETTLE_DT", TEXT(ya!$C113,"YYYYMMDD")))</f>
        <v>10.763500000000001</v>
      </c>
      <c r="J113" s="2" cm="1">
        <f t="array" ref="J113">IF(hp!J113=0,0,_xll.BDP(J$4,"YAS_BOND_YLD", "YAS_BOND_PX",hp!J113, "SETTLE_DT", TEXT(ya!$C113,"YYYYMMDD")))</f>
        <v>5.7419000000000002</v>
      </c>
      <c r="K113" s="2" cm="1">
        <f t="array" ref="K113">IF(hp!K113=0,0,_xll.BDP(K$4,"YAS_BOND_YLD", "YAS_BOND_PX",hp!K113, "SETTLE_DT", TEXT(ya!$C113,"YYYYMMDD")))</f>
        <v>9.8131000000000004</v>
      </c>
      <c r="L113" s="2" cm="1">
        <f t="array" ref="L113">IF(hp!L113=0,0,_xll.BDP(L$4,"YAS_BOND_YLD", "YAS_BOND_PX",hp!L113, "SETTLE_DT", TEXT(ya!$C113,"YYYYMMDD")))</f>
        <v>5.5397999999999996</v>
      </c>
      <c r="M113" s="2" cm="1">
        <f t="array" ref="M113">IF(hp!M113=0,0,_xll.BDP(M$4,"YAS_BOND_YLD", "YAS_BOND_PX",hp!M113, "SETTLE_DT", TEXT(ya!$C113,"YYYYMMDD")))</f>
        <v>5.5306999999999995</v>
      </c>
      <c r="N113" s="2" cm="1">
        <f t="array" ref="N113">IF(hp!N113=0,0,_xll.BDP(N$4,"YAS_BOND_YLD", "YAS_BOND_PX",hp!N113, "SETTLE_DT", TEXT(ya!$C113,"YYYYMMDD")))</f>
        <v>5.6121999999999996</v>
      </c>
      <c r="O113" s="2" cm="1">
        <f t="array" ref="O113">IF(hp!O113=0,0,_xll.BDP(O$4,"YAS_BOND_YLD", "YAS_BOND_PX",hp!O113, "SETTLE_DT", TEXT(ya!$C113,"YYYYMMDD")))</f>
        <v>5.7728999999999999</v>
      </c>
      <c r="P113" s="2" cm="1">
        <f t="array" ref="P113">IF(hp!P113=0,0,_xll.BDP(P$4,"YAS_BOND_YLD", "YAS_BOND_PX",hp!P113, "SETTLE_DT", TEXT(ya!$C113,"YYYYMMDD")))</f>
        <v>5.6314000000000002</v>
      </c>
      <c r="Q113" s="2" cm="1">
        <f t="array" ref="Q113">IF(hp!Q113=0,0,_xll.BDP(Q$4,"YAS_BOND_YLD", "YAS_BOND_PX",hp!Q113, "SETTLE_DT", TEXT(ya!$C113,"YYYYMMDD")))</f>
        <v>5.7393000000000001</v>
      </c>
      <c r="R113" s="2" cm="1">
        <f t="array" ref="R113">IF(hp!R113=0,0,_xll.BDP(R$4,"YAS_BOND_YLD", "YAS_BOND_PX",hp!R113, "SETTLE_DT", TEXT(ya!$C113,"YYYYMMDD")))</f>
        <v>9.9446999999999992</v>
      </c>
      <c r="S113" s="2" cm="1">
        <f t="array" ref="S113">IF(hp!S113=0,0,_xll.BDP(S$4,"YAS_BOND_YLD", "YAS_BOND_PX",hp!S113, "SETTLE_DT", TEXT(ya!$C113,"YYYYMMDD")))</f>
        <v>9.8889999999999993</v>
      </c>
      <c r="T113" s="2" cm="1">
        <f t="array" ref="T113">IF(hp!T113=0,0,_xll.BDP(T$4,"YAS_BOND_YLD", "YAS_BOND_PX",hp!T113, "SETTLE_DT", TEXT(ya!$C113,"YYYYMMDD")))</f>
        <v>5.5328999999999997</v>
      </c>
      <c r="U113" s="2" cm="1">
        <f t="array" ref="U113">IF(hp!U113=0,0,_xll.BDP(U$4,"YAS_BOND_YLD", "YAS_BOND_PX",hp!U113, "SETTLE_DT", TEXT(ya!$C113,"YYYYMMDD")))</f>
        <v>5.6825000000000001</v>
      </c>
      <c r="V113" s="2" cm="1">
        <f t="array" ref="V113">IF(hp!V113=0,0,_xll.BDP(V$4,"YAS_BOND_YLD", "YAS_BOND_PX",hp!V113, "SETTLE_DT", TEXT(ya!$C113,"YYYYMMDD")))</f>
        <v>9.8153000000000006</v>
      </c>
      <c r="W113" s="2" cm="1">
        <f t="array" ref="W113">IF(hp!W113=0,0,_xll.BDP(W$4,"YAS_BOND_YLD", "YAS_BOND_PX",hp!W113, "SETTLE_DT", TEXT(ya!$C113,"YYYYMMDD")))</f>
        <v>-1.2800000000000001E-2</v>
      </c>
      <c r="X113" s="2" cm="1">
        <f t="array" ref="X113">IF(hp!X113=0,0,_xll.BDP(X$4,"YAS_BOND_YLD", "YAS_BOND_PX",hp!X113, "SETTLE_DT", TEXT(ya!$C113,"YYYYMMDD")))</f>
        <v>0</v>
      </c>
      <c r="Y113" s="2" cm="1">
        <f t="array" ref="Y113">IF(hp!Y113=0,0,_xll.BDP(Y$4,"YAS_BOND_YLD", "YAS_BOND_PX",hp!Y113, "SETTLE_DT", TEXT(ya!$C113,"YYYYMMDD")))</f>
        <v>5.5731000000000002</v>
      </c>
      <c r="Z113" s="2" cm="1">
        <f t="array" ref="Z113">IF(hp!Z113=0,0,_xll.BDP(Z$4,"YAS_BOND_YLD", "YAS_BOND_PX",hp!Z113, "SETTLE_DT", TEXT(ya!$C113,"YYYYMMDD")))</f>
        <v>1.3299999999999999E-2</v>
      </c>
      <c r="AA113" s="2" cm="1">
        <f t="array" ref="AA113">IF(hp!AA113=0,0,_xll.BDP(AA$4,"YAS_BOND_YLD", "YAS_BOND_PX",hp!AA113, "SETTLE_DT", TEXT(ya!$C113,"YYYYMMDD")))</f>
        <v>10.726599999999999</v>
      </c>
      <c r="AB113" s="2" cm="1">
        <f t="array" ref="AB113">IF(hp!AB113=0,0,_xll.BDP(AB$4,"YAS_BOND_YLD", "YAS_BOND_PX",hp!AB113, "SETTLE_DT", TEXT(ya!$C113,"YYYYMMDD")))</f>
        <v>9.1399999999999995E-2</v>
      </c>
      <c r="AC113" s="2" cm="1">
        <f t="array" ref="AC113">IF(hp!AC113=0,0,_xll.BDP(AC$4,"YAS_BOND_YLD", "YAS_BOND_PX",hp!AC113, "SETTLE_DT", TEXT(ya!$C113,"YYYYMMDD")))</f>
        <v>10.187799999999999</v>
      </c>
      <c r="AD113" s="2" cm="1">
        <f t="array" ref="AD113">IF(hp!AD113=0,0,_xll.BDP(AD$4,"YAS_BOND_YLD", "YAS_BOND_PX",hp!AD113, "SETTLE_DT", TEXT(ya!$C113,"YYYYMMDD")))</f>
        <v>5.7325999999999997</v>
      </c>
      <c r="AE113" s="2" cm="1">
        <f t="array" ref="AE113">IF(hp!AE113=0,0,_xll.BDP(AE$4,"YAS_BOND_YLD", "YAS_BOND_PX",hp!AE113, "SETTLE_DT", TEXT(ya!$C113,"YYYYMMDD")))</f>
        <v>0</v>
      </c>
      <c r="AF113" s="2" cm="1">
        <f t="array" ref="AF113">IF(hp!AF113=0,0,_xll.BDP(AF$4,"YAS_BOND_YLD", "YAS_BOND_PX",hp!AF113, "SETTLE_DT", TEXT(ya!$C113,"YYYYMMDD")))</f>
        <v>0.13150000000000001</v>
      </c>
      <c r="AG113" s="2" cm="1">
        <f t="array" ref="AG113">IF(hp!AG113=0,0,_xll.BDP(AG$4,"YAS_BOND_YLD", "YAS_BOND_PX",hp!AG113, "SETTLE_DT", TEXT(ya!$C113,"YYYYMMDD")))</f>
        <v>0.112</v>
      </c>
      <c r="AH113" s="2" cm="1">
        <f t="array" ref="AH113">IF(hp!AH113=0,0,_xll.BDP(AH$4,"YAS_BOND_YLD", "YAS_BOND_PX",hp!AH113, "SETTLE_DT", TEXT(ya!$C113,"YYYYMMDD")))</f>
        <v>0</v>
      </c>
      <c r="AI113" s="2" cm="1">
        <f t="array" ref="AI113">IF(hp!AI113=0,0,_xll.BDP(AI$4,"YAS_BOND_YLD", "YAS_BOND_PX",hp!AI113, "SETTLE_DT", TEXT(ya!$C113,"YYYYMMDD")))</f>
        <v>5.6258999999999997</v>
      </c>
      <c r="AJ113" s="2" cm="1">
        <f t="array" ref="AJ113">IF(hp!AJ113=0,0,_xll.BDP(AJ$4,"YAS_BOND_YLD", "YAS_BOND_PX",hp!AJ113, "SETTLE_DT", TEXT(ya!$C113,"YYYYMMDD")))</f>
        <v>0.152</v>
      </c>
      <c r="AK113" s="2" cm="1">
        <f t="array" ref="AK113">IF(hp!AK113=0,0,_xll.BDP(AK$4,"YAS_BOND_YLD", "YAS_BOND_PX",hp!AK113, "SETTLE_DT", TEXT(ya!$C113,"YYYYMMDD")))</f>
        <v>0.1206</v>
      </c>
      <c r="AL113" s="2" cm="1">
        <f t="array" ref="AL113">IF(hp!AL113=0,0,_xll.BDP(AL$4,"YAS_BOND_YLD", "YAS_BOND_PX",hp!AL113, "SETTLE_DT", TEXT(ya!$C113,"YYYYMMDD")))</f>
        <v>0</v>
      </c>
      <c r="AM113" s="2" cm="1">
        <f t="array" ref="AM113">IF(hp!AM113=0,0,_xll.BDP(AM$4,"YAS_BOND_YLD", "YAS_BOND_PX",hp!AM113, "SETTLE_DT", TEXT(ya!$C113,"YYYYMMDD")))</f>
        <v>10.347099999999999</v>
      </c>
      <c r="AN113" s="2" cm="1">
        <f t="array" ref="AN113">IF(hp!AN113=0,0,_xll.BDP(AN$4,"YAS_BOND_YLD", "YAS_BOND_PX",hp!AN113, "SETTLE_DT", TEXT(ya!$C113,"YYYYMMDD")))</f>
        <v>0.1643</v>
      </c>
      <c r="AO113" s="2" cm="1">
        <f t="array" ref="AO113">IF(hp!AO113=0,0,_xll.BDP(AO$4,"YAS_BOND_YLD", "YAS_BOND_PX",hp!AO113, "SETTLE_DT", TEXT(ya!$C113,"YYYYMMDD")))</f>
        <v>0.1741</v>
      </c>
      <c r="AP113" s="2" cm="1">
        <f t="array" ref="AP113">IF(hp!AP113=0,0,_xll.BDP(AP$4,"YAS_BOND_YLD", "YAS_BOND_PX",hp!AP113, "SETTLE_DT", TEXT(ya!$C113,"YYYYMMDD")))</f>
        <v>0</v>
      </c>
      <c r="AQ113" s="2" cm="1">
        <f t="array" ref="AQ113">IF(hp!AQ113=0,0,_xll.BDP(AQ$4,"YAS_BOND_YLD", "YAS_BOND_PX",hp!AQ113, "SETTLE_DT", TEXT(ya!$C113,"YYYYMMDD")))</f>
        <v>3.8199999999999998E-2</v>
      </c>
      <c r="AR113" s="2" cm="1">
        <f t="array" ref="AR113">IF(hp!AR113=0,0,_xll.BDP(AR$4,"YAS_BOND_YLD", "YAS_BOND_PX",hp!AR113, "SETTLE_DT", TEXT(ya!$C113,"YYYYMMDD")))</f>
        <v>5.4859999999999998</v>
      </c>
      <c r="AS113" s="2" cm="1">
        <f t="array" ref="AS113">IF(hp!AS113=0,0,_xll.BDP(AS$4,"YAS_BOND_YLD", "YAS_BOND_PX",hp!AS113, "SETTLE_DT", TEXT(ya!$C113,"YYYYMMDD")))</f>
        <v>0</v>
      </c>
      <c r="AT113" s="2" cm="1">
        <f t="array" ref="AT113">IF(hp!AT113=0,0,_xll.BDP(AT$4,"YAS_BOND_YLD", "YAS_BOND_PX",hp!AT113, "SETTLE_DT", TEXT(ya!$C113,"YYYYMMDD")))</f>
        <v>0</v>
      </c>
      <c r="AU113" s="2" cm="1">
        <f t="array" ref="AU113">IF(hp!AU113=0,0,_xll.BDP(AU$4,"YAS_BOND_YLD", "YAS_BOND_PX",hp!AU113, "SETTLE_DT", TEXT(ya!$C113,"YYYYMMDD")))</f>
        <v>0</v>
      </c>
      <c r="AV113" s="2" cm="1">
        <f t="array" ref="AV113">IF(hp!AV113=0,0,_xll.BDP(AV$4,"YAS_BOND_YLD", "YAS_BOND_PX",hp!AV113, "SETTLE_DT", TEXT(ya!$C113,"YYYYMMDD")))</f>
        <v>0</v>
      </c>
      <c r="AW113" s="2" cm="1">
        <f t="array" ref="AW113">IF(hp!AW113=0,0,_xll.BDP(AW$4,"YAS_BOND_YLD", "YAS_BOND_PX",hp!AW113, "SETTLE_DT", TEXT(ya!$C113,"YYYYMMDD")))</f>
        <v>0</v>
      </c>
      <c r="AX113" s="2" cm="1">
        <f t="array" ref="AX113">IF(hp!AX113=0,0,_xll.BDP(AX$4,"YAS_BOND_YLD", "YAS_BOND_PX",hp!AX113, "SETTLE_DT", TEXT(ya!$C113,"YYYYMMDD")))</f>
        <v>0</v>
      </c>
      <c r="AY113" s="2" cm="1">
        <f t="array" ref="AY113">IF(hp!AY113=0,0,_xll.BDP(AY$4,"YAS_BOND_YLD", "YAS_BOND_PX",hp!AY113, "SETTLE_DT", TEXT(ya!$C113,"YYYYMMDD")))</f>
        <v>0</v>
      </c>
      <c r="AZ113" s="2" cm="1">
        <f t="array" ref="AZ113">IF(hp!AZ113=0,0,_xll.BDP(AZ$4,"YAS_BOND_YLD", "YAS_BOND_PX",hp!AZ113, "SETTLE_DT", TEXT(ya!$C113,"YYYYMMDD")))</f>
        <v>0</v>
      </c>
    </row>
    <row r="114" spans="1:52" x14ac:dyDescent="0.25">
      <c r="A114" s="1"/>
      <c r="B114" s="2"/>
      <c r="C114" s="1">
        <v>45380</v>
      </c>
      <c r="D114" s="2" cm="1">
        <f t="array" ref="D114">IF(hp!D114=0,0,_xll.BDP(D$4,"YAS_BOND_YLD", "YAS_BOND_PX",hp!D114, "SETTLE_DT", TEXT(ya!$C114,"YYYYMMDD")))</f>
        <v>11.07</v>
      </c>
      <c r="E114" s="2" cm="1">
        <f t="array" ref="E114">IF(hp!E114=0,0,_xll.BDP(E$4,"YAS_BOND_YLD", "YAS_BOND_PX",hp!E114, "SETTLE_DT", TEXT(ya!$C114,"YYYYMMDD")))</f>
        <v>10.9305</v>
      </c>
      <c r="F114" s="2" cm="1">
        <f t="array" ref="F114">IF(hp!F114=0,0,_xll.BDP(F$4,"YAS_BOND_YLD", "YAS_BOND_PX",hp!F114, "SETTLE_DT", TEXT(ya!$C114,"YYYYMMDD")))</f>
        <v>10.168699999999999</v>
      </c>
      <c r="G114" s="2" cm="1">
        <f t="array" ref="G114">IF(hp!G114=0,0,_xll.BDP(G$4,"YAS_BOND_YLD", "YAS_BOND_PX",hp!G114, "SETTLE_DT", TEXT(ya!$C114,"YYYYMMDD")))</f>
        <v>5.8457999999999997</v>
      </c>
      <c r="H114" s="2" cm="1">
        <f t="array" ref="H114">IF(hp!H114=0,0,_xll.BDP(H$4,"YAS_BOND_YLD", "YAS_BOND_PX",hp!H114, "SETTLE_DT", TEXT(ya!$C114,"YYYYMMDD")))</f>
        <v>10.658300000000001</v>
      </c>
      <c r="I114" s="2" cm="1">
        <f t="array" ref="I114">IF(hp!I114=0,0,_xll.BDP(I$4,"YAS_BOND_YLD", "YAS_BOND_PX",hp!I114, "SETTLE_DT", TEXT(ya!$C114,"YYYYMMDD")))</f>
        <v>10.966900000000001</v>
      </c>
      <c r="J114" s="2" cm="1">
        <f t="array" ref="J114">IF(hp!J114=0,0,_xll.BDP(J$4,"YAS_BOND_YLD", "YAS_BOND_PX",hp!J114, "SETTLE_DT", TEXT(ya!$C114,"YYYYMMDD")))</f>
        <v>5.8834</v>
      </c>
      <c r="K114" s="2" cm="1">
        <f t="array" ref="K114">IF(hp!K114=0,0,_xll.BDP(K$4,"YAS_BOND_YLD", "YAS_BOND_PX",hp!K114, "SETTLE_DT", TEXT(ya!$C114,"YYYYMMDD")))</f>
        <v>9.9383999999999997</v>
      </c>
      <c r="L114" s="2" cm="1">
        <f t="array" ref="L114">IF(hp!L114=0,0,_xll.BDP(L$4,"YAS_BOND_YLD", "YAS_BOND_PX",hp!L114, "SETTLE_DT", TEXT(ya!$C114,"YYYYMMDD")))</f>
        <v>5.7371999999999996</v>
      </c>
      <c r="M114" s="2" cm="1">
        <f t="array" ref="M114">IF(hp!M114=0,0,_xll.BDP(M$4,"YAS_BOND_YLD", "YAS_BOND_PX",hp!M114, "SETTLE_DT", TEXT(ya!$C114,"YYYYMMDD")))</f>
        <v>5.7237999999999998</v>
      </c>
      <c r="N114" s="2" cm="1">
        <f t="array" ref="N114">IF(hp!N114=0,0,_xll.BDP(N$4,"YAS_BOND_YLD", "YAS_BOND_PX",hp!N114, "SETTLE_DT", TEXT(ya!$C114,"YYYYMMDD")))</f>
        <v>5.6756000000000002</v>
      </c>
      <c r="O114" s="2" cm="1">
        <f t="array" ref="O114">IF(hp!O114=0,0,_xll.BDP(O$4,"YAS_BOND_YLD", "YAS_BOND_PX",hp!O114, "SETTLE_DT", TEXT(ya!$C114,"YYYYMMDD")))</f>
        <v>5.8890000000000002</v>
      </c>
      <c r="P114" s="2" cm="1">
        <f t="array" ref="P114">IF(hp!P114=0,0,_xll.BDP(P$4,"YAS_BOND_YLD", "YAS_BOND_PX",hp!P114, "SETTLE_DT", TEXT(ya!$C114,"YYYYMMDD")))</f>
        <v>5.8211000000000004</v>
      </c>
      <c r="Q114" s="2" cm="1">
        <f t="array" ref="Q114">IF(hp!Q114=0,0,_xll.BDP(Q$4,"YAS_BOND_YLD", "YAS_BOND_PX",hp!Q114, "SETTLE_DT", TEXT(ya!$C114,"YYYYMMDD")))</f>
        <v>5.8902000000000001</v>
      </c>
      <c r="R114" s="2" cm="1">
        <f t="array" ref="R114">IF(hp!R114=0,0,_xll.BDP(R$4,"YAS_BOND_YLD", "YAS_BOND_PX",hp!R114, "SETTLE_DT", TEXT(ya!$C114,"YYYYMMDD")))</f>
        <v>10.093500000000001</v>
      </c>
      <c r="S114" s="2" cm="1">
        <f t="array" ref="S114">IF(hp!S114=0,0,_xll.BDP(S$4,"YAS_BOND_YLD", "YAS_BOND_PX",hp!S114, "SETTLE_DT", TEXT(ya!$C114,"YYYYMMDD")))</f>
        <v>10.0334</v>
      </c>
      <c r="T114" s="2" cm="1">
        <f t="array" ref="T114">IF(hp!T114=0,0,_xll.BDP(T$4,"YAS_BOND_YLD", "YAS_BOND_PX",hp!T114, "SETTLE_DT", TEXT(ya!$C114,"YYYYMMDD")))</f>
        <v>5.6790000000000003</v>
      </c>
      <c r="U114" s="2" cm="1">
        <f t="array" ref="U114">IF(hp!U114=0,0,_xll.BDP(U$4,"YAS_BOND_YLD", "YAS_BOND_PX",hp!U114, "SETTLE_DT", TEXT(ya!$C114,"YYYYMMDD")))</f>
        <v>5.8578999999999999</v>
      </c>
      <c r="V114" s="2" cm="1">
        <f t="array" ref="V114">IF(hp!V114=0,0,_xll.BDP(V$4,"YAS_BOND_YLD", "YAS_BOND_PX",hp!V114, "SETTLE_DT", TEXT(ya!$C114,"YYYYMMDD")))</f>
        <v>9.8968000000000007</v>
      </c>
      <c r="W114" s="2" cm="1">
        <f t="array" ref="W114">IF(hp!W114=0,0,_xll.BDP(W$4,"YAS_BOND_YLD", "YAS_BOND_PX",hp!W114, "SETTLE_DT", TEXT(ya!$C114,"YYYYMMDD")))</f>
        <v>-6.3E-3</v>
      </c>
      <c r="X114" s="2" cm="1">
        <f t="array" ref="X114">IF(hp!X114=0,0,_xll.BDP(X$4,"YAS_BOND_YLD", "YAS_BOND_PX",hp!X114, "SETTLE_DT", TEXT(ya!$C114,"YYYYMMDD")))</f>
        <v>0</v>
      </c>
      <c r="Y114" s="2" cm="1">
        <f t="array" ref="Y114">IF(hp!Y114=0,0,_xll.BDP(Y$4,"YAS_BOND_YLD", "YAS_BOND_PX",hp!Y114, "SETTLE_DT", TEXT(ya!$C114,"YYYYMMDD")))</f>
        <v>5.7560000000000002</v>
      </c>
      <c r="Z114" s="2" cm="1">
        <f t="array" ref="Z114">IF(hp!Z114=0,0,_xll.BDP(Z$4,"YAS_BOND_YLD", "YAS_BOND_PX",hp!Z114, "SETTLE_DT", TEXT(ya!$C114,"YYYYMMDD")))</f>
        <v>1.6299999999999999E-2</v>
      </c>
      <c r="AA114" s="2" cm="1">
        <f t="array" ref="AA114">IF(hp!AA114=0,0,_xll.BDP(AA$4,"YAS_BOND_YLD", "YAS_BOND_PX",hp!AA114, "SETTLE_DT", TEXT(ya!$C114,"YYYYMMDD")))</f>
        <v>10.9763</v>
      </c>
      <c r="AB114" s="2" cm="1">
        <f t="array" ref="AB114">IF(hp!AB114=0,0,_xll.BDP(AB$4,"YAS_BOND_YLD", "YAS_BOND_PX",hp!AB114, "SETTLE_DT", TEXT(ya!$C114,"YYYYMMDD")))</f>
        <v>8.8999999999999996E-2</v>
      </c>
      <c r="AC114" s="2" cm="1">
        <f t="array" ref="AC114">IF(hp!AC114=0,0,_xll.BDP(AC$4,"YAS_BOND_YLD", "YAS_BOND_PX",hp!AC114, "SETTLE_DT", TEXT(ya!$C114,"YYYYMMDD")))</f>
        <v>10.386200000000001</v>
      </c>
      <c r="AD114" s="2" cm="1">
        <f t="array" ref="AD114">IF(hp!AD114=0,0,_xll.BDP(AD$4,"YAS_BOND_YLD", "YAS_BOND_PX",hp!AD114, "SETTLE_DT", TEXT(ya!$C114,"YYYYMMDD")))</f>
        <v>5.8734999999999999</v>
      </c>
      <c r="AE114" s="2" cm="1">
        <f t="array" ref="AE114">IF(hp!AE114=0,0,_xll.BDP(AE$4,"YAS_BOND_YLD", "YAS_BOND_PX",hp!AE114, "SETTLE_DT", TEXT(ya!$C114,"YYYYMMDD")))</f>
        <v>0</v>
      </c>
      <c r="AF114" s="2" cm="1">
        <f t="array" ref="AF114">IF(hp!AF114=0,0,_xll.BDP(AF$4,"YAS_BOND_YLD", "YAS_BOND_PX",hp!AF114, "SETTLE_DT", TEXT(ya!$C114,"YYYYMMDD")))</f>
        <v>0.122</v>
      </c>
      <c r="AG114" s="2" cm="1">
        <f t="array" ref="AG114">IF(hp!AG114=0,0,_xll.BDP(AG$4,"YAS_BOND_YLD", "YAS_BOND_PX",hp!AG114, "SETTLE_DT", TEXT(ya!$C114,"YYYYMMDD")))</f>
        <v>0.1057</v>
      </c>
      <c r="AH114" s="2" cm="1">
        <f t="array" ref="AH114">IF(hp!AH114=0,0,_xll.BDP(AH$4,"YAS_BOND_YLD", "YAS_BOND_PX",hp!AH114, "SETTLE_DT", TEXT(ya!$C114,"YYYYMMDD")))</f>
        <v>0</v>
      </c>
      <c r="AI114" s="2" cm="1">
        <f t="array" ref="AI114">IF(hp!AI114=0,0,_xll.BDP(AI$4,"YAS_BOND_YLD", "YAS_BOND_PX",hp!AI114, "SETTLE_DT", TEXT(ya!$C114,"YYYYMMDD")))</f>
        <v>5.8193000000000001</v>
      </c>
      <c r="AJ114" s="2" cm="1">
        <f t="array" ref="AJ114">IF(hp!AJ114=0,0,_xll.BDP(AJ$4,"YAS_BOND_YLD", "YAS_BOND_PX",hp!AJ114, "SETTLE_DT", TEXT(ya!$C114,"YYYYMMDD")))</f>
        <v>0.13880000000000001</v>
      </c>
      <c r="AK114" s="2" cm="1">
        <f t="array" ref="AK114">IF(hp!AK114=0,0,_xll.BDP(AK$4,"YAS_BOND_YLD", "YAS_BOND_PX",hp!AK114, "SETTLE_DT", TEXT(ya!$C114,"YYYYMMDD")))</f>
        <v>0.11169999999999999</v>
      </c>
      <c r="AL114" s="2" cm="1">
        <f t="array" ref="AL114">IF(hp!AL114=0,0,_xll.BDP(AL$4,"YAS_BOND_YLD", "YAS_BOND_PX",hp!AL114, "SETTLE_DT", TEXT(ya!$C114,"YYYYMMDD")))</f>
        <v>0</v>
      </c>
      <c r="AM114" s="2" cm="1">
        <f t="array" ref="AM114">IF(hp!AM114=0,0,_xll.BDP(AM$4,"YAS_BOND_YLD", "YAS_BOND_PX",hp!AM114, "SETTLE_DT", TEXT(ya!$C114,"YYYYMMDD")))</f>
        <v>10.562899999999999</v>
      </c>
      <c r="AN114" s="2" cm="1">
        <f t="array" ref="AN114">IF(hp!AN114=0,0,_xll.BDP(AN$4,"YAS_BOND_YLD", "YAS_BOND_PX",hp!AN114, "SETTLE_DT", TEXT(ya!$C114,"YYYYMMDD")))</f>
        <v>0.1525</v>
      </c>
      <c r="AO114" s="2" cm="1">
        <f t="array" ref="AO114">IF(hp!AO114=0,0,_xll.BDP(AO$4,"YAS_BOND_YLD", "YAS_BOND_PX",hp!AO114, "SETTLE_DT", TEXT(ya!$C114,"YYYYMMDD")))</f>
        <v>0.1729</v>
      </c>
      <c r="AP114" s="2" cm="1">
        <f t="array" ref="AP114">IF(hp!AP114=0,0,_xll.BDP(AP$4,"YAS_BOND_YLD", "YAS_BOND_PX",hp!AP114, "SETTLE_DT", TEXT(ya!$C114,"YYYYMMDD")))</f>
        <v>0</v>
      </c>
      <c r="AQ114" s="2" cm="1">
        <f t="array" ref="AQ114">IF(hp!AQ114=0,0,_xll.BDP(AQ$4,"YAS_BOND_YLD", "YAS_BOND_PX",hp!AQ114, "SETTLE_DT", TEXT(ya!$C114,"YYYYMMDD")))</f>
        <v>3.4599999999999999E-2</v>
      </c>
      <c r="AR114" s="2" cm="1">
        <f t="array" ref="AR114">IF(hp!AR114=0,0,_xll.BDP(AR$4,"YAS_BOND_YLD", "YAS_BOND_PX",hp!AR114, "SETTLE_DT", TEXT(ya!$C114,"YYYYMMDD")))</f>
        <v>5.6048999999999998</v>
      </c>
      <c r="AS114" s="2" cm="1">
        <f t="array" ref="AS114">IF(hp!AS114=0,0,_xll.BDP(AS$4,"YAS_BOND_YLD", "YAS_BOND_PX",hp!AS114, "SETTLE_DT", TEXT(ya!$C114,"YYYYMMDD")))</f>
        <v>0</v>
      </c>
      <c r="AT114" s="2" cm="1">
        <f t="array" ref="AT114">IF(hp!AT114=0,0,_xll.BDP(AT$4,"YAS_BOND_YLD", "YAS_BOND_PX",hp!AT114, "SETTLE_DT", TEXT(ya!$C114,"YYYYMMDD")))</f>
        <v>0</v>
      </c>
      <c r="AU114" s="2" cm="1">
        <f t="array" ref="AU114">IF(hp!AU114=0,0,_xll.BDP(AU$4,"YAS_BOND_YLD", "YAS_BOND_PX",hp!AU114, "SETTLE_DT", TEXT(ya!$C114,"YYYYMMDD")))</f>
        <v>0</v>
      </c>
      <c r="AV114" s="2" cm="1">
        <f t="array" ref="AV114">IF(hp!AV114=0,0,_xll.BDP(AV$4,"YAS_BOND_YLD", "YAS_BOND_PX",hp!AV114, "SETTLE_DT", TEXT(ya!$C114,"YYYYMMDD")))</f>
        <v>0</v>
      </c>
      <c r="AW114" s="2" cm="1">
        <f t="array" ref="AW114">IF(hp!AW114=0,0,_xll.BDP(AW$4,"YAS_BOND_YLD", "YAS_BOND_PX",hp!AW114, "SETTLE_DT", TEXT(ya!$C114,"YYYYMMDD")))</f>
        <v>0</v>
      </c>
      <c r="AX114" s="2" cm="1">
        <f t="array" ref="AX114">IF(hp!AX114=0,0,_xll.BDP(AX$4,"YAS_BOND_YLD", "YAS_BOND_PX",hp!AX114, "SETTLE_DT", TEXT(ya!$C114,"YYYYMMDD")))</f>
        <v>0</v>
      </c>
      <c r="AY114" s="2" cm="1">
        <f t="array" ref="AY114">IF(hp!AY114=0,0,_xll.BDP(AY$4,"YAS_BOND_YLD", "YAS_BOND_PX",hp!AY114, "SETTLE_DT", TEXT(ya!$C114,"YYYYMMDD")))</f>
        <v>0</v>
      </c>
      <c r="AZ114" s="2" cm="1">
        <f t="array" ref="AZ114">IF(hp!AZ114=0,0,_xll.BDP(AZ$4,"YAS_BOND_YLD", "YAS_BOND_PX",hp!AZ114, "SETTLE_DT", TEXT(ya!$C114,"YYYYMMDD")))</f>
        <v>0</v>
      </c>
    </row>
    <row r="115" spans="1:52" x14ac:dyDescent="0.25">
      <c r="A115" s="1"/>
      <c r="B115" s="2"/>
      <c r="C115" s="1">
        <v>45412</v>
      </c>
      <c r="D115" s="2" cm="1">
        <f t="array" ref="D115">IF(hp!D115=0,0,_xll.BDP(D$4,"YAS_BOND_YLD", "YAS_BOND_PX",hp!D115, "SETTLE_DT", TEXT(ya!$C115,"YYYYMMDD")))</f>
        <v>11.8383</v>
      </c>
      <c r="E115" s="2" cm="1">
        <f t="array" ref="E115">IF(hp!E115=0,0,_xll.BDP(E$4,"YAS_BOND_YLD", "YAS_BOND_PX",hp!E115, "SETTLE_DT", TEXT(ya!$C115,"YYYYMMDD")))</f>
        <v>11.7506</v>
      </c>
      <c r="F115" s="2" cm="1">
        <f t="array" ref="F115">IF(hp!F115=0,0,_xll.BDP(F$4,"YAS_BOND_YLD", "YAS_BOND_PX",hp!F115, "SETTLE_DT", TEXT(ya!$C115,"YYYYMMDD")))</f>
        <v>10.915900000000001</v>
      </c>
      <c r="G115" s="2" cm="1">
        <f t="array" ref="G115">IF(hp!G115=0,0,_xll.BDP(G$4,"YAS_BOND_YLD", "YAS_BOND_PX",hp!G115, "SETTLE_DT", TEXT(ya!$C115,"YYYYMMDD")))</f>
        <v>6.2809999999999997</v>
      </c>
      <c r="H115" s="2" cm="1">
        <f t="array" ref="H115">IF(hp!H115=0,0,_xll.BDP(H$4,"YAS_BOND_YLD", "YAS_BOND_PX",hp!H115, "SETTLE_DT", TEXT(ya!$C115,"YYYYMMDD")))</f>
        <v>11.456200000000001</v>
      </c>
      <c r="I115" s="2" cm="1">
        <f t="array" ref="I115">IF(hp!I115=0,0,_xll.BDP(I$4,"YAS_BOND_YLD", "YAS_BOND_PX",hp!I115, "SETTLE_DT", TEXT(ya!$C115,"YYYYMMDD")))</f>
        <v>11.792</v>
      </c>
      <c r="J115" s="2" cm="1">
        <f t="array" ref="J115">IF(hp!J115=0,0,_xll.BDP(J$4,"YAS_BOND_YLD", "YAS_BOND_PX",hp!J115, "SETTLE_DT", TEXT(ya!$C115,"YYYYMMDD")))</f>
        <v>6.2305000000000001</v>
      </c>
      <c r="K115" s="2" cm="1">
        <f t="array" ref="K115">IF(hp!K115=0,0,_xll.BDP(K$4,"YAS_BOND_YLD", "YAS_BOND_PX",hp!K115, "SETTLE_DT", TEXT(ya!$C115,"YYYYMMDD")))</f>
        <v>10.6418</v>
      </c>
      <c r="L115" s="2" cm="1">
        <f t="array" ref="L115">IF(hp!L115=0,0,_xll.BDP(L$4,"YAS_BOND_YLD", "YAS_BOND_PX",hp!L115, "SETTLE_DT", TEXT(ya!$C115,"YYYYMMDD")))</f>
        <v>6.2278000000000002</v>
      </c>
      <c r="M115" s="2" cm="1">
        <f t="array" ref="M115">IF(hp!M115=0,0,_xll.BDP(M$4,"YAS_BOND_YLD", "YAS_BOND_PX",hp!M115, "SETTLE_DT", TEXT(ya!$C115,"YYYYMMDD")))</f>
        <v>6.2727000000000004</v>
      </c>
      <c r="N115" s="2" cm="1">
        <f t="array" ref="N115">IF(hp!N115=0,0,_xll.BDP(N$4,"YAS_BOND_YLD", "YAS_BOND_PX",hp!N115, "SETTLE_DT", TEXT(ya!$C115,"YYYYMMDD")))</f>
        <v>6.2392000000000003</v>
      </c>
      <c r="O115" s="2" cm="1">
        <f t="array" ref="O115">IF(hp!O115=0,0,_xll.BDP(O$4,"YAS_BOND_YLD", "YAS_BOND_PX",hp!O115, "SETTLE_DT", TEXT(ya!$C115,"YYYYMMDD")))</f>
        <v>6.2191000000000001</v>
      </c>
      <c r="P115" s="2" cm="1">
        <f t="array" ref="P115">IF(hp!P115=0,0,_xll.BDP(P$4,"YAS_BOND_YLD", "YAS_BOND_PX",hp!P115, "SETTLE_DT", TEXT(ya!$C115,"YYYYMMDD")))</f>
        <v>6.2904999999999998</v>
      </c>
      <c r="Q115" s="2" cm="1">
        <f t="array" ref="Q115">IF(hp!Q115=0,0,_xll.BDP(Q$4,"YAS_BOND_YLD", "YAS_BOND_PX",hp!Q115, "SETTLE_DT", TEXT(ya!$C115,"YYYYMMDD")))</f>
        <v>6.2205000000000004</v>
      </c>
      <c r="R115" s="2" cm="1">
        <f t="array" ref="R115">IF(hp!R115=0,0,_xll.BDP(R$4,"YAS_BOND_YLD", "YAS_BOND_PX",hp!R115, "SETTLE_DT", TEXT(ya!$C115,"YYYYMMDD")))</f>
        <v>10.8649</v>
      </c>
      <c r="S115" s="2" cm="1">
        <f t="array" ref="S115">IF(hp!S115=0,0,_xll.BDP(S$4,"YAS_BOND_YLD", "YAS_BOND_PX",hp!S115, "SETTLE_DT", TEXT(ya!$C115,"YYYYMMDD")))</f>
        <v>10.7547</v>
      </c>
      <c r="T115" s="2" cm="1">
        <f t="array" ref="T115">IF(hp!T115=0,0,_xll.BDP(T$4,"YAS_BOND_YLD", "YAS_BOND_PX",hp!T115, "SETTLE_DT", TEXT(ya!$C115,"YYYYMMDD")))</f>
        <v>6.2446999999999999</v>
      </c>
      <c r="U115" s="2" cm="1">
        <f t="array" ref="U115">IF(hp!U115=0,0,_xll.BDP(U$4,"YAS_BOND_YLD", "YAS_BOND_PX",hp!U115, "SETTLE_DT", TEXT(ya!$C115,"YYYYMMDD")))</f>
        <v>6.2046000000000001</v>
      </c>
      <c r="V115" s="2" cm="1">
        <f t="array" ref="V115">IF(hp!V115=0,0,_xll.BDP(V$4,"YAS_BOND_YLD", "YAS_BOND_PX",hp!V115, "SETTLE_DT", TEXT(ya!$C115,"YYYYMMDD")))</f>
        <v>10.520099999999999</v>
      </c>
      <c r="W115" s="2" cm="1">
        <f t="array" ref="W115">IF(hp!W115=0,0,_xll.BDP(W$4,"YAS_BOND_YLD", "YAS_BOND_PX",hp!W115, "SETTLE_DT", TEXT(ya!$C115,"YYYYMMDD")))</f>
        <v>-1.14E-2</v>
      </c>
      <c r="X115" s="2" cm="1">
        <f t="array" ref="X115">IF(hp!X115=0,0,_xll.BDP(X$4,"YAS_BOND_YLD", "YAS_BOND_PX",hp!X115, "SETTLE_DT", TEXT(ya!$C115,"YYYYMMDD")))</f>
        <v>0</v>
      </c>
      <c r="Y115" s="2" cm="1">
        <f t="array" ref="Y115">IF(hp!Y115=0,0,_xll.BDP(Y$4,"YAS_BOND_YLD", "YAS_BOND_PX",hp!Y115, "SETTLE_DT", TEXT(ya!$C115,"YYYYMMDD")))</f>
        <v>6.2656000000000001</v>
      </c>
      <c r="Z115" s="2" cm="1">
        <f t="array" ref="Z115">IF(hp!Z115=0,0,_xll.BDP(Z$4,"YAS_BOND_YLD", "YAS_BOND_PX",hp!Z115, "SETTLE_DT", TEXT(ya!$C115,"YYYYMMDD")))</f>
        <v>1.38E-2</v>
      </c>
      <c r="AA115" s="2" cm="1">
        <f t="array" ref="AA115">IF(hp!AA115=0,0,_xll.BDP(AA$4,"YAS_BOND_YLD", "YAS_BOND_PX",hp!AA115, "SETTLE_DT", TEXT(ya!$C115,"YYYYMMDD")))</f>
        <v>11.767300000000001</v>
      </c>
      <c r="AB115" s="2" cm="1">
        <f t="array" ref="AB115">IF(hp!AB115=0,0,_xll.BDP(AB$4,"YAS_BOND_YLD", "YAS_BOND_PX",hp!AB115, "SETTLE_DT", TEXT(ya!$C115,"YYYYMMDD")))</f>
        <v>7.9699999999999993E-2</v>
      </c>
      <c r="AC115" s="2" cm="1">
        <f t="array" ref="AC115">IF(hp!AC115=0,0,_xll.BDP(AC$4,"YAS_BOND_YLD", "YAS_BOND_PX",hp!AC115, "SETTLE_DT", TEXT(ya!$C115,"YYYYMMDD")))</f>
        <v>11.1882</v>
      </c>
      <c r="AD115" s="2" cm="1">
        <f t="array" ref="AD115">IF(hp!AD115=0,0,_xll.BDP(AD$4,"YAS_BOND_YLD", "YAS_BOND_PX",hp!AD115, "SETTLE_DT", TEXT(ya!$C115,"YYYYMMDD")))</f>
        <v>6.2115999999999998</v>
      </c>
      <c r="AE115" s="2" cm="1">
        <f t="array" ref="AE115">IF(hp!AE115=0,0,_xll.BDP(AE$4,"YAS_BOND_YLD", "YAS_BOND_PX",hp!AE115, "SETTLE_DT", TEXT(ya!$C115,"YYYYMMDD")))</f>
        <v>0</v>
      </c>
      <c r="AF115" s="2" cm="1">
        <f t="array" ref="AF115">IF(hp!AF115=0,0,_xll.BDP(AF$4,"YAS_BOND_YLD", "YAS_BOND_PX",hp!AF115, "SETTLE_DT", TEXT(ya!$C115,"YYYYMMDD")))</f>
        <v>0.12089999999999999</v>
      </c>
      <c r="AG115" s="2" cm="1">
        <f t="array" ref="AG115">IF(hp!AG115=0,0,_xll.BDP(AG$4,"YAS_BOND_YLD", "YAS_BOND_PX",hp!AG115, "SETTLE_DT", TEXT(ya!$C115,"YYYYMMDD")))</f>
        <v>0.10290000000000001</v>
      </c>
      <c r="AH115" s="2" cm="1">
        <f t="array" ref="AH115">IF(hp!AH115=0,0,_xll.BDP(AH$4,"YAS_BOND_YLD", "YAS_BOND_PX",hp!AH115, "SETTLE_DT", TEXT(ya!$C115,"YYYYMMDD")))</f>
        <v>0</v>
      </c>
      <c r="AI115" s="2" cm="1">
        <f t="array" ref="AI115">IF(hp!AI115=0,0,_xll.BDP(AI$4,"YAS_BOND_YLD", "YAS_BOND_PX",hp!AI115, "SETTLE_DT", TEXT(ya!$C115,"YYYYMMDD")))</f>
        <v>6.2903000000000002</v>
      </c>
      <c r="AJ115" s="2" cm="1">
        <f t="array" ref="AJ115">IF(hp!AJ115=0,0,_xll.BDP(AJ$4,"YAS_BOND_YLD", "YAS_BOND_PX",hp!AJ115, "SETTLE_DT", TEXT(ya!$C115,"YYYYMMDD")))</f>
        <v>0.13750000000000001</v>
      </c>
      <c r="AK115" s="2" cm="1">
        <f t="array" ref="AK115">IF(hp!AK115=0,0,_xll.BDP(AK$4,"YAS_BOND_YLD", "YAS_BOND_PX",hp!AK115, "SETTLE_DT", TEXT(ya!$C115,"YYYYMMDD")))</f>
        <v>0.10970000000000001</v>
      </c>
      <c r="AL115" s="2" cm="1">
        <f t="array" ref="AL115">IF(hp!AL115=0,0,_xll.BDP(AL$4,"YAS_BOND_YLD", "YAS_BOND_PX",hp!AL115, "SETTLE_DT", TEXT(ya!$C115,"YYYYMMDD")))</f>
        <v>0</v>
      </c>
      <c r="AM115" s="2" cm="1">
        <f t="array" ref="AM115">IF(hp!AM115=0,0,_xll.BDP(AM$4,"YAS_BOND_YLD", "YAS_BOND_PX",hp!AM115, "SETTLE_DT", TEXT(ya!$C115,"YYYYMMDD")))</f>
        <v>11.358000000000001</v>
      </c>
      <c r="AN115" s="2" cm="1">
        <f t="array" ref="AN115">IF(hp!AN115=0,0,_xll.BDP(AN$4,"YAS_BOND_YLD", "YAS_BOND_PX",hp!AN115, "SETTLE_DT", TEXT(ya!$C115,"YYYYMMDD")))</f>
        <v>0.14949999999999999</v>
      </c>
      <c r="AO115" s="2" cm="1">
        <f t="array" ref="AO115">IF(hp!AO115=0,0,_xll.BDP(AO$4,"YAS_BOND_YLD", "YAS_BOND_PX",hp!AO115, "SETTLE_DT", TEXT(ya!$C115,"YYYYMMDD")))</f>
        <v>0.16900000000000001</v>
      </c>
      <c r="AP115" s="2" cm="1">
        <f t="array" ref="AP115">IF(hp!AP115=0,0,_xll.BDP(AP$4,"YAS_BOND_YLD", "YAS_BOND_PX",hp!AP115, "SETTLE_DT", TEXT(ya!$C115,"YYYYMMDD")))</f>
        <v>0</v>
      </c>
      <c r="AQ115" s="2" cm="1">
        <f t="array" ref="AQ115">IF(hp!AQ115=0,0,_xll.BDP(AQ$4,"YAS_BOND_YLD", "YAS_BOND_PX",hp!AQ115, "SETTLE_DT", TEXT(ya!$C115,"YYYYMMDD")))</f>
        <v>3.1199999999999999E-2</v>
      </c>
      <c r="AR115" s="2" cm="1">
        <f t="array" ref="AR115">IF(hp!AR115=0,0,_xll.BDP(AR$4,"YAS_BOND_YLD", "YAS_BOND_PX",hp!AR115, "SETTLE_DT", TEXT(ya!$C115,"YYYYMMDD")))</f>
        <v>6.0342000000000002</v>
      </c>
      <c r="AS115" s="2" cm="1">
        <f t="array" ref="AS115">IF(hp!AS115=0,0,_xll.BDP(AS$4,"YAS_BOND_YLD", "YAS_BOND_PX",hp!AS115, "SETTLE_DT", TEXT(ya!$C115,"YYYYMMDD")))</f>
        <v>0</v>
      </c>
      <c r="AT115" s="2" cm="1">
        <f t="array" ref="AT115">IF(hp!AT115=0,0,_xll.BDP(AT$4,"YAS_BOND_YLD", "YAS_BOND_PX",hp!AT115, "SETTLE_DT", TEXT(ya!$C115,"YYYYMMDD")))</f>
        <v>0</v>
      </c>
      <c r="AU115" s="2" cm="1">
        <f t="array" ref="AU115">IF(hp!AU115=0,0,_xll.BDP(AU$4,"YAS_BOND_YLD", "YAS_BOND_PX",hp!AU115, "SETTLE_DT", TEXT(ya!$C115,"YYYYMMDD")))</f>
        <v>0</v>
      </c>
      <c r="AV115" s="2" cm="1">
        <f t="array" ref="AV115">IF(hp!AV115=0,0,_xll.BDP(AV$4,"YAS_BOND_YLD", "YAS_BOND_PX",hp!AV115, "SETTLE_DT", TEXT(ya!$C115,"YYYYMMDD")))</f>
        <v>0.17580000000000001</v>
      </c>
      <c r="AW115" s="2" cm="1">
        <f t="array" ref="AW115">IF(hp!AW115=0,0,_xll.BDP(AW$4,"YAS_BOND_YLD", "YAS_BOND_PX",hp!AW115, "SETTLE_DT", TEXT(ya!$C115,"YYYYMMDD")))</f>
        <v>0</v>
      </c>
      <c r="AX115" s="2" cm="1">
        <f t="array" ref="AX115">IF(hp!AX115=0,0,_xll.BDP(AX$4,"YAS_BOND_YLD", "YAS_BOND_PX",hp!AX115, "SETTLE_DT", TEXT(ya!$C115,"YYYYMMDD")))</f>
        <v>0</v>
      </c>
      <c r="AY115" s="2" cm="1">
        <f t="array" ref="AY115">IF(hp!AY115=0,0,_xll.BDP(AY$4,"YAS_BOND_YLD", "YAS_BOND_PX",hp!AY115, "SETTLE_DT", TEXT(ya!$C115,"YYYYMMDD")))</f>
        <v>0</v>
      </c>
      <c r="AZ115" s="2" cm="1">
        <f t="array" ref="AZ115">IF(hp!AZ115=0,0,_xll.BDP(AZ$4,"YAS_BOND_YLD", "YAS_BOND_PX",hp!AZ115, "SETTLE_DT", TEXT(ya!$C115,"YYYYMMDD")))</f>
        <v>0</v>
      </c>
    </row>
    <row r="116" spans="1:52" x14ac:dyDescent="0.25">
      <c r="A116" s="1"/>
      <c r="B116" s="2"/>
      <c r="C116" s="1">
        <v>45443</v>
      </c>
      <c r="D116" s="2" cm="1">
        <f t="array" ref="D116">IF(hp!D116=0,0,_xll.BDP(D$4,"YAS_BOND_YLD", "YAS_BOND_PX",hp!D116, "SETTLE_DT", TEXT(ya!$C116,"YYYYMMDD")))</f>
        <v>11.858700000000001</v>
      </c>
      <c r="E116" s="2" cm="1">
        <f t="array" ref="E116">IF(hp!E116=0,0,_xll.BDP(E$4,"YAS_BOND_YLD", "YAS_BOND_PX",hp!E116, "SETTLE_DT", TEXT(ya!$C116,"YYYYMMDD")))</f>
        <v>11.805199999999999</v>
      </c>
      <c r="F116" s="2" cm="1">
        <f t="array" ref="F116">IF(hp!F116=0,0,_xll.BDP(F$4,"YAS_BOND_YLD", "YAS_BOND_PX",hp!F116, "SETTLE_DT", TEXT(ya!$C116,"YYYYMMDD")))</f>
        <v>11.061299999999999</v>
      </c>
      <c r="G116" s="2" cm="1">
        <f t="array" ref="G116">IF(hp!G116=0,0,_xll.BDP(G$4,"YAS_BOND_YLD", "YAS_BOND_PX",hp!G116, "SETTLE_DT", TEXT(ya!$C116,"YYYYMMDD")))</f>
        <v>6.1763000000000003</v>
      </c>
      <c r="H116" s="2" cm="1">
        <f t="array" ref="H116">IF(hp!H116=0,0,_xll.BDP(H$4,"YAS_BOND_YLD", "YAS_BOND_PX",hp!H116, "SETTLE_DT", TEXT(ya!$C116,"YYYYMMDD")))</f>
        <v>11.541</v>
      </c>
      <c r="I116" s="2" cm="1">
        <f t="array" ref="I116">IF(hp!I116=0,0,_xll.BDP(I$4,"YAS_BOND_YLD", "YAS_BOND_PX",hp!I116, "SETTLE_DT", TEXT(ya!$C116,"YYYYMMDD")))</f>
        <v>11.807700000000001</v>
      </c>
      <c r="J116" s="2" cm="1">
        <f t="array" ref="J116">IF(hp!J116=0,0,_xll.BDP(J$4,"YAS_BOND_YLD", "YAS_BOND_PX",hp!J116, "SETTLE_DT", TEXT(ya!$C116,"YYYYMMDD")))</f>
        <v>6.1742999999999997</v>
      </c>
      <c r="K116" s="2" cm="1">
        <f t="array" ref="K116">IF(hp!K116=0,0,_xll.BDP(K$4,"YAS_BOND_YLD", "YAS_BOND_PX",hp!K116, "SETTLE_DT", TEXT(ya!$C116,"YYYYMMDD")))</f>
        <v>10.7882</v>
      </c>
      <c r="L116" s="2" cm="1">
        <f t="array" ref="L116">IF(hp!L116=0,0,_xll.BDP(L$4,"YAS_BOND_YLD", "YAS_BOND_PX",hp!L116, "SETTLE_DT", TEXT(ya!$C116,"YYYYMMDD")))</f>
        <v>6.1252000000000004</v>
      </c>
      <c r="M116" s="2" cm="1">
        <f t="array" ref="M116">IF(hp!M116=0,0,_xll.BDP(M$4,"YAS_BOND_YLD", "YAS_BOND_PX",hp!M116, "SETTLE_DT", TEXT(ya!$C116,"YYYYMMDD")))</f>
        <v>6.2051999999999996</v>
      </c>
      <c r="N116" s="2" cm="1">
        <f t="array" ref="N116">IF(hp!N116=0,0,_xll.BDP(N$4,"YAS_BOND_YLD", "YAS_BOND_PX",hp!N116, "SETTLE_DT", TEXT(ya!$C116,"YYYYMMDD")))</f>
        <v>6.1719999999999997</v>
      </c>
      <c r="O116" s="2" cm="1">
        <f t="array" ref="O116">IF(hp!O116=0,0,_xll.BDP(O$4,"YAS_BOND_YLD", "YAS_BOND_PX",hp!O116, "SETTLE_DT", TEXT(ya!$C116,"YYYYMMDD")))</f>
        <v>6.1780999999999997</v>
      </c>
      <c r="P116" s="2" cm="1">
        <f t="array" ref="P116">IF(hp!P116=0,0,_xll.BDP(P$4,"YAS_BOND_YLD", "YAS_BOND_PX",hp!P116, "SETTLE_DT", TEXT(ya!$C116,"YYYYMMDD")))</f>
        <v>6.1661999999999999</v>
      </c>
      <c r="Q116" s="2" cm="1">
        <f t="array" ref="Q116">IF(hp!Q116=0,0,_xll.BDP(Q$4,"YAS_BOND_YLD", "YAS_BOND_PX",hp!Q116, "SETTLE_DT", TEXT(ya!$C116,"YYYYMMDD")))</f>
        <v>6.1634000000000002</v>
      </c>
      <c r="R116" s="2" cm="1">
        <f t="array" ref="R116">IF(hp!R116=0,0,_xll.BDP(R$4,"YAS_BOND_YLD", "YAS_BOND_PX",hp!R116, "SETTLE_DT", TEXT(ya!$C116,"YYYYMMDD")))</f>
        <v>11.025399999999999</v>
      </c>
      <c r="S116" s="2" cm="1">
        <f t="array" ref="S116">IF(hp!S116=0,0,_xll.BDP(S$4,"YAS_BOND_YLD", "YAS_BOND_PX",hp!S116, "SETTLE_DT", TEXT(ya!$C116,"YYYYMMDD")))</f>
        <v>10.9175</v>
      </c>
      <c r="T116" s="2" cm="1">
        <f t="array" ref="T116">IF(hp!T116=0,0,_xll.BDP(T$4,"YAS_BOND_YLD", "YAS_BOND_PX",hp!T116, "SETTLE_DT", TEXT(ya!$C116,"YYYYMMDD")))</f>
        <v>6.1814999999999998</v>
      </c>
      <c r="U116" s="2" cm="1">
        <f t="array" ref="U116">IF(hp!U116=0,0,_xll.BDP(U$4,"YAS_BOND_YLD", "YAS_BOND_PX",hp!U116, "SETTLE_DT", TEXT(ya!$C116,"YYYYMMDD")))</f>
        <v>6.1348000000000003</v>
      </c>
      <c r="V116" s="2" cm="1">
        <f t="array" ref="V116">IF(hp!V116=0,0,_xll.BDP(V$4,"YAS_BOND_YLD", "YAS_BOND_PX",hp!V116, "SETTLE_DT", TEXT(ya!$C116,"YYYYMMDD")))</f>
        <v>10.683199999999999</v>
      </c>
      <c r="W116" s="2" cm="1">
        <f t="array" ref="W116">IF(hp!W116=0,0,_xll.BDP(W$4,"YAS_BOND_YLD", "YAS_BOND_PX",hp!W116, "SETTLE_DT", TEXT(ya!$C116,"YYYYMMDD")))</f>
        <v>-1.7299999999999999E-2</v>
      </c>
      <c r="X116" s="2" cm="1">
        <f t="array" ref="X116">IF(hp!X116=0,0,_xll.BDP(X$4,"YAS_BOND_YLD", "YAS_BOND_PX",hp!X116, "SETTLE_DT", TEXT(ya!$C116,"YYYYMMDD")))</f>
        <v>0</v>
      </c>
      <c r="Y116" s="2" cm="1">
        <f t="array" ref="Y116">IF(hp!Y116=0,0,_xll.BDP(Y$4,"YAS_BOND_YLD", "YAS_BOND_PX",hp!Y116, "SETTLE_DT", TEXT(ya!$C116,"YYYYMMDD")))</f>
        <v>6.1802999999999999</v>
      </c>
      <c r="Z116" s="2" cm="1">
        <f t="array" ref="Z116">IF(hp!Z116=0,0,_xll.BDP(Z$4,"YAS_BOND_YLD", "YAS_BOND_PX",hp!Z116, "SETTLE_DT", TEXT(ya!$C116,"YYYYMMDD")))</f>
        <v>1.3899999999999999E-2</v>
      </c>
      <c r="AA116" s="2" cm="1">
        <f t="array" ref="AA116">IF(hp!AA116=0,0,_xll.BDP(AA$4,"YAS_BOND_YLD", "YAS_BOND_PX",hp!AA116, "SETTLE_DT", TEXT(ya!$C116,"YYYYMMDD")))</f>
        <v>11.883900000000001</v>
      </c>
      <c r="AB116" s="2" cm="1">
        <f t="array" ref="AB116">IF(hp!AB116=0,0,_xll.BDP(AB$4,"YAS_BOND_YLD", "YAS_BOND_PX",hp!AB116, "SETTLE_DT", TEXT(ya!$C116,"YYYYMMDD")))</f>
        <v>8.3299999999999999E-2</v>
      </c>
      <c r="AC116" s="2" cm="1">
        <f t="array" ref="AC116">IF(hp!AC116=0,0,_xll.BDP(AC$4,"YAS_BOND_YLD", "YAS_BOND_PX",hp!AC116, "SETTLE_DT", TEXT(ya!$C116,"YYYYMMDD")))</f>
        <v>11.344099999999999</v>
      </c>
      <c r="AD116" s="2" cm="1">
        <f t="array" ref="AD116">IF(hp!AD116=0,0,_xll.BDP(AD$4,"YAS_BOND_YLD", "YAS_BOND_PX",hp!AD116, "SETTLE_DT", TEXT(ya!$C116,"YYYYMMDD")))</f>
        <v>6.1585999999999999</v>
      </c>
      <c r="AE116" s="2" cm="1">
        <f t="array" ref="AE116">IF(hp!AE116=0,0,_xll.BDP(AE$4,"YAS_BOND_YLD", "YAS_BOND_PX",hp!AE116, "SETTLE_DT", TEXT(ya!$C116,"YYYYMMDD")))</f>
        <v>0</v>
      </c>
      <c r="AF116" s="2" cm="1">
        <f t="array" ref="AF116">IF(hp!AF116=0,0,_xll.BDP(AF$4,"YAS_BOND_YLD", "YAS_BOND_PX",hp!AF116, "SETTLE_DT", TEXT(ya!$C116,"YYYYMMDD")))</f>
        <v>0.1246</v>
      </c>
      <c r="AG116" s="2" cm="1">
        <f t="array" ref="AG116">IF(hp!AG116=0,0,_xll.BDP(AG$4,"YAS_BOND_YLD", "YAS_BOND_PX",hp!AG116, "SETTLE_DT", TEXT(ya!$C116,"YYYYMMDD")))</f>
        <v>0.1019</v>
      </c>
      <c r="AH116" s="2" cm="1">
        <f t="array" ref="AH116">IF(hp!AH116=0,0,_xll.BDP(AH$4,"YAS_BOND_YLD", "YAS_BOND_PX",hp!AH116, "SETTLE_DT", TEXT(ya!$C116,"YYYYMMDD")))</f>
        <v>0</v>
      </c>
      <c r="AI116" s="2" cm="1">
        <f t="array" ref="AI116">IF(hp!AI116=0,0,_xll.BDP(AI$4,"YAS_BOND_YLD", "YAS_BOND_PX",hp!AI116, "SETTLE_DT", TEXT(ya!$C116,"YYYYMMDD")))</f>
        <v>6.1656000000000004</v>
      </c>
      <c r="AJ116" s="2" cm="1">
        <f t="array" ref="AJ116">IF(hp!AJ116=0,0,_xll.BDP(AJ$4,"YAS_BOND_YLD", "YAS_BOND_PX",hp!AJ116, "SETTLE_DT", TEXT(ya!$C116,"YYYYMMDD")))</f>
        <v>0.14399999999999999</v>
      </c>
      <c r="AK116" s="2" cm="1">
        <f t="array" ref="AK116">IF(hp!AK116=0,0,_xll.BDP(AK$4,"YAS_BOND_YLD", "YAS_BOND_PX",hp!AK116, "SETTLE_DT", TEXT(ya!$C116,"YYYYMMDD")))</f>
        <v>0.114</v>
      </c>
      <c r="AL116" s="2" cm="1">
        <f t="array" ref="AL116">IF(hp!AL116=0,0,_xll.BDP(AL$4,"YAS_BOND_YLD", "YAS_BOND_PX",hp!AL116, "SETTLE_DT", TEXT(ya!$C116,"YYYYMMDD")))</f>
        <v>0</v>
      </c>
      <c r="AM116" s="2" cm="1">
        <f t="array" ref="AM116">IF(hp!AM116=0,0,_xll.BDP(AM$4,"YAS_BOND_YLD", "YAS_BOND_PX",hp!AM116, "SETTLE_DT", TEXT(ya!$C116,"YYYYMMDD")))</f>
        <v>11.525399999999999</v>
      </c>
      <c r="AN116" s="2" cm="1">
        <f t="array" ref="AN116">IF(hp!AN116=0,0,_xll.BDP(AN$4,"YAS_BOND_YLD", "YAS_BOND_PX",hp!AN116, "SETTLE_DT", TEXT(ya!$C116,"YYYYMMDD")))</f>
        <v>0.15290000000000001</v>
      </c>
      <c r="AO116" s="2" cm="1">
        <f t="array" ref="AO116">IF(hp!AO116=0,0,_xll.BDP(AO$4,"YAS_BOND_YLD", "YAS_BOND_PX",hp!AO116, "SETTLE_DT", TEXT(ya!$C116,"YYYYMMDD")))</f>
        <v>0.1676</v>
      </c>
      <c r="AP116" s="2" cm="1">
        <f t="array" ref="AP116">IF(hp!AP116=0,0,_xll.BDP(AP$4,"YAS_BOND_YLD", "YAS_BOND_PX",hp!AP116, "SETTLE_DT", TEXT(ya!$C116,"YYYYMMDD")))</f>
        <v>0</v>
      </c>
      <c r="AQ116" s="2" cm="1">
        <f t="array" ref="AQ116">IF(hp!AQ116=0,0,_xll.BDP(AQ$4,"YAS_BOND_YLD", "YAS_BOND_PX",hp!AQ116, "SETTLE_DT", TEXT(ya!$C116,"YYYYMMDD")))</f>
        <v>2.76E-2</v>
      </c>
      <c r="AR116" s="2" cm="1">
        <f t="array" ref="AR116">IF(hp!AR116=0,0,_xll.BDP(AR$4,"YAS_BOND_YLD", "YAS_BOND_PX",hp!AR116, "SETTLE_DT", TEXT(ya!$C116,"YYYYMMDD")))</f>
        <v>6.0506000000000002</v>
      </c>
      <c r="AS116" s="2" cm="1">
        <f t="array" ref="AS116">IF(hp!AS116=0,0,_xll.BDP(AS$4,"YAS_BOND_YLD", "YAS_BOND_PX",hp!AS116, "SETTLE_DT", TEXT(ya!$C116,"YYYYMMDD")))</f>
        <v>0</v>
      </c>
      <c r="AT116" s="2" cm="1">
        <f t="array" ref="AT116">IF(hp!AT116=0,0,_xll.BDP(AT$4,"YAS_BOND_YLD", "YAS_BOND_PX",hp!AT116, "SETTLE_DT", TEXT(ya!$C116,"YYYYMMDD")))</f>
        <v>0</v>
      </c>
      <c r="AU116" s="2" cm="1">
        <f t="array" ref="AU116">IF(hp!AU116=0,0,_xll.BDP(AU$4,"YAS_BOND_YLD", "YAS_BOND_PX",hp!AU116, "SETTLE_DT", TEXT(ya!$C116,"YYYYMMDD")))</f>
        <v>0</v>
      </c>
      <c r="AV116" s="2" cm="1">
        <f t="array" ref="AV116">IF(hp!AV116=0,0,_xll.BDP(AV$4,"YAS_BOND_YLD", "YAS_BOND_PX",hp!AV116, "SETTLE_DT", TEXT(ya!$C116,"YYYYMMDD")))</f>
        <v>0.18110000000000001</v>
      </c>
      <c r="AW116" s="2" cm="1">
        <f t="array" ref="AW116">IF(hp!AW116=0,0,_xll.BDP(AW$4,"YAS_BOND_YLD", "YAS_BOND_PX",hp!AW116, "SETTLE_DT", TEXT(ya!$C116,"YYYYMMDD")))</f>
        <v>0</v>
      </c>
      <c r="AX116" s="2" cm="1">
        <f t="array" ref="AX116">IF(hp!AX116=0,0,_xll.BDP(AX$4,"YAS_BOND_YLD", "YAS_BOND_PX",hp!AX116, "SETTLE_DT", TEXT(ya!$C116,"YYYYMMDD")))</f>
        <v>0</v>
      </c>
      <c r="AY116" s="2" cm="1">
        <f t="array" ref="AY116">IF(hp!AY116=0,0,_xll.BDP(AY$4,"YAS_BOND_YLD", "YAS_BOND_PX",hp!AY116, "SETTLE_DT", TEXT(ya!$C116,"YYYYMMDD")))</f>
        <v>0</v>
      </c>
      <c r="AZ116" s="2" cm="1">
        <f t="array" ref="AZ116">IF(hp!AZ116=0,0,_xll.BDP(AZ$4,"YAS_BOND_YLD", "YAS_BOND_PX",hp!AZ116, "SETTLE_DT", TEXT(ya!$C116,"YYYYMMDD")))</f>
        <v>0</v>
      </c>
    </row>
    <row r="117" spans="1:52" x14ac:dyDescent="0.25">
      <c r="A117" s="1"/>
      <c r="B117" s="2"/>
      <c r="C117" s="1">
        <v>45471</v>
      </c>
      <c r="D117" s="2" cm="1">
        <f t="array" ref="D117">IF(hp!D117=0,0,_xll.BDP(D$4,"YAS_BOND_YLD", "YAS_BOND_PX",hp!D117, "SETTLE_DT", TEXT(ya!$C117,"YYYYMMDD")))</f>
        <v>13.2941</v>
      </c>
      <c r="E117" s="2" cm="1">
        <f t="array" ref="E117">IF(hp!E117=0,0,_xll.BDP(E$4,"YAS_BOND_YLD", "YAS_BOND_PX",hp!E117, "SETTLE_DT", TEXT(ya!$C117,"YYYYMMDD")))</f>
        <v>13.7178</v>
      </c>
      <c r="F117" s="2" cm="1">
        <f t="array" ref="F117">IF(hp!F117=0,0,_xll.BDP(F$4,"YAS_BOND_YLD", "YAS_BOND_PX",hp!F117, "SETTLE_DT", TEXT(ya!$C117,"YYYYMMDD")))</f>
        <v>14.503399999999999</v>
      </c>
      <c r="G117" s="2" cm="1">
        <f t="array" ref="G117">IF(hp!G117=0,0,_xll.BDP(G$4,"YAS_BOND_YLD", "YAS_BOND_PX",hp!G117, "SETTLE_DT", TEXT(ya!$C117,"YYYYMMDD")))</f>
        <v>6.5061</v>
      </c>
      <c r="H117" s="2" cm="1">
        <f t="array" ref="H117">IF(hp!H117=0,0,_xll.BDP(H$4,"YAS_BOND_YLD", "YAS_BOND_PX",hp!H117, "SETTLE_DT", TEXT(ya!$C117,"YYYYMMDD")))</f>
        <v>13.889799999999999</v>
      </c>
      <c r="I117" s="2" cm="1">
        <f t="array" ref="I117">IF(hp!I117=0,0,_xll.BDP(I$4,"YAS_BOND_YLD", "YAS_BOND_PX",hp!I117, "SETTLE_DT", TEXT(ya!$C117,"YYYYMMDD")))</f>
        <v>13.4679</v>
      </c>
      <c r="J117" s="2" cm="1">
        <f t="array" ref="J117">IF(hp!J117=0,0,_xll.BDP(J$4,"YAS_BOND_YLD", "YAS_BOND_PX",hp!J117, "SETTLE_DT", TEXT(ya!$C117,"YYYYMMDD")))</f>
        <v>6.4988999999999999</v>
      </c>
      <c r="K117" s="2" cm="1">
        <f t="array" ref="K117">IF(hp!K117=0,0,_xll.BDP(K$4,"YAS_BOND_YLD", "YAS_BOND_PX",hp!K117, "SETTLE_DT", TEXT(ya!$C117,"YYYYMMDD")))</f>
        <v>11.513299999999999</v>
      </c>
      <c r="L117" s="2" cm="1">
        <f t="array" ref="L117">IF(hp!L117=0,0,_xll.BDP(L$4,"YAS_BOND_YLD", "YAS_BOND_PX",hp!L117, "SETTLE_DT", TEXT(ya!$C117,"YYYYMMDD")))</f>
        <v>6.4530000000000003</v>
      </c>
      <c r="M117" s="2" cm="1">
        <f t="array" ref="M117">IF(hp!M117=0,0,_xll.BDP(M$4,"YAS_BOND_YLD", "YAS_BOND_PX",hp!M117, "SETTLE_DT", TEXT(ya!$C117,"YYYYMMDD")))</f>
        <v>6.5396000000000001</v>
      </c>
      <c r="N117" s="2" cm="1">
        <f t="array" ref="N117">IF(hp!N117=0,0,_xll.BDP(N$4,"YAS_BOND_YLD", "YAS_BOND_PX",hp!N117, "SETTLE_DT", TEXT(ya!$C117,"YYYYMMDD")))</f>
        <v>6.5201000000000002</v>
      </c>
      <c r="O117" s="2" cm="1">
        <f t="array" ref="O117">IF(hp!O117=0,0,_xll.BDP(O$4,"YAS_BOND_YLD", "YAS_BOND_PX",hp!O117, "SETTLE_DT", TEXT(ya!$C117,"YYYYMMDD")))</f>
        <v>6.4955999999999996</v>
      </c>
      <c r="P117" s="2" cm="1">
        <f t="array" ref="P117">IF(hp!P117=0,0,_xll.BDP(P$4,"YAS_BOND_YLD", "YAS_BOND_PX",hp!P117, "SETTLE_DT", TEXT(ya!$C117,"YYYYMMDD")))</f>
        <v>6.5197000000000003</v>
      </c>
      <c r="Q117" s="2" cm="1">
        <f t="array" ref="Q117">IF(hp!Q117=0,0,_xll.BDP(Q$4,"YAS_BOND_YLD", "YAS_BOND_PX",hp!Q117, "SETTLE_DT", TEXT(ya!$C117,"YYYYMMDD")))</f>
        <v>6.4905999999999997</v>
      </c>
      <c r="R117" s="2" cm="1">
        <f t="array" ref="R117">IF(hp!R117=0,0,_xll.BDP(R$4,"YAS_BOND_YLD", "YAS_BOND_PX",hp!R117, "SETTLE_DT", TEXT(ya!$C117,"YYYYMMDD")))</f>
        <v>11.790100000000001</v>
      </c>
      <c r="S117" s="2" cm="1">
        <f t="array" ref="S117">IF(hp!S117=0,0,_xll.BDP(S$4,"YAS_BOND_YLD", "YAS_BOND_PX",hp!S117, "SETTLE_DT", TEXT(ya!$C117,"YYYYMMDD")))</f>
        <v>11.668900000000001</v>
      </c>
      <c r="T117" s="2" cm="1">
        <f t="array" ref="T117">IF(hp!T117=0,0,_xll.BDP(T$4,"YAS_BOND_YLD", "YAS_BOND_PX",hp!T117, "SETTLE_DT", TEXT(ya!$C117,"YYYYMMDD")))</f>
        <v>6.5321999999999996</v>
      </c>
      <c r="U117" s="2" cm="1">
        <f t="array" ref="U117">IF(hp!U117=0,0,_xll.BDP(U$4,"YAS_BOND_YLD", "YAS_BOND_PX",hp!U117, "SETTLE_DT", TEXT(ya!$C117,"YYYYMMDD")))</f>
        <v>6.4337</v>
      </c>
      <c r="V117" s="2" cm="1">
        <f t="array" ref="V117">IF(hp!V117=0,0,_xll.BDP(V$4,"YAS_BOND_YLD", "YAS_BOND_PX",hp!V117, "SETTLE_DT", TEXT(ya!$C117,"YYYYMMDD")))</f>
        <v>11.356999999999999</v>
      </c>
      <c r="W117" s="2" cm="1">
        <f t="array" ref="W117">IF(hp!W117=0,0,_xll.BDP(W$4,"YAS_BOND_YLD", "YAS_BOND_PX",hp!W117, "SETTLE_DT", TEXT(ya!$C117,"YYYYMMDD")))</f>
        <v>-3.8300000000000001E-2</v>
      </c>
      <c r="X117" s="2" cm="1">
        <f t="array" ref="X117">IF(hp!X117=0,0,_xll.BDP(X$4,"YAS_BOND_YLD", "YAS_BOND_PX",hp!X117, "SETTLE_DT", TEXT(ya!$C117,"YYYYMMDD")))</f>
        <v>0</v>
      </c>
      <c r="Y117" s="2" cm="1">
        <f t="array" ref="Y117">IF(hp!Y117=0,0,_xll.BDP(Y$4,"YAS_BOND_YLD", "YAS_BOND_PX",hp!Y117, "SETTLE_DT", TEXT(ya!$C117,"YYYYMMDD")))</f>
        <v>6.4978999999999996</v>
      </c>
      <c r="Z117" s="2" cm="1">
        <f t="array" ref="Z117">IF(hp!Z117=0,0,_xll.BDP(Z$4,"YAS_BOND_YLD", "YAS_BOND_PX",hp!Z117, "SETTLE_DT", TEXT(ya!$C117,"YYYYMMDD")))</f>
        <v>-2.5000000000000001E-3</v>
      </c>
      <c r="AA117" s="2" cm="1">
        <f t="array" ref="AA117">IF(hp!AA117=0,0,_xll.BDP(AA$4,"YAS_BOND_YLD", "YAS_BOND_PX",hp!AA117, "SETTLE_DT", TEXT(ya!$C117,"YYYYMMDD")))</f>
        <v>12.5047</v>
      </c>
      <c r="AB117" s="2" cm="1">
        <f t="array" ref="AB117">IF(hp!AB117=0,0,_xll.BDP(AB$4,"YAS_BOND_YLD", "YAS_BOND_PX",hp!AB117, "SETTLE_DT", TEXT(ya!$C117,"YYYYMMDD")))</f>
        <v>6.4500000000000002E-2</v>
      </c>
      <c r="AC117" s="2" cm="1">
        <f t="array" ref="AC117">IF(hp!AC117=0,0,_xll.BDP(AC$4,"YAS_BOND_YLD", "YAS_BOND_PX",hp!AC117, "SETTLE_DT", TEXT(ya!$C117,"YYYYMMDD")))</f>
        <v>12.093</v>
      </c>
      <c r="AD117" s="2" cm="1">
        <f t="array" ref="AD117">IF(hp!AD117=0,0,_xll.BDP(AD$4,"YAS_BOND_YLD", "YAS_BOND_PX",hp!AD117, "SETTLE_DT", TEXT(ya!$C117,"YYYYMMDD")))</f>
        <v>6.4705000000000004</v>
      </c>
      <c r="AE117" s="2" cm="1">
        <f t="array" ref="AE117">IF(hp!AE117=0,0,_xll.BDP(AE$4,"YAS_BOND_YLD", "YAS_BOND_PX",hp!AE117, "SETTLE_DT", TEXT(ya!$C117,"YYYYMMDD")))</f>
        <v>0</v>
      </c>
      <c r="AF117" s="2" cm="1">
        <f t="array" ref="AF117">IF(hp!AF117=0,0,_xll.BDP(AF$4,"YAS_BOND_YLD", "YAS_BOND_PX",hp!AF117, "SETTLE_DT", TEXT(ya!$C117,"YYYYMMDD")))</f>
        <v>0.1268</v>
      </c>
      <c r="AG117" s="2" cm="1">
        <f t="array" ref="AG117">IF(hp!AG117=0,0,_xll.BDP(AG$4,"YAS_BOND_YLD", "YAS_BOND_PX",hp!AG117, "SETTLE_DT", TEXT(ya!$C117,"YYYYMMDD")))</f>
        <v>0.1038</v>
      </c>
      <c r="AH117" s="2" cm="1">
        <f t="array" ref="AH117">IF(hp!AH117=0,0,_xll.BDP(AH$4,"YAS_BOND_YLD", "YAS_BOND_PX",hp!AH117, "SETTLE_DT", TEXT(ya!$C117,"YYYYMMDD")))</f>
        <v>0</v>
      </c>
      <c r="AI117" s="2" cm="1">
        <f t="array" ref="AI117">IF(hp!AI117=0,0,_xll.BDP(AI$4,"YAS_BOND_YLD", "YAS_BOND_PX",hp!AI117, "SETTLE_DT", TEXT(ya!$C117,"YYYYMMDD")))</f>
        <v>6.5129000000000001</v>
      </c>
      <c r="AJ117" s="2" cm="1">
        <f t="array" ref="AJ117">IF(hp!AJ117=0,0,_xll.BDP(AJ$4,"YAS_BOND_YLD", "YAS_BOND_PX",hp!AJ117, "SETTLE_DT", TEXT(ya!$C117,"YYYYMMDD")))</f>
        <v>0.14729999999999999</v>
      </c>
      <c r="AK117" s="2" cm="1">
        <f t="array" ref="AK117">IF(hp!AK117=0,0,_xll.BDP(AK$4,"YAS_BOND_YLD", "YAS_BOND_PX",hp!AK117, "SETTLE_DT", TEXT(ya!$C117,"YYYYMMDD")))</f>
        <v>0.11609999999999999</v>
      </c>
      <c r="AL117" s="2" cm="1">
        <f t="array" ref="AL117">IF(hp!AL117=0,0,_xll.BDP(AL$4,"YAS_BOND_YLD", "YAS_BOND_PX",hp!AL117, "SETTLE_DT", TEXT(ya!$C117,"YYYYMMDD")))</f>
        <v>0</v>
      </c>
      <c r="AM117" s="2" cm="1">
        <f t="array" ref="AM117">IF(hp!AM117=0,0,_xll.BDP(AM$4,"YAS_BOND_YLD", "YAS_BOND_PX",hp!AM117, "SETTLE_DT", TEXT(ya!$C117,"YYYYMMDD")))</f>
        <v>12.218999999999999</v>
      </c>
      <c r="AN117" s="2" cm="1">
        <f t="array" ref="AN117">IF(hp!AN117=0,0,_xll.BDP(AN$4,"YAS_BOND_YLD", "YAS_BOND_PX",hp!AN117, "SETTLE_DT", TEXT(ya!$C117,"YYYYMMDD")))</f>
        <v>0.1552</v>
      </c>
      <c r="AO117" s="2" cm="1">
        <f t="array" ref="AO117">IF(hp!AO117=0,0,_xll.BDP(AO$4,"YAS_BOND_YLD", "YAS_BOND_PX",hp!AO117, "SETTLE_DT", TEXT(ya!$C117,"YYYYMMDD")))</f>
        <v>0.16789999999999999</v>
      </c>
      <c r="AP117" s="2" cm="1">
        <f t="array" ref="AP117">IF(hp!AP117=0,0,_xll.BDP(AP$4,"YAS_BOND_YLD", "YAS_BOND_PX",hp!AP117, "SETTLE_DT", TEXT(ya!$C117,"YYYYMMDD")))</f>
        <v>0</v>
      </c>
      <c r="AQ117" s="2" cm="1">
        <f t="array" ref="AQ117">IF(hp!AQ117=0,0,_xll.BDP(AQ$4,"YAS_BOND_YLD", "YAS_BOND_PX",hp!AQ117, "SETTLE_DT", TEXT(ya!$C117,"YYYYMMDD")))</f>
        <v>1.4200000000000001E-2</v>
      </c>
      <c r="AR117" s="2" cm="1">
        <f t="array" ref="AR117">IF(hp!AR117=0,0,_xll.BDP(AR$4,"YAS_BOND_YLD", "YAS_BOND_PX",hp!AR117, "SETTLE_DT", TEXT(ya!$C117,"YYYYMMDD")))</f>
        <v>7.1569000000000003</v>
      </c>
      <c r="AS117" s="2" cm="1">
        <f t="array" ref="AS117">IF(hp!AS117=0,0,_xll.BDP(AS$4,"YAS_BOND_YLD", "YAS_BOND_PX",hp!AS117, "SETTLE_DT", TEXT(ya!$C117,"YYYYMMDD")))</f>
        <v>0</v>
      </c>
      <c r="AT117" s="2" cm="1">
        <f t="array" ref="AT117">IF(hp!AT117=0,0,_xll.BDP(AT$4,"YAS_BOND_YLD", "YAS_BOND_PX",hp!AT117, "SETTLE_DT", TEXT(ya!$C117,"YYYYMMDD")))</f>
        <v>0</v>
      </c>
      <c r="AU117" s="2" cm="1">
        <f t="array" ref="AU117">IF(hp!AU117=0,0,_xll.BDP(AU$4,"YAS_BOND_YLD", "YAS_BOND_PX",hp!AU117, "SETTLE_DT", TEXT(ya!$C117,"YYYYMMDD")))</f>
        <v>0</v>
      </c>
      <c r="AV117" s="2" cm="1">
        <f t="array" ref="AV117">IF(hp!AV117=0,0,_xll.BDP(AV$4,"YAS_BOND_YLD", "YAS_BOND_PX",hp!AV117, "SETTLE_DT", TEXT(ya!$C117,"YYYYMMDD")))</f>
        <v>0.17449999999999999</v>
      </c>
      <c r="AW117" s="2" cm="1">
        <f t="array" ref="AW117">IF(hp!AW117=0,0,_xll.BDP(AW$4,"YAS_BOND_YLD", "YAS_BOND_PX",hp!AW117, "SETTLE_DT", TEXT(ya!$C117,"YYYYMMDD")))</f>
        <v>0</v>
      </c>
      <c r="AX117" s="2" cm="1">
        <f t="array" ref="AX117">IF(hp!AX117=0,0,_xll.BDP(AX$4,"YAS_BOND_YLD", "YAS_BOND_PX",hp!AX117, "SETTLE_DT", TEXT(ya!$C117,"YYYYMMDD")))</f>
        <v>0</v>
      </c>
      <c r="AY117" s="2" cm="1">
        <f t="array" ref="AY117">IF(hp!AY117=0,0,_xll.BDP(AY$4,"YAS_BOND_YLD", "YAS_BOND_PX",hp!AY117, "SETTLE_DT", TEXT(ya!$C117,"YYYYMMDD")))</f>
        <v>0</v>
      </c>
      <c r="AZ117" s="2" cm="1">
        <f t="array" ref="AZ117">IF(hp!AZ117=0,0,_xll.BDP(AZ$4,"YAS_BOND_YLD", "YAS_BOND_PX",hp!AZ117, "SETTLE_DT", TEXT(ya!$C117,"YYYYMMDD")))</f>
        <v>0</v>
      </c>
    </row>
    <row r="118" spans="1:52" x14ac:dyDescent="0.25">
      <c r="A118" s="1"/>
      <c r="B118" s="2"/>
      <c r="C118" s="1">
        <v>45504</v>
      </c>
      <c r="D118" s="2" cm="1">
        <f t="array" ref="D118">IF(hp!D118=0,0,_xll.BDP(D$4,"YAS_BOND_YLD", "YAS_BOND_PX",hp!D118, "SETTLE_DT", TEXT(ya!$C118,"YYYYMMDD")))</f>
        <v>11.9107</v>
      </c>
      <c r="E118" s="2" cm="1">
        <f t="array" ref="E118">IF(hp!E118=0,0,_xll.BDP(E$4,"YAS_BOND_YLD", "YAS_BOND_PX",hp!E118, "SETTLE_DT", TEXT(ya!$C118,"YYYYMMDD")))</f>
        <v>12.007300000000001</v>
      </c>
      <c r="F118" s="2" cm="1">
        <f t="array" ref="F118">IF(hp!F118=0,0,_xll.BDP(F$4,"YAS_BOND_YLD", "YAS_BOND_PX",hp!F118, "SETTLE_DT", TEXT(ya!$C118,"YYYYMMDD")))</f>
        <v>11.756</v>
      </c>
      <c r="G118" s="2" cm="1">
        <f t="array" ref="G118">IF(hp!G118=0,0,_xll.BDP(G$4,"YAS_BOND_YLD", "YAS_BOND_PX",hp!G118, "SETTLE_DT", TEXT(ya!$C118,"YYYYMMDD")))</f>
        <v>6.1980000000000004</v>
      </c>
      <c r="H118" s="2" cm="1">
        <f t="array" ref="H118">IF(hp!H118=0,0,_xll.BDP(H$4,"YAS_BOND_YLD", "YAS_BOND_PX",hp!H118, "SETTLE_DT", TEXT(ya!$C118,"YYYYMMDD")))</f>
        <v>11.9193</v>
      </c>
      <c r="I118" s="2" cm="1">
        <f t="array" ref="I118">IF(hp!I118=0,0,_xll.BDP(I$4,"YAS_BOND_YLD", "YAS_BOND_PX",hp!I118, "SETTLE_DT", TEXT(ya!$C118,"YYYYMMDD")))</f>
        <v>11.9224</v>
      </c>
      <c r="J118" s="2" cm="1">
        <f t="array" ref="J118">IF(hp!J118=0,0,_xll.BDP(J$4,"YAS_BOND_YLD", "YAS_BOND_PX",hp!J118, "SETTLE_DT", TEXT(ya!$C118,"YYYYMMDD")))</f>
        <v>6.2777000000000003</v>
      </c>
      <c r="K118" s="2" cm="1">
        <f t="array" ref="K118">IF(hp!K118=0,0,_xll.BDP(K$4,"YAS_BOND_YLD", "YAS_BOND_PX",hp!K118, "SETTLE_DT", TEXT(ya!$C118,"YYYYMMDD")))</f>
        <v>11.574300000000001</v>
      </c>
      <c r="L118" s="2" cm="1">
        <f t="array" ref="L118">IF(hp!L118=0,0,_xll.BDP(L$4,"YAS_BOND_YLD", "YAS_BOND_PX",hp!L118, "SETTLE_DT", TEXT(ya!$C118,"YYYYMMDD")))</f>
        <v>6.2530999999999999</v>
      </c>
      <c r="M118" s="2" cm="1">
        <f t="array" ref="M118">IF(hp!M118=0,0,_xll.BDP(M$4,"YAS_BOND_YLD", "YAS_BOND_PX",hp!M118, "SETTLE_DT", TEXT(ya!$C118,"YYYYMMDD")))</f>
        <v>6.4675000000000002</v>
      </c>
      <c r="N118" s="2" cm="1">
        <f t="array" ref="N118">IF(hp!N118=0,0,_xll.BDP(N$4,"YAS_BOND_YLD", "YAS_BOND_PX",hp!N118, "SETTLE_DT", TEXT(ya!$C118,"YYYYMMDD")))</f>
        <v>6.5872999999999999</v>
      </c>
      <c r="O118" s="2" cm="1">
        <f t="array" ref="O118">IF(hp!O118=0,0,_xll.BDP(O$4,"YAS_BOND_YLD", "YAS_BOND_PX",hp!O118, "SETTLE_DT", TEXT(ya!$C118,"YYYYMMDD")))</f>
        <v>6.2553000000000001</v>
      </c>
      <c r="P118" s="2" cm="1">
        <f t="array" ref="P118">IF(hp!P118=0,0,_xll.BDP(P$4,"YAS_BOND_YLD", "YAS_BOND_PX",hp!P118, "SETTLE_DT", TEXT(ya!$C118,"YYYYMMDD")))</f>
        <v>6.2443999999999997</v>
      </c>
      <c r="Q118" s="2" cm="1">
        <f t="array" ref="Q118">IF(hp!Q118=0,0,_xll.BDP(Q$4,"YAS_BOND_YLD", "YAS_BOND_PX",hp!Q118, "SETTLE_DT", TEXT(ya!$C118,"YYYYMMDD")))</f>
        <v>6.2725999999999997</v>
      </c>
      <c r="R118" s="2" cm="1">
        <f t="array" ref="R118">IF(hp!R118=0,0,_xll.BDP(R$4,"YAS_BOND_YLD", "YAS_BOND_PX",hp!R118, "SETTLE_DT", TEXT(ya!$C118,"YYYYMMDD")))</f>
        <v>11.787599999999999</v>
      </c>
      <c r="S118" s="2" cm="1">
        <f t="array" ref="S118">IF(hp!S118=0,0,_xll.BDP(S$4,"YAS_BOND_YLD", "YAS_BOND_PX",hp!S118, "SETTLE_DT", TEXT(ya!$C118,"YYYYMMDD")))</f>
        <v>11.7075</v>
      </c>
      <c r="T118" s="2" cm="1">
        <f t="array" ref="T118">IF(hp!T118=0,0,_xll.BDP(T$4,"YAS_BOND_YLD", "YAS_BOND_PX",hp!T118, "SETTLE_DT", TEXT(ya!$C118,"YYYYMMDD")))</f>
        <v>6.4978999999999996</v>
      </c>
      <c r="U118" s="2" cm="1">
        <f t="array" ref="U118">IF(hp!U118=0,0,_xll.BDP(U$4,"YAS_BOND_YLD", "YAS_BOND_PX",hp!U118, "SETTLE_DT", TEXT(ya!$C118,"YYYYMMDD")))</f>
        <v>6.1467999999999998</v>
      </c>
      <c r="V118" s="2" cm="1">
        <f t="array" ref="V118">IF(hp!V118=0,0,_xll.BDP(V$4,"YAS_BOND_YLD", "YAS_BOND_PX",hp!V118, "SETTLE_DT", TEXT(ya!$C118,"YYYYMMDD")))</f>
        <v>11.4466</v>
      </c>
      <c r="W118" s="2" cm="1">
        <f t="array" ref="W118">IF(hp!W118=0,0,_xll.BDP(W$4,"YAS_BOND_YLD", "YAS_BOND_PX",hp!W118, "SETTLE_DT", TEXT(ya!$C118,"YYYYMMDD")))</f>
        <v>-3.9600000000000003E-2</v>
      </c>
      <c r="X118" s="2" cm="1">
        <f t="array" ref="X118">IF(hp!X118=0,0,_xll.BDP(X$4,"YAS_BOND_YLD", "YAS_BOND_PX",hp!X118, "SETTLE_DT", TEXT(ya!$C118,"YYYYMMDD")))</f>
        <v>0</v>
      </c>
      <c r="Y118" s="2" cm="1">
        <f t="array" ref="Y118">IF(hp!Y118=0,0,_xll.BDP(Y$4,"YAS_BOND_YLD", "YAS_BOND_PX",hp!Y118, "SETTLE_DT", TEXT(ya!$C118,"YYYYMMDD")))</f>
        <v>6.3574999999999999</v>
      </c>
      <c r="Z118" s="2" cm="1">
        <f t="array" ref="Z118">IF(hp!Z118=0,0,_xll.BDP(Z$4,"YAS_BOND_YLD", "YAS_BOND_PX",hp!Z118, "SETTLE_DT", TEXT(ya!$C118,"YYYYMMDD")))</f>
        <v>-7.3000000000000001E-3</v>
      </c>
      <c r="AA118" s="2" cm="1">
        <f t="array" ref="AA118">IF(hp!AA118=0,0,_xll.BDP(AA$4,"YAS_BOND_YLD", "YAS_BOND_PX",hp!AA118, "SETTLE_DT", TEXT(ya!$C118,"YYYYMMDD")))</f>
        <v>12.1518</v>
      </c>
      <c r="AB118" s="2" cm="1">
        <f t="array" ref="AB118">IF(hp!AB118=0,0,_xll.BDP(AB$4,"YAS_BOND_YLD", "YAS_BOND_PX",hp!AB118, "SETTLE_DT", TEXT(ya!$C118,"YYYYMMDD")))</f>
        <v>6.3100000000000003E-2</v>
      </c>
      <c r="AC118" s="2" cm="1">
        <f t="array" ref="AC118">IF(hp!AC118=0,0,_xll.BDP(AC$4,"YAS_BOND_YLD", "YAS_BOND_PX",hp!AC118, "SETTLE_DT", TEXT(ya!$C118,"YYYYMMDD")))</f>
        <v>11.9267</v>
      </c>
      <c r="AD118" s="2" cm="1">
        <f t="array" ref="AD118">IF(hp!AD118=0,0,_xll.BDP(AD$4,"YAS_BOND_YLD", "YAS_BOND_PX",hp!AD118, "SETTLE_DT", TEXT(ya!$C118,"YYYYMMDD")))</f>
        <v>6.2378</v>
      </c>
      <c r="AE118" s="2" cm="1">
        <f t="array" ref="AE118">IF(hp!AE118=0,0,_xll.BDP(AE$4,"YAS_BOND_YLD", "YAS_BOND_PX",hp!AE118, "SETTLE_DT", TEXT(ya!$C118,"YYYYMMDD")))</f>
        <v>0</v>
      </c>
      <c r="AF118" s="2" cm="1">
        <f t="array" ref="AF118">IF(hp!AF118=0,0,_xll.BDP(AF$4,"YAS_BOND_YLD", "YAS_BOND_PX",hp!AF118, "SETTLE_DT", TEXT(ya!$C118,"YYYYMMDD")))</f>
        <v>0.1211</v>
      </c>
      <c r="AG118" s="2" cm="1">
        <f t="array" ref="AG118">IF(hp!AG118=0,0,_xll.BDP(AG$4,"YAS_BOND_YLD", "YAS_BOND_PX",hp!AG118, "SETTLE_DT", TEXT(ya!$C118,"YYYYMMDD")))</f>
        <v>9.5500000000000002E-2</v>
      </c>
      <c r="AH118" s="2" cm="1">
        <f t="array" ref="AH118">IF(hp!AH118=0,0,_xll.BDP(AH$4,"YAS_BOND_YLD", "YAS_BOND_PX",hp!AH118, "SETTLE_DT", TEXT(ya!$C118,"YYYYMMDD")))</f>
        <v>0</v>
      </c>
      <c r="AI118" s="2" cm="1">
        <f t="array" ref="AI118">IF(hp!AI118=0,0,_xll.BDP(AI$4,"YAS_BOND_YLD", "YAS_BOND_PX",hp!AI118, "SETTLE_DT", TEXT(ya!$C118,"YYYYMMDD")))</f>
        <v>6.2348999999999997</v>
      </c>
      <c r="AJ118" s="2" cm="1">
        <f t="array" ref="AJ118">IF(hp!AJ118=0,0,_xll.BDP(AJ$4,"YAS_BOND_YLD", "YAS_BOND_PX",hp!AJ118, "SETTLE_DT", TEXT(ya!$C118,"YYYYMMDD")))</f>
        <v>0.1396</v>
      </c>
      <c r="AK118" s="2" cm="1">
        <f t="array" ref="AK118">IF(hp!AK118=0,0,_xll.BDP(AK$4,"YAS_BOND_YLD", "YAS_BOND_PX",hp!AK118, "SETTLE_DT", TEXT(ya!$C118,"YYYYMMDD")))</f>
        <v>0.1057</v>
      </c>
      <c r="AL118" s="2" cm="1">
        <f t="array" ref="AL118">IF(hp!AL118=0,0,_xll.BDP(AL$4,"YAS_BOND_YLD", "YAS_BOND_PX",hp!AL118, "SETTLE_DT", TEXT(ya!$C118,"YYYYMMDD")))</f>
        <v>0</v>
      </c>
      <c r="AM118" s="2" cm="1">
        <f t="array" ref="AM118">IF(hp!AM118=0,0,_xll.BDP(AM$4,"YAS_BOND_YLD", "YAS_BOND_PX",hp!AM118, "SETTLE_DT", TEXT(ya!$C118,"YYYYMMDD")))</f>
        <v>11.986800000000001</v>
      </c>
      <c r="AN118" s="2" cm="1">
        <f t="array" ref="AN118">IF(hp!AN118=0,0,_xll.BDP(AN$4,"YAS_BOND_YLD", "YAS_BOND_PX",hp!AN118, "SETTLE_DT", TEXT(ya!$C118,"YYYYMMDD")))</f>
        <v>0.14849999999999999</v>
      </c>
      <c r="AO118" s="2" cm="1">
        <f t="array" ref="AO118">IF(hp!AO118=0,0,_xll.BDP(AO$4,"YAS_BOND_YLD", "YAS_BOND_PX",hp!AO118, "SETTLE_DT", TEXT(ya!$C118,"YYYYMMDD")))</f>
        <v>0.15590000000000001</v>
      </c>
      <c r="AP118" s="2" cm="1">
        <f t="array" ref="AP118">IF(hp!AP118=0,0,_xll.BDP(AP$4,"YAS_BOND_YLD", "YAS_BOND_PX",hp!AP118, "SETTLE_DT", TEXT(ya!$C118,"YYYYMMDD")))</f>
        <v>12.054</v>
      </c>
      <c r="AQ118" s="2" cm="1">
        <f t="array" ref="AQ118">IF(hp!AQ118=0,0,_xll.BDP(AQ$4,"YAS_BOND_YLD", "YAS_BOND_PX",hp!AQ118, "SETTLE_DT", TEXT(ya!$C118,"YYYYMMDD")))</f>
        <v>2.8E-3</v>
      </c>
      <c r="AR118" s="2" cm="1">
        <f t="array" ref="AR118">IF(hp!AR118=0,0,_xll.BDP(AR$4,"YAS_BOND_YLD", "YAS_BOND_PX",hp!AR118, "SETTLE_DT", TEXT(ya!$C118,"YYYYMMDD")))</f>
        <v>6.0864000000000003</v>
      </c>
      <c r="AS118" s="2" cm="1">
        <f t="array" ref="AS118">IF(hp!AS118=0,0,_xll.BDP(AS$4,"YAS_BOND_YLD", "YAS_BOND_PX",hp!AS118, "SETTLE_DT", TEXT(ya!$C118,"YYYYMMDD")))</f>
        <v>11.8474</v>
      </c>
      <c r="AT118" s="2" cm="1">
        <f t="array" ref="AT118">IF(hp!AT118=0,0,_xll.BDP(AT$4,"YAS_BOND_YLD", "YAS_BOND_PX",hp!AT118, "SETTLE_DT", TEXT(ya!$C118,"YYYYMMDD")))</f>
        <v>0.16420000000000001</v>
      </c>
      <c r="AU118" s="2" cm="1">
        <f t="array" ref="AU118">IF(hp!AU118=0,0,_xll.BDP(AU$4,"YAS_BOND_YLD", "YAS_BOND_PX",hp!AU118, "SETTLE_DT", TEXT(ya!$C118,"YYYYMMDD")))</f>
        <v>0</v>
      </c>
      <c r="AV118" s="2" cm="1">
        <f t="array" ref="AV118">IF(hp!AV118=0,0,_xll.BDP(AV$4,"YAS_BOND_YLD", "YAS_BOND_PX",hp!AV118, "SETTLE_DT", TEXT(ya!$C118,"YYYYMMDD")))</f>
        <v>0.16089999999999999</v>
      </c>
      <c r="AW118" s="2" cm="1">
        <f t="array" ref="AW118">IF(hp!AW118=0,0,_xll.BDP(AW$4,"YAS_BOND_YLD", "YAS_BOND_PX",hp!AW118, "SETTLE_DT", TEXT(ya!$C118,"YYYYMMDD")))</f>
        <v>0</v>
      </c>
      <c r="AX118" s="2" cm="1">
        <f t="array" ref="AX118">IF(hp!AX118=0,0,_xll.BDP(AX$4,"YAS_BOND_YLD", "YAS_BOND_PX",hp!AX118, "SETTLE_DT", TEXT(ya!$C118,"YYYYMMDD")))</f>
        <v>0</v>
      </c>
      <c r="AY118" s="2" cm="1">
        <f t="array" ref="AY118">IF(hp!AY118=0,0,_xll.BDP(AY$4,"YAS_BOND_YLD", "YAS_BOND_PX",hp!AY118, "SETTLE_DT", TEXT(ya!$C118,"YYYYMMDD")))</f>
        <v>0</v>
      </c>
      <c r="AZ118" s="2" cm="1">
        <f t="array" ref="AZ118">IF(hp!AZ118=0,0,_xll.BDP(AZ$4,"YAS_BOND_YLD", "YAS_BOND_PX",hp!AZ118, "SETTLE_DT", TEXT(ya!$C118,"YYYYMMDD")))</f>
        <v>0</v>
      </c>
    </row>
    <row r="119" spans="1:52" x14ac:dyDescent="0.25">
      <c r="A119" s="1"/>
      <c r="B119" s="2"/>
      <c r="C119" s="1">
        <v>45534</v>
      </c>
      <c r="D119" s="2" cm="1">
        <f t="array" ref="D119">IF(hp!D119=0,0,_xll.BDP(D$4,"YAS_BOND_YLD", "YAS_BOND_PX",hp!D119, "SETTLE_DT", TEXT(ya!$C119,"YYYYMMDD")))</f>
        <v>12.1173</v>
      </c>
      <c r="E119" s="2" cm="1">
        <f t="array" ref="E119">IF(hp!E119=0,0,_xll.BDP(E$4,"YAS_BOND_YLD", "YAS_BOND_PX",hp!E119, "SETTLE_DT", TEXT(ya!$C119,"YYYYMMDD")))</f>
        <v>12.1724</v>
      </c>
      <c r="F119" s="2" cm="1">
        <f t="array" ref="F119">IF(hp!F119=0,0,_xll.BDP(F$4,"YAS_BOND_YLD", "YAS_BOND_PX",hp!F119, "SETTLE_DT", TEXT(ya!$C119,"YYYYMMDD")))</f>
        <v>11.932600000000001</v>
      </c>
      <c r="G119" s="2" cm="1">
        <f t="array" ref="G119">IF(hp!G119=0,0,_xll.BDP(G$4,"YAS_BOND_YLD", "YAS_BOND_PX",hp!G119, "SETTLE_DT", TEXT(ya!$C119,"YYYYMMDD")))</f>
        <v>6.2379999999999995</v>
      </c>
      <c r="H119" s="2" cm="1">
        <f t="array" ref="H119">IF(hp!H119=0,0,_xll.BDP(H$4,"YAS_BOND_YLD", "YAS_BOND_PX",hp!H119, "SETTLE_DT", TEXT(ya!$C119,"YYYYMMDD")))</f>
        <v>12.13</v>
      </c>
      <c r="I119" s="2" cm="1">
        <f t="array" ref="I119">IF(hp!I119=0,0,_xll.BDP(I$4,"YAS_BOND_YLD", "YAS_BOND_PX",hp!I119, "SETTLE_DT", TEXT(ya!$C119,"YYYYMMDD")))</f>
        <v>12.1191</v>
      </c>
      <c r="J119" s="2" cm="1">
        <f t="array" ref="J119">IF(hp!J119=0,0,_xll.BDP(J$4,"YAS_BOND_YLD", "YAS_BOND_PX",hp!J119, "SETTLE_DT", TEXT(ya!$C119,"YYYYMMDD")))</f>
        <v>6.2523</v>
      </c>
      <c r="K119" s="2" cm="1">
        <f t="array" ref="K119">IF(hp!K119=0,0,_xll.BDP(K$4,"YAS_BOND_YLD", "YAS_BOND_PX",hp!K119, "SETTLE_DT", TEXT(ya!$C119,"YYYYMMDD")))</f>
        <v>11.7834</v>
      </c>
      <c r="L119" s="2" cm="1">
        <f t="array" ref="L119">IF(hp!L119=0,0,_xll.BDP(L$4,"YAS_BOND_YLD", "YAS_BOND_PX",hp!L119, "SETTLE_DT", TEXT(ya!$C119,"YYYYMMDD")))</f>
        <v>6.2569999999999997</v>
      </c>
      <c r="M119" s="2" cm="1">
        <f t="array" ref="M119">IF(hp!M119=0,0,_xll.BDP(M$4,"YAS_BOND_YLD", "YAS_BOND_PX",hp!M119, "SETTLE_DT", TEXT(ya!$C119,"YYYYMMDD")))</f>
        <v>6.4843000000000002</v>
      </c>
      <c r="N119" s="2" cm="1">
        <f t="array" ref="N119">IF(hp!N119=0,0,_xll.BDP(N$4,"YAS_BOND_YLD", "YAS_BOND_PX",hp!N119, "SETTLE_DT", TEXT(ya!$C119,"YYYYMMDD")))</f>
        <v>6.6815999999999995</v>
      </c>
      <c r="O119" s="2" cm="1">
        <f t="array" ref="O119">IF(hp!O119=0,0,_xll.BDP(O$4,"YAS_BOND_YLD", "YAS_BOND_PX",hp!O119, "SETTLE_DT", TEXT(ya!$C119,"YYYYMMDD")))</f>
        <v>6.2562999999999995</v>
      </c>
      <c r="P119" s="2" cm="1">
        <f t="array" ref="P119">IF(hp!P119=0,0,_xll.BDP(P$4,"YAS_BOND_YLD", "YAS_BOND_PX",hp!P119, "SETTLE_DT", TEXT(ya!$C119,"YYYYMMDD")))</f>
        <v>6.2590000000000003</v>
      </c>
      <c r="Q119" s="2" cm="1">
        <f t="array" ref="Q119">IF(hp!Q119=0,0,_xll.BDP(Q$4,"YAS_BOND_YLD", "YAS_BOND_PX",hp!Q119, "SETTLE_DT", TEXT(ya!$C119,"YYYYMMDD")))</f>
        <v>6.2409999999999997</v>
      </c>
      <c r="R119" s="2" cm="1">
        <f t="array" ref="R119">IF(hp!R119=0,0,_xll.BDP(R$4,"YAS_BOND_YLD", "YAS_BOND_PX",hp!R119, "SETTLE_DT", TEXT(ya!$C119,"YYYYMMDD")))</f>
        <v>11.9148</v>
      </c>
      <c r="S119" s="2" cm="1">
        <f t="array" ref="S119">IF(hp!S119=0,0,_xll.BDP(S$4,"YAS_BOND_YLD", "YAS_BOND_PX",hp!S119, "SETTLE_DT", TEXT(ya!$C119,"YYYYMMDD")))</f>
        <v>11.857799999999999</v>
      </c>
      <c r="T119" s="2" cm="1">
        <f t="array" ref="T119">IF(hp!T119=0,0,_xll.BDP(T$4,"YAS_BOND_YLD", "YAS_BOND_PX",hp!T119, "SETTLE_DT", TEXT(ya!$C119,"YYYYMMDD")))</f>
        <v>6.5270000000000001</v>
      </c>
      <c r="U119" s="2" cm="1">
        <f t="array" ref="U119">IF(hp!U119=0,0,_xll.BDP(U$4,"YAS_BOND_YLD", "YAS_BOND_PX",hp!U119, "SETTLE_DT", TEXT(ya!$C119,"YYYYMMDD")))</f>
        <v>6.1311</v>
      </c>
      <c r="V119" s="2" cm="1">
        <f t="array" ref="V119">IF(hp!V119=0,0,_xll.BDP(V$4,"YAS_BOND_YLD", "YAS_BOND_PX",hp!V119, "SETTLE_DT", TEXT(ya!$C119,"YYYYMMDD")))</f>
        <v>11.699300000000001</v>
      </c>
      <c r="W119" s="2" cm="1">
        <f t="array" ref="W119">IF(hp!W119=0,0,_xll.BDP(W$4,"YAS_BOND_YLD", "YAS_BOND_PX",hp!W119, "SETTLE_DT", TEXT(ya!$C119,"YYYYMMDD")))</f>
        <v>-6.3799999999999996E-2</v>
      </c>
      <c r="X119" s="2" cm="1">
        <f t="array" ref="X119">IF(hp!X119=0,0,_xll.BDP(X$4,"YAS_BOND_YLD", "YAS_BOND_PX",hp!X119, "SETTLE_DT", TEXT(ya!$C119,"YYYYMMDD")))</f>
        <v>0</v>
      </c>
      <c r="Y119" s="2" cm="1">
        <f t="array" ref="Y119">IF(hp!Y119=0,0,_xll.BDP(Y$4,"YAS_BOND_YLD", "YAS_BOND_PX",hp!Y119, "SETTLE_DT", TEXT(ya!$C119,"YYYYMMDD")))</f>
        <v>6.3945999999999996</v>
      </c>
      <c r="Z119" s="2" cm="1">
        <f t="array" ref="Z119">IF(hp!Z119=0,0,_xll.BDP(Z$4,"YAS_BOND_YLD", "YAS_BOND_PX",hp!Z119, "SETTLE_DT", TEXT(ya!$C119,"YYYYMMDD")))</f>
        <v>-2.2700000000000001E-2</v>
      </c>
      <c r="AA119" s="2" cm="1">
        <f t="array" ref="AA119">IF(hp!AA119=0,0,_xll.BDP(AA$4,"YAS_BOND_YLD", "YAS_BOND_PX",hp!AA119, "SETTLE_DT", TEXT(ya!$C119,"YYYYMMDD")))</f>
        <v>12.2446</v>
      </c>
      <c r="AB119" s="2" cm="1">
        <f t="array" ref="AB119">IF(hp!AB119=0,0,_xll.BDP(AB$4,"YAS_BOND_YLD", "YAS_BOND_PX",hp!AB119, "SETTLE_DT", TEXT(ya!$C119,"YYYYMMDD")))</f>
        <v>4.4999999999999998E-2</v>
      </c>
      <c r="AC119" s="2" cm="1">
        <f t="array" ref="AC119">IF(hp!AC119=0,0,_xll.BDP(AC$4,"YAS_BOND_YLD", "YAS_BOND_PX",hp!AC119, "SETTLE_DT", TEXT(ya!$C119,"YYYYMMDD")))</f>
        <v>11.9994</v>
      </c>
      <c r="AD119" s="2" cm="1">
        <f t="array" ref="AD119">IF(hp!AD119=0,0,_xll.BDP(AD$4,"YAS_BOND_YLD", "YAS_BOND_PX",hp!AD119, "SETTLE_DT", TEXT(ya!$C119,"YYYYMMDD")))</f>
        <v>6.2375999999999996</v>
      </c>
      <c r="AE119" s="2" cm="1">
        <f t="array" ref="AE119">IF(hp!AE119=0,0,_xll.BDP(AE$4,"YAS_BOND_YLD", "YAS_BOND_PX",hp!AE119, "SETTLE_DT", TEXT(ya!$C119,"YYYYMMDD")))</f>
        <v>0</v>
      </c>
      <c r="AF119" s="2" cm="1">
        <f t="array" ref="AF119">IF(hp!AF119=0,0,_xll.BDP(AF$4,"YAS_BOND_YLD", "YAS_BOND_PX",hp!AF119, "SETTLE_DT", TEXT(ya!$C119,"YYYYMMDD")))</f>
        <v>0.1179</v>
      </c>
      <c r="AG119" s="2" cm="1">
        <f t="array" ref="AG119">IF(hp!AG119=0,0,_xll.BDP(AG$4,"YAS_BOND_YLD", "YAS_BOND_PX",hp!AG119, "SETTLE_DT", TEXT(ya!$C119,"YYYYMMDD")))</f>
        <v>7.2900000000000006E-2</v>
      </c>
      <c r="AH119" s="2" cm="1">
        <f t="array" ref="AH119">IF(hp!AH119=0,0,_xll.BDP(AH$4,"YAS_BOND_YLD", "YAS_BOND_PX",hp!AH119, "SETTLE_DT", TEXT(ya!$C119,"YYYYMMDD")))</f>
        <v>0</v>
      </c>
      <c r="AI119" s="2" cm="1">
        <f t="array" ref="AI119">IF(hp!AI119=0,0,_xll.BDP(AI$4,"YAS_BOND_YLD", "YAS_BOND_PX",hp!AI119, "SETTLE_DT", TEXT(ya!$C119,"YYYYMMDD")))</f>
        <v>6.2466999999999997</v>
      </c>
      <c r="AJ119" s="2" cm="1">
        <f t="array" ref="AJ119">IF(hp!AJ119=0,0,_xll.BDP(AJ$4,"YAS_BOND_YLD", "YAS_BOND_PX",hp!AJ119, "SETTLE_DT", TEXT(ya!$C119,"YYYYMMDD")))</f>
        <v>0.1386</v>
      </c>
      <c r="AK119" s="2" cm="1">
        <f t="array" ref="AK119">IF(hp!AK119=0,0,_xll.BDP(AK$4,"YAS_BOND_YLD", "YAS_BOND_PX",hp!AK119, "SETTLE_DT", TEXT(ya!$C119,"YYYYMMDD")))</f>
        <v>9.8400000000000001E-2</v>
      </c>
      <c r="AL119" s="2" cm="1">
        <f t="array" ref="AL119">IF(hp!AL119=0,0,_xll.BDP(AL$4,"YAS_BOND_YLD", "YAS_BOND_PX",hp!AL119, "SETTLE_DT", TEXT(ya!$C119,"YYYYMMDD")))</f>
        <v>0</v>
      </c>
      <c r="AM119" s="2" cm="1">
        <f t="array" ref="AM119">IF(hp!AM119=0,0,_xll.BDP(AM$4,"YAS_BOND_YLD", "YAS_BOND_PX",hp!AM119, "SETTLE_DT", TEXT(ya!$C119,"YYYYMMDD")))</f>
        <v>12.0601</v>
      </c>
      <c r="AN119" s="2" cm="1">
        <f t="array" ref="AN119">IF(hp!AN119=0,0,_xll.BDP(AN$4,"YAS_BOND_YLD", "YAS_BOND_PX",hp!AN119, "SETTLE_DT", TEXT(ya!$C119,"YYYYMMDD")))</f>
        <v>0.14949999999999999</v>
      </c>
      <c r="AO119" s="2" cm="1">
        <f t="array" ref="AO119">IF(hp!AO119=0,0,_xll.BDP(AO$4,"YAS_BOND_YLD", "YAS_BOND_PX",hp!AO119, "SETTLE_DT", TEXT(ya!$C119,"YYYYMMDD")))</f>
        <v>0.1525</v>
      </c>
      <c r="AP119" s="2" cm="1">
        <f t="array" ref="AP119">IF(hp!AP119=0,0,_xll.BDP(AP$4,"YAS_BOND_YLD", "YAS_BOND_PX",hp!AP119, "SETTLE_DT", TEXT(ya!$C119,"YYYYMMDD")))</f>
        <v>12.143800000000001</v>
      </c>
      <c r="AQ119" s="2" cm="1">
        <f t="array" ref="AQ119">IF(hp!AQ119=0,0,_xll.BDP(AQ$4,"YAS_BOND_YLD", "YAS_BOND_PX",hp!AQ119, "SETTLE_DT", TEXT(ya!$C119,"YYYYMMDD")))</f>
        <v>-1.32E-2</v>
      </c>
      <c r="AR119" s="2" cm="1">
        <f t="array" ref="AR119">IF(hp!AR119=0,0,_xll.BDP(AR$4,"YAS_BOND_YLD", "YAS_BOND_PX",hp!AR119, "SETTLE_DT", TEXT(ya!$C119,"YYYYMMDD")))</f>
        <v>5.9386000000000001</v>
      </c>
      <c r="AS119" s="2" cm="1">
        <f t="array" ref="AS119">IF(hp!AS119=0,0,_xll.BDP(AS$4,"YAS_BOND_YLD", "YAS_BOND_PX",hp!AS119, "SETTLE_DT", TEXT(ya!$C119,"YYYYMMDD")))</f>
        <v>11.935700000000001</v>
      </c>
      <c r="AT119" s="2" cm="1">
        <f t="array" ref="AT119">IF(hp!AT119=0,0,_xll.BDP(AT$4,"YAS_BOND_YLD", "YAS_BOND_PX",hp!AT119, "SETTLE_DT", TEXT(ya!$C119,"YYYYMMDD")))</f>
        <v>0.16200000000000001</v>
      </c>
      <c r="AU119" s="2" cm="1">
        <f t="array" ref="AU119">IF(hp!AU119=0,0,_xll.BDP(AU$4,"YAS_BOND_YLD", "YAS_BOND_PX",hp!AU119, "SETTLE_DT", TEXT(ya!$C119,"YYYYMMDD")))</f>
        <v>0</v>
      </c>
      <c r="AV119" s="2" cm="1">
        <f t="array" ref="AV119">IF(hp!AV119=0,0,_xll.BDP(AV$4,"YAS_BOND_YLD", "YAS_BOND_PX",hp!AV119, "SETTLE_DT", TEXT(ya!$C119,"YYYYMMDD")))</f>
        <v>0.15659999999999999</v>
      </c>
      <c r="AW119" s="2" cm="1">
        <f t="array" ref="AW119">IF(hp!AW119=0,0,_xll.BDP(AW$4,"YAS_BOND_YLD", "YAS_BOND_PX",hp!AW119, "SETTLE_DT", TEXT(ya!$C119,"YYYYMMDD")))</f>
        <v>0</v>
      </c>
      <c r="AX119" s="2" cm="1">
        <f t="array" ref="AX119">IF(hp!AX119=0,0,_xll.BDP(AX$4,"YAS_BOND_YLD", "YAS_BOND_PX",hp!AX119, "SETTLE_DT", TEXT(ya!$C119,"YYYYMMDD")))</f>
        <v>0</v>
      </c>
      <c r="AY119" s="2" cm="1">
        <f t="array" ref="AY119">IF(hp!AY119=0,0,_xll.BDP(AY$4,"YAS_BOND_YLD", "YAS_BOND_PX",hp!AY119, "SETTLE_DT", TEXT(ya!$C119,"YYYYMMDD")))</f>
        <v>0</v>
      </c>
      <c r="AZ119" s="2" cm="1">
        <f t="array" ref="AZ119">IF(hp!AZ119=0,0,_xll.BDP(AZ$4,"YAS_BOND_YLD", "YAS_BOND_PX",hp!AZ119, "SETTLE_DT", TEXT(ya!$C119,"YYYYMMDD")))</f>
        <v>0</v>
      </c>
    </row>
    <row r="120" spans="1:52" x14ac:dyDescent="0.25">
      <c r="A120" s="1"/>
      <c r="B120" s="2"/>
      <c r="C120" s="1">
        <v>45565</v>
      </c>
      <c r="D120" s="2" cm="1">
        <f t="array" ref="D120">IF(hp!D120=0,0,_xll.BDP(D$4,"YAS_BOND_YLD", "YAS_BOND_PX",hp!D120, "SETTLE_DT", TEXT(ya!$C120,"YYYYMMDD")))</f>
        <v>12.3698</v>
      </c>
      <c r="E120" s="2" cm="1">
        <f t="array" ref="E120">IF(hp!E120=0,0,_xll.BDP(E$4,"YAS_BOND_YLD", "YAS_BOND_PX",hp!E120, "SETTLE_DT", TEXT(ya!$C120,"YYYYMMDD")))</f>
        <v>12.5001</v>
      </c>
      <c r="F120" s="2" cm="1">
        <f t="array" ref="F120">IF(hp!F120=0,0,_xll.BDP(F$4,"YAS_BOND_YLD", "YAS_BOND_PX",hp!F120, "SETTLE_DT", TEXT(ya!$C120,"YYYYMMDD")))</f>
        <v>12.3353</v>
      </c>
      <c r="G120" s="2" cm="1">
        <f t="array" ref="G120">IF(hp!G120=0,0,_xll.BDP(G$4,"YAS_BOND_YLD", "YAS_BOND_PX",hp!G120, "SETTLE_DT", TEXT(ya!$C120,"YYYYMMDD")))</f>
        <v>6.4916999999999998</v>
      </c>
      <c r="H120" s="2" cm="1">
        <f t="array" ref="H120">IF(hp!H120=0,0,_xll.BDP(H$4,"YAS_BOND_YLD", "YAS_BOND_PX",hp!H120, "SETTLE_DT", TEXT(ya!$C120,"YYYYMMDD")))</f>
        <v>12.4046</v>
      </c>
      <c r="I120" s="2" cm="1">
        <f t="array" ref="I120">IF(hp!I120=0,0,_xll.BDP(I$4,"YAS_BOND_YLD", "YAS_BOND_PX",hp!I120, "SETTLE_DT", TEXT(ya!$C120,"YYYYMMDD")))</f>
        <v>12.347899999999999</v>
      </c>
      <c r="J120" s="2" cm="1">
        <f t="array" ref="J120">IF(hp!J120=0,0,_xll.BDP(J$4,"YAS_BOND_YLD", "YAS_BOND_PX",hp!J120, "SETTLE_DT", TEXT(ya!$C120,"YYYYMMDD")))</f>
        <v>6.4535</v>
      </c>
      <c r="K120" s="2" cm="1">
        <f t="array" ref="K120">IF(hp!K120=0,0,_xll.BDP(K$4,"YAS_BOND_YLD", "YAS_BOND_PX",hp!K120, "SETTLE_DT", TEXT(ya!$C120,"YYYYMMDD")))</f>
        <v>12.2683</v>
      </c>
      <c r="L120" s="2" cm="1">
        <f t="array" ref="L120">IF(hp!L120=0,0,_xll.BDP(L$4,"YAS_BOND_YLD", "YAS_BOND_PX",hp!L120, "SETTLE_DT", TEXT(ya!$C120,"YYYYMMDD")))</f>
        <v>6.5163000000000002</v>
      </c>
      <c r="M120" s="2" cm="1">
        <f t="array" ref="M120">IF(hp!M120=0,0,_xll.BDP(M$4,"YAS_BOND_YLD", "YAS_BOND_PX",hp!M120, "SETTLE_DT", TEXT(ya!$C120,"YYYYMMDD")))</f>
        <v>6.7286000000000001</v>
      </c>
      <c r="N120" s="2" cm="1">
        <f t="array" ref="N120">IF(hp!N120=0,0,_xll.BDP(N$4,"YAS_BOND_YLD", "YAS_BOND_PX",hp!N120, "SETTLE_DT", TEXT(ya!$C120,"YYYYMMDD")))</f>
        <v>6.806</v>
      </c>
      <c r="O120" s="2" cm="1">
        <f t="array" ref="O120">IF(hp!O120=0,0,_xll.BDP(O$4,"YAS_BOND_YLD", "YAS_BOND_PX",hp!O120, "SETTLE_DT", TEXT(ya!$C120,"YYYYMMDD")))</f>
        <v>6.4367000000000001</v>
      </c>
      <c r="P120" s="2" cm="1">
        <f t="array" ref="P120">IF(hp!P120=0,0,_xll.BDP(P$4,"YAS_BOND_YLD", "YAS_BOND_PX",hp!P120, "SETTLE_DT", TEXT(ya!$C120,"YYYYMMDD")))</f>
        <v>6.5236000000000001</v>
      </c>
      <c r="Q120" s="2" cm="1">
        <f t="array" ref="Q120">IF(hp!Q120=0,0,_xll.BDP(Q$4,"YAS_BOND_YLD", "YAS_BOND_PX",hp!Q120, "SETTLE_DT", TEXT(ya!$C120,"YYYYMMDD")))</f>
        <v>6.4335000000000004</v>
      </c>
      <c r="R120" s="2" cm="1">
        <f t="array" ref="R120">IF(hp!R120=0,0,_xll.BDP(R$4,"YAS_BOND_YLD", "YAS_BOND_PX",hp!R120, "SETTLE_DT", TEXT(ya!$C120,"YYYYMMDD")))</f>
        <v>12.414999999999999</v>
      </c>
      <c r="S120" s="2" cm="1">
        <f t="array" ref="S120">IF(hp!S120=0,0,_xll.BDP(S$4,"YAS_BOND_YLD", "YAS_BOND_PX",hp!S120, "SETTLE_DT", TEXT(ya!$C120,"YYYYMMDD")))</f>
        <v>12.3598</v>
      </c>
      <c r="T120" s="2" cm="1">
        <f t="array" ref="T120">IF(hp!T120=0,0,_xll.BDP(T$4,"YAS_BOND_YLD", "YAS_BOND_PX",hp!T120, "SETTLE_DT", TEXT(ya!$C120,"YYYYMMDD")))</f>
        <v>6.6965000000000003</v>
      </c>
      <c r="U120" s="2" cm="1">
        <f t="array" ref="U120">IF(hp!U120=0,0,_xll.BDP(U$4,"YAS_BOND_YLD", "YAS_BOND_PX",hp!U120, "SETTLE_DT", TEXT(ya!$C120,"YYYYMMDD")))</f>
        <v>6.4142999999999999</v>
      </c>
      <c r="V120" s="2" cm="1">
        <f t="array" ref="V120">IF(hp!V120=0,0,_xll.BDP(V$4,"YAS_BOND_YLD", "YAS_BOND_PX",hp!V120, "SETTLE_DT", TEXT(ya!$C120,"YYYYMMDD")))</f>
        <v>12.089399999999999</v>
      </c>
      <c r="W120" s="2" cm="1">
        <f t="array" ref="W120">IF(hp!W120=0,0,_xll.BDP(W$4,"YAS_BOND_YLD", "YAS_BOND_PX",hp!W120, "SETTLE_DT", TEXT(ya!$C120,"YYYYMMDD")))</f>
        <v>-4.6399999999999997E-2</v>
      </c>
      <c r="X120" s="2" cm="1">
        <f t="array" ref="X120">IF(hp!X120=0,0,_xll.BDP(X$4,"YAS_BOND_YLD", "YAS_BOND_PX",hp!X120, "SETTLE_DT", TEXT(ya!$C120,"YYYYMMDD")))</f>
        <v>0</v>
      </c>
      <c r="Y120" s="2" cm="1">
        <f t="array" ref="Y120">IF(hp!Y120=0,0,_xll.BDP(Y$4,"YAS_BOND_YLD", "YAS_BOND_PX",hp!Y120, "SETTLE_DT", TEXT(ya!$C120,"YYYYMMDD")))</f>
        <v>6.6189</v>
      </c>
      <c r="Z120" s="2" cm="1">
        <f t="array" ref="Z120">IF(hp!Z120=0,0,_xll.BDP(Z$4,"YAS_BOND_YLD", "YAS_BOND_PX",hp!Z120, "SETTLE_DT", TEXT(ya!$C120,"YYYYMMDD")))</f>
        <v>-1.54E-2</v>
      </c>
      <c r="AA120" s="2" cm="1">
        <f t="array" ref="AA120">IF(hp!AA120=0,0,_xll.BDP(AA$4,"YAS_BOND_YLD", "YAS_BOND_PX",hp!AA120, "SETTLE_DT", TEXT(ya!$C120,"YYYYMMDD")))</f>
        <v>12.579800000000001</v>
      </c>
      <c r="AB120" s="2" cm="1">
        <f t="array" ref="AB120">IF(hp!AB120=0,0,_xll.BDP(AB$4,"YAS_BOND_YLD", "YAS_BOND_PX",hp!AB120, "SETTLE_DT", TEXT(ya!$C120,"YYYYMMDD")))</f>
        <v>4.3400000000000001E-2</v>
      </c>
      <c r="AC120" s="2" cm="1">
        <f t="array" ref="AC120">IF(hp!AC120=0,0,_xll.BDP(AC$4,"YAS_BOND_YLD", "YAS_BOND_PX",hp!AC120, "SETTLE_DT", TEXT(ya!$C120,"YYYYMMDD")))</f>
        <v>12.408200000000001</v>
      </c>
      <c r="AD120" s="2" cm="1">
        <f t="array" ref="AD120">IF(hp!AD120=0,0,_xll.BDP(AD$4,"YAS_BOND_YLD", "YAS_BOND_PX",hp!AD120, "SETTLE_DT", TEXT(ya!$C120,"YYYYMMDD")))</f>
        <v>6.4314999999999998</v>
      </c>
      <c r="AE120" s="2" cm="1">
        <f t="array" ref="AE120">IF(hp!AE120=0,0,_xll.BDP(AE$4,"YAS_BOND_YLD", "YAS_BOND_PX",hp!AE120, "SETTLE_DT", TEXT(ya!$C120,"YYYYMMDD")))</f>
        <v>0</v>
      </c>
      <c r="AF120" s="2" cm="1">
        <f t="array" ref="AF120">IF(hp!AF120=0,0,_xll.BDP(AF$4,"YAS_BOND_YLD", "YAS_BOND_PX",hp!AF120, "SETTLE_DT", TEXT(ya!$C120,"YYYYMMDD")))</f>
        <v>0.107</v>
      </c>
      <c r="AG120" s="2" cm="1">
        <f t="array" ref="AG120">IF(hp!AG120=0,0,_xll.BDP(AG$4,"YAS_BOND_YLD", "YAS_BOND_PX",hp!AG120, "SETTLE_DT", TEXT(ya!$C120,"YYYYMMDD")))</f>
        <v>6.13E-2</v>
      </c>
      <c r="AH120" s="2" cm="1">
        <f t="array" ref="AH120">IF(hp!AH120=0,0,_xll.BDP(AH$4,"YAS_BOND_YLD", "YAS_BOND_PX",hp!AH120, "SETTLE_DT", TEXT(ya!$C120,"YYYYMMDD")))</f>
        <v>0</v>
      </c>
      <c r="AI120" s="2" cm="1">
        <f t="array" ref="AI120">IF(hp!AI120=0,0,_xll.BDP(AI$4,"YAS_BOND_YLD", "YAS_BOND_PX",hp!AI120, "SETTLE_DT", TEXT(ya!$C120,"YYYYMMDD")))</f>
        <v>6.5190000000000001</v>
      </c>
      <c r="AJ120" s="2" cm="1">
        <f t="array" ref="AJ120">IF(hp!AJ120=0,0,_xll.BDP(AJ$4,"YAS_BOND_YLD", "YAS_BOND_PX",hp!AJ120, "SETTLE_DT", TEXT(ya!$C120,"YYYYMMDD")))</f>
        <v>0.12989999999999999</v>
      </c>
      <c r="AK120" s="2" cm="1">
        <f t="array" ref="AK120">IF(hp!AK120=0,0,_xll.BDP(AK$4,"YAS_BOND_YLD", "YAS_BOND_PX",hp!AK120, "SETTLE_DT", TEXT(ya!$C120,"YYYYMMDD")))</f>
        <v>8.4199999999999997E-2</v>
      </c>
      <c r="AL120" s="2" cm="1">
        <f t="array" ref="AL120">IF(hp!AL120=0,0,_xll.BDP(AL$4,"YAS_BOND_YLD", "YAS_BOND_PX",hp!AL120, "SETTLE_DT", TEXT(ya!$C120,"YYYYMMDD")))</f>
        <v>0</v>
      </c>
      <c r="AM120" s="2" cm="1">
        <f t="array" ref="AM120">IF(hp!AM120=0,0,_xll.BDP(AM$4,"YAS_BOND_YLD", "YAS_BOND_PX",hp!AM120, "SETTLE_DT", TEXT(ya!$C120,"YYYYMMDD")))</f>
        <v>12.4466</v>
      </c>
      <c r="AN120" s="2" cm="1">
        <f t="array" ref="AN120">IF(hp!AN120=0,0,_xll.BDP(AN$4,"YAS_BOND_YLD", "YAS_BOND_PX",hp!AN120, "SETTLE_DT", TEXT(ya!$C120,"YYYYMMDD")))</f>
        <v>0.1366</v>
      </c>
      <c r="AO120" s="2" cm="1">
        <f t="array" ref="AO120">IF(hp!AO120=0,0,_xll.BDP(AO$4,"YAS_BOND_YLD", "YAS_BOND_PX",hp!AO120, "SETTLE_DT", TEXT(ya!$C120,"YYYYMMDD")))</f>
        <v>0.1416</v>
      </c>
      <c r="AP120" s="2" cm="1">
        <f t="array" ref="AP120">IF(hp!AP120=0,0,_xll.BDP(AP$4,"YAS_BOND_YLD", "YAS_BOND_PX",hp!AP120, "SETTLE_DT", TEXT(ya!$C120,"YYYYMMDD")))</f>
        <v>12.5124</v>
      </c>
      <c r="AQ120" s="2" cm="1">
        <f t="array" ref="AQ120">IF(hp!AQ120=0,0,_xll.BDP(AQ$4,"YAS_BOND_YLD", "YAS_BOND_PX",hp!AQ120, "SETTLE_DT", TEXT(ya!$C120,"YYYYMMDD")))</f>
        <v>-9.1000000000000004E-3</v>
      </c>
      <c r="AR120" s="2" cm="1">
        <f t="array" ref="AR120">IF(hp!AR120=0,0,_xll.BDP(AR$4,"YAS_BOND_YLD", "YAS_BOND_PX",hp!AR120, "SETTLE_DT", TEXT(ya!$C120,"YYYYMMDD")))</f>
        <v>6.1215000000000002</v>
      </c>
      <c r="AS120" s="2" cm="1">
        <f t="array" ref="AS120">IF(hp!AS120=0,0,_xll.BDP(AS$4,"YAS_BOND_YLD", "YAS_BOND_PX",hp!AS120, "SETTLE_DT", TEXT(ya!$C120,"YYYYMMDD")))</f>
        <v>12.4238</v>
      </c>
      <c r="AT120" s="2" cm="1">
        <f t="array" ref="AT120">IF(hp!AT120=0,0,_xll.BDP(AT$4,"YAS_BOND_YLD", "YAS_BOND_PX",hp!AT120, "SETTLE_DT", TEXT(ya!$C120,"YYYYMMDD")))</f>
        <v>0.14499999999999999</v>
      </c>
      <c r="AU120" s="2" cm="1">
        <f t="array" ref="AU120">IF(hp!AU120=0,0,_xll.BDP(AU$4,"YAS_BOND_YLD", "YAS_BOND_PX",hp!AU120, "SETTLE_DT", TEXT(ya!$C120,"YYYYMMDD")))</f>
        <v>0</v>
      </c>
      <c r="AV120" s="2" cm="1">
        <f t="array" ref="AV120">IF(hp!AV120=0,0,_xll.BDP(AV$4,"YAS_BOND_YLD", "YAS_BOND_PX",hp!AV120, "SETTLE_DT", TEXT(ya!$C120,"YYYYMMDD")))</f>
        <v>0.1449</v>
      </c>
      <c r="AW120" s="2" cm="1">
        <f t="array" ref="AW120">IF(hp!AW120=0,0,_xll.BDP(AW$4,"YAS_BOND_YLD", "YAS_BOND_PX",hp!AW120, "SETTLE_DT", TEXT(ya!$C120,"YYYYMMDD")))</f>
        <v>0</v>
      </c>
      <c r="AX120" s="2" cm="1">
        <f t="array" ref="AX120">IF(hp!AX120=0,0,_xll.BDP(AX$4,"YAS_BOND_YLD", "YAS_BOND_PX",hp!AX120, "SETTLE_DT", TEXT(ya!$C120,"YYYYMMDD")))</f>
        <v>0</v>
      </c>
      <c r="AY120" s="2" cm="1">
        <f t="array" ref="AY120">IF(hp!AY120=0,0,_xll.BDP(AY$4,"YAS_BOND_YLD", "YAS_BOND_PX",hp!AY120, "SETTLE_DT", TEXT(ya!$C120,"YYYYMMDD")))</f>
        <v>0</v>
      </c>
      <c r="AZ120" s="2" cm="1">
        <f t="array" ref="AZ120">IF(hp!AZ120=0,0,_xll.BDP(AZ$4,"YAS_BOND_YLD", "YAS_BOND_PX",hp!AZ120, "SETTLE_DT", TEXT(ya!$C120,"YYYYMMDD")))</f>
        <v>0</v>
      </c>
    </row>
    <row r="121" spans="1:52" x14ac:dyDescent="0.25">
      <c r="A121" s="1"/>
      <c r="B121" s="2"/>
      <c r="C121" s="1">
        <v>45596</v>
      </c>
      <c r="D121" s="2" cm="1">
        <f t="array" ref="D121">IF(hp!D121=0,0,_xll.BDP(D$4,"YAS_BOND_YLD", "YAS_BOND_PX",hp!D121, "SETTLE_DT", TEXT(ya!$C121,"YYYYMMDD")))</f>
        <v>12.7667</v>
      </c>
      <c r="E121" s="2" cm="1">
        <f t="array" ref="E121">IF(hp!E121=0,0,_xll.BDP(E$4,"YAS_BOND_YLD", "YAS_BOND_PX",hp!E121, "SETTLE_DT", TEXT(ya!$C121,"YYYYMMDD")))</f>
        <v>12.962199999999999</v>
      </c>
      <c r="F121" s="2" cm="1">
        <f t="array" ref="F121">IF(hp!F121=0,0,_xll.BDP(F$4,"YAS_BOND_YLD", "YAS_BOND_PX",hp!F121, "SETTLE_DT", TEXT(ya!$C121,"YYYYMMDD")))</f>
        <v>12.940300000000001</v>
      </c>
      <c r="G121" s="2" cm="1">
        <f t="array" ref="G121">IF(hp!G121=0,0,_xll.BDP(G$4,"YAS_BOND_YLD", "YAS_BOND_PX",hp!G121, "SETTLE_DT", TEXT(ya!$C121,"YYYYMMDD")))</f>
        <v>6.7780000000000005</v>
      </c>
      <c r="H121" s="2" cm="1">
        <f t="array" ref="H121">IF(hp!H121=0,0,_xll.BDP(H$4,"YAS_BOND_YLD", "YAS_BOND_PX",hp!H121, "SETTLE_DT", TEXT(ya!$C121,"YYYYMMDD")))</f>
        <v>12.9765</v>
      </c>
      <c r="I121" s="2" cm="1">
        <f t="array" ref="I121">IF(hp!I121=0,0,_xll.BDP(I$4,"YAS_BOND_YLD", "YAS_BOND_PX",hp!I121, "SETTLE_DT", TEXT(ya!$C121,"YYYYMMDD")))</f>
        <v>12.8169</v>
      </c>
      <c r="J121" s="2" cm="1">
        <f t="array" ref="J121">IF(hp!J121=0,0,_xll.BDP(J$4,"YAS_BOND_YLD", "YAS_BOND_PX",hp!J121, "SETTLE_DT", TEXT(ya!$C121,"YYYYMMDD")))</f>
        <v>6.7313999999999998</v>
      </c>
      <c r="K121" s="2" cm="1">
        <f t="array" ref="K121">IF(hp!K121=0,0,_xll.BDP(K$4,"YAS_BOND_YLD", "YAS_BOND_PX",hp!K121, "SETTLE_DT", TEXT(ya!$C121,"YYYYMMDD")))</f>
        <v>12.725</v>
      </c>
      <c r="L121" s="2" cm="1">
        <f t="array" ref="L121">IF(hp!L121=0,0,_xll.BDP(L$4,"YAS_BOND_YLD", "YAS_BOND_PX",hp!L121, "SETTLE_DT", TEXT(ya!$C121,"YYYYMMDD")))</f>
        <v>6.8524000000000003</v>
      </c>
      <c r="M121" s="2" cm="1">
        <f t="array" ref="M121">IF(hp!M121=0,0,_xll.BDP(M$4,"YAS_BOND_YLD", "YAS_BOND_PX",hp!M121, "SETTLE_DT", TEXT(ya!$C121,"YYYYMMDD")))</f>
        <v>6.9629000000000003</v>
      </c>
      <c r="N121" s="2" cm="1">
        <f t="array" ref="N121">IF(hp!N121=0,0,_xll.BDP(N$4,"YAS_BOND_YLD", "YAS_BOND_PX",hp!N121, "SETTLE_DT", TEXT(ya!$C121,"YYYYMMDD")))</f>
        <v>6.9408000000000003</v>
      </c>
      <c r="O121" s="2" cm="1">
        <f t="array" ref="O121">IF(hp!O121=0,0,_xll.BDP(O$4,"YAS_BOND_YLD", "YAS_BOND_PX",hp!O121, "SETTLE_DT", TEXT(ya!$C121,"YYYYMMDD")))</f>
        <v>6.6928000000000001</v>
      </c>
      <c r="P121" s="2" cm="1">
        <f t="array" ref="P121">IF(hp!P121=0,0,_xll.BDP(P$4,"YAS_BOND_YLD", "YAS_BOND_PX",hp!P121, "SETTLE_DT", TEXT(ya!$C121,"YYYYMMDD")))</f>
        <v>6.8436000000000003</v>
      </c>
      <c r="Q121" s="2" cm="1">
        <f t="array" ref="Q121">IF(hp!Q121=0,0,_xll.BDP(Q$4,"YAS_BOND_YLD", "YAS_BOND_PX",hp!Q121, "SETTLE_DT", TEXT(ya!$C121,"YYYYMMDD")))</f>
        <v>6.7752999999999997</v>
      </c>
      <c r="R121" s="2" cm="1">
        <f t="array" ref="R121">IF(hp!R121=0,0,_xll.BDP(R$4,"YAS_BOND_YLD", "YAS_BOND_PX",hp!R121, "SETTLE_DT", TEXT(ya!$C121,"YYYYMMDD")))</f>
        <v>12.928699999999999</v>
      </c>
      <c r="S121" s="2" cm="1">
        <f t="array" ref="S121">IF(hp!S121=0,0,_xll.BDP(S$4,"YAS_BOND_YLD", "YAS_BOND_PX",hp!S121, "SETTLE_DT", TEXT(ya!$C121,"YYYYMMDD")))</f>
        <v>12.8698</v>
      </c>
      <c r="T121" s="2" cm="1">
        <f t="array" ref="T121">IF(hp!T121=0,0,_xll.BDP(T$4,"YAS_BOND_YLD", "YAS_BOND_PX",hp!T121, "SETTLE_DT", TEXT(ya!$C121,"YYYYMMDD")))</f>
        <v>6.8882000000000003</v>
      </c>
      <c r="U121" s="2" cm="1">
        <f t="array" ref="U121">IF(hp!U121=0,0,_xll.BDP(U$4,"YAS_BOND_YLD", "YAS_BOND_PX",hp!U121, "SETTLE_DT", TEXT(ya!$C121,"YYYYMMDD")))</f>
        <v>6.7022000000000004</v>
      </c>
      <c r="V121" s="2" cm="1">
        <f t="array" ref="V121">IF(hp!V121=0,0,_xll.BDP(V$4,"YAS_BOND_YLD", "YAS_BOND_PX",hp!V121, "SETTLE_DT", TEXT(ya!$C121,"YYYYMMDD")))</f>
        <v>12.496600000000001</v>
      </c>
      <c r="W121" s="2" cm="1">
        <f t="array" ref="W121">IF(hp!W121=0,0,_xll.BDP(W$4,"YAS_BOND_YLD", "YAS_BOND_PX",hp!W121, "SETTLE_DT", TEXT(ya!$C121,"YYYYMMDD")))</f>
        <v>-5.0799999999999998E-2</v>
      </c>
      <c r="X121" s="2" cm="1">
        <f t="array" ref="X121">IF(hp!X121=0,0,_xll.BDP(X$4,"YAS_BOND_YLD", "YAS_BOND_PX",hp!X121, "SETTLE_DT", TEXT(ya!$C121,"YYYYMMDD")))</f>
        <v>0</v>
      </c>
      <c r="Y121" s="2" cm="1">
        <f t="array" ref="Y121">IF(hp!Y121=0,0,_xll.BDP(Y$4,"YAS_BOND_YLD", "YAS_BOND_PX",hp!Y121, "SETTLE_DT", TEXT(ya!$C121,"YYYYMMDD")))</f>
        <v>6.9035000000000002</v>
      </c>
      <c r="Z121" s="2" cm="1">
        <f t="array" ref="Z121">IF(hp!Z121=0,0,_xll.BDP(Z$4,"YAS_BOND_YLD", "YAS_BOND_PX",hp!Z121, "SETTLE_DT", TEXT(ya!$C121,"YYYYMMDD")))</f>
        <v>-2.92E-2</v>
      </c>
      <c r="AA121" s="2" cm="1">
        <f t="array" ref="AA121">IF(hp!AA121=0,0,_xll.BDP(AA$4,"YAS_BOND_YLD", "YAS_BOND_PX",hp!AA121, "SETTLE_DT", TEXT(ya!$C121,"YYYYMMDD")))</f>
        <v>13.060600000000001</v>
      </c>
      <c r="AB121" s="2" cm="1">
        <f t="array" ref="AB121">IF(hp!AB121=0,0,_xll.BDP(AB$4,"YAS_BOND_YLD", "YAS_BOND_PX",hp!AB121, "SETTLE_DT", TEXT(ya!$C121,"YYYYMMDD")))</f>
        <v>3.6799999999999999E-2</v>
      </c>
      <c r="AC121" s="2" cm="1">
        <f t="array" ref="AC121">IF(hp!AC121=0,0,_xll.BDP(AC$4,"YAS_BOND_YLD", "YAS_BOND_PX",hp!AC121, "SETTLE_DT", TEXT(ya!$C121,"YYYYMMDD")))</f>
        <v>12.976800000000001</v>
      </c>
      <c r="AD121" s="2" cm="1">
        <f t="array" ref="AD121">IF(hp!AD121=0,0,_xll.BDP(AD$4,"YAS_BOND_YLD", "YAS_BOND_PX",hp!AD121, "SETTLE_DT", TEXT(ya!$C121,"YYYYMMDD")))</f>
        <v>6.7122000000000002</v>
      </c>
      <c r="AE121" s="2" cm="1">
        <f t="array" ref="AE121">IF(hp!AE121=0,0,_xll.BDP(AE$4,"YAS_BOND_YLD", "YAS_BOND_PX",hp!AE121, "SETTLE_DT", TEXT(ya!$C121,"YYYYMMDD")))</f>
        <v>0</v>
      </c>
      <c r="AF121" s="2" cm="1">
        <f t="array" ref="AF121">IF(hp!AF121=0,0,_xll.BDP(AF$4,"YAS_BOND_YLD", "YAS_BOND_PX",hp!AF121, "SETTLE_DT", TEXT(ya!$C121,"YYYYMMDD")))</f>
        <v>9.7500000000000003E-2</v>
      </c>
      <c r="AG121" s="2" cm="1">
        <f t="array" ref="AG121">IF(hp!AG121=0,0,_xll.BDP(AG$4,"YAS_BOND_YLD", "YAS_BOND_PX",hp!AG121, "SETTLE_DT", TEXT(ya!$C121,"YYYYMMDD")))</f>
        <v>5.2400000000000002E-2</v>
      </c>
      <c r="AH121" s="2" cm="1">
        <f t="array" ref="AH121">IF(hp!AH121=0,0,_xll.BDP(AH$4,"YAS_BOND_YLD", "YAS_BOND_PX",hp!AH121, "SETTLE_DT", TEXT(ya!$C121,"YYYYMMDD")))</f>
        <v>0</v>
      </c>
      <c r="AI121" s="2" cm="1">
        <f t="array" ref="AI121">IF(hp!AI121=0,0,_xll.BDP(AI$4,"YAS_BOND_YLD", "YAS_BOND_PX",hp!AI121, "SETTLE_DT", TEXT(ya!$C121,"YYYYMMDD")))</f>
        <v>6.8292000000000002</v>
      </c>
      <c r="AJ121" s="2" cm="1">
        <f t="array" ref="AJ121">IF(hp!AJ121=0,0,_xll.BDP(AJ$4,"YAS_BOND_YLD", "YAS_BOND_PX",hp!AJ121, "SETTLE_DT", TEXT(ya!$C121,"YYYYMMDD")))</f>
        <v>0.11509999999999999</v>
      </c>
      <c r="AK121" s="2" cm="1">
        <f t="array" ref="AK121">IF(hp!AK121=0,0,_xll.BDP(AK$4,"YAS_BOND_YLD", "YAS_BOND_PX",hp!AK121, "SETTLE_DT", TEXT(ya!$C121,"YYYYMMDD")))</f>
        <v>7.2400000000000006E-2</v>
      </c>
      <c r="AL121" s="2" cm="1">
        <f t="array" ref="AL121">IF(hp!AL121=0,0,_xll.BDP(AL$4,"YAS_BOND_YLD", "YAS_BOND_PX",hp!AL121, "SETTLE_DT", TEXT(ya!$C121,"YYYYMMDD")))</f>
        <v>0</v>
      </c>
      <c r="AM121" s="2" cm="1">
        <f t="array" ref="AM121">IF(hp!AM121=0,0,_xll.BDP(AM$4,"YAS_BOND_YLD", "YAS_BOND_PX",hp!AM121, "SETTLE_DT", TEXT(ya!$C121,"YYYYMMDD")))</f>
        <v>13.0129</v>
      </c>
      <c r="AN121" s="2" cm="1">
        <f t="array" ref="AN121">IF(hp!AN121=0,0,_xll.BDP(AN$4,"YAS_BOND_YLD", "YAS_BOND_PX",hp!AN121, "SETTLE_DT", TEXT(ya!$C121,"YYYYMMDD")))</f>
        <v>0.1179</v>
      </c>
      <c r="AO121" s="2" cm="1">
        <f t="array" ref="AO121">IF(hp!AO121=0,0,_xll.BDP(AO$4,"YAS_BOND_YLD", "YAS_BOND_PX",hp!AO121, "SETTLE_DT", TEXT(ya!$C121,"YYYYMMDD")))</f>
        <v>0.12330000000000001</v>
      </c>
      <c r="AP121" s="2" cm="1">
        <f t="array" ref="AP121">IF(hp!AP121=0,0,_xll.BDP(AP$4,"YAS_BOND_YLD", "YAS_BOND_PX",hp!AP121, "SETTLE_DT", TEXT(ya!$C121,"YYYYMMDD")))</f>
        <v>13.0517</v>
      </c>
      <c r="AQ121" s="2" cm="1">
        <f t="array" ref="AQ121">IF(hp!AQ121=0,0,_xll.BDP(AQ$4,"YAS_BOND_YLD", "YAS_BOND_PX",hp!AQ121, "SETTLE_DT", TEXT(ya!$C121,"YYYYMMDD")))</f>
        <v>-1.9400000000000001E-2</v>
      </c>
      <c r="AR121" s="2" cm="1">
        <f t="array" ref="AR121">IF(hp!AR121=0,0,_xll.BDP(AR$4,"YAS_BOND_YLD", "YAS_BOND_PX",hp!AR121, "SETTLE_DT", TEXT(ya!$C121,"YYYYMMDD")))</f>
        <v>6.4314</v>
      </c>
      <c r="AS121" s="2" cm="1">
        <f t="array" ref="AS121">IF(hp!AS121=0,0,_xll.BDP(AS$4,"YAS_BOND_YLD", "YAS_BOND_PX",hp!AS121, "SETTLE_DT", TEXT(ya!$C121,"YYYYMMDD")))</f>
        <v>12.9598</v>
      </c>
      <c r="AT121" s="2" cm="1">
        <f t="array" ref="AT121">IF(hp!AT121=0,0,_xll.BDP(AT$4,"YAS_BOND_YLD", "YAS_BOND_PX",hp!AT121, "SETTLE_DT", TEXT(ya!$C121,"YYYYMMDD")))</f>
        <v>0.1235</v>
      </c>
      <c r="AU121" s="2" cm="1">
        <f t="array" ref="AU121">IF(hp!AU121=0,0,_xll.BDP(AU$4,"YAS_BOND_YLD", "YAS_BOND_PX",hp!AU121, "SETTLE_DT", TEXT(ya!$C121,"YYYYMMDD")))</f>
        <v>0</v>
      </c>
      <c r="AV121" s="2" cm="1">
        <f t="array" ref="AV121">IF(hp!AV121=0,0,_xll.BDP(AV$4,"YAS_BOND_YLD", "YAS_BOND_PX",hp!AV121, "SETTLE_DT", TEXT(ya!$C121,"YYYYMMDD")))</f>
        <v>0.1234</v>
      </c>
      <c r="AW121" s="2" cm="1">
        <f t="array" ref="AW121">IF(hp!AW121=0,0,_xll.BDP(AW$4,"YAS_BOND_YLD", "YAS_BOND_PX",hp!AW121, "SETTLE_DT", TEXT(ya!$C121,"YYYYMMDD")))</f>
        <v>0</v>
      </c>
      <c r="AX121" s="2" cm="1">
        <f t="array" ref="AX121">IF(hp!AX121=0,0,_xll.BDP(AX$4,"YAS_BOND_YLD", "YAS_BOND_PX",hp!AX121, "SETTLE_DT", TEXT(ya!$C121,"YYYYMMDD")))</f>
        <v>0</v>
      </c>
      <c r="AY121" s="2" cm="1">
        <f t="array" ref="AY121">IF(hp!AY121=0,0,_xll.BDP(AY$4,"YAS_BOND_YLD", "YAS_BOND_PX",hp!AY121, "SETTLE_DT", TEXT(ya!$C121,"YYYYMMDD")))</f>
        <v>0.12479999999999999</v>
      </c>
      <c r="AZ121" s="2" cm="1">
        <f t="array" ref="AZ121">IF(hp!AZ121=0,0,_xll.BDP(AZ$4,"YAS_BOND_YLD", "YAS_BOND_PX",hp!AZ121, "SETTLE_DT", TEXT(ya!$C121,"YYYYMMDD")))</f>
        <v>0</v>
      </c>
    </row>
    <row r="122" spans="1:52" x14ac:dyDescent="0.25">
      <c r="A122" s="1"/>
      <c r="B122" s="2"/>
      <c r="C122" s="1">
        <v>45625</v>
      </c>
      <c r="D122" s="2" cm="1">
        <f t="array" ref="D122">IF(hp!D122=0,0,_xll.BDP(D$4,"YAS_BOND_YLD", "YAS_BOND_PX",hp!D122, "SETTLE_DT", TEXT(ya!$C122,"YYYYMMDD")))</f>
        <v>13.4542</v>
      </c>
      <c r="E122" s="2" cm="1">
        <f t="array" ref="E122">IF(hp!E122=0,0,_xll.BDP(E$4,"YAS_BOND_YLD", "YAS_BOND_PX",hp!E122, "SETTLE_DT", TEXT(ya!$C122,"YYYYMMDD")))</f>
        <v>13.7136</v>
      </c>
      <c r="F122" s="2" cm="1">
        <f t="array" ref="F122">IF(hp!F122=0,0,_xll.BDP(F$4,"YAS_BOND_YLD", "YAS_BOND_PX",hp!F122, "SETTLE_DT", TEXT(ya!$C122,"YYYYMMDD")))</f>
        <v>13.9971</v>
      </c>
      <c r="G122" s="2" cm="1">
        <f t="array" ref="G122">IF(hp!G122=0,0,_xll.BDP(G$4,"YAS_BOND_YLD", "YAS_BOND_PX",hp!G122, "SETTLE_DT", TEXT(ya!$C122,"YYYYMMDD")))</f>
        <v>6.9508999999999999</v>
      </c>
      <c r="H122" s="2" cm="1">
        <f t="array" ref="H122">IF(hp!H122=0,0,_xll.BDP(H$4,"YAS_BOND_YLD", "YAS_BOND_PX",hp!H122, "SETTLE_DT", TEXT(ya!$C122,"YYYYMMDD")))</f>
        <v>13.830400000000001</v>
      </c>
      <c r="I122" s="2" cm="1">
        <f t="array" ref="I122">IF(hp!I122=0,0,_xll.BDP(I$4,"YAS_BOND_YLD", "YAS_BOND_PX",hp!I122, "SETTLE_DT", TEXT(ya!$C122,"YYYYMMDD")))</f>
        <v>13.553100000000001</v>
      </c>
      <c r="J122" s="2" cm="1">
        <f t="array" ref="J122">IF(hp!J122=0,0,_xll.BDP(J$4,"YAS_BOND_YLD", "YAS_BOND_PX",hp!J122, "SETTLE_DT", TEXT(ya!$C122,"YYYYMMDD")))</f>
        <v>6.8164999999999996</v>
      </c>
      <c r="K122" s="2" cm="1">
        <f t="array" ref="K122">IF(hp!K122=0,0,_xll.BDP(K$4,"YAS_BOND_YLD", "YAS_BOND_PX",hp!K122, "SETTLE_DT", TEXT(ya!$C122,"YYYYMMDD")))</f>
        <v>13.8371</v>
      </c>
      <c r="L122" s="2" cm="1">
        <f t="array" ref="L122">IF(hp!L122=0,0,_xll.BDP(L$4,"YAS_BOND_YLD", "YAS_BOND_PX",hp!L122, "SETTLE_DT", TEXT(ya!$C122,"YYYYMMDD")))</f>
        <v>7.1151</v>
      </c>
      <c r="M122" s="2" cm="1">
        <f t="array" ref="M122">IF(hp!M122=0,0,_xll.BDP(M$4,"YAS_BOND_YLD", "YAS_BOND_PX",hp!M122, "SETTLE_DT", TEXT(ya!$C122,"YYYYMMDD")))</f>
        <v>7.2792000000000003</v>
      </c>
      <c r="N122" s="2" cm="1">
        <f t="array" ref="N122">IF(hp!N122=0,0,_xll.BDP(N$4,"YAS_BOND_YLD", "YAS_BOND_PX",hp!N122, "SETTLE_DT", TEXT(ya!$C122,"YYYYMMDD")))</f>
        <v>7.2819000000000003</v>
      </c>
      <c r="O122" s="2" cm="1">
        <f t="array" ref="O122">IF(hp!O122=0,0,_xll.BDP(O$4,"YAS_BOND_YLD", "YAS_BOND_PX",hp!O122, "SETTLE_DT", TEXT(ya!$C122,"YYYYMMDD")))</f>
        <v>6.8212000000000002</v>
      </c>
      <c r="P122" s="2" cm="1">
        <f t="array" ref="P122">IF(hp!P122=0,0,_xll.BDP(P$4,"YAS_BOND_YLD", "YAS_BOND_PX",hp!P122, "SETTLE_DT", TEXT(ya!$C122,"YYYYMMDD")))</f>
        <v>7.0632999999999999</v>
      </c>
      <c r="Q122" s="2" cm="1">
        <f t="array" ref="Q122">IF(hp!Q122=0,0,_xll.BDP(Q$4,"YAS_BOND_YLD", "YAS_BOND_PX",hp!Q122, "SETTLE_DT", TEXT(ya!$C122,"YYYYMMDD")))</f>
        <v>6.8270999999999997</v>
      </c>
      <c r="R122" s="2" cm="1">
        <f t="array" ref="R122">IF(hp!R122=0,0,_xll.BDP(R$4,"YAS_BOND_YLD", "YAS_BOND_PX",hp!R122, "SETTLE_DT", TEXT(ya!$C122,"YYYYMMDD")))</f>
        <v>14.056800000000001</v>
      </c>
      <c r="S122" s="2" cm="1">
        <f t="array" ref="S122">IF(hp!S122=0,0,_xll.BDP(S$4,"YAS_BOND_YLD", "YAS_BOND_PX",hp!S122, "SETTLE_DT", TEXT(ya!$C122,"YYYYMMDD")))</f>
        <v>14.007899999999999</v>
      </c>
      <c r="T122" s="2" cm="1">
        <f t="array" ref="T122">IF(hp!T122=0,0,_xll.BDP(T$4,"YAS_BOND_YLD", "YAS_BOND_PX",hp!T122, "SETTLE_DT", TEXT(ya!$C122,"YYYYMMDD")))</f>
        <v>7.2573999999999996</v>
      </c>
      <c r="U122" s="2" cm="1">
        <f t="array" ref="U122">IF(hp!U122=0,0,_xll.BDP(U$4,"YAS_BOND_YLD", "YAS_BOND_PX",hp!U122, "SETTLE_DT", TEXT(ya!$C122,"YYYYMMDD")))</f>
        <v>6.8253000000000004</v>
      </c>
      <c r="V122" s="2" cm="1">
        <f t="array" ref="V122">IF(hp!V122=0,0,_xll.BDP(V$4,"YAS_BOND_YLD", "YAS_BOND_PX",hp!V122, "SETTLE_DT", TEXT(ya!$C122,"YYYYMMDD")))</f>
        <v>13.546200000000001</v>
      </c>
      <c r="W122" s="2" cm="1">
        <f t="array" ref="W122">IF(hp!W122=0,0,_xll.BDP(W$4,"YAS_BOND_YLD", "YAS_BOND_PX",hp!W122, "SETTLE_DT", TEXT(ya!$C122,"YYYYMMDD")))</f>
        <v>-7.5600000000000001E-2</v>
      </c>
      <c r="X122" s="2" cm="1">
        <f t="array" ref="X122">IF(hp!X122=0,0,_xll.BDP(X$4,"YAS_BOND_YLD", "YAS_BOND_PX",hp!X122, "SETTLE_DT", TEXT(ya!$C122,"YYYYMMDD")))</f>
        <v>0</v>
      </c>
      <c r="Y122" s="2" cm="1">
        <f t="array" ref="Y122">IF(hp!Y122=0,0,_xll.BDP(Y$4,"YAS_BOND_YLD", "YAS_BOND_PX",hp!Y122, "SETTLE_DT", TEXT(ya!$C122,"YYYYMMDD")))</f>
        <v>7.1582999999999997</v>
      </c>
      <c r="Z122" s="2" cm="1">
        <f t="array" ref="Z122">IF(hp!Z122=0,0,_xll.BDP(Z$4,"YAS_BOND_YLD", "YAS_BOND_PX",hp!Z122, "SETTLE_DT", TEXT(ya!$C122,"YYYYMMDD")))</f>
        <v>-3.5799999999999998E-2</v>
      </c>
      <c r="AA122" s="2" cm="1">
        <f t="array" ref="AA122">IF(hp!AA122=0,0,_xll.BDP(AA$4,"YAS_BOND_YLD", "YAS_BOND_PX",hp!AA122, "SETTLE_DT", TEXT(ya!$C122,"YYYYMMDD")))</f>
        <v>13.791</v>
      </c>
      <c r="AB122" s="2" cm="1">
        <f t="array" ref="AB122">IF(hp!AB122=0,0,_xll.BDP(AB$4,"YAS_BOND_YLD", "YAS_BOND_PX",hp!AB122, "SETTLE_DT", TEXT(ya!$C122,"YYYYMMDD")))</f>
        <v>1.7899999999999999E-2</v>
      </c>
      <c r="AC122" s="2" cm="1">
        <f t="array" ref="AC122">IF(hp!AC122=0,0,_xll.BDP(AC$4,"YAS_BOND_YLD", "YAS_BOND_PX",hp!AC122, "SETTLE_DT", TEXT(ya!$C122,"YYYYMMDD")))</f>
        <v>13.9978</v>
      </c>
      <c r="AD122" s="2" cm="1">
        <f t="array" ref="AD122">IF(hp!AD122=0,0,_xll.BDP(AD$4,"YAS_BOND_YLD", "YAS_BOND_PX",hp!AD122, "SETTLE_DT", TEXT(ya!$C122,"YYYYMMDD")))</f>
        <v>6.8106999999999998</v>
      </c>
      <c r="AE122" s="2" cm="1">
        <f t="array" ref="AE122">IF(hp!AE122=0,0,_xll.BDP(AE$4,"YAS_BOND_YLD", "YAS_BOND_PX",hp!AE122, "SETTLE_DT", TEXT(ya!$C122,"YYYYMMDD")))</f>
        <v>0</v>
      </c>
      <c r="AF122" s="2" cm="1">
        <f t="array" ref="AF122">IF(hp!AF122=0,0,_xll.BDP(AF$4,"YAS_BOND_YLD", "YAS_BOND_PX",hp!AF122, "SETTLE_DT", TEXT(ya!$C122,"YYYYMMDD")))</f>
        <v>8.3799999999999999E-2</v>
      </c>
      <c r="AG122" s="2" cm="1">
        <f t="array" ref="AG122">IF(hp!AG122=0,0,_xll.BDP(AG$4,"YAS_BOND_YLD", "YAS_BOND_PX",hp!AG122, "SETTLE_DT", TEXT(ya!$C122,"YYYYMMDD")))</f>
        <v>2.8400000000000002E-2</v>
      </c>
      <c r="AH122" s="2" cm="1">
        <f t="array" ref="AH122">IF(hp!AH122=0,0,_xll.BDP(AH$4,"YAS_BOND_YLD", "YAS_BOND_PX",hp!AH122, "SETTLE_DT", TEXT(ya!$C122,"YYYYMMDD")))</f>
        <v>0</v>
      </c>
      <c r="AI122" s="2" cm="1">
        <f t="array" ref="AI122">IF(hp!AI122=0,0,_xll.BDP(AI$4,"YAS_BOND_YLD", "YAS_BOND_PX",hp!AI122, "SETTLE_DT", TEXT(ya!$C122,"YYYYMMDD")))</f>
        <v>7.0583999999999998</v>
      </c>
      <c r="AJ122" s="2" cm="1">
        <f t="array" ref="AJ122">IF(hp!AJ122=0,0,_xll.BDP(AJ$4,"YAS_BOND_YLD", "YAS_BOND_PX",hp!AJ122, "SETTLE_DT", TEXT(ya!$C122,"YYYYMMDD")))</f>
        <v>0.1022</v>
      </c>
      <c r="AK122" s="2" cm="1">
        <f t="array" ref="AK122">IF(hp!AK122=0,0,_xll.BDP(AK$4,"YAS_BOND_YLD", "YAS_BOND_PX",hp!AK122, "SETTLE_DT", TEXT(ya!$C122,"YYYYMMDD")))</f>
        <v>5.7700000000000001E-2</v>
      </c>
      <c r="AL122" s="2" cm="1">
        <f t="array" ref="AL122">IF(hp!AL122=0,0,_xll.BDP(AL$4,"YAS_BOND_YLD", "YAS_BOND_PX",hp!AL122, "SETTLE_DT", TEXT(ya!$C122,"YYYYMMDD")))</f>
        <v>0</v>
      </c>
      <c r="AM122" s="2" cm="1">
        <f t="array" ref="AM122">IF(hp!AM122=0,0,_xll.BDP(AM$4,"YAS_BOND_YLD", "YAS_BOND_PX",hp!AM122, "SETTLE_DT", TEXT(ya!$C122,"YYYYMMDD")))</f>
        <v>13.9495</v>
      </c>
      <c r="AN122" s="2" cm="1">
        <f t="array" ref="AN122">IF(hp!AN122=0,0,_xll.BDP(AN$4,"YAS_BOND_YLD", "YAS_BOND_PX",hp!AN122, "SETTLE_DT", TEXT(ya!$C122,"YYYYMMDD")))</f>
        <v>0.11260000000000001</v>
      </c>
      <c r="AO122" s="2" cm="1">
        <f t="array" ref="AO122">IF(hp!AO122=0,0,_xll.BDP(AO$4,"YAS_BOND_YLD", "YAS_BOND_PX",hp!AO122, "SETTLE_DT", TEXT(ya!$C122,"YYYYMMDD")))</f>
        <v>0.11459999999999999</v>
      </c>
      <c r="AP122" s="2" cm="1">
        <f t="array" ref="AP122">IF(hp!AP122=0,0,_xll.BDP(AP$4,"YAS_BOND_YLD", "YAS_BOND_PX",hp!AP122, "SETTLE_DT", TEXT(ya!$C122,"YYYYMMDD")))</f>
        <v>13.919599999999999</v>
      </c>
      <c r="AQ122" s="2" cm="1">
        <f t="array" ref="AQ122">IF(hp!AQ122=0,0,_xll.BDP(AQ$4,"YAS_BOND_YLD", "YAS_BOND_PX",hp!AQ122, "SETTLE_DT", TEXT(ya!$C122,"YYYYMMDD")))</f>
        <v>-2.4E-2</v>
      </c>
      <c r="AR122" s="2" cm="1">
        <f t="array" ref="AR122">IF(hp!AR122=0,0,_xll.BDP(AR$4,"YAS_BOND_YLD", "YAS_BOND_PX",hp!AR122, "SETTLE_DT", TEXT(ya!$C122,"YYYYMMDD")))</f>
        <v>6.4903000000000004</v>
      </c>
      <c r="AS122" s="2" cm="1">
        <f t="array" ref="AS122">IF(hp!AS122=0,0,_xll.BDP(AS$4,"YAS_BOND_YLD", "YAS_BOND_PX",hp!AS122, "SETTLE_DT", TEXT(ya!$C122,"YYYYMMDD")))</f>
        <v>14.0326</v>
      </c>
      <c r="AT122" s="2" cm="1">
        <f t="array" ref="AT122">IF(hp!AT122=0,0,_xll.BDP(AT$4,"YAS_BOND_YLD", "YAS_BOND_PX",hp!AT122, "SETTLE_DT", TEXT(ya!$C122,"YYYYMMDD")))</f>
        <v>0.11509999999999999</v>
      </c>
      <c r="AU122" s="2" cm="1">
        <f t="array" ref="AU122">IF(hp!AU122=0,0,_xll.BDP(AU$4,"YAS_BOND_YLD", "YAS_BOND_PX",hp!AU122, "SETTLE_DT", TEXT(ya!$C122,"YYYYMMDD")))</f>
        <v>0</v>
      </c>
      <c r="AV122" s="2" cm="1">
        <f t="array" ref="AV122">IF(hp!AV122=0,0,_xll.BDP(AV$4,"YAS_BOND_YLD", "YAS_BOND_PX",hp!AV122, "SETTLE_DT", TEXT(ya!$C122,"YYYYMMDD")))</f>
        <v>0.115</v>
      </c>
      <c r="AW122" s="2" cm="1">
        <f t="array" ref="AW122">IF(hp!AW122=0,0,_xll.BDP(AW$4,"YAS_BOND_YLD", "YAS_BOND_PX",hp!AW122, "SETTLE_DT", TEXT(ya!$C122,"YYYYMMDD")))</f>
        <v>0</v>
      </c>
      <c r="AX122" s="2" cm="1">
        <f t="array" ref="AX122">IF(hp!AX122=0,0,_xll.BDP(AX$4,"YAS_BOND_YLD", "YAS_BOND_PX",hp!AX122, "SETTLE_DT", TEXT(ya!$C122,"YYYYMMDD")))</f>
        <v>0</v>
      </c>
      <c r="AY122" s="2" cm="1">
        <f t="array" ref="AY122">IF(hp!AY122=0,0,_xll.BDP(AY$4,"YAS_BOND_YLD", "YAS_BOND_PX",hp!AY122, "SETTLE_DT", TEXT(ya!$C122,"YYYYMMDD")))</f>
        <v>0.1164</v>
      </c>
      <c r="AZ122" s="2" cm="1">
        <f t="array" ref="AZ122">IF(hp!AZ122=0,0,_xll.BDP(AZ$4,"YAS_BOND_YLD", "YAS_BOND_PX",hp!AZ122, "SETTLE_DT", TEXT(ya!$C122,"YYYYMMDD")))</f>
        <v>0</v>
      </c>
    </row>
    <row r="123" spans="1:52" x14ac:dyDescent="0.25">
      <c r="A123" s="1"/>
      <c r="B123" s="2"/>
      <c r="C123" s="1">
        <v>45657</v>
      </c>
      <c r="D123" s="2" cm="1">
        <f t="array" ref="D123">IF(hp!D123=0,0,_xll.BDP(D$4,"YAS_BOND_YLD", "YAS_BOND_PX",hp!D123, "SETTLE_DT", TEXT(ya!$C123,"YYYYMMDD")))</f>
        <v>15.2066</v>
      </c>
      <c r="E123" s="2" cm="1">
        <f t="array" ref="E123">IF(hp!E123=0,0,_xll.BDP(E$4,"YAS_BOND_YLD", "YAS_BOND_PX",hp!E123, "SETTLE_DT", TEXT(ya!$C123,"YYYYMMDD")))</f>
        <v>15.677</v>
      </c>
      <c r="F123" s="2" cm="1">
        <f t="array" ref="F123">IF(hp!F123=0,0,_xll.BDP(F$4,"YAS_BOND_YLD", "YAS_BOND_PX",hp!F123, "SETTLE_DT", TEXT(ya!$C123,"YYYYMMDD")))</f>
        <v>15.9434</v>
      </c>
      <c r="G123" s="2" cm="1">
        <f t="array" ref="G123">IF(hp!G123=0,0,_xll.BDP(G$4,"YAS_BOND_YLD", "YAS_BOND_PX",hp!G123, "SETTLE_DT", TEXT(ya!$C123,"YYYYMMDD")))</f>
        <v>7.6462000000000003</v>
      </c>
      <c r="H123" s="2" cm="1">
        <f t="array" ref="H123">IF(hp!H123=0,0,_xll.BDP(H$4,"YAS_BOND_YLD", "YAS_BOND_PX",hp!H123, "SETTLE_DT", TEXT(ya!$C123,"YYYYMMDD")))</f>
        <v>15.914199999999999</v>
      </c>
      <c r="I123" s="2" cm="1">
        <f t="array" ref="I123">IF(hp!I123=0,0,_xll.BDP(I$4,"YAS_BOND_YLD", "YAS_BOND_PX",hp!I123, "SETTLE_DT", TEXT(ya!$C123,"YYYYMMDD")))</f>
        <v>15.4186</v>
      </c>
      <c r="J123" s="2" cm="1">
        <f t="array" ref="J123">IF(hp!J123=0,0,_xll.BDP(J$4,"YAS_BOND_YLD", "YAS_BOND_PX",hp!J123, "SETTLE_DT", TEXT(ya!$C123,"YYYYMMDD")))</f>
        <v>7.4546000000000001</v>
      </c>
      <c r="K123" s="2" cm="1">
        <f t="array" ref="K123">IF(hp!K123=0,0,_xll.BDP(K$4,"YAS_BOND_YLD", "YAS_BOND_PX",hp!K123, "SETTLE_DT", TEXT(ya!$C123,"YYYYMMDD")))</f>
        <v>15.4481</v>
      </c>
      <c r="L123" s="2" cm="1">
        <f t="array" ref="L123">IF(hp!L123=0,0,_xll.BDP(L$4,"YAS_BOND_YLD", "YAS_BOND_PX",hp!L123, "SETTLE_DT", TEXT(ya!$C123,"YYYYMMDD")))</f>
        <v>7.75</v>
      </c>
      <c r="M123" s="2" cm="1">
        <f t="array" ref="M123">IF(hp!M123=0,0,_xll.BDP(M$4,"YAS_BOND_YLD", "YAS_BOND_PX",hp!M123, "SETTLE_DT", TEXT(ya!$C123,"YYYYMMDD")))</f>
        <v>8.1166</v>
      </c>
      <c r="N123" s="2" cm="1">
        <f t="array" ref="N123">IF(hp!N123=0,0,_xll.BDP(N$4,"YAS_BOND_YLD", "YAS_BOND_PX",hp!N123, "SETTLE_DT", TEXT(ya!$C123,"YYYYMMDD")))</f>
        <v>8.0043000000000006</v>
      </c>
      <c r="O123" s="2" cm="1">
        <f t="array" ref="O123">IF(hp!O123=0,0,_xll.BDP(O$4,"YAS_BOND_YLD", "YAS_BOND_PX",hp!O123, "SETTLE_DT", TEXT(ya!$C123,"YYYYMMDD")))</f>
        <v>7.4330999999999996</v>
      </c>
      <c r="P123" s="2" cm="1">
        <f t="array" ref="P123">IF(hp!P123=0,0,_xll.BDP(P$4,"YAS_BOND_YLD", "YAS_BOND_PX",hp!P123, "SETTLE_DT", TEXT(ya!$C123,"YYYYMMDD")))</f>
        <v>7.7335000000000003</v>
      </c>
      <c r="Q123" s="2" cm="1">
        <f t="array" ref="Q123">IF(hp!Q123=0,0,_xll.BDP(Q$4,"YAS_BOND_YLD", "YAS_BOND_PX",hp!Q123, "SETTLE_DT", TEXT(ya!$C123,"YYYYMMDD")))</f>
        <v>7.3997999999999999</v>
      </c>
      <c r="R123" s="2" cm="1">
        <f t="array" ref="R123">IF(hp!R123=0,0,_xll.BDP(R$4,"YAS_BOND_YLD", "YAS_BOND_PX",hp!R123, "SETTLE_DT", TEXT(ya!$C123,"YYYYMMDD")))</f>
        <v>15.938599999999999</v>
      </c>
      <c r="S123" s="2" cm="1">
        <f t="array" ref="S123">IF(hp!S123=0,0,_xll.BDP(S$4,"YAS_BOND_YLD", "YAS_BOND_PX",hp!S123, "SETTLE_DT", TEXT(ya!$C123,"YYYYMMDD")))</f>
        <v>15.7784</v>
      </c>
      <c r="T123" s="2" cm="1">
        <f t="array" ref="T123">IF(hp!T123=0,0,_xll.BDP(T$4,"YAS_BOND_YLD", "YAS_BOND_PX",hp!T123, "SETTLE_DT", TEXT(ya!$C123,"YYYYMMDD")))</f>
        <v>8.0335999999999999</v>
      </c>
      <c r="U123" s="2" cm="1">
        <f t="array" ref="U123">IF(hp!U123=0,0,_xll.BDP(U$4,"YAS_BOND_YLD", "YAS_BOND_PX",hp!U123, "SETTLE_DT", TEXT(ya!$C123,"YYYYMMDD")))</f>
        <v>7.3118999999999996</v>
      </c>
      <c r="V123" s="2" cm="1">
        <f t="array" ref="V123">IF(hp!V123=0,0,_xll.BDP(V$4,"YAS_BOND_YLD", "YAS_BOND_PX",hp!V123, "SETTLE_DT", TEXT(ya!$C123,"YYYYMMDD")))</f>
        <v>14.9315</v>
      </c>
      <c r="W123" s="2" cm="1">
        <f t="array" ref="W123">IF(hp!W123=0,0,_xll.BDP(W$4,"YAS_BOND_YLD", "YAS_BOND_PX",hp!W123, "SETTLE_DT", TEXT(ya!$C123,"YYYYMMDD")))</f>
        <v>3.1300000000000001E-2</v>
      </c>
      <c r="X123" s="2" cm="1">
        <f t="array" ref="X123">IF(hp!X123=0,0,_xll.BDP(X$4,"YAS_BOND_YLD", "YAS_BOND_PX",hp!X123, "SETTLE_DT", TEXT(ya!$C123,"YYYYMMDD")))</f>
        <v>0</v>
      </c>
      <c r="Y123" s="2" cm="1">
        <f t="array" ref="Y123">IF(hp!Y123=0,0,_xll.BDP(Y$4,"YAS_BOND_YLD", "YAS_BOND_PX",hp!Y123, "SETTLE_DT", TEXT(ya!$C123,"YYYYMMDD")))</f>
        <v>7.8870000000000005</v>
      </c>
      <c r="Z123" s="2" cm="1">
        <f t="array" ref="Z123">IF(hp!Z123=0,0,_xll.BDP(Z$4,"YAS_BOND_YLD", "YAS_BOND_PX",hp!Z123, "SETTLE_DT", TEXT(ya!$C123,"YYYYMMDD")))</f>
        <v>3.5700000000000003E-2</v>
      </c>
      <c r="AA123" s="2" cm="1">
        <f t="array" ref="AA123">IF(hp!AA123=0,0,_xll.BDP(AA$4,"YAS_BOND_YLD", "YAS_BOND_PX",hp!AA123, "SETTLE_DT", TEXT(ya!$C123,"YYYYMMDD")))</f>
        <v>15.7498</v>
      </c>
      <c r="AB123" s="2" cm="1">
        <f t="array" ref="AB123">IF(hp!AB123=0,0,_xll.BDP(AB$4,"YAS_BOND_YLD", "YAS_BOND_PX",hp!AB123, "SETTLE_DT", TEXT(ya!$C123,"YYYYMMDD")))</f>
        <v>7.1800000000000003E-2</v>
      </c>
      <c r="AC123" s="2" cm="1">
        <f t="array" ref="AC123">IF(hp!AC123=0,0,_xll.BDP(AC$4,"YAS_BOND_YLD", "YAS_BOND_PX",hp!AC123, "SETTLE_DT", TEXT(ya!$C123,"YYYYMMDD")))</f>
        <v>15.9762</v>
      </c>
      <c r="AD123" s="2" cm="1">
        <f t="array" ref="AD123">IF(hp!AD123=0,0,_xll.BDP(AD$4,"YAS_BOND_YLD", "YAS_BOND_PX",hp!AD123, "SETTLE_DT", TEXT(ya!$C123,"YYYYMMDD")))</f>
        <v>7.4368999999999996</v>
      </c>
      <c r="AE123" s="2" cm="1">
        <f t="array" ref="AE123">IF(hp!AE123=0,0,_xll.BDP(AE$4,"YAS_BOND_YLD", "YAS_BOND_PX",hp!AE123, "SETTLE_DT", TEXT(ya!$C123,"YYYYMMDD")))</f>
        <v>0</v>
      </c>
      <c r="AF123" s="2" cm="1">
        <f t="array" ref="AF123">IF(hp!AF123=0,0,_xll.BDP(AF$4,"YAS_BOND_YLD", "YAS_BOND_PX",hp!AF123, "SETTLE_DT", TEXT(ya!$C123,"YYYYMMDD")))</f>
        <v>0.11219999999999999</v>
      </c>
      <c r="AG123" s="2" cm="1">
        <f t="array" ref="AG123">IF(hp!AG123=0,0,_xll.BDP(AG$4,"YAS_BOND_YLD", "YAS_BOND_PX",hp!AG123, "SETTLE_DT", TEXT(ya!$C123,"YYYYMMDD")))</f>
        <v>8.2199999999999995E-2</v>
      </c>
      <c r="AH123" s="2" cm="1">
        <f t="array" ref="AH123">IF(hp!AH123=0,0,_xll.BDP(AH$4,"YAS_BOND_YLD", "YAS_BOND_PX",hp!AH123, "SETTLE_DT", TEXT(ya!$C123,"YYYYMMDD")))</f>
        <v>0</v>
      </c>
      <c r="AI123" s="2" cm="1">
        <f t="array" ref="AI123">IF(hp!AI123=0,0,_xll.BDP(AI$4,"YAS_BOND_YLD", "YAS_BOND_PX",hp!AI123, "SETTLE_DT", TEXT(ya!$C123,"YYYYMMDD")))</f>
        <v>7.7127999999999997</v>
      </c>
      <c r="AJ123" s="2" cm="1">
        <f t="array" ref="AJ123">IF(hp!AJ123=0,0,_xll.BDP(AJ$4,"YAS_BOND_YLD", "YAS_BOND_PX",hp!AJ123, "SETTLE_DT", TEXT(ya!$C123,"YYYYMMDD")))</f>
        <v>0.13919999999999999</v>
      </c>
      <c r="AK123" s="2" cm="1">
        <f t="array" ref="AK123">IF(hp!AK123=0,0,_xll.BDP(AK$4,"YAS_BOND_YLD", "YAS_BOND_PX",hp!AK123, "SETTLE_DT", TEXT(ya!$C123,"YYYYMMDD")))</f>
        <v>9.9599999999999994E-2</v>
      </c>
      <c r="AL123" s="2" cm="1">
        <f t="array" ref="AL123">IF(hp!AL123=0,0,_xll.BDP(AL$4,"YAS_BOND_YLD", "YAS_BOND_PX",hp!AL123, "SETTLE_DT", TEXT(ya!$C123,"YYYYMMDD")))</f>
        <v>0</v>
      </c>
      <c r="AM123" s="2" cm="1">
        <f t="array" ref="AM123">IF(hp!AM123=0,0,_xll.BDP(AM$4,"YAS_BOND_YLD", "YAS_BOND_PX",hp!AM123, "SETTLE_DT", TEXT(ya!$C123,"YYYYMMDD")))</f>
        <v>15.928599999999999</v>
      </c>
      <c r="AN123" s="2" cm="1">
        <f t="array" ref="AN123">IF(hp!AN123=0,0,_xll.BDP(AN$4,"YAS_BOND_YLD", "YAS_BOND_PX",hp!AN123, "SETTLE_DT", TEXT(ya!$C123,"YYYYMMDD")))</f>
        <v>0.1424</v>
      </c>
      <c r="AO123" s="2" cm="1">
        <f t="array" ref="AO123">IF(hp!AO123=0,0,_xll.BDP(AO$4,"YAS_BOND_YLD", "YAS_BOND_PX",hp!AO123, "SETTLE_DT", TEXT(ya!$C123,"YYYYMMDD")))</f>
        <v>0.14099999999999999</v>
      </c>
      <c r="AP123" s="2" cm="1">
        <f t="array" ref="AP123">IF(hp!AP123=0,0,_xll.BDP(AP$4,"YAS_BOND_YLD", "YAS_BOND_PX",hp!AP123, "SETTLE_DT", TEXT(ya!$C123,"YYYYMMDD")))</f>
        <v>15.8888</v>
      </c>
      <c r="AQ123" s="2" cm="1">
        <f t="array" ref="AQ123">IF(hp!AQ123=0,0,_xll.BDP(AQ$4,"YAS_BOND_YLD", "YAS_BOND_PX",hp!AQ123, "SETTLE_DT", TEXT(ya!$C123,"YYYYMMDD")))</f>
        <v>3.6700000000000003E-2</v>
      </c>
      <c r="AR123" s="2" cm="1">
        <f t="array" ref="AR123">IF(hp!AR123=0,0,_xll.BDP(AR$4,"YAS_BOND_YLD", "YAS_BOND_PX",hp!AR123, "SETTLE_DT", TEXT(ya!$C123,"YYYYMMDD")))</f>
        <v>6.7524999999999995</v>
      </c>
      <c r="AS123" s="2" cm="1">
        <f t="array" ref="AS123">IF(hp!AS123=0,0,_xll.BDP(AS$4,"YAS_BOND_YLD", "YAS_BOND_PX",hp!AS123, "SETTLE_DT", TEXT(ya!$C123,"YYYYMMDD")))</f>
        <v>15.9643</v>
      </c>
      <c r="AT123" s="2" cm="1">
        <f t="array" ref="AT123">IF(hp!AT123=0,0,_xll.BDP(AT$4,"YAS_BOND_YLD", "YAS_BOND_PX",hp!AT123, "SETTLE_DT", TEXT(ya!$C123,"YYYYMMDD")))</f>
        <v>0.13900000000000001</v>
      </c>
      <c r="AU123" s="2" cm="1">
        <f t="array" ref="AU123">IF(hp!AU123=0,0,_xll.BDP(AU$4,"YAS_BOND_YLD", "YAS_BOND_PX",hp!AU123, "SETTLE_DT", TEXT(ya!$C123,"YYYYMMDD")))</f>
        <v>0</v>
      </c>
      <c r="AV123" s="2" cm="1">
        <f t="array" ref="AV123">IF(hp!AV123=0,0,_xll.BDP(AV$4,"YAS_BOND_YLD", "YAS_BOND_PX",hp!AV123, "SETTLE_DT", TEXT(ya!$C123,"YYYYMMDD")))</f>
        <v>0.14199999999999999</v>
      </c>
      <c r="AW123" s="2" cm="1">
        <f t="array" ref="AW123">IF(hp!AW123=0,0,_xll.BDP(AW$4,"YAS_BOND_YLD", "YAS_BOND_PX",hp!AW123, "SETTLE_DT", TEXT(ya!$C123,"YYYYMMDD")))</f>
        <v>0</v>
      </c>
      <c r="AX123" s="2" cm="1">
        <f t="array" ref="AX123">IF(hp!AX123=0,0,_xll.BDP(AX$4,"YAS_BOND_YLD", "YAS_BOND_PX",hp!AX123, "SETTLE_DT", TEXT(ya!$C123,"YYYYMMDD")))</f>
        <v>0</v>
      </c>
      <c r="AY123" s="2" cm="1">
        <f t="array" ref="AY123">IF(hp!AY123=0,0,_xll.BDP(AY$4,"YAS_BOND_YLD", "YAS_BOND_PX",hp!AY123, "SETTLE_DT", TEXT(ya!$C123,"YYYYMMDD")))</f>
        <v>0.13550000000000001</v>
      </c>
      <c r="AZ123" s="2" cm="1">
        <f t="array" ref="AZ123">IF(hp!AZ123=0,0,_xll.BDP(AZ$4,"YAS_BOND_YLD", "YAS_BOND_PX",hp!AZ123, "SETTLE_DT", TEXT(ya!$C123,"YYYYMMDD")))</f>
        <v>0</v>
      </c>
    </row>
    <row r="124" spans="1:52" x14ac:dyDescent="0.25">
      <c r="A124" s="1"/>
      <c r="B124" s="2"/>
      <c r="C124" s="1">
        <v>45688</v>
      </c>
      <c r="D124" s="2" cm="1">
        <f t="array" ref="D124">IF(hp!D124=0,0,_xll.BDP(D$4,"YAS_BOND_YLD", "YAS_BOND_PX",hp!D124, "SETTLE_DT", TEXT(ya!$C124,"YYYYMMDD")))</f>
        <v>14.758800000000001</v>
      </c>
      <c r="E124" s="2" cm="1">
        <f t="array" ref="E124">IF(hp!E124=0,0,_xll.BDP(E$4,"YAS_BOND_YLD", "YAS_BOND_PX",hp!E124, "SETTLE_DT", TEXT(ya!$C124,"YYYYMMDD")))</f>
        <v>14.837999999999999</v>
      </c>
      <c r="F124" s="2" cm="1">
        <f t="array" ref="F124">IF(hp!F124=0,0,_xll.BDP(F$4,"YAS_BOND_YLD", "YAS_BOND_PX",hp!F124, "SETTLE_DT", TEXT(ya!$C124,"YYYYMMDD")))</f>
        <v>14.8828</v>
      </c>
      <c r="G124" s="2" cm="1">
        <f t="array" ref="G124">IF(hp!G124=0,0,_xll.BDP(G$4,"YAS_BOND_YLD", "YAS_BOND_PX",hp!G124, "SETTLE_DT", TEXT(ya!$C124,"YYYYMMDD")))</f>
        <v>7.673</v>
      </c>
      <c r="H124" s="2" cm="1">
        <f t="array" ref="H124">IF(hp!H124=0,0,_xll.BDP(H$4,"YAS_BOND_YLD", "YAS_BOND_PX",hp!H124, "SETTLE_DT", TEXT(ya!$C124,"YYYYMMDD")))</f>
        <v>14.802300000000001</v>
      </c>
      <c r="I124" s="2" cm="1">
        <f t="array" ref="I124">IF(hp!I124=0,0,_xll.BDP(I$4,"YAS_BOND_YLD", "YAS_BOND_PX",hp!I124, "SETTLE_DT", TEXT(ya!$C124,"YYYYMMDD")))</f>
        <v>14.715999999999999</v>
      </c>
      <c r="J124" s="2" cm="1">
        <f t="array" ref="J124">IF(hp!J124=0,0,_xll.BDP(J$4,"YAS_BOND_YLD", "YAS_BOND_PX",hp!J124, "SETTLE_DT", TEXT(ya!$C124,"YYYYMMDD")))</f>
        <v>7.5206</v>
      </c>
      <c r="K124" s="2" cm="1">
        <f t="array" ref="K124">IF(hp!K124=0,0,_xll.BDP(K$4,"YAS_BOND_YLD", "YAS_BOND_PX",hp!K124, "SETTLE_DT", TEXT(ya!$C124,"YYYYMMDD")))</f>
        <v>14.791499999999999</v>
      </c>
      <c r="L124" s="2" cm="1">
        <f t="array" ref="L124">IF(hp!L124=0,0,_xll.BDP(L$4,"YAS_BOND_YLD", "YAS_BOND_PX",hp!L124, "SETTLE_DT", TEXT(ya!$C124,"YYYYMMDD")))</f>
        <v>7.6848000000000001</v>
      </c>
      <c r="M124" s="2" cm="1">
        <f t="array" ref="M124">IF(hp!M124=0,0,_xll.BDP(M$4,"YAS_BOND_YLD", "YAS_BOND_PX",hp!M124, "SETTLE_DT", TEXT(ya!$C124,"YYYYMMDD")))</f>
        <v>7.5788000000000002</v>
      </c>
      <c r="N124" s="2" cm="1">
        <f t="array" ref="N124">IF(hp!N124=0,0,_xll.BDP(N$4,"YAS_BOND_YLD", "YAS_BOND_PX",hp!N124, "SETTLE_DT", TEXT(ya!$C124,"YYYYMMDD")))</f>
        <v>7.6093999999999999</v>
      </c>
      <c r="O124" s="2" cm="1">
        <f t="array" ref="O124">IF(hp!O124=0,0,_xll.BDP(O$4,"YAS_BOND_YLD", "YAS_BOND_PX",hp!O124, "SETTLE_DT", TEXT(ya!$C124,"YYYYMMDD")))</f>
        <v>7.4922000000000004</v>
      </c>
      <c r="P124" s="2" cm="1">
        <f t="array" ref="P124">IF(hp!P124=0,0,_xll.BDP(P$4,"YAS_BOND_YLD", "YAS_BOND_PX",hp!P124, "SETTLE_DT", TEXT(ya!$C124,"YYYYMMDD")))</f>
        <v>7.7724000000000002</v>
      </c>
      <c r="Q124" s="2" cm="1">
        <f t="array" ref="Q124">IF(hp!Q124=0,0,_xll.BDP(Q$4,"YAS_BOND_YLD", "YAS_BOND_PX",hp!Q124, "SETTLE_DT", TEXT(ya!$C124,"YYYYMMDD")))</f>
        <v>7.5372000000000003</v>
      </c>
      <c r="R124" s="2" cm="1">
        <f t="array" ref="R124">IF(hp!R124=0,0,_xll.BDP(R$4,"YAS_BOND_YLD", "YAS_BOND_PX",hp!R124, "SETTLE_DT", TEXT(ya!$C124,"YYYYMMDD")))</f>
        <v>15.051</v>
      </c>
      <c r="S124" s="2" cm="1">
        <f t="array" ref="S124">IF(hp!S124=0,0,_xll.BDP(S$4,"YAS_BOND_YLD", "YAS_BOND_PX",hp!S124, "SETTLE_DT", TEXT(ya!$C124,"YYYYMMDD")))</f>
        <v>14.991899999999999</v>
      </c>
      <c r="T124" s="2" cm="1">
        <f t="array" ref="T124">IF(hp!T124=0,0,_xll.BDP(T$4,"YAS_BOND_YLD", "YAS_BOND_PX",hp!T124, "SETTLE_DT", TEXT(ya!$C124,"YYYYMMDD")))</f>
        <v>7.4036</v>
      </c>
      <c r="U124" s="2" cm="1">
        <f t="array" ref="U124">IF(hp!U124=0,0,_xll.BDP(U$4,"YAS_BOND_YLD", "YAS_BOND_PX",hp!U124, "SETTLE_DT", TEXT(ya!$C124,"YYYYMMDD")))</f>
        <v>7.4641999999999999</v>
      </c>
      <c r="V124" s="2" cm="1">
        <f t="array" ref="V124">IF(hp!V124=0,0,_xll.BDP(V$4,"YAS_BOND_YLD", "YAS_BOND_PX",hp!V124, "SETTLE_DT", TEXT(ya!$C124,"YYYYMMDD")))</f>
        <v>14.4528</v>
      </c>
      <c r="W124" s="2" cm="1">
        <f t="array" ref="W124">IF(hp!W124=0,0,_xll.BDP(W$4,"YAS_BOND_YLD", "YAS_BOND_PX",hp!W124, "SETTLE_DT", TEXT(ya!$C124,"YYYYMMDD")))</f>
        <v>-8.8700000000000001E-2</v>
      </c>
      <c r="X124" s="2" cm="1">
        <f t="array" ref="X124">IF(hp!X124=0,0,_xll.BDP(X$4,"YAS_BOND_YLD", "YAS_BOND_PX",hp!X124, "SETTLE_DT", TEXT(ya!$C124,"YYYYMMDD")))</f>
        <v>14.9506</v>
      </c>
      <c r="Y124" s="2" cm="1">
        <f t="array" ref="Y124">IF(hp!Y124=0,0,_xll.BDP(Y$4,"YAS_BOND_YLD", "YAS_BOND_PX",hp!Y124, "SETTLE_DT", TEXT(ya!$C124,"YYYYMMDD")))</f>
        <v>7.5521000000000003</v>
      </c>
      <c r="Z124" s="2" cm="1">
        <f t="array" ref="Z124">IF(hp!Z124=0,0,_xll.BDP(Z$4,"YAS_BOND_YLD", "YAS_BOND_PX",hp!Z124, "SETTLE_DT", TEXT(ya!$C124,"YYYYMMDD")))</f>
        <v>-4.6899999999999997E-2</v>
      </c>
      <c r="AA124" s="2" cm="1">
        <f t="array" ref="AA124">IF(hp!AA124=0,0,_xll.BDP(AA$4,"YAS_BOND_YLD", "YAS_BOND_PX",hp!AA124, "SETTLE_DT", TEXT(ya!$C124,"YYYYMMDD")))</f>
        <v>14.805</v>
      </c>
      <c r="AB124" s="2" cm="1">
        <f t="array" ref="AB124">IF(hp!AB124=0,0,_xll.BDP(AB$4,"YAS_BOND_YLD", "YAS_BOND_PX",hp!AB124, "SETTLE_DT", TEXT(ya!$C124,"YYYYMMDD")))</f>
        <v>1.5599999999999999E-2</v>
      </c>
      <c r="AC124" s="2" cm="1">
        <f t="array" ref="AC124">IF(hp!AC124=0,0,_xll.BDP(AC$4,"YAS_BOND_YLD", "YAS_BOND_PX",hp!AC124, "SETTLE_DT", TEXT(ya!$C124,"YYYYMMDD")))</f>
        <v>14.896699999999999</v>
      </c>
      <c r="AD124" s="2" cm="1">
        <f t="array" ref="AD124">IF(hp!AD124=0,0,_xll.BDP(AD$4,"YAS_BOND_YLD", "YAS_BOND_PX",hp!AD124, "SETTLE_DT", TEXT(ya!$C124,"YYYYMMDD")))</f>
        <v>7.4690000000000003</v>
      </c>
      <c r="AE124" s="2" cm="1">
        <f t="array" ref="AE124">IF(hp!AE124=0,0,_xll.BDP(AE$4,"YAS_BOND_YLD", "YAS_BOND_PX",hp!AE124, "SETTLE_DT", TEXT(ya!$C124,"YYYYMMDD")))</f>
        <v>14.8194</v>
      </c>
      <c r="AF124" s="2" cm="1">
        <f t="array" ref="AF124">IF(hp!AF124=0,0,_xll.BDP(AF$4,"YAS_BOND_YLD", "YAS_BOND_PX",hp!AF124, "SETTLE_DT", TEXT(ya!$C124,"YYYYMMDD")))</f>
        <v>6.6299999999999998E-2</v>
      </c>
      <c r="AG124" s="2" cm="1">
        <f t="array" ref="AG124">IF(hp!AG124=0,0,_xll.BDP(AG$4,"YAS_BOND_YLD", "YAS_BOND_PX",hp!AG124, "SETTLE_DT", TEXT(ya!$C124,"YYYYMMDD")))</f>
        <v>3.0300000000000001E-2</v>
      </c>
      <c r="AH124" s="2" cm="1">
        <f t="array" ref="AH124">IF(hp!AH124=0,0,_xll.BDP(AH$4,"YAS_BOND_YLD", "YAS_BOND_PX",hp!AH124, "SETTLE_DT", TEXT(ya!$C124,"YYYYMMDD")))</f>
        <v>14.8123</v>
      </c>
      <c r="AI124" s="2" cm="1">
        <f t="array" ref="AI124">IF(hp!AI124=0,0,_xll.BDP(AI$4,"YAS_BOND_YLD", "YAS_BOND_PX",hp!AI124, "SETTLE_DT", TEXT(ya!$C124,"YYYYMMDD")))</f>
        <v>7.7081999999999997</v>
      </c>
      <c r="AJ124" s="2" cm="1">
        <f t="array" ref="AJ124">IF(hp!AJ124=0,0,_xll.BDP(AJ$4,"YAS_BOND_YLD", "YAS_BOND_PX",hp!AJ124, "SETTLE_DT", TEXT(ya!$C124,"YYYYMMDD")))</f>
        <v>9.2799999999999994E-2</v>
      </c>
      <c r="AK124" s="2" cm="1">
        <f t="array" ref="AK124">IF(hp!AK124=0,0,_xll.BDP(AK$4,"YAS_BOND_YLD", "YAS_BOND_PX",hp!AK124, "SETTLE_DT", TEXT(ya!$C124,"YYYYMMDD")))</f>
        <v>4.3700000000000003E-2</v>
      </c>
      <c r="AL124" s="2" cm="1">
        <f t="array" ref="AL124">IF(hp!AL124=0,0,_xll.BDP(AL$4,"YAS_BOND_YLD", "YAS_BOND_PX",hp!AL124, "SETTLE_DT", TEXT(ya!$C124,"YYYYMMDD")))</f>
        <v>0</v>
      </c>
      <c r="AM124" s="2" cm="1">
        <f t="array" ref="AM124">IF(hp!AM124=0,0,_xll.BDP(AM$4,"YAS_BOND_YLD", "YAS_BOND_PX",hp!AM124, "SETTLE_DT", TEXT(ya!$C124,"YYYYMMDD")))</f>
        <v>14.82</v>
      </c>
      <c r="AN124" s="2" cm="1">
        <f t="array" ref="AN124">IF(hp!AN124=0,0,_xll.BDP(AN$4,"YAS_BOND_YLD", "YAS_BOND_PX",hp!AN124, "SETTLE_DT", TEXT(ya!$C124,"YYYYMMDD")))</f>
        <v>0.10580000000000001</v>
      </c>
      <c r="AO124" s="2" cm="1">
        <f t="array" ref="AO124">IF(hp!AO124=0,0,_xll.BDP(AO$4,"YAS_BOND_YLD", "YAS_BOND_PX",hp!AO124, "SETTLE_DT", TEXT(ya!$C124,"YYYYMMDD")))</f>
        <v>0.108</v>
      </c>
      <c r="AP124" s="2" cm="1">
        <f t="array" ref="AP124">IF(hp!AP124=0,0,_xll.BDP(AP$4,"YAS_BOND_YLD", "YAS_BOND_PX",hp!AP124, "SETTLE_DT", TEXT(ya!$C124,"YYYYMMDD")))</f>
        <v>14.7751</v>
      </c>
      <c r="AQ124" s="2" cm="1">
        <f t="array" ref="AQ124">IF(hp!AQ124=0,0,_xll.BDP(AQ$4,"YAS_BOND_YLD", "YAS_BOND_PX",hp!AQ124, "SETTLE_DT", TEXT(ya!$C124,"YYYYMMDD")))</f>
        <v>-3.0700000000000002E-2</v>
      </c>
      <c r="AR124" s="2" cm="1">
        <f t="array" ref="AR124">IF(hp!AR124=0,0,_xll.BDP(AR$4,"YAS_BOND_YLD", "YAS_BOND_PX",hp!AR124, "SETTLE_DT", TEXT(ya!$C124,"YYYYMMDD")))</f>
        <v>6.734</v>
      </c>
      <c r="AS124" s="2" cm="1">
        <f t="array" ref="AS124">IF(hp!AS124=0,0,_xll.BDP(AS$4,"YAS_BOND_YLD", "YAS_BOND_PX",hp!AS124, "SETTLE_DT", TEXT(ya!$C124,"YYYYMMDD")))</f>
        <v>14.9815</v>
      </c>
      <c r="AT124" s="2" cm="1">
        <f t="array" ref="AT124">IF(hp!AT124=0,0,_xll.BDP(AT$4,"YAS_BOND_YLD", "YAS_BOND_PX",hp!AT124, "SETTLE_DT", TEXT(ya!$C124,"YYYYMMDD")))</f>
        <v>0.1081</v>
      </c>
      <c r="AU124" s="2" cm="1">
        <f t="array" ref="AU124">IF(hp!AU124=0,0,_xll.BDP(AU$4,"YAS_BOND_YLD", "YAS_BOND_PX",hp!AU124, "SETTLE_DT", TEXT(ya!$C124,"YYYYMMDD")))</f>
        <v>0</v>
      </c>
      <c r="AV124" s="2" cm="1">
        <f t="array" ref="AV124">IF(hp!AV124=0,0,_xll.BDP(AV$4,"YAS_BOND_YLD", "YAS_BOND_PX",hp!AV124, "SETTLE_DT", TEXT(ya!$C124,"YYYYMMDD")))</f>
        <v>0.10829999999999999</v>
      </c>
      <c r="AW124" s="2" cm="1">
        <f t="array" ref="AW124">IF(hp!AW124=0,0,_xll.BDP(AW$4,"YAS_BOND_YLD", "YAS_BOND_PX",hp!AW124, "SETTLE_DT", TEXT(ya!$C124,"YYYYMMDD")))</f>
        <v>0.10589999999999999</v>
      </c>
      <c r="AX124" s="2" cm="1">
        <f t="array" ref="AX124">IF(hp!AX124=0,0,_xll.BDP(AX$4,"YAS_BOND_YLD", "YAS_BOND_PX",hp!AX124, "SETTLE_DT", TEXT(ya!$C124,"YYYYMMDD")))</f>
        <v>0</v>
      </c>
      <c r="AY124" s="2" cm="1">
        <f t="array" ref="AY124">IF(hp!AY124=0,0,_xll.BDP(AY$4,"YAS_BOND_YLD", "YAS_BOND_PX",hp!AY124, "SETTLE_DT", TEXT(ya!$C124,"YYYYMMDD")))</f>
        <v>0.1084</v>
      </c>
      <c r="AZ124" s="2" cm="1">
        <f t="array" ref="AZ124">IF(hp!AZ124=0,0,_xll.BDP(AZ$4,"YAS_BOND_YLD", "YAS_BOND_PX",hp!AZ124, "SETTLE_DT", TEXT(ya!$C124,"YYYYMMDD")))</f>
        <v>0</v>
      </c>
    </row>
    <row r="125" spans="1:52" x14ac:dyDescent="0.25">
      <c r="A125" s="1"/>
      <c r="B125" s="2"/>
      <c r="C125" s="1">
        <v>45716</v>
      </c>
      <c r="D125" s="2" cm="1">
        <f t="array" ref="D125">IF(hp!D125=0,0,_xll.BDP(D$4,"YAS_BOND_YLD", "YAS_BOND_PX",hp!D125, "SETTLE_DT", TEXT(ya!$C125,"YYYYMMDD")))</f>
        <v>15.2826</v>
      </c>
      <c r="E125" s="2" cm="1">
        <f t="array" ref="E125">IF(hp!E125=0,0,_xll.BDP(E$4,"YAS_BOND_YLD", "YAS_BOND_PX",hp!E125, "SETTLE_DT", TEXT(ya!$C125,"YYYYMMDD")))</f>
        <v>15.349399999999999</v>
      </c>
      <c r="F125" s="2" cm="1">
        <f t="array" ref="F125">IF(hp!F125=0,0,_xll.BDP(F$4,"YAS_BOND_YLD", "YAS_BOND_PX",hp!F125, "SETTLE_DT", TEXT(ya!$C125,"YYYYMMDD")))</f>
        <v>14.9948</v>
      </c>
      <c r="G125" s="2" cm="1">
        <f t="array" ref="G125">IF(hp!G125=0,0,_xll.BDP(G$4,"YAS_BOND_YLD", "YAS_BOND_PX",hp!G125, "SETTLE_DT", TEXT(ya!$C125,"YYYYMMDD")))</f>
        <v>7.8307000000000002</v>
      </c>
      <c r="H125" s="2" cm="1">
        <f t="array" ref="H125">IF(hp!H125=0,0,_xll.BDP(H$4,"YAS_BOND_YLD", "YAS_BOND_PX",hp!H125, "SETTLE_DT", TEXT(ya!$C125,"YYYYMMDD")))</f>
        <v>15.1587</v>
      </c>
      <c r="I125" s="2" cm="1">
        <f t="array" ref="I125">IF(hp!I125=0,0,_xll.BDP(I$4,"YAS_BOND_YLD", "YAS_BOND_PX",hp!I125, "SETTLE_DT", TEXT(ya!$C125,"YYYYMMDD")))</f>
        <v>15.2667</v>
      </c>
      <c r="J125" s="2" cm="1">
        <f t="array" ref="J125">IF(hp!J125=0,0,_xll.BDP(J$4,"YAS_BOND_YLD", "YAS_BOND_PX",hp!J125, "SETTLE_DT", TEXT(ya!$C125,"YYYYMMDD")))</f>
        <v>7.5533999999999999</v>
      </c>
      <c r="K125" s="2" cm="1">
        <f t="array" ref="K125">IF(hp!K125=0,0,_xll.BDP(K$4,"YAS_BOND_YLD", "YAS_BOND_PX",hp!K125, "SETTLE_DT", TEXT(ya!$C125,"YYYYMMDD")))</f>
        <v>14.843999999999999</v>
      </c>
      <c r="L125" s="2" cm="1">
        <f t="array" ref="L125">IF(hp!L125=0,0,_xll.BDP(L$4,"YAS_BOND_YLD", "YAS_BOND_PX",hp!L125, "SETTLE_DT", TEXT(ya!$C125,"YYYYMMDD")))</f>
        <v>7.8745000000000003</v>
      </c>
      <c r="M125" s="2" cm="1">
        <f t="array" ref="M125">IF(hp!M125=0,0,_xll.BDP(M$4,"YAS_BOND_YLD", "YAS_BOND_PX",hp!M125, "SETTLE_DT", TEXT(ya!$C125,"YYYYMMDD")))</f>
        <v>7.7923</v>
      </c>
      <c r="N125" s="2" cm="1">
        <f t="array" ref="N125">IF(hp!N125=0,0,_xll.BDP(N$4,"YAS_BOND_YLD", "YAS_BOND_PX",hp!N125, "SETTLE_DT", TEXT(ya!$C125,"YYYYMMDD")))</f>
        <v>8.0550999999999995</v>
      </c>
      <c r="O125" s="2" cm="1">
        <f t="array" ref="O125">IF(hp!O125=0,0,_xll.BDP(O$4,"YAS_BOND_YLD", "YAS_BOND_PX",hp!O125, "SETTLE_DT", TEXT(ya!$C125,"YYYYMMDD")))</f>
        <v>7.5103</v>
      </c>
      <c r="P125" s="2" cm="1">
        <f t="array" ref="P125">IF(hp!P125=0,0,_xll.BDP(P$4,"YAS_BOND_YLD", "YAS_BOND_PX",hp!P125, "SETTLE_DT", TEXT(ya!$C125,"YYYYMMDD")))</f>
        <v>7.9036999999999997</v>
      </c>
      <c r="Q125" s="2" cm="1">
        <f t="array" ref="Q125">IF(hp!Q125=0,0,_xll.BDP(Q$4,"YAS_BOND_YLD", "YAS_BOND_PX",hp!Q125, "SETTLE_DT", TEXT(ya!$C125,"YYYYMMDD")))</f>
        <v>7.6478999999999999</v>
      </c>
      <c r="R125" s="2" cm="1">
        <f t="array" ref="R125">IF(hp!R125=0,0,_xll.BDP(R$4,"YAS_BOND_YLD", "YAS_BOND_PX",hp!R125, "SETTLE_DT", TEXT(ya!$C125,"YYYYMMDD")))</f>
        <v>15.042999999999999</v>
      </c>
      <c r="S125" s="2" cm="1">
        <f t="array" ref="S125">IF(hp!S125=0,0,_xll.BDP(S$4,"YAS_BOND_YLD", "YAS_BOND_PX",hp!S125, "SETTLE_DT", TEXT(ya!$C125,"YYYYMMDD")))</f>
        <v>14.992000000000001</v>
      </c>
      <c r="T125" s="2" cm="1">
        <f t="array" ref="T125">IF(hp!T125=0,0,_xll.BDP(T$4,"YAS_BOND_YLD", "YAS_BOND_PX",hp!T125, "SETTLE_DT", TEXT(ya!$C125,"YYYYMMDD")))</f>
        <v>7.7153</v>
      </c>
      <c r="U125" s="2" cm="1">
        <f t="array" ref="U125">IF(hp!U125=0,0,_xll.BDP(U$4,"YAS_BOND_YLD", "YAS_BOND_PX",hp!U125, "SETTLE_DT", TEXT(ya!$C125,"YYYYMMDD")))</f>
        <v>7.6402999999999999</v>
      </c>
      <c r="V125" s="2" cm="1">
        <f t="array" ref="V125">IF(hp!V125=0,0,_xll.BDP(V$4,"YAS_BOND_YLD", "YAS_BOND_PX",hp!V125, "SETTLE_DT", TEXT(ya!$C125,"YYYYMMDD")))</f>
        <v>14.5847</v>
      </c>
      <c r="W125" s="2" cm="1">
        <f t="array" ref="W125">IF(hp!W125=0,0,_xll.BDP(W$4,"YAS_BOND_YLD", "YAS_BOND_PX",hp!W125, "SETTLE_DT", TEXT(ya!$C125,"YYYYMMDD")))</f>
        <v>-0.10589999999999999</v>
      </c>
      <c r="X125" s="2" cm="1">
        <f t="array" ref="X125">IF(hp!X125=0,0,_xll.BDP(X$4,"YAS_BOND_YLD", "YAS_BOND_PX",hp!X125, "SETTLE_DT", TEXT(ya!$C125,"YYYYMMDD")))</f>
        <v>15.029</v>
      </c>
      <c r="Y125" s="2" cm="1">
        <f t="array" ref="Y125">IF(hp!Y125=0,0,_xll.BDP(Y$4,"YAS_BOND_YLD", "YAS_BOND_PX",hp!Y125, "SETTLE_DT", TEXT(ya!$C125,"YYYYMMDD")))</f>
        <v>7.7789000000000001</v>
      </c>
      <c r="Z125" s="2" cm="1">
        <f t="array" ref="Z125">IF(hp!Z125=0,0,_xll.BDP(Z$4,"YAS_BOND_YLD", "YAS_BOND_PX",hp!Z125, "SETTLE_DT", TEXT(ya!$C125,"YYYYMMDD")))</f>
        <v>-4.9599999999999998E-2</v>
      </c>
      <c r="AA125" s="2" cm="1">
        <f t="array" ref="AA125">IF(hp!AA125=0,0,_xll.BDP(AA$4,"YAS_BOND_YLD", "YAS_BOND_PX",hp!AA125, "SETTLE_DT", TEXT(ya!$C125,"YYYYMMDD")))</f>
        <v>15.229699999999999</v>
      </c>
      <c r="AB125" s="2" cm="1">
        <f t="array" ref="AB125">IF(hp!AB125=0,0,_xll.BDP(AB$4,"YAS_BOND_YLD", "YAS_BOND_PX",hp!AB125, "SETTLE_DT", TEXT(ya!$C125,"YYYYMMDD")))</f>
        <v>1.5100000000000001E-2</v>
      </c>
      <c r="AC125" s="2" cm="1">
        <f t="array" ref="AC125">IF(hp!AC125=0,0,_xll.BDP(AC$4,"YAS_BOND_YLD", "YAS_BOND_PX",hp!AC125, "SETTLE_DT", TEXT(ya!$C125,"YYYYMMDD")))</f>
        <v>15.011900000000001</v>
      </c>
      <c r="AD125" s="2" cm="1">
        <f t="array" ref="AD125">IF(hp!AD125=0,0,_xll.BDP(AD$4,"YAS_BOND_YLD", "YAS_BOND_PX",hp!AD125, "SETTLE_DT", TEXT(ya!$C125,"YYYYMMDD")))</f>
        <v>7.5053000000000001</v>
      </c>
      <c r="AE125" s="2" cm="1">
        <f t="array" ref="AE125">IF(hp!AE125=0,0,_xll.BDP(AE$4,"YAS_BOND_YLD", "YAS_BOND_PX",hp!AE125, "SETTLE_DT", TEXT(ya!$C125,"YYYYMMDD")))</f>
        <v>15.1418</v>
      </c>
      <c r="AF125" s="2" cm="1">
        <f t="array" ref="AF125">IF(hp!AF125=0,0,_xll.BDP(AF$4,"YAS_BOND_YLD", "YAS_BOND_PX",hp!AF125, "SETTLE_DT", TEXT(ya!$C125,"YYYYMMDD")))</f>
        <v>6.2E-2</v>
      </c>
      <c r="AG125" s="2" cm="1">
        <f t="array" ref="AG125">IF(hp!AG125=0,0,_xll.BDP(AG$4,"YAS_BOND_YLD", "YAS_BOND_PX",hp!AG125, "SETTLE_DT", TEXT(ya!$C125,"YYYYMMDD")))</f>
        <v>2.7699999999999999E-2</v>
      </c>
      <c r="AH125" s="2" cm="1">
        <f t="array" ref="AH125">IF(hp!AH125=0,0,_xll.BDP(AH$4,"YAS_BOND_YLD", "YAS_BOND_PX",hp!AH125, "SETTLE_DT", TEXT(ya!$C125,"YYYYMMDD")))</f>
        <v>15.287000000000001</v>
      </c>
      <c r="AI125" s="2" cm="1">
        <f t="array" ref="AI125">IF(hp!AI125=0,0,_xll.BDP(AI$4,"YAS_BOND_YLD", "YAS_BOND_PX",hp!AI125, "SETTLE_DT", TEXT(ya!$C125,"YYYYMMDD")))</f>
        <v>7.8545999999999996</v>
      </c>
      <c r="AJ125" s="2" cm="1">
        <f t="array" ref="AJ125">IF(hp!AJ125=0,0,_xll.BDP(AJ$4,"YAS_BOND_YLD", "YAS_BOND_PX",hp!AJ125, "SETTLE_DT", TEXT(ya!$C125,"YYYYMMDD")))</f>
        <v>8.7800000000000003E-2</v>
      </c>
      <c r="AK125" s="2" cm="1">
        <f t="array" ref="AK125">IF(hp!AK125=0,0,_xll.BDP(AK$4,"YAS_BOND_YLD", "YAS_BOND_PX",hp!AK125, "SETTLE_DT", TEXT(ya!$C125,"YYYYMMDD")))</f>
        <v>3.73E-2</v>
      </c>
      <c r="AL125" s="2" cm="1">
        <f t="array" ref="AL125">IF(hp!AL125=0,0,_xll.BDP(AL$4,"YAS_BOND_YLD", "YAS_BOND_PX",hp!AL125, "SETTLE_DT", TEXT(ya!$C125,"YYYYMMDD")))</f>
        <v>0</v>
      </c>
      <c r="AM125" s="2" cm="1">
        <f t="array" ref="AM125">IF(hp!AM125=0,0,_xll.BDP(AM$4,"YAS_BOND_YLD", "YAS_BOND_PX",hp!AM125, "SETTLE_DT", TEXT(ya!$C125,"YYYYMMDD")))</f>
        <v>15.0025</v>
      </c>
      <c r="AN125" s="2" cm="1">
        <f t="array" ref="AN125">IF(hp!AN125=0,0,_xll.BDP(AN$4,"YAS_BOND_YLD", "YAS_BOND_PX",hp!AN125, "SETTLE_DT", TEXT(ya!$C125,"YYYYMMDD")))</f>
        <v>0.1056</v>
      </c>
      <c r="AO125" s="2" cm="1">
        <f t="array" ref="AO125">IF(hp!AO125=0,0,_xll.BDP(AO$4,"YAS_BOND_YLD", "YAS_BOND_PX",hp!AO125, "SETTLE_DT", TEXT(ya!$C125,"YYYYMMDD")))</f>
        <v>0.1094</v>
      </c>
      <c r="AP125" s="2" cm="1">
        <f t="array" ref="AP125">IF(hp!AP125=0,0,_xll.BDP(AP$4,"YAS_BOND_YLD", "YAS_BOND_PX",hp!AP125, "SETTLE_DT", TEXT(ya!$C125,"YYYYMMDD")))</f>
        <v>15.032999999999999</v>
      </c>
      <c r="AQ125" s="2" cm="1">
        <f t="array" ref="AQ125">IF(hp!AQ125=0,0,_xll.BDP(AQ$4,"YAS_BOND_YLD", "YAS_BOND_PX",hp!AQ125, "SETTLE_DT", TEXT(ya!$C125,"YYYYMMDD")))</f>
        <v>-3.2599999999999997E-2</v>
      </c>
      <c r="AR125" s="2" cm="1">
        <f t="array" ref="AR125">IF(hp!AR125=0,0,_xll.BDP(AR$4,"YAS_BOND_YLD", "YAS_BOND_PX",hp!AR125, "SETTLE_DT", TEXT(ya!$C125,"YYYYMMDD")))</f>
        <v>6.8571999999999997</v>
      </c>
      <c r="AS125" s="2" cm="1">
        <f t="array" ref="AS125">IF(hp!AS125=0,0,_xll.BDP(AS$4,"YAS_BOND_YLD", "YAS_BOND_PX",hp!AS125, "SETTLE_DT", TEXT(ya!$C125,"YYYYMMDD")))</f>
        <v>15.003399999999999</v>
      </c>
      <c r="AT125" s="2" cm="1">
        <f t="array" ref="AT125">IF(hp!AT125=0,0,_xll.BDP(AT$4,"YAS_BOND_YLD", "YAS_BOND_PX",hp!AT125, "SETTLE_DT", TEXT(ya!$C125,"YYYYMMDD")))</f>
        <v>0.1104</v>
      </c>
      <c r="AU125" s="2" cm="1">
        <f t="array" ref="AU125">IF(hp!AU125=0,0,_xll.BDP(AU$4,"YAS_BOND_YLD", "YAS_BOND_PX",hp!AU125, "SETTLE_DT", TEXT(ya!$C125,"YYYYMMDD")))</f>
        <v>0</v>
      </c>
      <c r="AV125" s="2" cm="1">
        <f t="array" ref="AV125">IF(hp!AV125=0,0,_xll.BDP(AV$4,"YAS_BOND_YLD", "YAS_BOND_PX",hp!AV125, "SETTLE_DT", TEXT(ya!$C125,"YYYYMMDD")))</f>
        <v>0.1104</v>
      </c>
      <c r="AW125" s="2" cm="1">
        <f t="array" ref="AW125">IF(hp!AW125=0,0,_xll.BDP(AW$4,"YAS_BOND_YLD", "YAS_BOND_PX",hp!AW125, "SETTLE_DT", TEXT(ya!$C125,"YYYYMMDD")))</f>
        <v>0.1094</v>
      </c>
      <c r="AX125" s="2" cm="1">
        <f t="array" ref="AX125">IF(hp!AX125=0,0,_xll.BDP(AX$4,"YAS_BOND_YLD", "YAS_BOND_PX",hp!AX125, "SETTLE_DT", TEXT(ya!$C125,"YYYYMMDD")))</f>
        <v>0</v>
      </c>
      <c r="AY125" s="2" cm="1">
        <f t="array" ref="AY125">IF(hp!AY125=0,0,_xll.BDP(AY$4,"YAS_BOND_YLD", "YAS_BOND_PX",hp!AY125, "SETTLE_DT", TEXT(ya!$C125,"YYYYMMDD")))</f>
        <v>0.1101</v>
      </c>
      <c r="AZ125" s="2" cm="1">
        <f t="array" ref="AZ125">IF(hp!AZ125=0,0,_xll.BDP(AZ$4,"YAS_BOND_YLD", "YAS_BOND_PX",hp!AZ125, "SETTLE_DT", TEXT(ya!$C125,"YYYYMMDD")))</f>
        <v>0</v>
      </c>
    </row>
    <row r="126" spans="1:52" x14ac:dyDescent="0.25">
      <c r="A126" s="1"/>
      <c r="B126" s="2"/>
      <c r="C126" s="1">
        <v>45747</v>
      </c>
      <c r="D126" s="2" cm="1">
        <f t="array" ref="D126">IF(hp!D126=0,0,_xll.BDP(D$4,"YAS_BOND_YLD", "YAS_BOND_PX",hp!D126, "SETTLE_DT", TEXT(ya!$C126,"YYYYMMDD")))</f>
        <v>15.0616</v>
      </c>
      <c r="E126" s="2" cm="1">
        <f t="array" ref="E126">IF(hp!E126=0,0,_xll.BDP(E$4,"YAS_BOND_YLD", "YAS_BOND_PX",hp!E126, "SETTLE_DT", TEXT(ya!$C126,"YYYYMMDD")))</f>
        <v>15.039300000000001</v>
      </c>
      <c r="F126" s="2" cm="1">
        <f t="array" ref="F126">IF(hp!F126=0,0,_xll.BDP(F$4,"YAS_BOND_YLD", "YAS_BOND_PX",hp!F126, "SETTLE_DT", TEXT(ya!$C126,"YYYYMMDD")))</f>
        <v>14.875999999999999</v>
      </c>
      <c r="G126" s="2" cm="1">
        <f t="array" ref="G126">IF(hp!G126=0,0,_xll.BDP(G$4,"YAS_BOND_YLD", "YAS_BOND_PX",hp!G126, "SETTLE_DT", TEXT(ya!$C126,"YYYYMMDD")))</f>
        <v>7.5956999999999999</v>
      </c>
      <c r="H126" s="2" cm="1">
        <f t="array" ref="H126">IF(hp!H126=0,0,_xll.BDP(H$4,"YAS_BOND_YLD", "YAS_BOND_PX",hp!H126, "SETTLE_DT", TEXT(ya!$C126,"YYYYMMDD")))</f>
        <v>14.8337</v>
      </c>
      <c r="I126" s="2" cm="1">
        <f t="array" ref="I126">IF(hp!I126=0,0,_xll.BDP(I$4,"YAS_BOND_YLD", "YAS_BOND_PX",hp!I126, "SETTLE_DT", TEXT(ya!$C126,"YYYYMMDD")))</f>
        <v>15.004099999999999</v>
      </c>
      <c r="J126" s="2" cm="1">
        <f t="array" ref="J126">IF(hp!J126=0,0,_xll.BDP(J$4,"YAS_BOND_YLD", "YAS_BOND_PX",hp!J126, "SETTLE_DT", TEXT(ya!$C126,"YYYYMMDD")))</f>
        <v>7.3886000000000003</v>
      </c>
      <c r="K126" s="2" cm="1">
        <f t="array" ref="K126">IF(hp!K126=0,0,_xll.BDP(K$4,"YAS_BOND_YLD", "YAS_BOND_PX",hp!K126, "SETTLE_DT", TEXT(ya!$C126,"YYYYMMDD")))</f>
        <v>14.865</v>
      </c>
      <c r="L126" s="2" cm="1">
        <f t="array" ref="L126">IF(hp!L126=0,0,_xll.BDP(L$4,"YAS_BOND_YLD", "YAS_BOND_PX",hp!L126, "SETTLE_DT", TEXT(ya!$C126,"YYYYMMDD")))</f>
        <v>7.8644999999999996</v>
      </c>
      <c r="M126" s="2" cm="1">
        <f t="array" ref="M126">IF(hp!M126=0,0,_xll.BDP(M$4,"YAS_BOND_YLD", "YAS_BOND_PX",hp!M126, "SETTLE_DT", TEXT(ya!$C126,"YYYYMMDD")))</f>
        <v>8.0719999999999992</v>
      </c>
      <c r="N126" s="2" cm="1">
        <f t="array" ref="N126">IF(hp!N126=0,0,_xll.BDP(N$4,"YAS_BOND_YLD", "YAS_BOND_PX",hp!N126, "SETTLE_DT", TEXT(ya!$C126,"YYYYMMDD")))</f>
        <v>9.1369000000000007</v>
      </c>
      <c r="O126" s="2" cm="1">
        <f t="array" ref="O126">IF(hp!O126=0,0,_xll.BDP(O$4,"YAS_BOND_YLD", "YAS_BOND_PX",hp!O126, "SETTLE_DT", TEXT(ya!$C126,"YYYYMMDD")))</f>
        <v>7.3883999999999999</v>
      </c>
      <c r="P126" s="2" cm="1">
        <f t="array" ref="P126">IF(hp!P126=0,0,_xll.BDP(P$4,"YAS_BOND_YLD", "YAS_BOND_PX",hp!P126, "SETTLE_DT", TEXT(ya!$C126,"YYYYMMDD")))</f>
        <v>7.7968000000000002</v>
      </c>
      <c r="Q126" s="2" cm="1">
        <f t="array" ref="Q126">IF(hp!Q126=0,0,_xll.BDP(Q$4,"YAS_BOND_YLD", "YAS_BOND_PX",hp!Q126, "SETTLE_DT", TEXT(ya!$C126,"YYYYMMDD")))</f>
        <v>7.4795999999999996</v>
      </c>
      <c r="R126" s="2" cm="1">
        <f t="array" ref="R126">IF(hp!R126=0,0,_xll.BDP(R$4,"YAS_BOND_YLD", "YAS_BOND_PX",hp!R126, "SETTLE_DT", TEXT(ya!$C126,"YYYYMMDD")))</f>
        <v>15.020899999999999</v>
      </c>
      <c r="S126" s="2" cm="1">
        <f t="array" ref="S126">IF(hp!S126=0,0,_xll.BDP(S$4,"YAS_BOND_YLD", "YAS_BOND_PX",hp!S126, "SETTLE_DT", TEXT(ya!$C126,"YYYYMMDD")))</f>
        <v>14.9693</v>
      </c>
      <c r="T126" s="2" cm="1">
        <f t="array" ref="T126">IF(hp!T126=0,0,_xll.BDP(T$4,"YAS_BOND_YLD", "YAS_BOND_PX",hp!T126, "SETTLE_DT", TEXT(ya!$C126,"YYYYMMDD")))</f>
        <v>8.2903000000000002</v>
      </c>
      <c r="U126" s="2" cm="1">
        <f t="array" ref="U126">IF(hp!U126=0,0,_xll.BDP(U$4,"YAS_BOND_YLD", "YAS_BOND_PX",hp!U126, "SETTLE_DT", TEXT(ya!$C126,"YYYYMMDD")))</f>
        <v>7.5176999999999996</v>
      </c>
      <c r="V126" s="2" cm="1">
        <f t="array" ref="V126">IF(hp!V126=0,0,_xll.BDP(V$4,"YAS_BOND_YLD", "YAS_BOND_PX",hp!V126, "SETTLE_DT", TEXT(ya!$C126,"YYYYMMDD")))</f>
        <v>14.5837</v>
      </c>
      <c r="W126" s="2" cm="1">
        <f t="array" ref="W126">IF(hp!W126=0,0,_xll.BDP(W$4,"YAS_BOND_YLD", "YAS_BOND_PX",hp!W126, "SETTLE_DT", TEXT(ya!$C126,"YYYYMMDD")))</f>
        <v>-0.12470000000000001</v>
      </c>
      <c r="X126" s="2" cm="1">
        <f t="array" ref="X126">IF(hp!X126=0,0,_xll.BDP(X$4,"YAS_BOND_YLD", "YAS_BOND_PX",hp!X126, "SETTLE_DT", TEXT(ya!$C126,"YYYYMMDD")))</f>
        <v>14.8626</v>
      </c>
      <c r="Y126" s="2" cm="1">
        <f t="array" ref="Y126">IF(hp!Y126=0,0,_xll.BDP(Y$4,"YAS_BOND_YLD", "YAS_BOND_PX",hp!Y126, "SETTLE_DT", TEXT(ya!$C126,"YYYYMMDD")))</f>
        <v>7.9584000000000001</v>
      </c>
      <c r="Z126" s="2" cm="1">
        <f t="array" ref="Z126">IF(hp!Z126=0,0,_xll.BDP(Z$4,"YAS_BOND_YLD", "YAS_BOND_PX",hp!Z126, "SETTLE_DT", TEXT(ya!$C126,"YYYYMMDD")))</f>
        <v>-5.6500000000000002E-2</v>
      </c>
      <c r="AA126" s="2" cm="1">
        <f t="array" ref="AA126">IF(hp!AA126=0,0,_xll.BDP(AA$4,"YAS_BOND_YLD", "YAS_BOND_PX",hp!AA126, "SETTLE_DT", TEXT(ya!$C126,"YYYYMMDD")))</f>
        <v>14.881499999999999</v>
      </c>
      <c r="AB126" s="2" cm="1">
        <f t="array" ref="AB126">IF(hp!AB126=0,0,_xll.BDP(AB$4,"YAS_BOND_YLD", "YAS_BOND_PX",hp!AB126, "SETTLE_DT", TEXT(ya!$C126,"YYYYMMDD")))</f>
        <v>1.3299999999999999E-2</v>
      </c>
      <c r="AC126" s="2" cm="1">
        <f t="array" ref="AC126">IF(hp!AC126=0,0,_xll.BDP(AC$4,"YAS_BOND_YLD", "YAS_BOND_PX",hp!AC126, "SETTLE_DT", TEXT(ya!$C126,"YYYYMMDD")))</f>
        <v>14.8101</v>
      </c>
      <c r="AD126" s="2" cm="1">
        <f t="array" ref="AD126">IF(hp!AD126=0,0,_xll.BDP(AD$4,"YAS_BOND_YLD", "YAS_BOND_PX",hp!AD126, "SETTLE_DT", TEXT(ya!$C126,"YYYYMMDD")))</f>
        <v>7.3742000000000001</v>
      </c>
      <c r="AE126" s="2" cm="1">
        <f t="array" ref="AE126">IF(hp!AE126=0,0,_xll.BDP(AE$4,"YAS_BOND_YLD", "YAS_BOND_PX",hp!AE126, "SETTLE_DT", TEXT(ya!$C126,"YYYYMMDD")))</f>
        <v>14.811</v>
      </c>
      <c r="AF126" s="2" cm="1">
        <f t="array" ref="AF126">IF(hp!AF126=0,0,_xll.BDP(AF$4,"YAS_BOND_YLD", "YAS_BOND_PX",hp!AF126, "SETTLE_DT", TEXT(ya!$C126,"YYYYMMDD")))</f>
        <v>6.3200000000000006E-2</v>
      </c>
      <c r="AG126" s="2" cm="1">
        <f t="array" ref="AG126">IF(hp!AG126=0,0,_xll.BDP(AG$4,"YAS_BOND_YLD", "YAS_BOND_PX",hp!AG126, "SETTLE_DT", TEXT(ya!$C126,"YYYYMMDD")))</f>
        <v>2.76E-2</v>
      </c>
      <c r="AH126" s="2" cm="1">
        <f t="array" ref="AH126">IF(hp!AH126=0,0,_xll.BDP(AH$4,"YAS_BOND_YLD", "YAS_BOND_PX",hp!AH126, "SETTLE_DT", TEXT(ya!$C126,"YYYYMMDD")))</f>
        <v>14.9894</v>
      </c>
      <c r="AI126" s="2" cm="1">
        <f t="array" ref="AI126">IF(hp!AI126=0,0,_xll.BDP(AI$4,"YAS_BOND_YLD", "YAS_BOND_PX",hp!AI126, "SETTLE_DT", TEXT(ya!$C126,"YYYYMMDD")))</f>
        <v>7.694</v>
      </c>
      <c r="AJ126" s="2" cm="1">
        <f t="array" ref="AJ126">IF(hp!AJ126=0,0,_xll.BDP(AJ$4,"YAS_BOND_YLD", "YAS_BOND_PX",hp!AJ126, "SETTLE_DT", TEXT(ya!$C126,"YYYYMMDD")))</f>
        <v>8.8999999999999996E-2</v>
      </c>
      <c r="AK126" s="2" cm="1">
        <f t="array" ref="AK126">IF(hp!AK126=0,0,_xll.BDP(AK$4,"YAS_BOND_YLD", "YAS_BOND_PX",hp!AK126, "SETTLE_DT", TEXT(ya!$C126,"YYYYMMDD")))</f>
        <v>4.0599999999999997E-2</v>
      </c>
      <c r="AL126" s="2" cm="1">
        <f t="array" ref="AL126">IF(hp!AL126=0,0,_xll.BDP(AL$4,"YAS_BOND_YLD", "YAS_BOND_PX",hp!AL126, "SETTLE_DT", TEXT(ya!$C126,"YYYYMMDD")))</f>
        <v>0</v>
      </c>
      <c r="AM126" s="2" cm="1">
        <f t="array" ref="AM126">IF(hp!AM126=0,0,_xll.BDP(AM$4,"YAS_BOND_YLD", "YAS_BOND_PX",hp!AM126, "SETTLE_DT", TEXT(ya!$C126,"YYYYMMDD")))</f>
        <v>14.706200000000001</v>
      </c>
      <c r="AN126" s="2" cm="1">
        <f t="array" ref="AN126">IF(hp!AN126=0,0,_xll.BDP(AN$4,"YAS_BOND_YLD", "YAS_BOND_PX",hp!AN126, "SETTLE_DT", TEXT(ya!$C126,"YYYYMMDD")))</f>
        <v>0.10340000000000001</v>
      </c>
      <c r="AO126" s="2" cm="1">
        <f t="array" ref="AO126">IF(hp!AO126=0,0,_xll.BDP(AO$4,"YAS_BOND_YLD", "YAS_BOND_PX",hp!AO126, "SETTLE_DT", TEXT(ya!$C126,"YYYYMMDD")))</f>
        <v>0.10929999999999999</v>
      </c>
      <c r="AP126" s="2" cm="1">
        <f t="array" ref="AP126">IF(hp!AP126=0,0,_xll.BDP(AP$4,"YAS_BOND_YLD", "YAS_BOND_PX",hp!AP126, "SETTLE_DT", TEXT(ya!$C126,"YYYYMMDD")))</f>
        <v>14.706200000000001</v>
      </c>
      <c r="AQ126" s="2" cm="1">
        <f t="array" ref="AQ126">IF(hp!AQ126=0,0,_xll.BDP(AQ$4,"YAS_BOND_YLD", "YAS_BOND_PX",hp!AQ126, "SETTLE_DT", TEXT(ya!$C126,"YYYYMMDD")))</f>
        <v>-3.6700000000000003E-2</v>
      </c>
      <c r="AR126" s="2" cm="1">
        <f t="array" ref="AR126">IF(hp!AR126=0,0,_xll.BDP(AR$4,"YAS_BOND_YLD", "YAS_BOND_PX",hp!AR126, "SETTLE_DT", TEXT(ya!$C126,"YYYYMMDD")))</f>
        <v>6.6989000000000001</v>
      </c>
      <c r="AS126" s="2" cm="1">
        <f t="array" ref="AS126">IF(hp!AS126=0,0,_xll.BDP(AS$4,"YAS_BOND_YLD", "YAS_BOND_PX",hp!AS126, "SETTLE_DT", TEXT(ya!$C126,"YYYYMMDD")))</f>
        <v>14.916499999999999</v>
      </c>
      <c r="AT126" s="2" cm="1">
        <f t="array" ref="AT126">IF(hp!AT126=0,0,_xll.BDP(AT$4,"YAS_BOND_YLD", "YAS_BOND_PX",hp!AT126, "SETTLE_DT", TEXT(ya!$C126,"YYYYMMDD")))</f>
        <v>0.10730000000000001</v>
      </c>
      <c r="AU126" s="2" cm="1">
        <f t="array" ref="AU126">IF(hp!AU126=0,0,_xll.BDP(AU$4,"YAS_BOND_YLD", "YAS_BOND_PX",hp!AU126, "SETTLE_DT", TEXT(ya!$C126,"YYYYMMDD")))</f>
        <v>0</v>
      </c>
      <c r="AV126" s="2" cm="1">
        <f t="array" ref="AV126">IF(hp!AV126=0,0,_xll.BDP(AV$4,"YAS_BOND_YLD", "YAS_BOND_PX",hp!AV126, "SETTLE_DT", TEXT(ya!$C126,"YYYYMMDD")))</f>
        <v>0.11</v>
      </c>
      <c r="AW126" s="2" cm="1">
        <f t="array" ref="AW126">IF(hp!AW126=0,0,_xll.BDP(AW$4,"YAS_BOND_YLD", "YAS_BOND_PX",hp!AW126, "SETTLE_DT", TEXT(ya!$C126,"YYYYMMDD")))</f>
        <v>9.9599999999999994E-2</v>
      </c>
      <c r="AX126" s="2" cm="1">
        <f t="array" ref="AX126">IF(hp!AX126=0,0,_xll.BDP(AX$4,"YAS_BOND_YLD", "YAS_BOND_PX",hp!AX126, "SETTLE_DT", TEXT(ya!$C126,"YYYYMMDD")))</f>
        <v>0</v>
      </c>
      <c r="AY126" s="2" cm="1">
        <f t="array" ref="AY126">IF(hp!AY126=0,0,_xll.BDP(AY$4,"YAS_BOND_YLD", "YAS_BOND_PX",hp!AY126, "SETTLE_DT", TEXT(ya!$C126,"YYYYMMDD")))</f>
        <v>0.106</v>
      </c>
      <c r="AZ126" s="2" cm="1">
        <f t="array" ref="AZ126">IF(hp!AZ126=0,0,_xll.BDP(AZ$4,"YAS_BOND_YLD", "YAS_BOND_PX",hp!AZ126, "SETTLE_DT", TEXT(ya!$C126,"YYYYMMDD")))</f>
        <v>0</v>
      </c>
    </row>
    <row r="127" spans="1:52" x14ac:dyDescent="0.25">
      <c r="A127" s="1"/>
      <c r="B127" s="2"/>
      <c r="C127" s="1">
        <v>45777</v>
      </c>
      <c r="D127" s="2" cm="1">
        <f t="array" ref="D127">IF(hp!D127=0,0,_xll.BDP(D$4,"YAS_BOND_YLD", "YAS_BOND_PX",hp!D127, "SETTLE_DT", TEXT(ya!$C127,"YYYYMMDD")))</f>
        <v>14.071899999999999</v>
      </c>
      <c r="E127" s="2" cm="1">
        <f t="array" ref="E127">IF(hp!E127=0,0,_xll.BDP(E$4,"YAS_BOND_YLD", "YAS_BOND_PX",hp!E127, "SETTLE_DT", TEXT(ya!$C127,"YYYYMMDD")))</f>
        <v>13.9932</v>
      </c>
      <c r="F127" s="2" cm="1">
        <f t="array" ref="F127">IF(hp!F127=0,0,_xll.BDP(F$4,"YAS_BOND_YLD", "YAS_BOND_PX",hp!F127, "SETTLE_DT", TEXT(ya!$C127,"YYYYMMDD")))</f>
        <v>13.82</v>
      </c>
      <c r="G127" s="2" cm="1">
        <f t="array" ref="G127">IF(hp!G127=0,0,_xll.BDP(G$4,"YAS_BOND_YLD", "YAS_BOND_PX",hp!G127, "SETTLE_DT", TEXT(ya!$C127,"YYYYMMDD")))</f>
        <v>7.4553000000000003</v>
      </c>
      <c r="H127" s="2" cm="1">
        <f t="array" ref="H127">IF(hp!H127=0,0,_xll.BDP(H$4,"YAS_BOND_YLD", "YAS_BOND_PX",hp!H127, "SETTLE_DT", TEXT(ya!$C127,"YYYYMMDD")))</f>
        <v>13.6355</v>
      </c>
      <c r="I127" s="2" cm="1">
        <f t="array" ref="I127">IF(hp!I127=0,0,_xll.BDP(I$4,"YAS_BOND_YLD", "YAS_BOND_PX",hp!I127, "SETTLE_DT", TEXT(ya!$C127,"YYYYMMDD")))</f>
        <v>13.9506</v>
      </c>
      <c r="J127" s="2" cm="1">
        <f t="array" ref="J127">IF(hp!J127=0,0,_xll.BDP(J$4,"YAS_BOND_YLD", "YAS_BOND_PX",hp!J127, "SETTLE_DT", TEXT(ya!$C127,"YYYYMMDD")))</f>
        <v>7.2851999999999997</v>
      </c>
      <c r="K127" s="2" cm="1">
        <f t="array" ref="K127">IF(hp!K127=0,0,_xll.BDP(K$4,"YAS_BOND_YLD", "YAS_BOND_PX",hp!K127, "SETTLE_DT", TEXT(ya!$C127,"YYYYMMDD")))</f>
        <v>14.5404</v>
      </c>
      <c r="L127" s="2" cm="1">
        <f t="array" ref="L127">IF(hp!L127=0,0,_xll.BDP(L$4,"YAS_BOND_YLD", "YAS_BOND_PX",hp!L127, "SETTLE_DT", TEXT(ya!$C127,"YYYYMMDD")))</f>
        <v>7.4419000000000004</v>
      </c>
      <c r="M127" s="2" cm="1">
        <f t="array" ref="M127">IF(hp!M127=0,0,_xll.BDP(M$4,"YAS_BOND_YLD", "YAS_BOND_PX",hp!M127, "SETTLE_DT", TEXT(ya!$C127,"YYYYMMDD")))</f>
        <v>7.5598000000000001</v>
      </c>
      <c r="N127" s="2" cm="1">
        <f t="array" ref="N127">IF(hp!N127=0,0,_xll.BDP(N$4,"YAS_BOND_YLD", "YAS_BOND_PX",hp!N127, "SETTLE_DT", TEXT(ya!$C127,"YYYYMMDD")))</f>
        <v>9.0086999999999993</v>
      </c>
      <c r="O127" s="2" cm="1">
        <f t="array" ref="O127">IF(hp!O127=0,0,_xll.BDP(O$4,"YAS_BOND_YLD", "YAS_BOND_PX",hp!O127, "SETTLE_DT", TEXT(ya!$C127,"YYYYMMDD")))</f>
        <v>7.3160999999999996</v>
      </c>
      <c r="P127" s="2" cm="1">
        <f t="array" ref="P127">IF(hp!P127=0,0,_xll.BDP(P$4,"YAS_BOND_YLD", "YAS_BOND_PX",hp!P127, "SETTLE_DT", TEXT(ya!$C127,"YYYYMMDD")))</f>
        <v>7.4650999999999996</v>
      </c>
      <c r="Q127" s="2" cm="1">
        <f t="array" ref="Q127">IF(hp!Q127=0,0,_xll.BDP(Q$4,"YAS_BOND_YLD", "YAS_BOND_PX",hp!Q127, "SETTLE_DT", TEXT(ya!$C127,"YYYYMMDD")))</f>
        <v>7.3772000000000002</v>
      </c>
      <c r="R127" s="2" cm="1">
        <f t="array" ref="R127">IF(hp!R127=0,0,_xll.BDP(R$4,"YAS_BOND_YLD", "YAS_BOND_PX",hp!R127, "SETTLE_DT", TEXT(ya!$C127,"YYYYMMDD")))</f>
        <v>14.2874</v>
      </c>
      <c r="S127" s="2" cm="1">
        <f t="array" ref="S127">IF(hp!S127=0,0,_xll.BDP(S$4,"YAS_BOND_YLD", "YAS_BOND_PX",hp!S127, "SETTLE_DT", TEXT(ya!$C127,"YYYYMMDD")))</f>
        <v>14.459</v>
      </c>
      <c r="T127" s="2" cm="1">
        <f t="array" ref="T127">IF(hp!T127=0,0,_xll.BDP(T$4,"YAS_BOND_YLD", "YAS_BOND_PX",hp!T127, "SETTLE_DT", TEXT(ya!$C127,"YYYYMMDD")))</f>
        <v>7.9722999999999997</v>
      </c>
      <c r="U127" s="2" cm="1">
        <f t="array" ref="U127">IF(hp!U127=0,0,_xll.BDP(U$4,"YAS_BOND_YLD", "YAS_BOND_PX",hp!U127, "SETTLE_DT", TEXT(ya!$C127,"YYYYMMDD")))</f>
        <v>7.3620000000000001</v>
      </c>
      <c r="V127" s="2" cm="1">
        <f t="array" ref="V127">IF(hp!V127=0,0,_xll.BDP(V$4,"YAS_BOND_YLD", "YAS_BOND_PX",hp!V127, "SETTLE_DT", TEXT(ya!$C127,"YYYYMMDD")))</f>
        <v>14.4533</v>
      </c>
      <c r="W127" s="2" cm="1">
        <f t="array" ref="W127">IF(hp!W127=0,0,_xll.BDP(W$4,"YAS_BOND_YLD", "YAS_BOND_PX",hp!W127, "SETTLE_DT", TEXT(ya!$C127,"YYYYMMDD")))</f>
        <v>-0.14779999999999999</v>
      </c>
      <c r="X127" s="2" cm="1">
        <f t="array" ref="X127">IF(hp!X127=0,0,_xll.BDP(X$4,"YAS_BOND_YLD", "YAS_BOND_PX",hp!X127, "SETTLE_DT", TEXT(ya!$C127,"YYYYMMDD")))</f>
        <v>13.752000000000001</v>
      </c>
      <c r="Y127" s="2" cm="1">
        <f t="array" ref="Y127">IF(hp!Y127=0,0,_xll.BDP(Y$4,"YAS_BOND_YLD", "YAS_BOND_PX",hp!Y127, "SETTLE_DT", TEXT(ya!$C127,"YYYYMMDD")))</f>
        <v>7.4447000000000001</v>
      </c>
      <c r="Z127" s="2" cm="1">
        <f t="array" ref="Z127">IF(hp!Z127=0,0,_xll.BDP(Z$4,"YAS_BOND_YLD", "YAS_BOND_PX",hp!Z127, "SETTLE_DT", TEXT(ya!$C127,"YYYYMMDD")))</f>
        <v>-5.7500000000000002E-2</v>
      </c>
      <c r="AA127" s="2" cm="1">
        <f t="array" ref="AA127">IF(hp!AA127=0,0,_xll.BDP(AA$4,"YAS_BOND_YLD", "YAS_BOND_PX",hp!AA127, "SETTLE_DT", TEXT(ya!$C127,"YYYYMMDD")))</f>
        <v>13.756</v>
      </c>
      <c r="AB127" s="2" cm="1">
        <f t="array" ref="AB127">IF(hp!AB127=0,0,_xll.BDP(AB$4,"YAS_BOND_YLD", "YAS_BOND_PX",hp!AB127, "SETTLE_DT", TEXT(ya!$C127,"YYYYMMDD")))</f>
        <v>2.29E-2</v>
      </c>
      <c r="AC127" s="2" cm="1">
        <f t="array" ref="AC127">IF(hp!AC127=0,0,_xll.BDP(AC$4,"YAS_BOND_YLD", "YAS_BOND_PX",hp!AC127, "SETTLE_DT", TEXT(ya!$C127,"YYYYMMDD")))</f>
        <v>13.6106</v>
      </c>
      <c r="AD127" s="2" cm="1">
        <f t="array" ref="AD127">IF(hp!AD127=0,0,_xll.BDP(AD$4,"YAS_BOND_YLD", "YAS_BOND_PX",hp!AD127, "SETTLE_DT", TEXT(ya!$C127,"YYYYMMDD")))</f>
        <v>7.2903000000000002</v>
      </c>
      <c r="AE127" s="2" cm="1">
        <f t="array" ref="AE127">IF(hp!AE127=0,0,_xll.BDP(AE$4,"YAS_BOND_YLD", "YAS_BOND_PX",hp!AE127, "SETTLE_DT", TEXT(ya!$C127,"YYYYMMDD")))</f>
        <v>13.6142</v>
      </c>
      <c r="AF127" s="2" cm="1">
        <f t="array" ref="AF127">IF(hp!AF127=0,0,_xll.BDP(AF$4,"YAS_BOND_YLD", "YAS_BOND_PX",hp!AF127, "SETTLE_DT", TEXT(ya!$C127,"YYYYMMDD")))</f>
        <v>7.1300000000000002E-2</v>
      </c>
      <c r="AG127" s="2" cm="1">
        <f t="array" ref="AG127">IF(hp!AG127=0,0,_xll.BDP(AG$4,"YAS_BOND_YLD", "YAS_BOND_PX",hp!AG127, "SETTLE_DT", TEXT(ya!$C127,"YYYYMMDD")))</f>
        <v>3.7600000000000001E-2</v>
      </c>
      <c r="AH127" s="2" cm="1">
        <f t="array" ref="AH127">IF(hp!AH127=0,0,_xll.BDP(AH$4,"YAS_BOND_YLD", "YAS_BOND_PX",hp!AH127, "SETTLE_DT", TEXT(ya!$C127,"YYYYMMDD")))</f>
        <v>13.949400000000001</v>
      </c>
      <c r="AI127" s="2" cm="1">
        <f t="array" ref="AI127">IF(hp!AI127=0,0,_xll.BDP(AI$4,"YAS_BOND_YLD", "YAS_BOND_PX",hp!AI127, "SETTLE_DT", TEXT(ya!$C127,"YYYYMMDD")))</f>
        <v>7.4649999999999999</v>
      </c>
      <c r="AJ127" s="2" cm="1">
        <f t="array" ref="AJ127">IF(hp!AJ127=0,0,_xll.BDP(AJ$4,"YAS_BOND_YLD", "YAS_BOND_PX",hp!AJ127, "SETTLE_DT", TEXT(ya!$C127,"YYYYMMDD")))</f>
        <v>9.5000000000000001E-2</v>
      </c>
      <c r="AK127" s="2" cm="1">
        <f t="array" ref="AK127">IF(hp!AK127=0,0,_xll.BDP(AK$4,"YAS_BOND_YLD", "YAS_BOND_PX",hp!AK127, "SETTLE_DT", TEXT(ya!$C127,"YYYYMMDD")))</f>
        <v>5.1299999999999998E-2</v>
      </c>
      <c r="AL127" s="2" cm="1">
        <f t="array" ref="AL127">IF(hp!AL127=0,0,_xll.BDP(AL$4,"YAS_BOND_YLD", "YAS_BOND_PX",hp!AL127, "SETTLE_DT", TEXT(ya!$C127,"YYYYMMDD")))</f>
        <v>0</v>
      </c>
      <c r="AM127" s="2" cm="1">
        <f t="array" ref="AM127">IF(hp!AM127=0,0,_xll.BDP(AM$4,"YAS_BOND_YLD", "YAS_BOND_PX",hp!AM127, "SETTLE_DT", TEXT(ya!$C127,"YYYYMMDD")))</f>
        <v>13.450699999999999</v>
      </c>
      <c r="AN127" s="2" cm="1">
        <f t="array" ref="AN127">IF(hp!AN127=0,0,_xll.BDP(AN$4,"YAS_BOND_YLD", "YAS_BOND_PX",hp!AN127, "SETTLE_DT", TEXT(ya!$C127,"YYYYMMDD")))</f>
        <v>0.1043</v>
      </c>
      <c r="AO127" s="2" cm="1">
        <f t="array" ref="AO127">IF(hp!AO127=0,0,_xll.BDP(AO$4,"YAS_BOND_YLD", "YAS_BOND_PX",hp!AO127, "SETTLE_DT", TEXT(ya!$C127,"YYYYMMDD")))</f>
        <v>0.11210000000000001</v>
      </c>
      <c r="AP127" s="2" cm="1">
        <f t="array" ref="AP127">IF(hp!AP127=0,0,_xll.BDP(AP$4,"YAS_BOND_YLD", "YAS_BOND_PX",hp!AP127, "SETTLE_DT", TEXT(ya!$C127,"YYYYMMDD")))</f>
        <v>13.460699999999999</v>
      </c>
      <c r="AQ127" s="2" cm="1">
        <f t="array" ref="AQ127">IF(hp!AQ127=0,0,_xll.BDP(AQ$4,"YAS_BOND_YLD", "YAS_BOND_PX",hp!AQ127, "SETTLE_DT", TEXT(ya!$C127,"YYYYMMDD")))</f>
        <v>-3.3799999999999997E-2</v>
      </c>
      <c r="AR127" s="2" cm="1">
        <f t="array" ref="AR127">IF(hp!AR127=0,0,_xll.BDP(AR$4,"YAS_BOND_YLD", "YAS_BOND_PX",hp!AR127, "SETTLE_DT", TEXT(ya!$C127,"YYYYMMDD")))</f>
        <v>7.2470999999999997</v>
      </c>
      <c r="AS127" s="2" cm="1">
        <f t="array" ref="AS127">IF(hp!AS127=0,0,_xll.BDP(AS$4,"YAS_BOND_YLD", "YAS_BOND_PX",hp!AS127, "SETTLE_DT", TEXT(ya!$C127,"YYYYMMDD")))</f>
        <v>14.006399999999999</v>
      </c>
      <c r="AT127" s="2" cm="1">
        <f t="array" ref="AT127">IF(hp!AT127=0,0,_xll.BDP(AT$4,"YAS_BOND_YLD", "YAS_BOND_PX",hp!AT127, "SETTLE_DT", TEXT(ya!$C127,"YYYYMMDD")))</f>
        <v>0.10780000000000001</v>
      </c>
      <c r="AU127" s="2" cm="1">
        <f t="array" ref="AU127">IF(hp!AU127=0,0,_xll.BDP(AU$4,"YAS_BOND_YLD", "YAS_BOND_PX",hp!AU127, "SETTLE_DT", TEXT(ya!$C127,"YYYYMMDD")))</f>
        <v>0.10580000000000001</v>
      </c>
      <c r="AV127" s="2" cm="1">
        <f t="array" ref="AV127">IF(hp!AV127=0,0,_xll.BDP(AV$4,"YAS_BOND_YLD", "YAS_BOND_PX",hp!AV127, "SETTLE_DT", TEXT(ya!$C127,"YYYYMMDD")))</f>
        <v>0.11310000000000001</v>
      </c>
      <c r="AW127" s="2" cm="1">
        <f t="array" ref="AW127">IF(hp!AW127=0,0,_xll.BDP(AW$4,"YAS_BOND_YLD", "YAS_BOND_PX",hp!AW127, "SETTLE_DT", TEXT(ya!$C127,"YYYYMMDD")))</f>
        <v>0.10639999999999999</v>
      </c>
      <c r="AX127" s="2" cm="1">
        <f t="array" ref="AX127">IF(hp!AX127=0,0,_xll.BDP(AX$4,"YAS_BOND_YLD", "YAS_BOND_PX",hp!AX127, "SETTLE_DT", TEXT(ya!$C127,"YYYYMMDD")))</f>
        <v>0</v>
      </c>
      <c r="AY127" s="2" cm="1">
        <f t="array" ref="AY127">IF(hp!AY127=0,0,_xll.BDP(AY$4,"YAS_BOND_YLD", "YAS_BOND_PX",hp!AY127, "SETTLE_DT", TEXT(ya!$C127,"YYYYMMDD")))</f>
        <v>0.1057</v>
      </c>
      <c r="AZ127" s="2" cm="1">
        <f t="array" ref="AZ127">IF(hp!AZ127=0,0,_xll.BDP(AZ$4,"YAS_BOND_YLD", "YAS_BOND_PX",hp!AZ127, "SETTLE_DT", TEXT(ya!$C127,"YYYYMMDD")))</f>
        <v>0</v>
      </c>
    </row>
    <row r="128" spans="1:52" x14ac:dyDescent="0.25">
      <c r="A128" s="1"/>
      <c r="B128" s="2"/>
      <c r="C128" s="1">
        <v>45807</v>
      </c>
      <c r="D128" s="2" cm="1">
        <f t="array" ref="D128">IF(hp!D128=0,0,_xll.BDP(D$4,"YAS_BOND_YLD", "YAS_BOND_PX",hp!D128, "SETTLE_DT", TEXT(ya!$C128,"YYYYMMDD")))</f>
        <v>13.984</v>
      </c>
      <c r="E128" s="2" cm="1">
        <f t="array" ref="E128">IF(hp!E128=0,0,_xll.BDP(E$4,"YAS_BOND_YLD", "YAS_BOND_PX",hp!E128, "SETTLE_DT", TEXT(ya!$C128,"YYYYMMDD")))</f>
        <v>13.9322</v>
      </c>
      <c r="F128" s="2" cm="1">
        <f t="array" ref="F128">IF(hp!F128=0,0,_xll.BDP(F$4,"YAS_BOND_YLD", "YAS_BOND_PX",hp!F128, "SETTLE_DT", TEXT(ya!$C128,"YYYYMMDD")))</f>
        <v>14.061500000000001</v>
      </c>
      <c r="G128" s="2" cm="1">
        <f t="array" ref="G128">IF(hp!G128=0,0,_xll.BDP(G$4,"YAS_BOND_YLD", "YAS_BOND_PX",hp!G128, "SETTLE_DT", TEXT(ya!$C128,"YYYYMMDD")))</f>
        <v>7.2686999999999999</v>
      </c>
      <c r="H128" s="2" cm="1">
        <f t="array" ref="H128">IF(hp!H128=0,0,_xll.BDP(H$4,"YAS_BOND_YLD", "YAS_BOND_PX",hp!H128, "SETTLE_DT", TEXT(ya!$C128,"YYYYMMDD")))</f>
        <v>13.712999999999999</v>
      </c>
      <c r="I128" s="2" cm="1">
        <f t="array" ref="I128">IF(hp!I128=0,0,_xll.BDP(I$4,"YAS_BOND_YLD", "YAS_BOND_PX",hp!I128, "SETTLE_DT", TEXT(ya!$C128,"YYYYMMDD")))</f>
        <v>13.8896</v>
      </c>
      <c r="J128" s="2" cm="1">
        <f t="array" ref="J128">IF(hp!J128=0,0,_xll.BDP(J$4,"YAS_BOND_YLD", "YAS_BOND_PX",hp!J128, "SETTLE_DT", TEXT(ya!$C128,"YYYYMMDD")))</f>
        <v>7.1045999999999996</v>
      </c>
      <c r="K128" s="2" cm="1">
        <f t="array" ref="K128">IF(hp!K128=0,0,_xll.BDP(K$4,"YAS_BOND_YLD", "YAS_BOND_PX",hp!K128, "SETTLE_DT", TEXT(ya!$C128,"YYYYMMDD")))</f>
        <v>14.641500000000001</v>
      </c>
      <c r="L128" s="2" cm="1">
        <f t="array" ref="L128">IF(hp!L128=0,0,_xll.BDP(L$4,"YAS_BOND_YLD", "YAS_BOND_PX",hp!L128, "SETTLE_DT", TEXT(ya!$C128,"YYYYMMDD")))</f>
        <v>7.4996999999999998</v>
      </c>
      <c r="M128" s="2" cm="1">
        <f t="array" ref="M128">IF(hp!M128=0,0,_xll.BDP(M$4,"YAS_BOND_YLD", "YAS_BOND_PX",hp!M128, "SETTLE_DT", TEXT(ya!$C128,"YYYYMMDD")))</f>
        <v>7.7816999999999998</v>
      </c>
      <c r="N128" s="2" cm="1">
        <f t="array" ref="N128">IF(hp!N128=0,0,_xll.BDP(N$4,"YAS_BOND_YLD", "YAS_BOND_PX",hp!N128, "SETTLE_DT", TEXT(ya!$C128,"YYYYMMDD")))</f>
        <v>9.3114000000000008</v>
      </c>
      <c r="O128" s="2" cm="1">
        <f t="array" ref="O128">IF(hp!O128=0,0,_xll.BDP(O$4,"YAS_BOND_YLD", "YAS_BOND_PX",hp!O128, "SETTLE_DT", TEXT(ya!$C128,"YYYYMMDD")))</f>
        <v>7.1127000000000002</v>
      </c>
      <c r="P128" s="2" cm="1">
        <f t="array" ref="P128">IF(hp!P128=0,0,_xll.BDP(P$4,"YAS_BOND_YLD", "YAS_BOND_PX",hp!P128, "SETTLE_DT", TEXT(ya!$C128,"YYYYMMDD")))</f>
        <v>7.431</v>
      </c>
      <c r="Q128" s="2" cm="1">
        <f t="array" ref="Q128">IF(hp!Q128=0,0,_xll.BDP(Q$4,"YAS_BOND_YLD", "YAS_BOND_PX",hp!Q128, "SETTLE_DT", TEXT(ya!$C128,"YYYYMMDD")))</f>
        <v>7.1646999999999998</v>
      </c>
      <c r="R128" s="2" cm="1">
        <f t="array" ref="R128">IF(hp!R128=0,0,_xll.BDP(R$4,"YAS_BOND_YLD", "YAS_BOND_PX",hp!R128, "SETTLE_DT", TEXT(ya!$C128,"YYYYMMDD")))</f>
        <v>14.5212</v>
      </c>
      <c r="S128" s="2" cm="1">
        <f t="array" ref="S128">IF(hp!S128=0,0,_xll.BDP(S$4,"YAS_BOND_YLD", "YAS_BOND_PX",hp!S128, "SETTLE_DT", TEXT(ya!$C128,"YYYYMMDD")))</f>
        <v>14.6142</v>
      </c>
      <c r="T128" s="2" cm="1">
        <f t="array" ref="T128">IF(hp!T128=0,0,_xll.BDP(T$4,"YAS_BOND_YLD", "YAS_BOND_PX",hp!T128, "SETTLE_DT", TEXT(ya!$C128,"YYYYMMDD")))</f>
        <v>8.3155000000000001</v>
      </c>
      <c r="U128" s="2" cm="1">
        <f t="array" ref="U128">IF(hp!U128=0,0,_xll.BDP(U$4,"YAS_BOND_YLD", "YAS_BOND_PX",hp!U128, "SETTLE_DT", TEXT(ya!$C128,"YYYYMMDD")))</f>
        <v>7.1558000000000002</v>
      </c>
      <c r="V128" s="2" cm="1">
        <f t="array" ref="V128">IF(hp!V128=0,0,_xll.BDP(V$4,"YAS_BOND_YLD", "YAS_BOND_PX",hp!V128, "SETTLE_DT", TEXT(ya!$C128,"YYYYMMDD")))</f>
        <v>14.5001</v>
      </c>
      <c r="W128" s="2" cm="1">
        <f t="array" ref="W128">IF(hp!W128=0,0,_xll.BDP(W$4,"YAS_BOND_YLD", "YAS_BOND_PX",hp!W128, "SETTLE_DT", TEXT(ya!$C128,"YYYYMMDD")))</f>
        <v>-0.1963</v>
      </c>
      <c r="X128" s="2" cm="1">
        <f t="array" ref="X128">IF(hp!X128=0,0,_xll.BDP(X$4,"YAS_BOND_YLD", "YAS_BOND_PX",hp!X128, "SETTLE_DT", TEXT(ya!$C128,"YYYYMMDD")))</f>
        <v>13.9801</v>
      </c>
      <c r="Y128" s="2" cm="1">
        <f t="array" ref="Y128">IF(hp!Y128=0,0,_xll.BDP(Y$4,"YAS_BOND_YLD", "YAS_BOND_PX",hp!Y128, "SETTLE_DT", TEXT(ya!$C128,"YYYYMMDD")))</f>
        <v>7.5411000000000001</v>
      </c>
      <c r="Z128" s="2" cm="1">
        <f t="array" ref="Z128">IF(hp!Z128=0,0,_xll.BDP(Z$4,"YAS_BOND_YLD", "YAS_BOND_PX",hp!Z128, "SETTLE_DT", TEXT(ya!$C128,"YYYYMMDD")))</f>
        <v>-5.96E-2</v>
      </c>
      <c r="AA128" s="2" cm="1">
        <f t="array" ref="AA128">IF(hp!AA128=0,0,_xll.BDP(AA$4,"YAS_BOND_YLD", "YAS_BOND_PX",hp!AA128, "SETTLE_DT", TEXT(ya!$C128,"YYYYMMDD")))</f>
        <v>13.762599999999999</v>
      </c>
      <c r="AB128" s="2" cm="1">
        <f t="array" ref="AB128">IF(hp!AB128=0,0,_xll.BDP(AB$4,"YAS_BOND_YLD", "YAS_BOND_PX",hp!AB128, "SETTLE_DT", TEXT(ya!$C128,"YYYYMMDD")))</f>
        <v>1.01E-2</v>
      </c>
      <c r="AC128" s="2" cm="1">
        <f t="array" ref="AC128">IF(hp!AC128=0,0,_xll.BDP(AC$4,"YAS_BOND_YLD", "YAS_BOND_PX",hp!AC128, "SETTLE_DT", TEXT(ya!$C128,"YYYYMMDD")))</f>
        <v>13.833299999999999</v>
      </c>
      <c r="AD128" s="2" cm="1">
        <f t="array" ref="AD128">IF(hp!AD128=0,0,_xll.BDP(AD$4,"YAS_BOND_YLD", "YAS_BOND_PX",hp!AD128, "SETTLE_DT", TEXT(ya!$C128,"YYYYMMDD")))</f>
        <v>7.0929000000000002</v>
      </c>
      <c r="AE128" s="2" cm="1">
        <f t="array" ref="AE128">IF(hp!AE128=0,0,_xll.BDP(AE$4,"YAS_BOND_YLD", "YAS_BOND_PX",hp!AE128, "SETTLE_DT", TEXT(ya!$C128,"YYYYMMDD")))</f>
        <v>13.682</v>
      </c>
      <c r="AF128" s="2" cm="1">
        <f t="array" ref="AF128">IF(hp!AF128=0,0,_xll.BDP(AF$4,"YAS_BOND_YLD", "YAS_BOND_PX",hp!AF128, "SETTLE_DT", TEXT(ya!$C128,"YYYYMMDD")))</f>
        <v>6.1600000000000002E-2</v>
      </c>
      <c r="AG128" s="2" cm="1">
        <f t="array" ref="AG128">IF(hp!AG128=0,0,_xll.BDP(AG$4,"YAS_BOND_YLD", "YAS_BOND_PX",hp!AG128, "SETTLE_DT", TEXT(ya!$C128,"YYYYMMDD")))</f>
        <v>2.5000000000000001E-2</v>
      </c>
      <c r="AH128" s="2" cm="1">
        <f t="array" ref="AH128">IF(hp!AH128=0,0,_xll.BDP(AH$4,"YAS_BOND_YLD", "YAS_BOND_PX",hp!AH128, "SETTLE_DT", TEXT(ya!$C128,"YYYYMMDD")))</f>
        <v>13.8874</v>
      </c>
      <c r="AI128" s="2" cm="1">
        <f t="array" ref="AI128">IF(hp!AI128=0,0,_xll.BDP(AI$4,"YAS_BOND_YLD", "YAS_BOND_PX",hp!AI128, "SETTLE_DT", TEXT(ya!$C128,"YYYYMMDD")))</f>
        <v>7.367</v>
      </c>
      <c r="AJ128" s="2" cm="1">
        <f t="array" ref="AJ128">IF(hp!AJ128=0,0,_xll.BDP(AJ$4,"YAS_BOND_YLD", "YAS_BOND_PX",hp!AJ128, "SETTLE_DT", TEXT(ya!$C128,"YYYYMMDD")))</f>
        <v>8.3799999999999999E-2</v>
      </c>
      <c r="AK128" s="2" cm="1">
        <f t="array" ref="AK128">IF(hp!AK128=0,0,_xll.BDP(AK$4,"YAS_BOND_YLD", "YAS_BOND_PX",hp!AK128, "SETTLE_DT", TEXT(ya!$C128,"YYYYMMDD")))</f>
        <v>4.1200000000000001E-2</v>
      </c>
      <c r="AL128" s="2" cm="1">
        <f t="array" ref="AL128">IF(hp!AL128=0,0,_xll.BDP(AL$4,"YAS_BOND_YLD", "YAS_BOND_PX",hp!AL128, "SETTLE_DT", TEXT(ya!$C128,"YYYYMMDD")))</f>
        <v>0</v>
      </c>
      <c r="AM128" s="2" cm="1">
        <f t="array" ref="AM128">IF(hp!AM128=0,0,_xll.BDP(AM$4,"YAS_BOND_YLD", "YAS_BOND_PX",hp!AM128, "SETTLE_DT", TEXT(ya!$C128,"YYYYMMDD")))</f>
        <v>13.607099999999999</v>
      </c>
      <c r="AN128" s="2" cm="1">
        <f t="array" ref="AN128">IF(hp!AN128=0,0,_xll.BDP(AN$4,"YAS_BOND_YLD", "YAS_BOND_PX",hp!AN128, "SETTLE_DT", TEXT(ya!$C128,"YYYYMMDD")))</f>
        <v>9.9000000000000005E-2</v>
      </c>
      <c r="AO128" s="2" cm="1">
        <f t="array" ref="AO128">IF(hp!AO128=0,0,_xll.BDP(AO$4,"YAS_BOND_YLD", "YAS_BOND_PX",hp!AO128, "SETTLE_DT", TEXT(ya!$C128,"YYYYMMDD")))</f>
        <v>0.1094</v>
      </c>
      <c r="AP128" s="2" cm="1">
        <f t="array" ref="AP128">IF(hp!AP128=0,0,_xll.BDP(AP$4,"YAS_BOND_YLD", "YAS_BOND_PX",hp!AP128, "SETTLE_DT", TEXT(ya!$C128,"YYYYMMDD")))</f>
        <v>13.563000000000001</v>
      </c>
      <c r="AQ128" s="2" cm="1">
        <f t="array" ref="AQ128">IF(hp!AQ128=0,0,_xll.BDP(AQ$4,"YAS_BOND_YLD", "YAS_BOND_PX",hp!AQ128, "SETTLE_DT", TEXT(ya!$C128,"YYYYMMDD")))</f>
        <v>-3.3000000000000002E-2</v>
      </c>
      <c r="AR128" s="2" cm="1">
        <f t="array" ref="AR128">IF(hp!AR128=0,0,_xll.BDP(AR$4,"YAS_BOND_YLD", "YAS_BOND_PX",hp!AR128, "SETTLE_DT", TEXT(ya!$C128,"YYYYMMDD")))</f>
        <v>7.3098000000000001</v>
      </c>
      <c r="AS128" s="2" cm="1">
        <f t="array" ref="AS128">IF(hp!AS128=0,0,_xll.BDP(AS$4,"YAS_BOND_YLD", "YAS_BOND_PX",hp!AS128, "SETTLE_DT", TEXT(ya!$C128,"YYYYMMDD")))</f>
        <v>14.289</v>
      </c>
      <c r="AT128" s="2" cm="1">
        <f t="array" ref="AT128">IF(hp!AT128=0,0,_xll.BDP(AT$4,"YAS_BOND_YLD", "YAS_BOND_PX",hp!AT128, "SETTLE_DT", TEXT(ya!$C128,"YYYYMMDD")))</f>
        <v>0.1081</v>
      </c>
      <c r="AU128" s="2" cm="1">
        <f t="array" ref="AU128">IF(hp!AU128=0,0,_xll.BDP(AU$4,"YAS_BOND_YLD", "YAS_BOND_PX",hp!AU128, "SETTLE_DT", TEXT(ya!$C128,"YYYYMMDD")))</f>
        <v>0.1013</v>
      </c>
      <c r="AV128" s="2" cm="1">
        <f t="array" ref="AV128">IF(hp!AV128=0,0,_xll.BDP(AV$4,"YAS_BOND_YLD", "YAS_BOND_PX",hp!AV128, "SETTLE_DT", TEXT(ya!$C128,"YYYYMMDD")))</f>
        <v>0.1094</v>
      </c>
      <c r="AW128" s="2" cm="1">
        <f t="array" ref="AW128">IF(hp!AW128=0,0,_xll.BDP(AW$4,"YAS_BOND_YLD", "YAS_BOND_PX",hp!AW128, "SETTLE_DT", TEXT(ya!$C128,"YYYYMMDD")))</f>
        <v>0.1002</v>
      </c>
      <c r="AX128" s="2" cm="1">
        <f t="array" ref="AX128">IF(hp!AX128=0,0,_xll.BDP(AX$4,"YAS_BOND_YLD", "YAS_BOND_PX",hp!AX128, "SETTLE_DT", TEXT(ya!$C128,"YYYYMMDD")))</f>
        <v>0</v>
      </c>
      <c r="AY128" s="2" cm="1">
        <f t="array" ref="AY128">IF(hp!AY128=0,0,_xll.BDP(AY$4,"YAS_BOND_YLD", "YAS_BOND_PX",hp!AY128, "SETTLE_DT", TEXT(ya!$C128,"YYYYMMDD")))</f>
        <v>0.1016</v>
      </c>
      <c r="AZ128" s="2" cm="1">
        <f t="array" ref="AZ128">IF(hp!AZ128=0,0,_xll.BDP(AZ$4,"YAS_BOND_YLD", "YAS_BOND_PX",hp!AZ128, "SETTLE_DT", TEXT(ya!$C128,"YYYYMMDD")))</f>
        <v>0</v>
      </c>
    </row>
    <row r="129" spans="1:52" x14ac:dyDescent="0.25">
      <c r="A129" s="1"/>
      <c r="B129" s="2"/>
      <c r="C129" s="1">
        <v>45838</v>
      </c>
      <c r="D129" s="2" cm="1">
        <f t="array" ref="D129">IF(hp!D129=0,0,_xll.BDP(D$4,"YAS_BOND_YLD", "YAS_BOND_PX",hp!D129, "SETTLE_DT", TEXT(ya!$C129,"YYYYMMDD")))</f>
        <v>14.694900000000001</v>
      </c>
      <c r="E129" s="2" cm="1">
        <f t="array" ref="E129">IF(hp!E129=0,0,_xll.BDP(E$4,"YAS_BOND_YLD", "YAS_BOND_PX",hp!E129, "SETTLE_DT", TEXT(ya!$C129,"YYYYMMDD")))</f>
        <v>14.955299999999999</v>
      </c>
      <c r="F129" s="2" cm="1">
        <f t="array" ref="F129">IF(hp!F129=0,0,_xll.BDP(F$4,"YAS_BOND_YLD", "YAS_BOND_PX",hp!F129, "SETTLE_DT", TEXT(ya!$C129,"YYYYMMDD")))</f>
        <v>18.272300000000001</v>
      </c>
      <c r="G129" s="2" cm="1">
        <f t="array" ref="G129">IF(hp!G129=0,0,_xll.BDP(G$4,"YAS_BOND_YLD", "YAS_BOND_PX",hp!G129, "SETTLE_DT", TEXT(ya!$C129,"YYYYMMDD")))</f>
        <v>7.1774000000000004</v>
      </c>
      <c r="H129" s="2" cm="1">
        <f t="array" ref="H129">IF(hp!H129=0,0,_xll.BDP(H$4,"YAS_BOND_YLD", "YAS_BOND_PX",hp!H129, "SETTLE_DT", TEXT(ya!$C129,"YYYYMMDD")))</f>
        <v>15.272600000000001</v>
      </c>
      <c r="I129" s="2" cm="1">
        <f t="array" ref="I129">IF(hp!I129=0,0,_xll.BDP(I$4,"YAS_BOND_YLD", "YAS_BOND_PX",hp!I129, "SETTLE_DT", TEXT(ya!$C129,"YYYYMMDD")))</f>
        <v>14.708399999999999</v>
      </c>
      <c r="J129" s="2" cm="1">
        <f t="array" ref="J129">IF(hp!J129=0,0,_xll.BDP(J$4,"YAS_BOND_YLD", "YAS_BOND_PX",hp!J129, "SETTLE_DT", TEXT(ya!$C129,"YYYYMMDD")))</f>
        <v>6.9554</v>
      </c>
      <c r="K129" s="2" cm="1">
        <f t="array" ref="K129">IF(hp!K129=0,0,_xll.BDP(K$4,"YAS_BOND_YLD", "YAS_BOND_PX",hp!K129, "SETTLE_DT", TEXT(ya!$C129,"YYYYMMDD")))</f>
        <v>14.7163</v>
      </c>
      <c r="L129" s="2" cm="1">
        <f t="array" ref="L129">IF(hp!L129=0,0,_xll.BDP(L$4,"YAS_BOND_YLD", "YAS_BOND_PX",hp!L129, "SETTLE_DT", TEXT(ya!$C129,"YYYYMMDD")))</f>
        <v>7.4901999999999997</v>
      </c>
      <c r="M129" s="2" cm="1">
        <f t="array" ref="M129">IF(hp!M129=0,0,_xll.BDP(M$4,"YAS_BOND_YLD", "YAS_BOND_PX",hp!M129, "SETTLE_DT", TEXT(ya!$C129,"YYYYMMDD")))</f>
        <v>7.8949999999999996</v>
      </c>
      <c r="N129" s="2" cm="1">
        <f t="array" ref="N129">IF(hp!N129=0,0,_xll.BDP(N$4,"YAS_BOND_YLD", "YAS_BOND_PX",hp!N129, "SETTLE_DT", TEXT(ya!$C129,"YYYYMMDD")))</f>
        <v>9.7811000000000003</v>
      </c>
      <c r="O129" s="2" cm="1">
        <f t="array" ref="O129">IF(hp!O129=0,0,_xll.BDP(O$4,"YAS_BOND_YLD", "YAS_BOND_PX",hp!O129, "SETTLE_DT", TEXT(ya!$C129,"YYYYMMDD")))</f>
        <v>6.9641000000000002</v>
      </c>
      <c r="P129" s="2" cm="1">
        <f t="array" ref="P129">IF(hp!P129=0,0,_xll.BDP(P$4,"YAS_BOND_YLD", "YAS_BOND_PX",hp!P129, "SETTLE_DT", TEXT(ya!$C129,"YYYYMMDD")))</f>
        <v>7.3829000000000002</v>
      </c>
      <c r="Q129" s="2" cm="1">
        <f t="array" ref="Q129">IF(hp!Q129=0,0,_xll.BDP(Q$4,"YAS_BOND_YLD", "YAS_BOND_PX",hp!Q129, "SETTLE_DT", TEXT(ya!$C129,"YYYYMMDD")))</f>
        <v>7.0316000000000001</v>
      </c>
      <c r="R129" s="2" cm="1">
        <f t="array" ref="R129">IF(hp!R129=0,0,_xll.BDP(R$4,"YAS_BOND_YLD", "YAS_BOND_PX",hp!R129, "SETTLE_DT", TEXT(ya!$C129,"YYYYMMDD")))</f>
        <v>14.6036</v>
      </c>
      <c r="S129" s="2" cm="1">
        <f t="array" ref="S129">IF(hp!S129=0,0,_xll.BDP(S$4,"YAS_BOND_YLD", "YAS_BOND_PX",hp!S129, "SETTLE_DT", TEXT(ya!$C129,"YYYYMMDD")))</f>
        <v>14.699400000000001</v>
      </c>
      <c r="T129" s="2" cm="1">
        <f t="array" ref="T129">IF(hp!T129=0,0,_xll.BDP(T$4,"YAS_BOND_YLD", "YAS_BOND_PX",hp!T129, "SETTLE_DT", TEXT(ya!$C129,"YYYYMMDD")))</f>
        <v>8.7142999999999997</v>
      </c>
      <c r="U129" s="2" cm="1">
        <f t="array" ref="U129">IF(hp!U129=0,0,_xll.BDP(U$4,"YAS_BOND_YLD", "YAS_BOND_PX",hp!U129, "SETTLE_DT", TEXT(ya!$C129,"YYYYMMDD")))</f>
        <v>7.0392000000000001</v>
      </c>
      <c r="V129" s="2" cm="1">
        <f t="array" ref="V129">IF(hp!V129=0,0,_xll.BDP(V$4,"YAS_BOND_YLD", "YAS_BOND_PX",hp!V129, "SETTLE_DT", TEXT(ya!$C129,"YYYYMMDD")))</f>
        <v>14.551600000000001</v>
      </c>
      <c r="W129" s="2" cm="1">
        <f t="array" ref="W129">IF(hp!W129=0,0,_xll.BDP(W$4,"YAS_BOND_YLD", "YAS_BOND_PX",hp!W129, "SETTLE_DT", TEXT(ya!$C129,"YYYYMMDD")))</f>
        <v>-0.29289999999999999</v>
      </c>
      <c r="X129" s="2" cm="1">
        <f t="array" ref="X129">IF(hp!X129=0,0,_xll.BDP(X$4,"YAS_BOND_YLD", "YAS_BOND_PX",hp!X129, "SETTLE_DT", TEXT(ya!$C129,"YYYYMMDD")))</f>
        <v>13.8246</v>
      </c>
      <c r="Y129" s="2" cm="1">
        <f t="array" ref="Y129">IF(hp!Y129=0,0,_xll.BDP(Y$4,"YAS_BOND_YLD", "YAS_BOND_PX",hp!Y129, "SETTLE_DT", TEXT(ya!$C129,"YYYYMMDD")))</f>
        <v>7.5670000000000002</v>
      </c>
      <c r="Z129" s="2" cm="1">
        <f t="array" ref="Z129">IF(hp!Z129=0,0,_xll.BDP(Z$4,"YAS_BOND_YLD", "YAS_BOND_PX",hp!Z129, "SETTLE_DT", TEXT(ya!$C129,"YYYYMMDD")))</f>
        <v>-7.8200000000000006E-2</v>
      </c>
      <c r="AA129" s="2" cm="1">
        <f t="array" ref="AA129">IF(hp!AA129=0,0,_xll.BDP(AA$4,"YAS_BOND_YLD", "YAS_BOND_PX",hp!AA129, "SETTLE_DT", TEXT(ya!$C129,"YYYYMMDD")))</f>
        <v>13.2056</v>
      </c>
      <c r="AB129" s="2" cm="1">
        <f t="array" ref="AB129">IF(hp!AB129=0,0,_xll.BDP(AB$4,"YAS_BOND_YLD", "YAS_BOND_PX",hp!AB129, "SETTLE_DT", TEXT(ya!$C129,"YYYYMMDD")))</f>
        <v>2.0999999999999999E-3</v>
      </c>
      <c r="AC129" s="2" cm="1">
        <f t="array" ref="AC129">IF(hp!AC129=0,0,_xll.BDP(AC$4,"YAS_BOND_YLD", "YAS_BOND_PX",hp!AC129, "SETTLE_DT", TEXT(ya!$C129,"YYYYMMDD")))</f>
        <v>13.578099999999999</v>
      </c>
      <c r="AD129" s="2" cm="1">
        <f t="array" ref="AD129">IF(hp!AD129=0,0,_xll.BDP(AD$4,"YAS_BOND_YLD", "YAS_BOND_PX",hp!AD129, "SETTLE_DT", TEXT(ya!$C129,"YYYYMMDD")))</f>
        <v>6.9446000000000003</v>
      </c>
      <c r="AE129" s="2" cm="1">
        <f t="array" ref="AE129">IF(hp!AE129=0,0,_xll.BDP(AE$4,"YAS_BOND_YLD", "YAS_BOND_PX",hp!AE129, "SETTLE_DT", TEXT(ya!$C129,"YYYYMMDD")))</f>
        <v>13.1402</v>
      </c>
      <c r="AF129" s="2" cm="1">
        <f t="array" ref="AF129">IF(hp!AF129=0,0,_xll.BDP(AF$4,"YAS_BOND_YLD", "YAS_BOND_PX",hp!AF129, "SETTLE_DT", TEXT(ya!$C129,"YYYYMMDD")))</f>
        <v>5.67E-2</v>
      </c>
      <c r="AG129" s="2" cm="1">
        <f t="array" ref="AG129">IF(hp!AG129=0,0,_xll.BDP(AG$4,"YAS_BOND_YLD", "YAS_BOND_PX",hp!AG129, "SETTLE_DT", TEXT(ya!$C129,"YYYYMMDD")))</f>
        <v>2.06E-2</v>
      </c>
      <c r="AH129" s="2" cm="1">
        <f t="array" ref="AH129">IF(hp!AH129=0,0,_xll.BDP(AH$4,"YAS_BOND_YLD", "YAS_BOND_PX",hp!AH129, "SETTLE_DT", TEXT(ya!$C129,"YYYYMMDD")))</f>
        <v>13.381</v>
      </c>
      <c r="AI129" s="2" cm="1">
        <f t="array" ref="AI129">IF(hp!AI129=0,0,_xll.BDP(AI$4,"YAS_BOND_YLD", "YAS_BOND_PX",hp!AI129, "SETTLE_DT", TEXT(ya!$C129,"YYYYMMDD")))</f>
        <v>7.2919</v>
      </c>
      <c r="AJ129" s="2" cm="1">
        <f t="array" ref="AJ129">IF(hp!AJ129=0,0,_xll.BDP(AJ$4,"YAS_BOND_YLD", "YAS_BOND_PX",hp!AJ129, "SETTLE_DT", TEXT(ya!$C129,"YYYYMMDD")))</f>
        <v>8.3400000000000002E-2</v>
      </c>
      <c r="AK129" s="2" cm="1">
        <f t="array" ref="AK129">IF(hp!AK129=0,0,_xll.BDP(AK$4,"YAS_BOND_YLD", "YAS_BOND_PX",hp!AK129, "SETTLE_DT", TEXT(ya!$C129,"YYYYMMDD")))</f>
        <v>3.1600000000000003E-2</v>
      </c>
      <c r="AL129" s="2" cm="1">
        <f t="array" ref="AL129">IF(hp!AL129=0,0,_xll.BDP(AL$4,"YAS_BOND_YLD", "YAS_BOND_PX",hp!AL129, "SETTLE_DT", TEXT(ya!$C129,"YYYYMMDD")))</f>
        <v>0</v>
      </c>
      <c r="AM129" s="2" cm="1">
        <f t="array" ref="AM129">IF(hp!AM129=0,0,_xll.BDP(AM$4,"YAS_BOND_YLD", "YAS_BOND_PX",hp!AM129, "SETTLE_DT", TEXT(ya!$C129,"YYYYMMDD")))</f>
        <v>13.2348</v>
      </c>
      <c r="AN129" s="2" cm="1">
        <f t="array" ref="AN129">IF(hp!AN129=0,0,_xll.BDP(AN$4,"YAS_BOND_YLD", "YAS_BOND_PX",hp!AN129, "SETTLE_DT", TEXT(ya!$C129,"YYYYMMDD")))</f>
        <v>9.8500000000000004E-2</v>
      </c>
      <c r="AO129" s="2" cm="1">
        <f t="array" ref="AO129">IF(hp!AO129=0,0,_xll.BDP(AO$4,"YAS_BOND_YLD", "YAS_BOND_PX",hp!AO129, "SETTLE_DT", TEXT(ya!$C129,"YYYYMMDD")))</f>
        <v>0.1096</v>
      </c>
      <c r="AP129" s="2" cm="1">
        <f t="array" ref="AP129">IF(hp!AP129=0,0,_xll.BDP(AP$4,"YAS_BOND_YLD", "YAS_BOND_PX",hp!AP129, "SETTLE_DT", TEXT(ya!$C129,"YYYYMMDD")))</f>
        <v>13.085900000000001</v>
      </c>
      <c r="AQ129" s="2" cm="1">
        <f t="array" ref="AQ129">IF(hp!AQ129=0,0,_xll.BDP(AQ$4,"YAS_BOND_YLD", "YAS_BOND_PX",hp!AQ129, "SETTLE_DT", TEXT(ya!$C129,"YYYYMMDD")))</f>
        <v>-4.3099999999999999E-2</v>
      </c>
      <c r="AR129" s="2" cm="1">
        <f t="array" ref="AR129">IF(hp!AR129=0,0,_xll.BDP(AR$4,"YAS_BOND_YLD", "YAS_BOND_PX",hp!AR129, "SETTLE_DT", TEXT(ya!$C129,"YYYYMMDD")))</f>
        <v>8.5276999999999994</v>
      </c>
      <c r="AS129" s="2" cm="1">
        <f t="array" ref="AS129">IF(hp!AS129=0,0,_xll.BDP(AS$4,"YAS_BOND_YLD", "YAS_BOND_PX",hp!AS129, "SETTLE_DT", TEXT(ya!$C129,"YYYYMMDD")))</f>
        <v>14.339399999999999</v>
      </c>
      <c r="AT129" s="2" cm="1">
        <f t="array" ref="AT129">IF(hp!AT129=0,0,_xll.BDP(AT$4,"YAS_BOND_YLD", "YAS_BOND_PX",hp!AT129, "SETTLE_DT", TEXT(ya!$C129,"YYYYMMDD")))</f>
        <v>0.108</v>
      </c>
      <c r="AU129" s="2" cm="1">
        <f t="array" ref="AU129">IF(hp!AU129=0,0,_xll.BDP(AU$4,"YAS_BOND_YLD", "YAS_BOND_PX",hp!AU129, "SETTLE_DT", TEXT(ya!$C129,"YYYYMMDD")))</f>
        <v>9.2100000000000001E-2</v>
      </c>
      <c r="AV129" s="2" cm="1">
        <f t="array" ref="AV129">IF(hp!AV129=0,0,_xll.BDP(AV$4,"YAS_BOND_YLD", "YAS_BOND_PX",hp!AV129, "SETTLE_DT", TEXT(ya!$C129,"YYYYMMDD")))</f>
        <v>0.1104</v>
      </c>
      <c r="AW129" s="2" cm="1">
        <f t="array" ref="AW129">IF(hp!AW129=0,0,_xll.BDP(AW$4,"YAS_BOND_YLD", "YAS_BOND_PX",hp!AW129, "SETTLE_DT", TEXT(ya!$C129,"YYYYMMDD")))</f>
        <v>9.5299999999999996E-2</v>
      </c>
      <c r="AX129" s="2" cm="1">
        <f t="array" ref="AX129">IF(hp!AX129=0,0,_xll.BDP(AX$4,"YAS_BOND_YLD", "YAS_BOND_PX",hp!AX129, "SETTLE_DT", TEXT(ya!$C129,"YYYYMMDD")))</f>
        <v>0</v>
      </c>
      <c r="AY129" s="2" cm="1">
        <f t="array" ref="AY129">IF(hp!AY129=0,0,_xll.BDP(AY$4,"YAS_BOND_YLD", "YAS_BOND_PX",hp!AY129, "SETTLE_DT", TEXT(ya!$C129,"YYYYMMDD")))</f>
        <v>9.7299999999999998E-2</v>
      </c>
      <c r="AZ129" s="2" cm="1">
        <f t="array" ref="AZ129">IF(hp!AZ129=0,0,_xll.BDP(AZ$4,"YAS_BOND_YLD", "YAS_BOND_PX",hp!AZ129, "SETTLE_DT", TEXT(ya!$C129,"YYYYMMDD")))</f>
        <v>0</v>
      </c>
    </row>
    <row r="130" spans="1:52" x14ac:dyDescent="0.25">
      <c r="A130" s="1"/>
      <c r="B130" s="2"/>
      <c r="C130" s="1"/>
      <c r="D130" s="1"/>
      <c r="E130" s="1"/>
    </row>
    <row r="131" spans="1:52" x14ac:dyDescent="0.25">
      <c r="A131" s="1"/>
      <c r="B131" s="2"/>
      <c r="C131" s="1"/>
      <c r="D131" s="1"/>
      <c r="E131" s="1"/>
    </row>
    <row r="132" spans="1:52" x14ac:dyDescent="0.25">
      <c r="A132" s="1"/>
      <c r="B132" s="2"/>
      <c r="C132" s="1"/>
      <c r="D132" s="1"/>
      <c r="E132" s="1"/>
    </row>
    <row r="133" spans="1:52" x14ac:dyDescent="0.25">
      <c r="A133" s="1"/>
      <c r="B133" s="2"/>
      <c r="C133" s="1"/>
      <c r="D133" s="1"/>
      <c r="E133" s="1"/>
    </row>
    <row r="134" spans="1:52" x14ac:dyDescent="0.25">
      <c r="A134" s="1"/>
      <c r="B134" s="2"/>
      <c r="C134" s="1"/>
      <c r="D134" s="1"/>
      <c r="E134" s="1"/>
    </row>
    <row r="135" spans="1:52" x14ac:dyDescent="0.25">
      <c r="A135" s="1"/>
      <c r="B135" s="2"/>
      <c r="C135" s="1"/>
      <c r="D135" s="1"/>
      <c r="E135" s="1"/>
    </row>
    <row r="136" spans="1:52" x14ac:dyDescent="0.25">
      <c r="A136" s="1"/>
      <c r="B136" s="2"/>
      <c r="C136" s="1"/>
      <c r="D136" s="1"/>
      <c r="E136" s="1"/>
    </row>
    <row r="137" spans="1:52" x14ac:dyDescent="0.25">
      <c r="A137" s="1"/>
      <c r="B137" s="2"/>
      <c r="C137" s="1"/>
      <c r="D137" s="1"/>
      <c r="E137" s="1"/>
    </row>
    <row r="138" spans="1:52" x14ac:dyDescent="0.25">
      <c r="A138" s="1"/>
      <c r="B138" s="2"/>
      <c r="C138" s="1"/>
      <c r="D138" s="1"/>
      <c r="E138" s="1"/>
    </row>
    <row r="139" spans="1:52" x14ac:dyDescent="0.25">
      <c r="A139" s="1"/>
      <c r="B139" s="2"/>
      <c r="C139" s="1"/>
      <c r="D139" s="1"/>
      <c r="E139" s="1"/>
    </row>
    <row r="140" spans="1:52" x14ac:dyDescent="0.25">
      <c r="A140" s="1"/>
      <c r="B140" s="2"/>
      <c r="C140" s="1"/>
      <c r="D140" s="1"/>
      <c r="E140" s="1"/>
    </row>
    <row r="141" spans="1:52" x14ac:dyDescent="0.25">
      <c r="A141" s="1"/>
      <c r="B141" s="2"/>
      <c r="C141" s="1"/>
      <c r="D141" s="1"/>
      <c r="E141" s="1"/>
    </row>
    <row r="142" spans="1:52" x14ac:dyDescent="0.25">
      <c r="A142" s="1"/>
      <c r="B142" s="2"/>
      <c r="C142" s="1"/>
      <c r="D142" s="1"/>
      <c r="E142" s="1"/>
    </row>
    <row r="143" spans="1:52" x14ac:dyDescent="0.25">
      <c r="A143" s="1"/>
      <c r="B143" s="2"/>
      <c r="C143" s="1"/>
      <c r="D143" s="1"/>
      <c r="E143" s="1"/>
    </row>
    <row r="144" spans="1:52" x14ac:dyDescent="0.25">
      <c r="A144" s="1"/>
      <c r="B144" s="2"/>
      <c r="C144" s="1"/>
      <c r="D144" s="1"/>
      <c r="E144" s="1"/>
    </row>
    <row r="145" spans="1:5" x14ac:dyDescent="0.25">
      <c r="A145" s="1"/>
      <c r="B145" s="2"/>
      <c r="C145" s="1"/>
      <c r="D145" s="1"/>
      <c r="E145" s="1"/>
    </row>
    <row r="146" spans="1:5" x14ac:dyDescent="0.25">
      <c r="A146" s="1"/>
      <c r="B146" s="2"/>
      <c r="C146" s="1"/>
      <c r="D146" s="1"/>
      <c r="E146" s="1"/>
    </row>
    <row r="147" spans="1:5" x14ac:dyDescent="0.25">
      <c r="A147" s="1"/>
      <c r="B147" s="2"/>
      <c r="C147" s="1"/>
      <c r="D147" s="1"/>
      <c r="E147" s="1"/>
    </row>
    <row r="148" spans="1:5" x14ac:dyDescent="0.25">
      <c r="A148" s="1"/>
      <c r="B148" s="2"/>
      <c r="C148" s="1"/>
      <c r="D148" s="1"/>
      <c r="E148" s="1"/>
    </row>
    <row r="149" spans="1:5" x14ac:dyDescent="0.25">
      <c r="A149" s="1"/>
      <c r="B149" s="2"/>
      <c r="C149" s="1"/>
      <c r="D149" s="1"/>
      <c r="E149" s="1"/>
    </row>
    <row r="150" spans="1:5" x14ac:dyDescent="0.25">
      <c r="A150" s="1"/>
      <c r="B150" s="2"/>
      <c r="C150" s="1"/>
      <c r="D150" s="1"/>
      <c r="E150" s="1"/>
    </row>
    <row r="151" spans="1:5" x14ac:dyDescent="0.25">
      <c r="A151" s="1"/>
      <c r="B151" s="2"/>
      <c r="C151" s="1"/>
      <c r="D151" s="1"/>
      <c r="E151" s="1"/>
    </row>
    <row r="152" spans="1:5" x14ac:dyDescent="0.25">
      <c r="A152" s="1"/>
      <c r="B152" s="2"/>
      <c r="C152" s="1"/>
      <c r="D152" s="1"/>
      <c r="E152" s="1"/>
    </row>
    <row r="153" spans="1:5" x14ac:dyDescent="0.25">
      <c r="A153" s="1"/>
      <c r="B153" s="2"/>
      <c r="C153" s="1"/>
      <c r="D153" s="1"/>
      <c r="E153" s="1"/>
    </row>
    <row r="154" spans="1:5" x14ac:dyDescent="0.25">
      <c r="A154" s="1"/>
      <c r="B154" s="2"/>
      <c r="C154" s="1"/>
      <c r="D154" s="1"/>
      <c r="E154" s="1"/>
    </row>
    <row r="155" spans="1:5" x14ac:dyDescent="0.25">
      <c r="A155" s="1"/>
      <c r="B155" s="2"/>
      <c r="C155" s="1"/>
      <c r="D155" s="1"/>
      <c r="E155" s="1"/>
    </row>
    <row r="156" spans="1:5" x14ac:dyDescent="0.25">
      <c r="A156" s="1"/>
      <c r="B156" s="2"/>
      <c r="C156" s="1"/>
      <c r="D156" s="1"/>
      <c r="E156" s="1"/>
    </row>
    <row r="157" spans="1:5" x14ac:dyDescent="0.25">
      <c r="A157" s="1"/>
      <c r="B157" s="2"/>
      <c r="C157" s="1"/>
      <c r="D157" s="1"/>
      <c r="E157" s="1"/>
    </row>
    <row r="158" spans="1:5" x14ac:dyDescent="0.25">
      <c r="A158" s="1"/>
      <c r="B158" s="2"/>
      <c r="C158" s="1"/>
      <c r="D158" s="1"/>
      <c r="E158" s="1"/>
    </row>
    <row r="159" spans="1:5" x14ac:dyDescent="0.25">
      <c r="A159" s="1"/>
      <c r="B159" s="2"/>
      <c r="C159" s="1"/>
      <c r="D159" s="1"/>
      <c r="E159" s="1"/>
    </row>
    <row r="160" spans="1:5" x14ac:dyDescent="0.25">
      <c r="A160" s="1"/>
      <c r="B160" s="2"/>
      <c r="C160" s="1"/>
      <c r="D160" s="1"/>
      <c r="E160" s="1"/>
    </row>
    <row r="161" spans="1:5" x14ac:dyDescent="0.25">
      <c r="A161" s="1"/>
      <c r="B161" s="2"/>
      <c r="C161" s="1"/>
      <c r="D161" s="1"/>
      <c r="E161" s="1"/>
    </row>
    <row r="162" spans="1:5" x14ac:dyDescent="0.25">
      <c r="A162" s="1"/>
      <c r="B162" s="2"/>
      <c r="C162" s="1"/>
      <c r="D162" s="1"/>
      <c r="E162" s="1"/>
    </row>
    <row r="163" spans="1:5" x14ac:dyDescent="0.25">
      <c r="A163" s="1"/>
      <c r="B163" s="2"/>
      <c r="C163" s="1"/>
      <c r="D163" s="1"/>
      <c r="E163" s="1"/>
    </row>
    <row r="164" spans="1:5" x14ac:dyDescent="0.25">
      <c r="A164" s="1"/>
      <c r="B164" s="2"/>
      <c r="C164" s="1"/>
      <c r="D164" s="1"/>
      <c r="E164" s="1"/>
    </row>
    <row r="165" spans="1:5" x14ac:dyDescent="0.25">
      <c r="A165" s="1"/>
      <c r="B165" s="2"/>
      <c r="C165" s="1"/>
      <c r="D165" s="1"/>
      <c r="E165" s="1"/>
    </row>
    <row r="166" spans="1:5" x14ac:dyDescent="0.25">
      <c r="A166" s="1"/>
      <c r="B166" s="2"/>
      <c r="C166" s="1"/>
      <c r="D166" s="1"/>
      <c r="E166" s="1"/>
    </row>
    <row r="167" spans="1:5" x14ac:dyDescent="0.25">
      <c r="A167" s="1"/>
      <c r="B167" s="2"/>
      <c r="C167" s="1"/>
      <c r="D167" s="1"/>
      <c r="E167" s="1"/>
    </row>
    <row r="168" spans="1:5" x14ac:dyDescent="0.25">
      <c r="A168" s="1"/>
      <c r="B168" s="2"/>
      <c r="C168" s="1"/>
      <c r="D168" s="1"/>
      <c r="E168" s="1"/>
    </row>
    <row r="169" spans="1:5" x14ac:dyDescent="0.25">
      <c r="A169" s="1"/>
      <c r="B169" s="2"/>
      <c r="C169" s="1"/>
      <c r="D169" s="1"/>
      <c r="E169" s="1"/>
    </row>
    <row r="170" spans="1:5" x14ac:dyDescent="0.25">
      <c r="A170" s="1"/>
      <c r="B170" s="2"/>
      <c r="C170" s="1"/>
      <c r="D170" s="1"/>
      <c r="E170" s="1"/>
    </row>
    <row r="171" spans="1:5" x14ac:dyDescent="0.25">
      <c r="A171" s="1"/>
      <c r="B171" s="2"/>
      <c r="C171" s="1"/>
      <c r="D171" s="1"/>
      <c r="E171" s="1"/>
    </row>
    <row r="172" spans="1:5" x14ac:dyDescent="0.25">
      <c r="A172" s="1"/>
      <c r="B172" s="2"/>
      <c r="C172" s="1"/>
      <c r="D172" s="1"/>
      <c r="E172" s="1"/>
    </row>
    <row r="173" spans="1:5" x14ac:dyDescent="0.25">
      <c r="A173" s="1"/>
      <c r="B173" s="2"/>
      <c r="C173" s="1"/>
      <c r="D173" s="1"/>
      <c r="E173" s="1"/>
    </row>
    <row r="174" spans="1:5" x14ac:dyDescent="0.25">
      <c r="A174" s="1"/>
      <c r="B174" s="2"/>
      <c r="C174" s="1"/>
      <c r="D174" s="1"/>
      <c r="E174" s="1"/>
    </row>
    <row r="175" spans="1:5" x14ac:dyDescent="0.25">
      <c r="A175" s="1"/>
      <c r="B175" s="2"/>
      <c r="C175" s="1"/>
      <c r="D175" s="1"/>
      <c r="E175" s="1"/>
    </row>
    <row r="176" spans="1:5" x14ac:dyDescent="0.25">
      <c r="A176" s="1"/>
      <c r="B176" s="2"/>
      <c r="C176" s="1"/>
      <c r="D176" s="1"/>
      <c r="E176" s="1"/>
    </row>
    <row r="177" spans="1:5" x14ac:dyDescent="0.25">
      <c r="A177" s="1"/>
      <c r="B177" s="2"/>
      <c r="C177" s="1"/>
      <c r="D177" s="1"/>
      <c r="E177" s="1"/>
    </row>
    <row r="178" spans="1:5" x14ac:dyDescent="0.25">
      <c r="A178" s="1"/>
      <c r="B178" s="2"/>
      <c r="C178" s="1"/>
      <c r="D178" s="1"/>
      <c r="E178" s="1"/>
    </row>
    <row r="179" spans="1:5" x14ac:dyDescent="0.25">
      <c r="A179" s="1"/>
      <c r="B179" s="2"/>
      <c r="C179" s="1"/>
      <c r="D179" s="1"/>
      <c r="E179" s="1"/>
    </row>
    <row r="180" spans="1:5" x14ac:dyDescent="0.25">
      <c r="A180" s="1"/>
      <c r="B180" s="2"/>
      <c r="C180" s="1"/>
      <c r="D180" s="1"/>
      <c r="E180" s="1"/>
    </row>
    <row r="181" spans="1:5" x14ac:dyDescent="0.25">
      <c r="A181" s="1"/>
      <c r="B181" s="2"/>
      <c r="C181" s="1"/>
      <c r="D181" s="1"/>
      <c r="E181" s="1"/>
    </row>
    <row r="182" spans="1:5" x14ac:dyDescent="0.25">
      <c r="A182" s="1"/>
      <c r="B182" s="2"/>
      <c r="C182" s="1"/>
      <c r="D182" s="1"/>
      <c r="E182" s="1"/>
    </row>
    <row r="183" spans="1:5" x14ac:dyDescent="0.25">
      <c r="A183" s="1"/>
      <c r="B183" s="2"/>
      <c r="C183" s="1"/>
      <c r="D183" s="1"/>
      <c r="E183" s="1"/>
    </row>
    <row r="184" spans="1:5" x14ac:dyDescent="0.25">
      <c r="A184" s="1"/>
      <c r="B184" s="2"/>
      <c r="C184" s="1"/>
      <c r="D184" s="1"/>
      <c r="E184" s="1"/>
    </row>
    <row r="185" spans="1:5" x14ac:dyDescent="0.25">
      <c r="A185" s="1"/>
      <c r="B185" s="2"/>
      <c r="C185" s="1"/>
      <c r="D185" s="1"/>
      <c r="E185" s="1"/>
    </row>
    <row r="186" spans="1:5" x14ac:dyDescent="0.25">
      <c r="A186" s="1"/>
      <c r="B186" s="2"/>
      <c r="C186" s="1"/>
      <c r="D186" s="1"/>
      <c r="E186" s="1"/>
    </row>
    <row r="187" spans="1:5" x14ac:dyDescent="0.25">
      <c r="A187" s="1"/>
      <c r="B187" s="2"/>
      <c r="C187" s="1"/>
      <c r="D187" s="1"/>
      <c r="E187" s="1"/>
    </row>
    <row r="188" spans="1:5" x14ac:dyDescent="0.25">
      <c r="A188" s="1"/>
      <c r="B188" s="2"/>
      <c r="C188" s="1"/>
      <c r="D188" s="1"/>
      <c r="E188" s="1"/>
    </row>
    <row r="189" spans="1:5" x14ac:dyDescent="0.25">
      <c r="A189" s="1"/>
      <c r="B189" s="2"/>
      <c r="C189" s="1"/>
      <c r="D189" s="1"/>
      <c r="E189" s="1"/>
    </row>
    <row r="190" spans="1:5" x14ac:dyDescent="0.25">
      <c r="A190" s="1"/>
      <c r="B190" s="2"/>
      <c r="C190" s="1"/>
      <c r="D190" s="1"/>
      <c r="E190" s="1"/>
    </row>
    <row r="191" spans="1:5" x14ac:dyDescent="0.25">
      <c r="A191" s="1"/>
      <c r="B191" s="2"/>
      <c r="C191" s="1"/>
      <c r="D191" s="1"/>
      <c r="E191" s="1"/>
    </row>
    <row r="192" spans="1:5" x14ac:dyDescent="0.25">
      <c r="A192" s="1"/>
      <c r="B192" s="2"/>
      <c r="C192" s="1"/>
      <c r="D192" s="1"/>
      <c r="E192" s="1"/>
    </row>
    <row r="193" spans="1:5" x14ac:dyDescent="0.25">
      <c r="A193" s="1"/>
      <c r="B193" s="2"/>
      <c r="C193" s="1"/>
      <c r="D193" s="1"/>
      <c r="E193" s="1"/>
    </row>
    <row r="194" spans="1:5" x14ac:dyDescent="0.25">
      <c r="A194" s="1"/>
      <c r="B194" s="2"/>
      <c r="C194" s="1"/>
      <c r="D194" s="1"/>
      <c r="E194" s="1"/>
    </row>
    <row r="195" spans="1:5" x14ac:dyDescent="0.25">
      <c r="A195" s="1"/>
      <c r="B195" s="2"/>
      <c r="C195" s="1"/>
      <c r="D195" s="1"/>
      <c r="E195" s="1"/>
    </row>
    <row r="196" spans="1:5" x14ac:dyDescent="0.25">
      <c r="A196" s="1"/>
      <c r="B196" s="2"/>
      <c r="C196" s="1"/>
      <c r="D196" s="1"/>
      <c r="E196" s="1"/>
    </row>
    <row r="197" spans="1:5" x14ac:dyDescent="0.25">
      <c r="A197" s="1"/>
      <c r="B197" s="2"/>
      <c r="C197" s="1"/>
      <c r="D197" s="1"/>
      <c r="E197" s="1"/>
    </row>
    <row r="198" spans="1:5" x14ac:dyDescent="0.25">
      <c r="A198" s="1"/>
      <c r="B198" s="2"/>
      <c r="C198" s="1"/>
      <c r="D198" s="1"/>
      <c r="E198" s="1"/>
    </row>
    <row r="199" spans="1:5" x14ac:dyDescent="0.25">
      <c r="A199" s="1"/>
      <c r="B199" s="2"/>
      <c r="C199" s="1"/>
      <c r="D199" s="1"/>
      <c r="E199" s="1"/>
    </row>
    <row r="200" spans="1:5" x14ac:dyDescent="0.25">
      <c r="A200" s="1"/>
      <c r="B200" s="2"/>
      <c r="C200" s="1"/>
      <c r="D200" s="1"/>
      <c r="E200" s="1"/>
    </row>
    <row r="201" spans="1:5" x14ac:dyDescent="0.25">
      <c r="A201" s="1"/>
      <c r="B201" s="2"/>
      <c r="C201" s="1"/>
      <c r="D201" s="1"/>
      <c r="E201" s="1"/>
    </row>
    <row r="202" spans="1:5" x14ac:dyDescent="0.25">
      <c r="A202" s="1"/>
      <c r="B202" s="2"/>
      <c r="C202" s="1"/>
      <c r="D202" s="1"/>
      <c r="E202" s="1"/>
    </row>
    <row r="203" spans="1:5" x14ac:dyDescent="0.25">
      <c r="A203" s="1"/>
      <c r="B203" s="2"/>
      <c r="C203" s="1"/>
      <c r="D203" s="1"/>
      <c r="E203" s="1"/>
    </row>
    <row r="204" spans="1:5" x14ac:dyDescent="0.25">
      <c r="A204" s="1"/>
      <c r="B204" s="2"/>
      <c r="C204" s="1"/>
      <c r="D204" s="1"/>
      <c r="E204" s="1"/>
    </row>
    <row r="205" spans="1:5" x14ac:dyDescent="0.25">
      <c r="A205" s="1"/>
      <c r="B205" s="2"/>
      <c r="C205" s="1"/>
      <c r="D205" s="1"/>
      <c r="E205" s="1"/>
    </row>
    <row r="206" spans="1:5" x14ac:dyDescent="0.25">
      <c r="A206" s="1"/>
      <c r="B206" s="2"/>
      <c r="C206" s="1"/>
      <c r="D206" s="1"/>
      <c r="E206" s="1"/>
    </row>
    <row r="207" spans="1:5" x14ac:dyDescent="0.25">
      <c r="A207" s="1"/>
      <c r="B207" s="2"/>
      <c r="C207" s="1"/>
      <c r="D207" s="1"/>
      <c r="E207" s="1"/>
    </row>
    <row r="208" spans="1:5" x14ac:dyDescent="0.25">
      <c r="A208" s="1"/>
      <c r="B208" s="2"/>
      <c r="C208" s="1"/>
      <c r="D208" s="1"/>
      <c r="E208" s="1"/>
    </row>
    <row r="209" spans="1:5" x14ac:dyDescent="0.25">
      <c r="A209" s="1"/>
      <c r="B209" s="2"/>
      <c r="C209" s="1"/>
      <c r="D209" s="1"/>
      <c r="E209" s="1"/>
    </row>
    <row r="210" spans="1:5" x14ac:dyDescent="0.25">
      <c r="A210" s="1"/>
      <c r="B210" s="2"/>
      <c r="C210" s="1"/>
      <c r="D210" s="1"/>
      <c r="E210" s="1"/>
    </row>
    <row r="211" spans="1:5" x14ac:dyDescent="0.25">
      <c r="A211" s="1"/>
      <c r="B211" s="2"/>
      <c r="C211" s="1"/>
      <c r="D211" s="1"/>
      <c r="E211" s="1"/>
    </row>
    <row r="212" spans="1:5" x14ac:dyDescent="0.25">
      <c r="A212" s="1"/>
      <c r="B212" s="2"/>
      <c r="C212" s="1"/>
      <c r="D212" s="1"/>
      <c r="E212" s="1"/>
    </row>
    <row r="213" spans="1:5" x14ac:dyDescent="0.25">
      <c r="A213" s="1"/>
      <c r="B213" s="2"/>
      <c r="C213" s="1"/>
      <c r="D213" s="1"/>
      <c r="E213" s="1"/>
    </row>
    <row r="214" spans="1:5" x14ac:dyDescent="0.25">
      <c r="A214" s="1"/>
      <c r="B214" s="2"/>
      <c r="C214" s="1"/>
      <c r="D214" s="1"/>
      <c r="E214" s="1"/>
    </row>
    <row r="215" spans="1:5" x14ac:dyDescent="0.25">
      <c r="A215" s="1"/>
      <c r="B215" s="2"/>
      <c r="C215" s="1"/>
      <c r="D215" s="1"/>
      <c r="E215" s="1"/>
    </row>
    <row r="216" spans="1:5" x14ac:dyDescent="0.25">
      <c r="A216" s="1"/>
      <c r="B216" s="2"/>
      <c r="C216" s="1"/>
      <c r="D216" s="1"/>
      <c r="E216" s="1"/>
    </row>
    <row r="217" spans="1:5" x14ac:dyDescent="0.25">
      <c r="A217" s="1"/>
      <c r="B217" s="2"/>
      <c r="C217" s="1"/>
      <c r="D217" s="1"/>
      <c r="E217" s="1"/>
    </row>
    <row r="218" spans="1:5" x14ac:dyDescent="0.25">
      <c r="A218" s="1"/>
      <c r="B218" s="2"/>
      <c r="C218" s="1"/>
      <c r="D218" s="1"/>
      <c r="E218" s="1"/>
    </row>
    <row r="219" spans="1:5" x14ac:dyDescent="0.25">
      <c r="A219" s="1"/>
      <c r="B219" s="2"/>
      <c r="C219" s="1"/>
      <c r="D219" s="1"/>
      <c r="E219" s="1"/>
    </row>
    <row r="220" spans="1:5" x14ac:dyDescent="0.25">
      <c r="A220" s="1"/>
      <c r="B220" s="2"/>
      <c r="C220" s="1"/>
      <c r="D220" s="1"/>
      <c r="E220" s="1"/>
    </row>
    <row r="221" spans="1:5" x14ac:dyDescent="0.25">
      <c r="A221" s="1"/>
      <c r="B221" s="2"/>
      <c r="C221" s="1"/>
      <c r="D221" s="1"/>
      <c r="E221" s="1"/>
    </row>
    <row r="222" spans="1:5" x14ac:dyDescent="0.25">
      <c r="A222" s="1"/>
      <c r="B222" s="2"/>
      <c r="C222" s="1"/>
      <c r="D222" s="1"/>
      <c r="E222" s="1"/>
    </row>
    <row r="223" spans="1:5" x14ac:dyDescent="0.25">
      <c r="A223" s="1"/>
      <c r="B223" s="2"/>
      <c r="C223" s="1"/>
      <c r="D223" s="1"/>
      <c r="E223" s="1"/>
    </row>
    <row r="224" spans="1:5" x14ac:dyDescent="0.25">
      <c r="A224" s="1"/>
      <c r="B224" s="2"/>
      <c r="C224" s="1"/>
      <c r="D224" s="1"/>
      <c r="E224" s="1"/>
    </row>
    <row r="225" spans="1:5" x14ac:dyDescent="0.25">
      <c r="A225" s="1"/>
      <c r="B225" s="2"/>
      <c r="C225" s="1"/>
      <c r="D225" s="1"/>
      <c r="E225" s="1"/>
    </row>
    <row r="226" spans="1:5" x14ac:dyDescent="0.25">
      <c r="A226" s="1"/>
      <c r="B226" s="2"/>
      <c r="C226" s="1"/>
      <c r="D226" s="1"/>
      <c r="E226" s="1"/>
    </row>
    <row r="227" spans="1:5" x14ac:dyDescent="0.25">
      <c r="A227" s="1"/>
      <c r="B227" s="2"/>
      <c r="C227" s="1"/>
      <c r="D227" s="1"/>
      <c r="E227" s="1"/>
    </row>
    <row r="228" spans="1:5" x14ac:dyDescent="0.25">
      <c r="A228" s="1"/>
      <c r="B228" s="2"/>
      <c r="C228" s="1"/>
      <c r="D228" s="1"/>
      <c r="E228" s="1"/>
    </row>
    <row r="229" spans="1:5" x14ac:dyDescent="0.25">
      <c r="A229" s="1"/>
      <c r="B229" s="2"/>
      <c r="C229" s="1"/>
      <c r="D229" s="1"/>
      <c r="E229" s="1"/>
    </row>
    <row r="230" spans="1:5" x14ac:dyDescent="0.25">
      <c r="A230" s="1"/>
      <c r="B230" s="2"/>
      <c r="C230" s="1"/>
      <c r="D230" s="1"/>
      <c r="E230" s="1"/>
    </row>
    <row r="231" spans="1:5" x14ac:dyDescent="0.25">
      <c r="A231" s="1"/>
      <c r="B231" s="2"/>
      <c r="C231" s="1"/>
      <c r="D231" s="1"/>
      <c r="E231" s="1"/>
    </row>
    <row r="232" spans="1:5" x14ac:dyDescent="0.25">
      <c r="A232" s="1"/>
      <c r="B232" s="2"/>
      <c r="C232" s="1"/>
      <c r="D232" s="1"/>
      <c r="E232" s="1"/>
    </row>
    <row r="233" spans="1:5" x14ac:dyDescent="0.25">
      <c r="A233" s="1"/>
      <c r="B233" s="2"/>
      <c r="C233" s="1"/>
      <c r="D233" s="1"/>
      <c r="E233" s="1"/>
    </row>
    <row r="234" spans="1:5" x14ac:dyDescent="0.25">
      <c r="A234" s="1"/>
      <c r="B234" s="2"/>
      <c r="C234" s="1"/>
      <c r="D234" s="1"/>
      <c r="E234" s="1"/>
    </row>
    <row r="235" spans="1:5" x14ac:dyDescent="0.25">
      <c r="A235" s="1"/>
      <c r="B235" s="2"/>
      <c r="C235" s="1"/>
      <c r="D235" s="1"/>
      <c r="E235" s="1"/>
    </row>
    <row r="236" spans="1:5" x14ac:dyDescent="0.25">
      <c r="A236" s="1"/>
      <c r="B236" s="2"/>
      <c r="C236" s="1"/>
      <c r="D236" s="1"/>
      <c r="E236" s="1"/>
    </row>
    <row r="237" spans="1:5" x14ac:dyDescent="0.25">
      <c r="A237" s="1"/>
      <c r="B237" s="2"/>
      <c r="C237" s="1"/>
      <c r="D237" s="1"/>
      <c r="E237" s="1"/>
    </row>
    <row r="238" spans="1:5" x14ac:dyDescent="0.25">
      <c r="A238" s="1"/>
      <c r="B238" s="2"/>
      <c r="C238" s="1"/>
      <c r="D238" s="1"/>
      <c r="E238" s="1"/>
    </row>
    <row r="239" spans="1:5" x14ac:dyDescent="0.25">
      <c r="A239" s="1"/>
      <c r="B239" s="2"/>
      <c r="C239" s="1"/>
      <c r="D239" s="1"/>
      <c r="E239" s="1"/>
    </row>
    <row r="240" spans="1:5" x14ac:dyDescent="0.25">
      <c r="A240" s="1"/>
      <c r="B240" s="2"/>
      <c r="C240" s="1"/>
      <c r="D240" s="1"/>
      <c r="E240" s="1"/>
    </row>
    <row r="241" spans="1:5" x14ac:dyDescent="0.25">
      <c r="A241" s="1"/>
      <c r="B241" s="2"/>
      <c r="C241" s="1"/>
      <c r="D241" s="1"/>
      <c r="E241" s="1"/>
    </row>
    <row r="242" spans="1:5" x14ac:dyDescent="0.25">
      <c r="A242" s="1"/>
      <c r="B242" s="2"/>
      <c r="C242" s="1"/>
      <c r="D242" s="1"/>
      <c r="E242" s="1"/>
    </row>
    <row r="243" spans="1:5" x14ac:dyDescent="0.25">
      <c r="A243" s="1"/>
      <c r="B243" s="2"/>
      <c r="C243" s="1"/>
      <c r="D243" s="1"/>
      <c r="E243" s="1"/>
    </row>
    <row r="244" spans="1:5" x14ac:dyDescent="0.25">
      <c r="A244" s="1"/>
      <c r="B244" s="2"/>
      <c r="C244" s="1"/>
      <c r="D244" s="1"/>
      <c r="E244" s="1"/>
    </row>
    <row r="245" spans="1:5" x14ac:dyDescent="0.25">
      <c r="A245" s="1"/>
      <c r="B245" s="2"/>
      <c r="C245" s="1"/>
      <c r="D245" s="1"/>
      <c r="E245" s="1"/>
    </row>
    <row r="246" spans="1:5" x14ac:dyDescent="0.25">
      <c r="A246" s="1"/>
      <c r="B246" s="2"/>
      <c r="C246" s="1"/>
      <c r="D246" s="1"/>
      <c r="E246" s="1"/>
    </row>
    <row r="247" spans="1:5" x14ac:dyDescent="0.25">
      <c r="A247" s="1"/>
      <c r="B247" s="2"/>
      <c r="C247" s="1"/>
      <c r="D247" s="1"/>
      <c r="E247" s="1"/>
    </row>
    <row r="248" spans="1:5" x14ac:dyDescent="0.25">
      <c r="A248" s="1"/>
      <c r="B248" s="2"/>
      <c r="C248" s="1"/>
      <c r="D248" s="1"/>
      <c r="E248" s="1"/>
    </row>
    <row r="249" spans="1:5" x14ac:dyDescent="0.25">
      <c r="A249" s="1"/>
      <c r="B249" s="2"/>
      <c r="C249" s="1"/>
      <c r="D249" s="1"/>
      <c r="E249" s="1"/>
    </row>
    <row r="250" spans="1:5" x14ac:dyDescent="0.25">
      <c r="A250" s="1"/>
      <c r="B250" s="2"/>
      <c r="C250" s="1"/>
      <c r="D250" s="1"/>
      <c r="E250" s="1"/>
    </row>
    <row r="251" spans="1:5" x14ac:dyDescent="0.25">
      <c r="A251" s="1"/>
      <c r="B251" s="2"/>
      <c r="C251" s="1"/>
      <c r="D251" s="1"/>
      <c r="E251" s="1"/>
    </row>
    <row r="252" spans="1:5" x14ac:dyDescent="0.25">
      <c r="A252" s="1"/>
      <c r="B252" s="2"/>
      <c r="C252" s="1"/>
      <c r="D252" s="1"/>
      <c r="E252" s="1"/>
    </row>
    <row r="253" spans="1:5" x14ac:dyDescent="0.25">
      <c r="A253" s="1"/>
      <c r="B253" s="2"/>
      <c r="C253" s="1"/>
      <c r="D253" s="1"/>
      <c r="E253" s="1"/>
    </row>
    <row r="254" spans="1:5" x14ac:dyDescent="0.25">
      <c r="A254" s="1"/>
      <c r="B254" s="2"/>
      <c r="C254" s="1"/>
      <c r="D254" s="1"/>
      <c r="E254" s="1"/>
    </row>
    <row r="255" spans="1:5" x14ac:dyDescent="0.25">
      <c r="A255" s="1"/>
      <c r="B255" s="2"/>
      <c r="C255" s="1"/>
      <c r="D255" s="1"/>
      <c r="E255" s="1"/>
    </row>
    <row r="256" spans="1:5" x14ac:dyDescent="0.25">
      <c r="A256" s="1"/>
      <c r="B256" s="2"/>
      <c r="C256" s="1"/>
      <c r="D256" s="1"/>
      <c r="E256" s="1"/>
    </row>
    <row r="257" spans="1:5" x14ac:dyDescent="0.25">
      <c r="A257" s="1"/>
      <c r="B257" s="2"/>
      <c r="C257" s="1"/>
      <c r="D257" s="1"/>
      <c r="E257" s="1"/>
    </row>
    <row r="258" spans="1:5" x14ac:dyDescent="0.25">
      <c r="A258" s="1"/>
      <c r="B258" s="2"/>
      <c r="C258" s="1"/>
      <c r="D258" s="1"/>
      <c r="E258" s="1"/>
    </row>
    <row r="259" spans="1:5" x14ac:dyDescent="0.25">
      <c r="A259" s="1"/>
      <c r="B259" s="2"/>
      <c r="C259" s="1"/>
      <c r="D259" s="1"/>
      <c r="E259" s="1"/>
    </row>
    <row r="260" spans="1:5" x14ac:dyDescent="0.25">
      <c r="A260" s="1"/>
      <c r="B260" s="2"/>
      <c r="C260" s="1"/>
      <c r="D260" s="1"/>
      <c r="E260" s="1"/>
    </row>
    <row r="261" spans="1:5" x14ac:dyDescent="0.25">
      <c r="A261" s="1"/>
      <c r="B261" s="2"/>
      <c r="C261" s="1"/>
      <c r="D261" s="1"/>
      <c r="E261" s="1"/>
    </row>
    <row r="262" spans="1:5" x14ac:dyDescent="0.25">
      <c r="A262" s="1"/>
      <c r="B262" s="2"/>
      <c r="C262" s="1"/>
      <c r="D262" s="1"/>
      <c r="E262" s="1"/>
    </row>
    <row r="263" spans="1:5" x14ac:dyDescent="0.25">
      <c r="A263" s="1"/>
      <c r="B263" s="2"/>
      <c r="C263" s="1"/>
      <c r="D263" s="1"/>
      <c r="E263" s="1"/>
    </row>
    <row r="264" spans="1:5" x14ac:dyDescent="0.25">
      <c r="A264" s="1"/>
      <c r="B264" s="2"/>
      <c r="C264" s="1"/>
      <c r="D264" s="1"/>
      <c r="E264" s="1"/>
    </row>
    <row r="265" spans="1:5" x14ac:dyDescent="0.25">
      <c r="A265" s="1"/>
      <c r="B265" s="2"/>
      <c r="C265" s="1"/>
      <c r="D265" s="1"/>
      <c r="E265" s="1"/>
    </row>
    <row r="266" spans="1:5" x14ac:dyDescent="0.25">
      <c r="A266" s="1"/>
      <c r="B266" s="2"/>
      <c r="C266" s="1"/>
      <c r="D266" s="1"/>
      <c r="E266" s="1"/>
    </row>
    <row r="267" spans="1:5" x14ac:dyDescent="0.25">
      <c r="A267" s="1"/>
      <c r="B267" s="2"/>
      <c r="C267" s="1"/>
      <c r="D267" s="1"/>
      <c r="E267" s="1"/>
    </row>
    <row r="268" spans="1:5" x14ac:dyDescent="0.25">
      <c r="A268" s="1"/>
      <c r="B268" s="2"/>
      <c r="C268" s="1"/>
      <c r="D268" s="1"/>
      <c r="E268" s="1"/>
    </row>
    <row r="269" spans="1:5" x14ac:dyDescent="0.25">
      <c r="A269" s="1"/>
      <c r="B269" s="2"/>
      <c r="C269" s="1"/>
      <c r="D269" s="1"/>
      <c r="E269" s="1"/>
    </row>
    <row r="270" spans="1:5" x14ac:dyDescent="0.25">
      <c r="A270" s="1"/>
      <c r="B270" s="2"/>
      <c r="C270" s="1"/>
      <c r="D270" s="1"/>
      <c r="E270" s="1"/>
    </row>
    <row r="271" spans="1:5" x14ac:dyDescent="0.25">
      <c r="A271" s="1"/>
      <c r="B271" s="2"/>
      <c r="C271" s="1"/>
      <c r="D271" s="1"/>
      <c r="E271" s="1"/>
    </row>
    <row r="272" spans="1:5" x14ac:dyDescent="0.25">
      <c r="A272" s="1"/>
      <c r="B272" s="2"/>
      <c r="C272" s="1"/>
      <c r="D272" s="1"/>
      <c r="E272" s="1"/>
    </row>
    <row r="273" spans="1:5" x14ac:dyDescent="0.25">
      <c r="A273" s="1"/>
      <c r="B273" s="2"/>
      <c r="C273" s="1"/>
      <c r="D273" s="1"/>
      <c r="E273" s="1"/>
    </row>
    <row r="274" spans="1:5" x14ac:dyDescent="0.25">
      <c r="A274" s="1"/>
      <c r="B274" s="2"/>
      <c r="C274" s="1"/>
      <c r="D274" s="1"/>
      <c r="E274" s="1"/>
    </row>
    <row r="275" spans="1:5" x14ac:dyDescent="0.25">
      <c r="A275" s="1"/>
      <c r="B275" s="2"/>
      <c r="C275" s="1"/>
      <c r="D275" s="1"/>
      <c r="E275" s="1"/>
    </row>
    <row r="276" spans="1:5" x14ac:dyDescent="0.25">
      <c r="A276" s="1"/>
      <c r="B276" s="2"/>
      <c r="C276" s="1"/>
      <c r="D276" s="1"/>
      <c r="E276" s="1"/>
    </row>
    <row r="277" spans="1:5" x14ac:dyDescent="0.25">
      <c r="A277" s="1"/>
      <c r="B277" s="2"/>
      <c r="C277" s="1"/>
      <c r="D277" s="1"/>
      <c r="E277" s="1"/>
    </row>
    <row r="278" spans="1:5" x14ac:dyDescent="0.25">
      <c r="A278" s="1"/>
      <c r="B278" s="2"/>
      <c r="C278" s="1"/>
      <c r="D278" s="1"/>
      <c r="E278" s="1"/>
    </row>
    <row r="279" spans="1:5" x14ac:dyDescent="0.25">
      <c r="A279" s="1"/>
      <c r="B279" s="2"/>
      <c r="C279" s="1"/>
      <c r="D279" s="1"/>
      <c r="E279" s="1"/>
    </row>
    <row r="280" spans="1:5" x14ac:dyDescent="0.25">
      <c r="A280" s="1"/>
      <c r="B280" s="2"/>
      <c r="C280" s="1"/>
      <c r="D280" s="1"/>
      <c r="E280" s="1"/>
    </row>
    <row r="281" spans="1:5" x14ac:dyDescent="0.25">
      <c r="A281" s="1"/>
      <c r="B281" s="2"/>
      <c r="C281" s="1"/>
      <c r="D281" s="1"/>
      <c r="E281" s="1"/>
    </row>
    <row r="282" spans="1:5" x14ac:dyDescent="0.25">
      <c r="A282" s="1"/>
      <c r="B282" s="2"/>
      <c r="C282" s="1"/>
      <c r="D282" s="1"/>
      <c r="E282" s="1"/>
    </row>
    <row r="283" spans="1:5" x14ac:dyDescent="0.25">
      <c r="A283" s="1"/>
      <c r="B283" s="2"/>
      <c r="C283" s="1"/>
      <c r="D283" s="1"/>
      <c r="E283" s="1"/>
    </row>
    <row r="284" spans="1:5" x14ac:dyDescent="0.25">
      <c r="A284" s="1"/>
      <c r="B284" s="2"/>
      <c r="C284" s="1"/>
      <c r="D284" s="1"/>
      <c r="E284" s="1"/>
    </row>
    <row r="285" spans="1:5" x14ac:dyDescent="0.25">
      <c r="A285" s="1"/>
      <c r="B285" s="2"/>
      <c r="C285" s="1"/>
      <c r="D285" s="1"/>
      <c r="E285" s="1"/>
    </row>
    <row r="286" spans="1:5" x14ac:dyDescent="0.25">
      <c r="A286" s="1"/>
      <c r="B286" s="2"/>
      <c r="C286" s="1"/>
      <c r="D286" s="1"/>
      <c r="E286" s="1"/>
    </row>
    <row r="287" spans="1:5" x14ac:dyDescent="0.25">
      <c r="A287" s="1"/>
      <c r="B287" s="2"/>
      <c r="C287" s="1"/>
      <c r="D287" s="1"/>
      <c r="E287" s="1"/>
    </row>
    <row r="288" spans="1:5" x14ac:dyDescent="0.25">
      <c r="A288" s="1"/>
      <c r="B288" s="2"/>
      <c r="C288" s="1"/>
      <c r="D288" s="1"/>
      <c r="E288" s="1"/>
    </row>
    <row r="289" spans="1:5" x14ac:dyDescent="0.25">
      <c r="A289" s="1"/>
      <c r="B289" s="2"/>
      <c r="C289" s="1"/>
      <c r="D289" s="1"/>
      <c r="E289" s="1"/>
    </row>
    <row r="290" spans="1:5" x14ac:dyDescent="0.25">
      <c r="A290" s="1"/>
      <c r="B290" s="2"/>
      <c r="C290" s="1"/>
      <c r="D290" s="1"/>
      <c r="E290" s="1"/>
    </row>
    <row r="291" spans="1:5" x14ac:dyDescent="0.25">
      <c r="A291" s="1"/>
      <c r="B291" s="2"/>
      <c r="C291" s="1"/>
      <c r="D291" s="1"/>
      <c r="E291" s="1"/>
    </row>
    <row r="292" spans="1:5" x14ac:dyDescent="0.25">
      <c r="A292" s="1"/>
      <c r="B292" s="2"/>
      <c r="C292" s="1"/>
      <c r="D292" s="1"/>
      <c r="E292" s="1"/>
    </row>
    <row r="293" spans="1:5" x14ac:dyDescent="0.25">
      <c r="A293" s="1"/>
      <c r="B293" s="2"/>
      <c r="C293" s="1"/>
      <c r="D293" s="1"/>
      <c r="E293" s="1"/>
    </row>
    <row r="294" spans="1:5" x14ac:dyDescent="0.25">
      <c r="A294" s="1"/>
      <c r="B294" s="2"/>
      <c r="C294" s="1"/>
      <c r="D294" s="1"/>
      <c r="E294" s="1"/>
    </row>
    <row r="295" spans="1:5" x14ac:dyDescent="0.25">
      <c r="A295" s="1"/>
      <c r="B295" s="2"/>
      <c r="C295" s="1"/>
      <c r="D295" s="1"/>
      <c r="E295" s="1"/>
    </row>
    <row r="296" spans="1:5" x14ac:dyDescent="0.25">
      <c r="A296" s="1"/>
      <c r="B296" s="2"/>
      <c r="C296" s="1"/>
      <c r="D296" s="1"/>
      <c r="E296" s="1"/>
    </row>
    <row r="297" spans="1:5" x14ac:dyDescent="0.25">
      <c r="A297" s="1"/>
      <c r="B297" s="2"/>
      <c r="C297" s="1"/>
      <c r="D297" s="1"/>
      <c r="E297" s="1"/>
    </row>
    <row r="298" spans="1:5" x14ac:dyDescent="0.25">
      <c r="A298" s="1"/>
      <c r="B298" s="2"/>
      <c r="C298" s="1"/>
      <c r="D298" s="1"/>
      <c r="E298" s="1"/>
    </row>
    <row r="299" spans="1:5" x14ac:dyDescent="0.25">
      <c r="A299" s="1"/>
      <c r="B299" s="2"/>
      <c r="C299" s="1"/>
      <c r="D299" s="1"/>
      <c r="E299" s="1"/>
    </row>
    <row r="300" spans="1:5" x14ac:dyDescent="0.25">
      <c r="A300" s="1"/>
      <c r="B300" s="2"/>
      <c r="C300" s="1"/>
      <c r="D300" s="1"/>
      <c r="E300" s="1"/>
    </row>
    <row r="301" spans="1:5" x14ac:dyDescent="0.25">
      <c r="A301" s="1"/>
      <c r="B301" s="2"/>
      <c r="C301" s="1"/>
      <c r="D301" s="1"/>
      <c r="E301" s="1"/>
    </row>
    <row r="302" spans="1:5" x14ac:dyDescent="0.25">
      <c r="A302" s="1"/>
      <c r="B302" s="2"/>
      <c r="C302" s="1"/>
      <c r="D302" s="1"/>
      <c r="E302" s="1"/>
    </row>
    <row r="303" spans="1:5" x14ac:dyDescent="0.25">
      <c r="A303" s="1"/>
      <c r="B303" s="2"/>
      <c r="C303" s="1"/>
      <c r="D303" s="1"/>
      <c r="E303" s="1"/>
    </row>
    <row r="304" spans="1:5" x14ac:dyDescent="0.25">
      <c r="A304" s="1"/>
      <c r="B304" s="2"/>
      <c r="C304" s="1"/>
      <c r="D304" s="1"/>
      <c r="E304" s="1"/>
    </row>
    <row r="305" spans="1:5" x14ac:dyDescent="0.25">
      <c r="A305" s="1"/>
      <c r="B305" s="2"/>
      <c r="C305" s="1"/>
      <c r="D305" s="1"/>
      <c r="E305" s="1"/>
    </row>
    <row r="306" spans="1:5" x14ac:dyDescent="0.25">
      <c r="A306" s="1"/>
      <c r="B306" s="2"/>
      <c r="C306" s="1"/>
      <c r="D306" s="1"/>
      <c r="E306" s="1"/>
    </row>
    <row r="307" spans="1:5" x14ac:dyDescent="0.25">
      <c r="A307" s="1"/>
      <c r="B307" s="2"/>
      <c r="C307" s="1"/>
      <c r="D307" s="1"/>
      <c r="E307" s="1"/>
    </row>
    <row r="308" spans="1:5" x14ac:dyDescent="0.25">
      <c r="A308" s="1"/>
      <c r="B308" s="2"/>
      <c r="C308" s="1"/>
      <c r="D308" s="1"/>
      <c r="E308" s="1"/>
    </row>
    <row r="309" spans="1:5" x14ac:dyDescent="0.25">
      <c r="A309" s="1"/>
      <c r="B309" s="2"/>
      <c r="C309" s="1"/>
      <c r="D309" s="1"/>
      <c r="E309" s="1"/>
    </row>
    <row r="310" spans="1:5" x14ac:dyDescent="0.25">
      <c r="A310" s="1"/>
      <c r="B310" s="2"/>
      <c r="C310" s="1"/>
      <c r="D310" s="1"/>
      <c r="E310" s="1"/>
    </row>
    <row r="311" spans="1:5" x14ac:dyDescent="0.25">
      <c r="A311" s="1"/>
      <c r="B311" s="2"/>
      <c r="C311" s="1"/>
      <c r="D311" s="1"/>
      <c r="E311" s="1"/>
    </row>
    <row r="312" spans="1:5" x14ac:dyDescent="0.25">
      <c r="A312" s="1"/>
      <c r="B312" s="2"/>
      <c r="C312" s="1"/>
      <c r="D312" s="1"/>
      <c r="E312" s="1"/>
    </row>
    <row r="313" spans="1:5" x14ac:dyDescent="0.25">
      <c r="A313" s="1"/>
      <c r="B313" s="2"/>
      <c r="C313" s="1"/>
      <c r="D313" s="1"/>
      <c r="E313" s="1"/>
    </row>
    <row r="314" spans="1:5" x14ac:dyDescent="0.25">
      <c r="A314" s="1"/>
      <c r="B314" s="2"/>
      <c r="C314" s="1"/>
      <c r="D314" s="1"/>
      <c r="E314" s="1"/>
    </row>
    <row r="315" spans="1:5" x14ac:dyDescent="0.25">
      <c r="A315" s="1"/>
      <c r="B315" s="2"/>
      <c r="C315" s="1"/>
      <c r="D315" s="1"/>
      <c r="E315" s="1"/>
    </row>
    <row r="316" spans="1:5" x14ac:dyDescent="0.25">
      <c r="A316" s="1"/>
      <c r="B316" s="2"/>
      <c r="C316" s="1"/>
      <c r="D316" s="1"/>
      <c r="E316" s="1"/>
    </row>
    <row r="317" spans="1:5" x14ac:dyDescent="0.25">
      <c r="A317" s="1"/>
      <c r="B317" s="2"/>
      <c r="C317" s="1"/>
      <c r="D317" s="1"/>
      <c r="E317" s="1"/>
    </row>
    <row r="318" spans="1:5" x14ac:dyDescent="0.25">
      <c r="A318" s="1"/>
      <c r="B318" s="2"/>
      <c r="C318" s="1"/>
      <c r="D318" s="1"/>
      <c r="E318" s="1"/>
    </row>
    <row r="319" spans="1:5" x14ac:dyDescent="0.25">
      <c r="A319" s="1"/>
      <c r="B319" s="2"/>
      <c r="C319" s="1"/>
      <c r="D319" s="1"/>
      <c r="E319" s="1"/>
    </row>
    <row r="320" spans="1:5" x14ac:dyDescent="0.25">
      <c r="A320" s="1"/>
      <c r="B320" s="2"/>
      <c r="C320" s="1"/>
      <c r="D320" s="1"/>
      <c r="E320" s="1"/>
    </row>
    <row r="321" spans="1:5" x14ac:dyDescent="0.25">
      <c r="A321" s="1"/>
      <c r="B321" s="2"/>
      <c r="C321" s="1"/>
      <c r="D321" s="1"/>
      <c r="E321" s="1"/>
    </row>
    <row r="322" spans="1:5" x14ac:dyDescent="0.25">
      <c r="A322" s="1"/>
      <c r="B322" s="2"/>
      <c r="C322" s="1"/>
      <c r="D322" s="1"/>
      <c r="E322" s="1"/>
    </row>
    <row r="323" spans="1:5" x14ac:dyDescent="0.25">
      <c r="A323" s="1"/>
      <c r="B323" s="2"/>
      <c r="C323" s="1"/>
      <c r="D323" s="1"/>
      <c r="E323" s="1"/>
    </row>
    <row r="324" spans="1:5" x14ac:dyDescent="0.25">
      <c r="A324" s="1"/>
      <c r="B324" s="2"/>
      <c r="C324" s="1"/>
      <c r="D324" s="1"/>
      <c r="E324" s="1"/>
    </row>
    <row r="325" spans="1:5" x14ac:dyDescent="0.25">
      <c r="A325" s="1"/>
      <c r="B325" s="2"/>
      <c r="C325" s="1"/>
      <c r="D325" s="1"/>
      <c r="E325" s="1"/>
    </row>
    <row r="326" spans="1:5" x14ac:dyDescent="0.25">
      <c r="A326" s="1"/>
      <c r="B326" s="2"/>
      <c r="C326" s="1"/>
      <c r="D326" s="1"/>
      <c r="E326" s="1"/>
    </row>
    <row r="327" spans="1:5" x14ac:dyDescent="0.25">
      <c r="A327" s="1"/>
      <c r="B327" s="2"/>
      <c r="C327" s="1"/>
      <c r="D327" s="1"/>
      <c r="E327" s="1"/>
    </row>
    <row r="328" spans="1:5" x14ac:dyDescent="0.25">
      <c r="A328" s="1"/>
      <c r="B328" s="2"/>
      <c r="C328" s="1"/>
      <c r="D328" s="1"/>
      <c r="E328" s="1"/>
    </row>
    <row r="329" spans="1:5" x14ac:dyDescent="0.25">
      <c r="A329" s="1"/>
      <c r="B329" s="2"/>
      <c r="C329" s="1"/>
      <c r="D329" s="1"/>
      <c r="E329" s="1"/>
    </row>
    <row r="330" spans="1:5" x14ac:dyDescent="0.25">
      <c r="A330" s="1"/>
      <c r="B330" s="2"/>
      <c r="C330" s="1"/>
      <c r="D330" s="1"/>
      <c r="E330" s="1"/>
    </row>
    <row r="331" spans="1:5" x14ac:dyDescent="0.25">
      <c r="A331" s="1"/>
      <c r="B331" s="2"/>
      <c r="C331" s="1"/>
      <c r="D331" s="1"/>
      <c r="E331" s="1"/>
    </row>
    <row r="332" spans="1:5" x14ac:dyDescent="0.25">
      <c r="A332" s="1"/>
      <c r="B332" s="2"/>
      <c r="C332" s="1"/>
      <c r="D332" s="1"/>
      <c r="E332" s="1"/>
    </row>
    <row r="333" spans="1:5" x14ac:dyDescent="0.25">
      <c r="A333" s="1"/>
      <c r="B333" s="2"/>
      <c r="C333" s="1"/>
      <c r="D333" s="1"/>
      <c r="E333" s="1"/>
    </row>
    <row r="334" spans="1:5" x14ac:dyDescent="0.25">
      <c r="A334" s="1"/>
      <c r="B334" s="2"/>
      <c r="C334" s="1"/>
      <c r="D334" s="1"/>
      <c r="E334" s="1"/>
    </row>
    <row r="335" spans="1:5" x14ac:dyDescent="0.25">
      <c r="A335" s="1"/>
      <c r="B335" s="2"/>
      <c r="C335" s="1"/>
      <c r="D335" s="1"/>
      <c r="E335" s="1"/>
    </row>
    <row r="336" spans="1:5" x14ac:dyDescent="0.25">
      <c r="A336" s="1"/>
      <c r="B336" s="2"/>
      <c r="C336" s="1"/>
      <c r="D336" s="1"/>
      <c r="E336" s="1"/>
    </row>
    <row r="337" spans="1:5" x14ac:dyDescent="0.25">
      <c r="A337" s="1"/>
      <c r="B337" s="2"/>
      <c r="C337" s="1"/>
      <c r="D337" s="1"/>
      <c r="E337" s="1"/>
    </row>
    <row r="338" spans="1:5" x14ac:dyDescent="0.25">
      <c r="A338" s="1"/>
      <c r="B338" s="2"/>
      <c r="C338" s="1"/>
      <c r="D338" s="1"/>
      <c r="E338" s="1"/>
    </row>
    <row r="339" spans="1:5" x14ac:dyDescent="0.25">
      <c r="A339" s="1"/>
      <c r="B339" s="2"/>
      <c r="C339" s="1"/>
      <c r="D339" s="1"/>
      <c r="E339" s="1"/>
    </row>
    <row r="340" spans="1:5" x14ac:dyDescent="0.25">
      <c r="A340" s="1"/>
      <c r="B340" s="2"/>
      <c r="C340" s="1"/>
      <c r="D340" s="1"/>
      <c r="E340" s="1"/>
    </row>
    <row r="341" spans="1:5" x14ac:dyDescent="0.25">
      <c r="A341" s="1"/>
      <c r="B341" s="2"/>
      <c r="C341" s="1"/>
      <c r="D341" s="1"/>
      <c r="E341" s="1"/>
    </row>
    <row r="342" spans="1:5" x14ac:dyDescent="0.25">
      <c r="A342" s="1"/>
      <c r="B342" s="2"/>
      <c r="C342" s="1"/>
      <c r="D342" s="1"/>
      <c r="E342" s="1"/>
    </row>
    <row r="343" spans="1:5" x14ac:dyDescent="0.25">
      <c r="A343" s="1"/>
      <c r="B343" s="2"/>
      <c r="C343" s="1"/>
      <c r="D343" s="1"/>
      <c r="E343" s="1"/>
    </row>
    <row r="344" spans="1:5" x14ac:dyDescent="0.25">
      <c r="A344" s="1"/>
      <c r="B344" s="2"/>
      <c r="C344" s="1"/>
      <c r="D344" s="1"/>
      <c r="E344" s="1"/>
    </row>
    <row r="345" spans="1:5" x14ac:dyDescent="0.25">
      <c r="A345" s="1"/>
      <c r="B345" s="2"/>
      <c r="C345" s="1"/>
      <c r="D345" s="1"/>
      <c r="E345" s="1"/>
    </row>
    <row r="346" spans="1:5" x14ac:dyDescent="0.25">
      <c r="A346" s="1"/>
      <c r="B346" s="2"/>
      <c r="C346" s="1"/>
      <c r="D346" s="1"/>
      <c r="E346" s="1"/>
    </row>
    <row r="347" spans="1:5" x14ac:dyDescent="0.25">
      <c r="A347" s="1"/>
      <c r="B347" s="2"/>
      <c r="C347" s="1"/>
      <c r="D347" s="1"/>
      <c r="E347" s="1"/>
    </row>
    <row r="348" spans="1:5" x14ac:dyDescent="0.25">
      <c r="A348" s="1"/>
      <c r="B348" s="2"/>
      <c r="C348" s="1"/>
      <c r="D348" s="1"/>
      <c r="E348" s="1"/>
    </row>
    <row r="349" spans="1:5" x14ac:dyDescent="0.25">
      <c r="A349" s="1"/>
      <c r="B349" s="2"/>
      <c r="C349" s="1"/>
      <c r="D349" s="1"/>
      <c r="E349" s="1"/>
    </row>
    <row r="350" spans="1:5" x14ac:dyDescent="0.25">
      <c r="A350" s="1"/>
      <c r="B350" s="2"/>
      <c r="C350" s="1"/>
      <c r="D350" s="1"/>
      <c r="E350" s="1"/>
    </row>
    <row r="351" spans="1:5" x14ac:dyDescent="0.25">
      <c r="A351" s="1"/>
      <c r="B351" s="2"/>
      <c r="C351" s="1"/>
      <c r="D351" s="1"/>
      <c r="E351" s="1"/>
    </row>
    <row r="352" spans="1:5" x14ac:dyDescent="0.25">
      <c r="A352" s="1"/>
      <c r="B352" s="2"/>
      <c r="C352" s="1"/>
      <c r="D352" s="1"/>
      <c r="E352" s="1"/>
    </row>
    <row r="353" spans="1:5" x14ac:dyDescent="0.25">
      <c r="A353" s="1"/>
      <c r="B353" s="2"/>
      <c r="C353" s="1"/>
      <c r="D353" s="1"/>
      <c r="E353" s="1"/>
    </row>
    <row r="354" spans="1:5" x14ac:dyDescent="0.25">
      <c r="A354" s="1"/>
      <c r="B354" s="2"/>
      <c r="C354" s="1"/>
      <c r="D354" s="1"/>
      <c r="E354" s="1"/>
    </row>
    <row r="355" spans="1:5" x14ac:dyDescent="0.25">
      <c r="A355" s="1"/>
      <c r="B355" s="2"/>
      <c r="C355" s="1"/>
      <c r="D355" s="1"/>
      <c r="E355" s="1"/>
    </row>
    <row r="356" spans="1:5" x14ac:dyDescent="0.25">
      <c r="A356" s="1"/>
      <c r="B356" s="2"/>
      <c r="C356" s="1"/>
      <c r="D356" s="1"/>
      <c r="E356" s="1"/>
    </row>
    <row r="357" spans="1:5" x14ac:dyDescent="0.25">
      <c r="A357" s="1"/>
      <c r="B357" s="2"/>
      <c r="C357" s="1"/>
      <c r="D357" s="1"/>
      <c r="E357" s="1"/>
    </row>
    <row r="358" spans="1:5" x14ac:dyDescent="0.25">
      <c r="A358" s="1"/>
      <c r="B358" s="2"/>
      <c r="C358" s="1"/>
      <c r="D358" s="1"/>
      <c r="E358" s="1"/>
    </row>
    <row r="359" spans="1:5" x14ac:dyDescent="0.25">
      <c r="A359" s="1"/>
      <c r="B359" s="2"/>
      <c r="C359" s="1"/>
      <c r="D359" s="1"/>
      <c r="E359" s="1"/>
    </row>
    <row r="360" spans="1:5" x14ac:dyDescent="0.25">
      <c r="A360" s="1"/>
      <c r="B360" s="2"/>
      <c r="C360" s="1"/>
      <c r="D360" s="1"/>
      <c r="E360" s="1"/>
    </row>
    <row r="361" spans="1:5" x14ac:dyDescent="0.25">
      <c r="A361" s="1"/>
      <c r="B361" s="2"/>
      <c r="C361" s="1"/>
      <c r="D361" s="1"/>
      <c r="E361" s="1"/>
    </row>
    <row r="362" spans="1:5" x14ac:dyDescent="0.25">
      <c r="A362" s="1"/>
      <c r="B362" s="2"/>
      <c r="C362" s="1"/>
      <c r="D362" s="1"/>
      <c r="E362" s="1"/>
    </row>
    <row r="363" spans="1:5" x14ac:dyDescent="0.25">
      <c r="A363" s="1"/>
      <c r="B363" s="2"/>
      <c r="C363" s="1"/>
      <c r="D363" s="1"/>
      <c r="E363" s="1"/>
    </row>
    <row r="364" spans="1:5" x14ac:dyDescent="0.25">
      <c r="A364" s="1"/>
      <c r="B364" s="2"/>
      <c r="C364" s="1"/>
      <c r="D364" s="1"/>
      <c r="E364" s="1"/>
    </row>
    <row r="365" spans="1:5" x14ac:dyDescent="0.25">
      <c r="A365" s="1"/>
      <c r="B365" s="2"/>
      <c r="C365" s="1"/>
      <c r="D365" s="1"/>
      <c r="E365" s="1"/>
    </row>
    <row r="366" spans="1:5" x14ac:dyDescent="0.25">
      <c r="A366" s="1"/>
      <c r="B366" s="2"/>
      <c r="C366" s="1"/>
      <c r="D366" s="1"/>
      <c r="E366" s="1"/>
    </row>
    <row r="367" spans="1:5" x14ac:dyDescent="0.25">
      <c r="A367" s="1"/>
      <c r="B367" s="2"/>
      <c r="C367" s="1"/>
      <c r="D367" s="1"/>
      <c r="E367" s="1"/>
    </row>
    <row r="368" spans="1:5" x14ac:dyDescent="0.25">
      <c r="A368" s="1"/>
      <c r="B368" s="2"/>
      <c r="C368" s="1"/>
      <c r="D368" s="1"/>
      <c r="E368" s="1"/>
    </row>
    <row r="369" spans="1:5" x14ac:dyDescent="0.25">
      <c r="A369" s="1"/>
      <c r="B369" s="2"/>
      <c r="C369" s="1"/>
      <c r="D369" s="1"/>
      <c r="E369" s="1"/>
    </row>
    <row r="370" spans="1:5" x14ac:dyDescent="0.25">
      <c r="A370" s="1"/>
      <c r="B370" s="2"/>
      <c r="C370" s="1"/>
      <c r="D370" s="1"/>
      <c r="E370" s="1"/>
    </row>
    <row r="371" spans="1:5" x14ac:dyDescent="0.25">
      <c r="A371" s="1"/>
      <c r="B371" s="2"/>
      <c r="C371" s="1"/>
      <c r="D371" s="1"/>
      <c r="E371" s="1"/>
    </row>
    <row r="372" spans="1:5" x14ac:dyDescent="0.25">
      <c r="A372" s="1"/>
      <c r="B372" s="2"/>
      <c r="C372" s="1"/>
      <c r="D372" s="1"/>
      <c r="E372" s="1"/>
    </row>
    <row r="373" spans="1:5" x14ac:dyDescent="0.25">
      <c r="A373" s="1"/>
      <c r="B373" s="2"/>
      <c r="C373" s="1"/>
      <c r="D373" s="1"/>
      <c r="E373" s="1"/>
    </row>
    <row r="374" spans="1:5" x14ac:dyDescent="0.25">
      <c r="A374" s="1"/>
      <c r="B374" s="2"/>
      <c r="C374" s="1"/>
      <c r="D374" s="1"/>
      <c r="E374" s="1"/>
    </row>
    <row r="375" spans="1:5" x14ac:dyDescent="0.25">
      <c r="A375" s="1"/>
      <c r="B375" s="2"/>
      <c r="C375" s="1"/>
      <c r="D375" s="1"/>
      <c r="E375" s="1"/>
    </row>
    <row r="376" spans="1:5" x14ac:dyDescent="0.25">
      <c r="A376" s="1"/>
      <c r="B376" s="2"/>
      <c r="C376" s="1"/>
      <c r="D376" s="1"/>
      <c r="E376" s="1"/>
    </row>
    <row r="377" spans="1:5" x14ac:dyDescent="0.25">
      <c r="A377" s="1"/>
      <c r="B377" s="2"/>
      <c r="C377" s="1"/>
      <c r="D377" s="1"/>
      <c r="E377" s="1"/>
    </row>
    <row r="378" spans="1:5" x14ac:dyDescent="0.25">
      <c r="A378" s="1"/>
      <c r="B378" s="2"/>
      <c r="C378" s="1"/>
      <c r="D378" s="1"/>
      <c r="E378" s="1"/>
    </row>
    <row r="379" spans="1:5" x14ac:dyDescent="0.25">
      <c r="A379" s="1"/>
      <c r="B379" s="2"/>
      <c r="C379" s="1"/>
      <c r="D379" s="1"/>
      <c r="E379" s="1"/>
    </row>
    <row r="380" spans="1:5" x14ac:dyDescent="0.25">
      <c r="A380" s="1"/>
      <c r="B380" s="2"/>
      <c r="C380" s="1"/>
      <c r="D380" s="1"/>
      <c r="E380" s="1"/>
    </row>
    <row r="381" spans="1:5" x14ac:dyDescent="0.25">
      <c r="A381" s="1"/>
      <c r="B381" s="2"/>
      <c r="C381" s="1"/>
      <c r="D381" s="1"/>
      <c r="E381" s="1"/>
    </row>
    <row r="382" spans="1:5" x14ac:dyDescent="0.25">
      <c r="A382" s="1"/>
      <c r="B382" s="2"/>
      <c r="C382" s="1"/>
      <c r="D382" s="1"/>
      <c r="E382" s="1"/>
    </row>
    <row r="383" spans="1:5" x14ac:dyDescent="0.25">
      <c r="A383" s="1"/>
      <c r="B383" s="2"/>
      <c r="C383" s="1"/>
      <c r="D383" s="1"/>
      <c r="E383" s="1"/>
    </row>
    <row r="384" spans="1:5" x14ac:dyDescent="0.25">
      <c r="A384" s="1"/>
      <c r="B384" s="2"/>
      <c r="C384" s="1"/>
      <c r="D384" s="1"/>
      <c r="E384" s="1"/>
    </row>
    <row r="385" spans="1:5" x14ac:dyDescent="0.25">
      <c r="A385" s="1"/>
      <c r="B385" s="2"/>
      <c r="C385" s="1"/>
      <c r="D385" s="1"/>
      <c r="E385" s="1"/>
    </row>
    <row r="386" spans="1:5" x14ac:dyDescent="0.25">
      <c r="A386" s="1"/>
      <c r="B386" s="2"/>
      <c r="C386" s="1"/>
      <c r="D386" s="1"/>
      <c r="E386" s="1"/>
    </row>
    <row r="387" spans="1:5" x14ac:dyDescent="0.25">
      <c r="A387" s="1"/>
      <c r="B387" s="2"/>
      <c r="C387" s="1"/>
      <c r="D387" s="1"/>
      <c r="E387" s="1"/>
    </row>
    <row r="388" spans="1:5" x14ac:dyDescent="0.25">
      <c r="A388" s="1"/>
      <c r="B388" s="2"/>
      <c r="C388" s="1"/>
      <c r="D388" s="1"/>
      <c r="E388" s="1"/>
    </row>
    <row r="389" spans="1:5" x14ac:dyDescent="0.25">
      <c r="A389" s="1"/>
      <c r="B389" s="2"/>
      <c r="C389" s="1"/>
      <c r="D389" s="1"/>
      <c r="E389" s="1"/>
    </row>
    <row r="390" spans="1:5" x14ac:dyDescent="0.25">
      <c r="A390" s="1"/>
      <c r="B390" s="2"/>
      <c r="C390" s="1"/>
      <c r="D390" s="1"/>
      <c r="E390" s="1"/>
    </row>
    <row r="391" spans="1:5" x14ac:dyDescent="0.25">
      <c r="A391" s="1"/>
      <c r="B391" s="2"/>
      <c r="C391" s="1"/>
      <c r="D391" s="1"/>
      <c r="E391" s="1"/>
    </row>
    <row r="392" spans="1:5" x14ac:dyDescent="0.25">
      <c r="A392" s="1"/>
      <c r="B392" s="2"/>
      <c r="C392" s="1"/>
      <c r="D392" s="1"/>
      <c r="E392" s="1"/>
    </row>
    <row r="393" spans="1:5" x14ac:dyDescent="0.25">
      <c r="A393" s="1"/>
      <c r="B393" s="2"/>
      <c r="C393" s="1"/>
      <c r="D393" s="1"/>
      <c r="E393" s="1"/>
    </row>
    <row r="394" spans="1:5" x14ac:dyDescent="0.25">
      <c r="A394" s="1"/>
      <c r="B394" s="2"/>
      <c r="C394" s="1"/>
      <c r="D394" s="1"/>
      <c r="E394" s="1"/>
    </row>
    <row r="395" spans="1:5" x14ac:dyDescent="0.25">
      <c r="A395" s="1"/>
      <c r="B395" s="2"/>
      <c r="C395" s="1"/>
      <c r="D395" s="1"/>
      <c r="E395" s="1"/>
    </row>
    <row r="396" spans="1:5" x14ac:dyDescent="0.25">
      <c r="A396" s="1"/>
      <c r="B396" s="2"/>
      <c r="C396" s="1"/>
      <c r="D396" s="1"/>
      <c r="E396" s="1"/>
    </row>
    <row r="397" spans="1:5" x14ac:dyDescent="0.25">
      <c r="A397" s="1"/>
      <c r="B397" s="2"/>
      <c r="C397" s="1"/>
      <c r="D397" s="1"/>
      <c r="E397" s="1"/>
    </row>
    <row r="398" spans="1:5" x14ac:dyDescent="0.25">
      <c r="A398" s="1"/>
      <c r="B398" s="2"/>
      <c r="C398" s="1"/>
      <c r="D398" s="1"/>
      <c r="E398" s="1"/>
    </row>
    <row r="399" spans="1:5" x14ac:dyDescent="0.25">
      <c r="A399" s="1"/>
      <c r="B399" s="2"/>
      <c r="C399" s="1"/>
      <c r="D399" s="1"/>
      <c r="E399" s="1"/>
    </row>
    <row r="400" spans="1:5" x14ac:dyDescent="0.25">
      <c r="A400" s="1"/>
      <c r="B400" s="2"/>
      <c r="C400" s="1"/>
      <c r="D400" s="1"/>
      <c r="E400" s="1"/>
    </row>
    <row r="401" spans="1:5" x14ac:dyDescent="0.25">
      <c r="A401" s="1"/>
      <c r="B401" s="2"/>
      <c r="C401" s="1"/>
      <c r="D401" s="1"/>
      <c r="E401" s="1"/>
    </row>
    <row r="402" spans="1:5" x14ac:dyDescent="0.25">
      <c r="A402" s="1"/>
      <c r="B402" s="2"/>
      <c r="C402" s="1"/>
      <c r="D402" s="1"/>
      <c r="E402" s="1"/>
    </row>
    <row r="403" spans="1:5" x14ac:dyDescent="0.25">
      <c r="A403" s="1"/>
      <c r="B403" s="2"/>
      <c r="C403" s="1"/>
      <c r="D403" s="1"/>
      <c r="E403" s="1"/>
    </row>
    <row r="404" spans="1:5" x14ac:dyDescent="0.25">
      <c r="A404" s="1"/>
      <c r="B404" s="2"/>
      <c r="C404" s="1"/>
      <c r="D404" s="1"/>
      <c r="E404" s="1"/>
    </row>
    <row r="405" spans="1:5" x14ac:dyDescent="0.25">
      <c r="A405" s="1"/>
      <c r="B405" s="1"/>
      <c r="C405" s="1"/>
      <c r="D405" s="1"/>
      <c r="E405" s="1"/>
    </row>
    <row r="406" spans="1:5" x14ac:dyDescent="0.25">
      <c r="A406" s="1"/>
      <c r="B406" s="1"/>
      <c r="C406" s="1"/>
      <c r="D406" s="1"/>
      <c r="E406" s="1"/>
    </row>
    <row r="407" spans="1:5" x14ac:dyDescent="0.25">
      <c r="A407" s="1"/>
      <c r="B407" s="1"/>
      <c r="C407" s="1"/>
      <c r="D407" s="1"/>
      <c r="E407" s="1"/>
    </row>
    <row r="408" spans="1:5" x14ac:dyDescent="0.25">
      <c r="A408" s="1"/>
      <c r="B408" s="1"/>
      <c r="C408" s="1"/>
      <c r="D408" s="1"/>
      <c r="E408" s="1"/>
    </row>
    <row r="409" spans="1:5" x14ac:dyDescent="0.25">
      <c r="A409" s="1"/>
      <c r="B409" s="1"/>
      <c r="C409" s="1"/>
      <c r="D409" s="1"/>
      <c r="E409" s="1"/>
    </row>
    <row r="410" spans="1:5" x14ac:dyDescent="0.25">
      <c r="A410" s="1"/>
      <c r="B410" s="1"/>
      <c r="C410" s="1"/>
      <c r="D410" s="1"/>
      <c r="E410" s="1"/>
    </row>
    <row r="411" spans="1:5" x14ac:dyDescent="0.25">
      <c r="A411" s="1"/>
      <c r="B411" s="1"/>
      <c r="C411" s="1"/>
      <c r="D411" s="1"/>
      <c r="E411" s="1"/>
    </row>
    <row r="412" spans="1:5" x14ac:dyDescent="0.25">
      <c r="A412" s="1"/>
      <c r="B412" s="1"/>
      <c r="C412" s="1"/>
      <c r="D412" s="1"/>
      <c r="E412" s="1"/>
    </row>
    <row r="413" spans="1:5" x14ac:dyDescent="0.25">
      <c r="A413" s="1"/>
      <c r="B413" s="1"/>
      <c r="C413" s="1"/>
      <c r="D413" s="1"/>
      <c r="E413" s="1"/>
    </row>
    <row r="414" spans="1:5" x14ac:dyDescent="0.25">
      <c r="A414" s="1"/>
      <c r="B414" s="1"/>
      <c r="C414" s="1"/>
      <c r="D414" s="1"/>
      <c r="E414" s="1"/>
    </row>
    <row r="415" spans="1:5" x14ac:dyDescent="0.25">
      <c r="A415" s="1"/>
      <c r="B415" s="1"/>
      <c r="C415" s="1"/>
      <c r="D415" s="1"/>
      <c r="E415" s="1"/>
    </row>
    <row r="416" spans="1:5" x14ac:dyDescent="0.25">
      <c r="A416" s="1"/>
      <c r="B416" s="1"/>
      <c r="C416" s="1"/>
      <c r="D416" s="1"/>
      <c r="E416" s="1"/>
    </row>
    <row r="417" spans="1:5" x14ac:dyDescent="0.25">
      <c r="A417" s="1"/>
      <c r="B417" s="1"/>
      <c r="C417" s="1"/>
      <c r="D417" s="1"/>
      <c r="E417" s="1"/>
    </row>
    <row r="418" spans="1:5" x14ac:dyDescent="0.25">
      <c r="A418" s="1"/>
      <c r="B418" s="1"/>
      <c r="C418" s="1"/>
      <c r="D418" s="1"/>
      <c r="E418" s="1"/>
    </row>
    <row r="419" spans="1:5" x14ac:dyDescent="0.25">
      <c r="A419" s="1"/>
      <c r="B419" s="1"/>
      <c r="C419" s="1"/>
      <c r="D419" s="1"/>
      <c r="E419" s="1"/>
    </row>
    <row r="420" spans="1:5" x14ac:dyDescent="0.25">
      <c r="A420" s="1"/>
      <c r="B420" s="1"/>
      <c r="C420" s="1"/>
      <c r="D420" s="1"/>
      <c r="E420" s="1"/>
    </row>
    <row r="421" spans="1:5" x14ac:dyDescent="0.25">
      <c r="A421" s="1"/>
      <c r="B421" s="1"/>
      <c r="C421" s="1"/>
      <c r="D421" s="1"/>
      <c r="E421" s="1"/>
    </row>
    <row r="422" spans="1:5" x14ac:dyDescent="0.25">
      <c r="A422" s="1"/>
      <c r="B422" s="1"/>
      <c r="C422" s="1"/>
      <c r="D422" s="1"/>
      <c r="E422" s="1"/>
    </row>
    <row r="423" spans="1:5" x14ac:dyDescent="0.25">
      <c r="A423" s="1"/>
      <c r="B423" s="1"/>
      <c r="C423" s="1"/>
      <c r="D423" s="1"/>
      <c r="E423" s="1"/>
    </row>
    <row r="424" spans="1:5" x14ac:dyDescent="0.25">
      <c r="A424" s="1"/>
      <c r="B424" s="1"/>
      <c r="C424" s="1"/>
      <c r="D424" s="1"/>
      <c r="E424" s="1"/>
    </row>
    <row r="425" spans="1:5" x14ac:dyDescent="0.25">
      <c r="A425" s="1"/>
      <c r="B425" s="1"/>
      <c r="C425" s="1"/>
      <c r="D425" s="1"/>
      <c r="E425" s="1"/>
    </row>
    <row r="426" spans="1:5" x14ac:dyDescent="0.25">
      <c r="A426" s="1"/>
      <c r="B426" s="1"/>
      <c r="C426" s="1"/>
      <c r="D426" s="1"/>
      <c r="E426" s="1"/>
    </row>
    <row r="427" spans="1:5" x14ac:dyDescent="0.25">
      <c r="A427" s="1"/>
      <c r="B427" s="1"/>
      <c r="C427" s="1"/>
      <c r="D427" s="1"/>
      <c r="E427" s="1"/>
    </row>
    <row r="428" spans="1:5" x14ac:dyDescent="0.25">
      <c r="A428" s="1"/>
      <c r="B428" s="1"/>
      <c r="C428" s="1"/>
      <c r="D428" s="1"/>
      <c r="E428" s="1"/>
    </row>
    <row r="429" spans="1:5" x14ac:dyDescent="0.25">
      <c r="A429" s="1"/>
      <c r="B429" s="1"/>
      <c r="C429" s="1"/>
      <c r="D429" s="1"/>
      <c r="E429" s="1"/>
    </row>
    <row r="430" spans="1:5" x14ac:dyDescent="0.25">
      <c r="A430" s="1"/>
      <c r="B430" s="1"/>
      <c r="C430" s="1"/>
      <c r="D430" s="1"/>
      <c r="E430" s="1"/>
    </row>
    <row r="431" spans="1:5" x14ac:dyDescent="0.25">
      <c r="A431" s="1"/>
      <c r="B431" s="1"/>
      <c r="C431" s="1"/>
      <c r="D431" s="1"/>
      <c r="E431" s="1"/>
    </row>
    <row r="432" spans="1:5" x14ac:dyDescent="0.25">
      <c r="A432" s="1"/>
      <c r="B432" s="1"/>
      <c r="C432" s="1"/>
      <c r="D432" s="1"/>
      <c r="E432" s="1"/>
    </row>
    <row r="433" spans="1:5" x14ac:dyDescent="0.25">
      <c r="A433" s="1"/>
      <c r="B433" s="1"/>
      <c r="C433" s="1"/>
      <c r="D433" s="1"/>
      <c r="E433" s="1"/>
    </row>
    <row r="434" spans="1:5" x14ac:dyDescent="0.25">
      <c r="A434" s="1"/>
      <c r="B434" s="1"/>
      <c r="C434" s="1"/>
      <c r="D434" s="1"/>
      <c r="E434" s="1"/>
    </row>
    <row r="435" spans="1:5" x14ac:dyDescent="0.25">
      <c r="A435" s="1"/>
      <c r="B435" s="1"/>
      <c r="C435" s="1"/>
      <c r="D435" s="1"/>
      <c r="E435" s="1"/>
    </row>
    <row r="436" spans="1:5" x14ac:dyDescent="0.25">
      <c r="A436" s="1"/>
      <c r="B436" s="1"/>
      <c r="C436" s="1"/>
      <c r="D436" s="1"/>
      <c r="E436" s="1"/>
    </row>
    <row r="437" spans="1:5" x14ac:dyDescent="0.25">
      <c r="A437" s="1"/>
      <c r="B437" s="1"/>
      <c r="C437" s="1"/>
      <c r="D437" s="1"/>
      <c r="E437" s="1"/>
    </row>
    <row r="438" spans="1:5" x14ac:dyDescent="0.25">
      <c r="A438" s="1"/>
      <c r="B438" s="1"/>
      <c r="C438" s="1"/>
      <c r="D438" s="1"/>
      <c r="E438" s="1"/>
    </row>
    <row r="439" spans="1:5" x14ac:dyDescent="0.25">
      <c r="A439" s="1"/>
      <c r="B439" s="1"/>
      <c r="C439" s="1"/>
      <c r="D439" s="1"/>
      <c r="E439" s="1"/>
    </row>
    <row r="440" spans="1:5" x14ac:dyDescent="0.25">
      <c r="A440" s="1"/>
      <c r="B440" s="1"/>
      <c r="C440" s="1"/>
      <c r="D440" s="1"/>
      <c r="E440" s="1"/>
    </row>
    <row r="441" spans="1:5" x14ac:dyDescent="0.25">
      <c r="A441" s="1"/>
      <c r="B441" s="1"/>
      <c r="C441" s="1"/>
      <c r="D441" s="1"/>
      <c r="E441" s="1"/>
    </row>
    <row r="442" spans="1:5" x14ac:dyDescent="0.25">
      <c r="A442" s="1"/>
      <c r="B442" s="1"/>
      <c r="C442" s="1"/>
      <c r="D442" s="1"/>
      <c r="E442" s="1"/>
    </row>
    <row r="443" spans="1:5" x14ac:dyDescent="0.25">
      <c r="A443" s="1"/>
      <c r="B443" s="1"/>
      <c r="C443" s="1"/>
      <c r="D443" s="1"/>
      <c r="E443" s="1"/>
    </row>
    <row r="444" spans="1:5" x14ac:dyDescent="0.25">
      <c r="A444" s="1"/>
      <c r="B444" s="1"/>
      <c r="C444" s="1"/>
      <c r="D444" s="1"/>
      <c r="E444" s="1"/>
    </row>
    <row r="445" spans="1:5" x14ac:dyDescent="0.25">
      <c r="A445" s="1"/>
      <c r="B445" s="1"/>
      <c r="C445" s="1"/>
      <c r="D445" s="1"/>
      <c r="E445" s="1"/>
    </row>
    <row r="446" spans="1:5" x14ac:dyDescent="0.25">
      <c r="A446" s="1"/>
      <c r="B446" s="1"/>
      <c r="C446" s="1"/>
      <c r="D446" s="1"/>
      <c r="E446" s="1"/>
    </row>
    <row r="447" spans="1:5" x14ac:dyDescent="0.25">
      <c r="A447" s="1"/>
      <c r="B447" s="1"/>
      <c r="C447" s="1"/>
      <c r="D447" s="1"/>
      <c r="E447" s="1"/>
    </row>
    <row r="448" spans="1:5" x14ac:dyDescent="0.25">
      <c r="A448" s="1"/>
      <c r="B448" s="1"/>
      <c r="C448" s="1"/>
      <c r="D448" s="1"/>
      <c r="E448" s="1"/>
    </row>
    <row r="449" spans="1:5" x14ac:dyDescent="0.25">
      <c r="A449" s="1"/>
      <c r="B449" s="1"/>
      <c r="C449" s="1"/>
      <c r="D449" s="1"/>
      <c r="E449" s="1"/>
    </row>
    <row r="450" spans="1:5" x14ac:dyDescent="0.25">
      <c r="A450" s="1"/>
      <c r="B450" s="1"/>
      <c r="C450" s="1"/>
      <c r="D450" s="1"/>
      <c r="E450" s="1"/>
    </row>
    <row r="451" spans="1:5" x14ac:dyDescent="0.25">
      <c r="A451" s="1"/>
      <c r="B451" s="1"/>
      <c r="C451" s="1"/>
      <c r="D451" s="1"/>
      <c r="E451" s="1"/>
    </row>
    <row r="452" spans="1:5" x14ac:dyDescent="0.25">
      <c r="A452" s="1"/>
      <c r="B452" s="1"/>
      <c r="C452" s="1"/>
      <c r="D452" s="1"/>
      <c r="E452" s="1"/>
    </row>
    <row r="453" spans="1:5" x14ac:dyDescent="0.25">
      <c r="A453" s="1"/>
      <c r="B453" s="1"/>
      <c r="C453" s="1"/>
      <c r="D453" s="1"/>
      <c r="E453" s="1"/>
    </row>
    <row r="454" spans="1:5" x14ac:dyDescent="0.25">
      <c r="A454" s="1"/>
      <c r="B454" s="1"/>
      <c r="C454" s="1"/>
      <c r="D454" s="1"/>
      <c r="E454" s="1"/>
    </row>
    <row r="455" spans="1:5" x14ac:dyDescent="0.25">
      <c r="A455" s="1"/>
      <c r="B455" s="1"/>
      <c r="C455" s="1"/>
      <c r="D455" s="1"/>
      <c r="E455" s="1"/>
    </row>
    <row r="456" spans="1:5" x14ac:dyDescent="0.25">
      <c r="A456" s="1"/>
      <c r="B456" s="1"/>
      <c r="C456" s="1"/>
      <c r="D456" s="1"/>
      <c r="E456" s="1"/>
    </row>
    <row r="457" spans="1:5" x14ac:dyDescent="0.25">
      <c r="A457" s="1"/>
      <c r="B457" s="1"/>
      <c r="C457" s="1"/>
      <c r="D457" s="1"/>
      <c r="E457" s="1"/>
    </row>
    <row r="458" spans="1:5" x14ac:dyDescent="0.25">
      <c r="A458" s="1"/>
      <c r="B458" s="1"/>
      <c r="C458" s="1"/>
      <c r="D458" s="1"/>
      <c r="E458" s="1"/>
    </row>
    <row r="459" spans="1:5" x14ac:dyDescent="0.25">
      <c r="A459" s="1"/>
      <c r="B459" s="1"/>
      <c r="C459" s="1"/>
      <c r="D459" s="1"/>
      <c r="E459" s="1"/>
    </row>
    <row r="460" spans="1:5" x14ac:dyDescent="0.25">
      <c r="A460" s="1"/>
      <c r="B460" s="1"/>
      <c r="C460" s="1"/>
      <c r="D460" s="1"/>
      <c r="E460" s="1"/>
    </row>
    <row r="461" spans="1:5" x14ac:dyDescent="0.25">
      <c r="A461" s="1"/>
      <c r="B461" s="1"/>
      <c r="C461" s="1"/>
      <c r="D461" s="1"/>
      <c r="E461" s="1"/>
    </row>
    <row r="462" spans="1:5" x14ac:dyDescent="0.25">
      <c r="A462" s="1"/>
      <c r="B462" s="1"/>
      <c r="C462" s="1"/>
      <c r="D462" s="1"/>
      <c r="E462" s="1"/>
    </row>
    <row r="463" spans="1:5" x14ac:dyDescent="0.25">
      <c r="A463" s="1"/>
      <c r="B463" s="1"/>
      <c r="C463" s="1"/>
      <c r="D463" s="1"/>
      <c r="E463" s="1"/>
    </row>
    <row r="464" spans="1:5" x14ac:dyDescent="0.25">
      <c r="A464" s="1"/>
      <c r="B464" s="1"/>
      <c r="C464" s="1"/>
      <c r="D464" s="1"/>
      <c r="E464" s="1"/>
    </row>
    <row r="465" spans="1:5" x14ac:dyDescent="0.25">
      <c r="A465" s="1"/>
      <c r="B465" s="1"/>
      <c r="C465" s="1"/>
      <c r="D465" s="1"/>
      <c r="E465" s="1"/>
    </row>
    <row r="466" spans="1:5" x14ac:dyDescent="0.25">
      <c r="A466" s="1"/>
      <c r="B466" s="1"/>
      <c r="C466" s="1"/>
      <c r="D466" s="1"/>
      <c r="E466" s="1"/>
    </row>
    <row r="467" spans="1:5" x14ac:dyDescent="0.25">
      <c r="A467" s="1"/>
      <c r="B467" s="1"/>
      <c r="C467" s="1"/>
      <c r="D467" s="1"/>
      <c r="E467" s="1"/>
    </row>
    <row r="468" spans="1:5" x14ac:dyDescent="0.25">
      <c r="A468" s="1"/>
      <c r="B468" s="1"/>
      <c r="C468" s="1"/>
      <c r="D468" s="1"/>
      <c r="E468" s="1"/>
    </row>
    <row r="469" spans="1:5" x14ac:dyDescent="0.25">
      <c r="A469" s="1"/>
      <c r="B469" s="1"/>
      <c r="C469" s="1"/>
      <c r="D469" s="1"/>
      <c r="E469" s="1"/>
    </row>
    <row r="470" spans="1:5" x14ac:dyDescent="0.25">
      <c r="A470" s="1"/>
      <c r="B470" s="1"/>
      <c r="C470" s="1"/>
      <c r="D470" s="1"/>
      <c r="E470" s="1"/>
    </row>
    <row r="471" spans="1:5" x14ac:dyDescent="0.25">
      <c r="A471" s="1"/>
      <c r="B471" s="1"/>
      <c r="C471" s="1"/>
      <c r="D471" s="1"/>
      <c r="E471" s="1"/>
    </row>
    <row r="472" spans="1:5" x14ac:dyDescent="0.25">
      <c r="A472" s="1"/>
      <c r="B472" s="1"/>
      <c r="C472" s="1"/>
      <c r="D472" s="1"/>
      <c r="E472" s="1"/>
    </row>
    <row r="473" spans="1:5" x14ac:dyDescent="0.25">
      <c r="A473" s="1"/>
      <c r="B473" s="1"/>
      <c r="C473" s="1"/>
      <c r="D473" s="1"/>
      <c r="E473" s="1"/>
    </row>
    <row r="474" spans="1:5" x14ac:dyDescent="0.25">
      <c r="A474" s="1"/>
      <c r="B474" s="1"/>
      <c r="C474" s="1"/>
      <c r="D474" s="1"/>
      <c r="E474" s="1"/>
    </row>
    <row r="475" spans="1:5" x14ac:dyDescent="0.25">
      <c r="A475" s="1"/>
      <c r="B475" s="1"/>
      <c r="C475" s="1"/>
      <c r="D475" s="1"/>
      <c r="E475" s="1"/>
    </row>
    <row r="476" spans="1:5" x14ac:dyDescent="0.25">
      <c r="A476" s="1"/>
      <c r="B476" s="1"/>
      <c r="C476" s="1"/>
      <c r="D476" s="1"/>
      <c r="E476" s="1"/>
    </row>
    <row r="477" spans="1:5" x14ac:dyDescent="0.25">
      <c r="A477" s="1"/>
      <c r="B477" s="1"/>
      <c r="C477" s="1"/>
      <c r="D477" s="1"/>
      <c r="E477" s="1"/>
    </row>
    <row r="478" spans="1:5" x14ac:dyDescent="0.25">
      <c r="A478" s="1"/>
      <c r="B478" s="1"/>
      <c r="C478" s="1"/>
      <c r="D478" s="1"/>
      <c r="E478" s="1"/>
    </row>
    <row r="479" spans="1:5" x14ac:dyDescent="0.25">
      <c r="A479" s="1"/>
      <c r="B479" s="1"/>
      <c r="C479" s="1"/>
      <c r="D479" s="1"/>
      <c r="E479" s="1"/>
    </row>
    <row r="480" spans="1:5" x14ac:dyDescent="0.25">
      <c r="A480" s="1"/>
      <c r="B480" s="1"/>
      <c r="C480" s="1"/>
      <c r="D480" s="1"/>
      <c r="E480" s="1"/>
    </row>
    <row r="481" spans="1:5" x14ac:dyDescent="0.25">
      <c r="A481" s="1"/>
      <c r="B481" s="1"/>
      <c r="C481" s="1"/>
      <c r="D481" s="1"/>
      <c r="E481" s="1"/>
    </row>
    <row r="482" spans="1:5" x14ac:dyDescent="0.25">
      <c r="A482" s="1"/>
      <c r="B482" s="1"/>
      <c r="C482" s="1"/>
      <c r="D482" s="1"/>
      <c r="E482" s="1"/>
    </row>
    <row r="483" spans="1:5" x14ac:dyDescent="0.25">
      <c r="A483" s="1"/>
      <c r="B483" s="1"/>
      <c r="C483" s="1"/>
      <c r="D483" s="1"/>
      <c r="E483" s="1"/>
    </row>
    <row r="484" spans="1:5" x14ac:dyDescent="0.25">
      <c r="A484" s="1"/>
      <c r="B484" s="1"/>
      <c r="C484" s="1"/>
      <c r="D484" s="1"/>
      <c r="E484" s="1"/>
    </row>
    <row r="485" spans="1:5" x14ac:dyDescent="0.25">
      <c r="A485" s="1"/>
      <c r="B485" s="1"/>
      <c r="C485" s="1"/>
      <c r="D485" s="1"/>
      <c r="E485" s="1"/>
    </row>
    <row r="486" spans="1:5" x14ac:dyDescent="0.25">
      <c r="A486" s="1"/>
      <c r="B486" s="1"/>
      <c r="C486" s="1"/>
      <c r="D486" s="1"/>
      <c r="E486" s="1"/>
    </row>
    <row r="487" spans="1:5" x14ac:dyDescent="0.25">
      <c r="A487" s="1"/>
      <c r="B487" s="1"/>
      <c r="C487" s="1"/>
      <c r="D487" s="1"/>
      <c r="E487" s="1"/>
    </row>
    <row r="488" spans="1:5" x14ac:dyDescent="0.25">
      <c r="A488" s="1"/>
      <c r="B488" s="1"/>
      <c r="C488" s="1"/>
      <c r="D488" s="1"/>
      <c r="E488" s="1"/>
    </row>
    <row r="489" spans="1:5" x14ac:dyDescent="0.25">
      <c r="A489" s="1"/>
      <c r="B489" s="1"/>
      <c r="C489" s="1"/>
      <c r="D489" s="1"/>
      <c r="E489" s="1"/>
    </row>
    <row r="490" spans="1:5" x14ac:dyDescent="0.25">
      <c r="A490" s="1"/>
      <c r="B490" s="1"/>
      <c r="C490" s="1"/>
      <c r="D490" s="1"/>
      <c r="E490" s="1"/>
    </row>
    <row r="491" spans="1:5" x14ac:dyDescent="0.25">
      <c r="A491" s="1"/>
      <c r="B491" s="1"/>
      <c r="C491" s="1"/>
      <c r="D491" s="1"/>
      <c r="E491" s="1"/>
    </row>
    <row r="492" spans="1:5" x14ac:dyDescent="0.25">
      <c r="A492" s="1"/>
      <c r="B492" s="1"/>
      <c r="C492" s="1"/>
      <c r="D492" s="1"/>
      <c r="E492" s="1"/>
    </row>
    <row r="493" spans="1:5" x14ac:dyDescent="0.25">
      <c r="A493" s="1"/>
      <c r="B493" s="1"/>
      <c r="C493" s="1"/>
      <c r="D493" s="1"/>
      <c r="E493" s="1"/>
    </row>
    <row r="494" spans="1:5" x14ac:dyDescent="0.25">
      <c r="A494" s="1"/>
      <c r="B494" s="1"/>
      <c r="C494" s="1"/>
      <c r="D494" s="1"/>
      <c r="E494" s="1"/>
    </row>
    <row r="495" spans="1:5" x14ac:dyDescent="0.25">
      <c r="A495" s="1"/>
      <c r="B495" s="1"/>
      <c r="C495" s="1"/>
      <c r="D495" s="1"/>
      <c r="E495" s="1"/>
    </row>
    <row r="496" spans="1:5" x14ac:dyDescent="0.25">
      <c r="A496" s="1"/>
      <c r="B496" s="1"/>
      <c r="C496" s="1"/>
      <c r="D496" s="1"/>
      <c r="E496" s="1"/>
    </row>
    <row r="497" spans="1:5" x14ac:dyDescent="0.25">
      <c r="A497" s="1"/>
      <c r="B497" s="1"/>
      <c r="C497" s="1"/>
      <c r="D497" s="1"/>
      <c r="E497" s="1"/>
    </row>
    <row r="498" spans="1:5" x14ac:dyDescent="0.25">
      <c r="A498" s="1"/>
      <c r="B498" s="1"/>
      <c r="C498" s="1"/>
      <c r="D498" s="1"/>
      <c r="E498" s="1"/>
    </row>
    <row r="499" spans="1:5" x14ac:dyDescent="0.25">
      <c r="A499" s="1"/>
      <c r="B499" s="1"/>
      <c r="C499" s="1"/>
      <c r="D499" s="1"/>
      <c r="E499" s="1"/>
    </row>
    <row r="500" spans="1:5" x14ac:dyDescent="0.25">
      <c r="A500" s="1"/>
      <c r="B500" s="1"/>
      <c r="C500" s="1"/>
      <c r="D500" s="1"/>
      <c r="E500" s="1"/>
    </row>
    <row r="501" spans="1:5" x14ac:dyDescent="0.25">
      <c r="A501" s="1"/>
      <c r="B501" s="1"/>
      <c r="C501" s="1"/>
      <c r="D501" s="1"/>
      <c r="E501" s="1"/>
    </row>
    <row r="502" spans="1:5" x14ac:dyDescent="0.25">
      <c r="A502" s="1"/>
      <c r="B502" s="1"/>
      <c r="C502" s="1"/>
      <c r="D502" s="1"/>
      <c r="E502" s="1"/>
    </row>
    <row r="503" spans="1:5" x14ac:dyDescent="0.25">
      <c r="A503" s="1"/>
      <c r="B503" s="1"/>
      <c r="C503" s="1"/>
      <c r="D503" s="1"/>
      <c r="E503" s="1"/>
    </row>
    <row r="504" spans="1:5" x14ac:dyDescent="0.25">
      <c r="A504" s="1"/>
      <c r="B504" s="1"/>
      <c r="C504" s="1"/>
      <c r="D504" s="1"/>
      <c r="E504" s="1"/>
    </row>
    <row r="505" spans="1:5" x14ac:dyDescent="0.25">
      <c r="A505" s="1"/>
      <c r="B505" s="1"/>
      <c r="C505" s="1"/>
      <c r="D505" s="1"/>
      <c r="E505" s="1"/>
    </row>
    <row r="506" spans="1:5" x14ac:dyDescent="0.25">
      <c r="A506" s="1"/>
      <c r="B506" s="1"/>
      <c r="C506" s="1"/>
      <c r="D506" s="1"/>
      <c r="E506" s="1"/>
    </row>
    <row r="507" spans="1:5" x14ac:dyDescent="0.25">
      <c r="A507" s="1"/>
      <c r="B507" s="1"/>
      <c r="C507" s="1"/>
      <c r="D507" s="1"/>
      <c r="E507" s="1"/>
    </row>
    <row r="508" spans="1:5" x14ac:dyDescent="0.25">
      <c r="A508" s="1"/>
      <c r="B508" s="1"/>
      <c r="C508" s="1"/>
      <c r="D508" s="1"/>
      <c r="E508" s="1"/>
    </row>
    <row r="509" spans="1:5" x14ac:dyDescent="0.25">
      <c r="A509" s="1"/>
      <c r="B509" s="1"/>
      <c r="C509" s="1"/>
      <c r="D509" s="1"/>
      <c r="E509" s="1"/>
    </row>
    <row r="510" spans="1:5" x14ac:dyDescent="0.25">
      <c r="A510" s="1"/>
      <c r="B510" s="1"/>
      <c r="C510" s="1"/>
      <c r="D510" s="1"/>
      <c r="E510" s="1"/>
    </row>
    <row r="511" spans="1:5" x14ac:dyDescent="0.25">
      <c r="A511" s="1"/>
      <c r="B511" s="1"/>
      <c r="C511" s="1"/>
      <c r="D511" s="1"/>
      <c r="E511" s="1"/>
    </row>
    <row r="512" spans="1:5" x14ac:dyDescent="0.25">
      <c r="A512" s="1"/>
      <c r="B512" s="1"/>
      <c r="C512" s="1"/>
      <c r="D512" s="1"/>
      <c r="E512" s="1"/>
    </row>
    <row r="513" spans="1:5" x14ac:dyDescent="0.25">
      <c r="A513" s="1"/>
      <c r="B513" s="1"/>
      <c r="C513" s="1"/>
      <c r="D513" s="1"/>
      <c r="E513" s="1"/>
    </row>
    <row r="514" spans="1:5" x14ac:dyDescent="0.25">
      <c r="A514" s="1"/>
      <c r="B514" s="1"/>
      <c r="C514" s="1"/>
      <c r="D514" s="1"/>
      <c r="E514" s="1"/>
    </row>
    <row r="515" spans="1:5" x14ac:dyDescent="0.25">
      <c r="A515" s="1"/>
      <c r="B515" s="1"/>
      <c r="C515" s="1"/>
      <c r="D515" s="1"/>
      <c r="E515" s="1"/>
    </row>
    <row r="516" spans="1:5" x14ac:dyDescent="0.25">
      <c r="A516" s="1"/>
      <c r="B516" s="1"/>
      <c r="C516" s="1"/>
      <c r="D516" s="1"/>
      <c r="E516" s="1"/>
    </row>
    <row r="517" spans="1:5" x14ac:dyDescent="0.25">
      <c r="A517" s="1"/>
      <c r="B517" s="1"/>
      <c r="C517" s="1"/>
      <c r="D517" s="1"/>
      <c r="E517" s="1"/>
    </row>
    <row r="518" spans="1:5" x14ac:dyDescent="0.25">
      <c r="A518" s="1"/>
      <c r="B518" s="1"/>
      <c r="C518" s="1"/>
      <c r="D518" s="1"/>
      <c r="E518" s="1"/>
    </row>
    <row r="519" spans="1:5" x14ac:dyDescent="0.25">
      <c r="A519" s="1"/>
      <c r="B519" s="1"/>
      <c r="C519" s="1"/>
      <c r="D519" s="1"/>
      <c r="E519" s="1"/>
    </row>
    <row r="520" spans="1:5" x14ac:dyDescent="0.25">
      <c r="A520" s="1"/>
      <c r="B520" s="1"/>
      <c r="C520" s="1"/>
      <c r="D520" s="1"/>
      <c r="E520" s="1"/>
    </row>
    <row r="521" spans="1:5" x14ac:dyDescent="0.25">
      <c r="A521" s="1"/>
      <c r="B521" s="1"/>
      <c r="C521" s="1"/>
      <c r="D521" s="1"/>
      <c r="E521" s="1"/>
    </row>
    <row r="522" spans="1:5" x14ac:dyDescent="0.25">
      <c r="A522" s="1"/>
      <c r="B522" s="1"/>
      <c r="C522" s="1"/>
      <c r="D522" s="1"/>
      <c r="E522" s="1"/>
    </row>
    <row r="523" spans="1:5" x14ac:dyDescent="0.25">
      <c r="A523" s="1"/>
      <c r="B523" s="1"/>
      <c r="C523" s="1"/>
      <c r="D523" s="1"/>
      <c r="E523" s="1"/>
    </row>
    <row r="524" spans="1:5" x14ac:dyDescent="0.25">
      <c r="A524" s="1"/>
      <c r="B524" s="1"/>
      <c r="C524" s="1"/>
      <c r="D524" s="1"/>
      <c r="E524" s="1"/>
    </row>
    <row r="525" spans="1:5" x14ac:dyDescent="0.25">
      <c r="A525" s="1"/>
      <c r="B525" s="1"/>
      <c r="C525" s="1"/>
      <c r="D525" s="1"/>
      <c r="E525" s="1"/>
    </row>
    <row r="526" spans="1:5" x14ac:dyDescent="0.25">
      <c r="A526" s="1"/>
      <c r="B526" s="1"/>
      <c r="C526" s="1"/>
      <c r="D526" s="1"/>
      <c r="E526" s="1"/>
    </row>
    <row r="527" spans="1:5" x14ac:dyDescent="0.25">
      <c r="A527" s="1"/>
      <c r="B527" s="1"/>
      <c r="C527" s="1"/>
      <c r="D527" s="1"/>
      <c r="E527" s="1"/>
    </row>
    <row r="528" spans="1:5" x14ac:dyDescent="0.25">
      <c r="A528" s="1"/>
      <c r="B528" s="1"/>
      <c r="C528" s="1"/>
      <c r="D528" s="1"/>
      <c r="E528" s="1"/>
    </row>
    <row r="529" spans="1:5" x14ac:dyDescent="0.25">
      <c r="A529" s="1"/>
      <c r="B529" s="1"/>
      <c r="C529" s="1"/>
      <c r="D529" s="1"/>
      <c r="E529" s="1"/>
    </row>
    <row r="530" spans="1:5" x14ac:dyDescent="0.25">
      <c r="A530" s="1"/>
      <c r="B530" s="1"/>
      <c r="C530" s="1"/>
      <c r="D530" s="1"/>
      <c r="E530" s="1"/>
    </row>
    <row r="531" spans="1:5" x14ac:dyDescent="0.25">
      <c r="A531" s="1"/>
      <c r="B531" s="1"/>
      <c r="C531" s="1"/>
      <c r="D531" s="1"/>
      <c r="E531" s="1"/>
    </row>
    <row r="532" spans="1:5" x14ac:dyDescent="0.25">
      <c r="A532" s="1"/>
      <c r="B532" s="1"/>
      <c r="C532" s="1"/>
      <c r="D532" s="1"/>
      <c r="E532" s="1"/>
    </row>
    <row r="533" spans="1:5" x14ac:dyDescent="0.25">
      <c r="A533" s="1"/>
      <c r="B533" s="1"/>
      <c r="C533" s="1"/>
      <c r="D533" s="1"/>
      <c r="E533" s="1"/>
    </row>
    <row r="534" spans="1:5" x14ac:dyDescent="0.25">
      <c r="A534" s="1"/>
      <c r="B534" s="1"/>
      <c r="C534" s="1"/>
      <c r="D534" s="1"/>
      <c r="E534" s="1"/>
    </row>
    <row r="535" spans="1:5" x14ac:dyDescent="0.25">
      <c r="A535" s="1"/>
      <c r="B535" s="1"/>
      <c r="C535" s="1"/>
      <c r="D535" s="1"/>
      <c r="E535" s="1"/>
    </row>
    <row r="536" spans="1:5" x14ac:dyDescent="0.25">
      <c r="A536" s="1"/>
      <c r="B536" s="1"/>
      <c r="C536" s="1"/>
      <c r="D536" s="1"/>
      <c r="E536" s="1"/>
    </row>
    <row r="537" spans="1:5" x14ac:dyDescent="0.25">
      <c r="A537" s="1"/>
      <c r="B537" s="1"/>
      <c r="C537" s="1"/>
      <c r="D537" s="1"/>
      <c r="E537" s="1"/>
    </row>
    <row r="538" spans="1:5" x14ac:dyDescent="0.25">
      <c r="A538" s="1"/>
      <c r="B538" s="1"/>
      <c r="C538" s="1"/>
      <c r="D538" s="1"/>
      <c r="E538" s="1"/>
    </row>
    <row r="539" spans="1:5" x14ac:dyDescent="0.25">
      <c r="A539" s="1"/>
      <c r="B539" s="1"/>
      <c r="C539" s="1"/>
      <c r="D539" s="1"/>
      <c r="E539" s="1"/>
    </row>
    <row r="540" spans="1:5" x14ac:dyDescent="0.25">
      <c r="A540" s="1"/>
      <c r="B540" s="1"/>
      <c r="C540" s="1"/>
      <c r="D540" s="1"/>
      <c r="E540" s="1"/>
    </row>
    <row r="541" spans="1:5" x14ac:dyDescent="0.25">
      <c r="A541" s="1"/>
      <c r="B541" s="1"/>
      <c r="C541" s="1"/>
      <c r="D541" s="1"/>
      <c r="E541" s="1"/>
    </row>
    <row r="542" spans="1:5" x14ac:dyDescent="0.25">
      <c r="A542" s="1"/>
      <c r="B542" s="1"/>
      <c r="C542" s="1"/>
      <c r="D542" s="1"/>
      <c r="E542" s="1"/>
    </row>
    <row r="543" spans="1:5" x14ac:dyDescent="0.25">
      <c r="A543" s="1"/>
      <c r="B543" s="1"/>
      <c r="C543" s="1"/>
      <c r="D543" s="1"/>
      <c r="E543" s="1"/>
    </row>
    <row r="544" spans="1:5" x14ac:dyDescent="0.25">
      <c r="A544" s="1"/>
      <c r="B544" s="1"/>
      <c r="C544" s="1"/>
      <c r="D544" s="1"/>
      <c r="E544" s="1"/>
    </row>
    <row r="545" spans="1:5" x14ac:dyDescent="0.25">
      <c r="A545" s="1"/>
      <c r="B545" s="1"/>
      <c r="C545" s="1"/>
      <c r="D545" s="1"/>
      <c r="E545" s="1"/>
    </row>
    <row r="546" spans="1:5" x14ac:dyDescent="0.25">
      <c r="A546" s="1"/>
      <c r="B546" s="1"/>
      <c r="C546" s="1"/>
      <c r="D546" s="1"/>
      <c r="E546" s="1"/>
    </row>
    <row r="547" spans="1:5" x14ac:dyDescent="0.25">
      <c r="A547" s="1"/>
      <c r="B547" s="1"/>
      <c r="C547" s="1"/>
      <c r="D547" s="1"/>
      <c r="E547" s="1"/>
    </row>
    <row r="548" spans="1:5" x14ac:dyDescent="0.25">
      <c r="A548" s="1"/>
      <c r="B548" s="1"/>
      <c r="C548" s="1"/>
      <c r="D548" s="1"/>
      <c r="E548" s="1"/>
    </row>
    <row r="549" spans="1:5" x14ac:dyDescent="0.25">
      <c r="A549" s="1"/>
      <c r="B549" s="1"/>
      <c r="C549" s="1"/>
      <c r="D549" s="1"/>
      <c r="E549" s="1"/>
    </row>
    <row r="550" spans="1:5" x14ac:dyDescent="0.25">
      <c r="A550" s="1"/>
      <c r="B550" s="1"/>
      <c r="C550" s="1"/>
      <c r="D550" s="1"/>
      <c r="E550" s="1"/>
    </row>
    <row r="551" spans="1:5" x14ac:dyDescent="0.25">
      <c r="A551" s="1"/>
      <c r="B551" s="1"/>
      <c r="C551" s="1"/>
      <c r="D551" s="1"/>
      <c r="E551" s="1"/>
    </row>
    <row r="552" spans="1:5" x14ac:dyDescent="0.25">
      <c r="A552" s="1"/>
      <c r="B552" s="1"/>
      <c r="C552" s="1"/>
      <c r="D552" s="1"/>
      <c r="E552" s="1"/>
    </row>
    <row r="553" spans="1:5" x14ac:dyDescent="0.25">
      <c r="A553" s="1"/>
      <c r="B553" s="1"/>
      <c r="C553" s="1"/>
      <c r="D553" s="1"/>
      <c r="E553" s="1"/>
    </row>
    <row r="554" spans="1:5" x14ac:dyDescent="0.25">
      <c r="A554" s="1"/>
      <c r="B554" s="1"/>
      <c r="C554" s="1"/>
      <c r="D554" s="1"/>
      <c r="E554" s="1"/>
    </row>
    <row r="555" spans="1:5" x14ac:dyDescent="0.25">
      <c r="A555" s="1"/>
      <c r="B555" s="1"/>
      <c r="C555" s="1"/>
      <c r="D555" s="1"/>
      <c r="E555" s="1"/>
    </row>
    <row r="556" spans="1:5" x14ac:dyDescent="0.25">
      <c r="A556" s="1"/>
      <c r="B556" s="1"/>
      <c r="C556" s="1"/>
      <c r="D556" s="1"/>
      <c r="E556" s="1"/>
    </row>
    <row r="557" spans="1:5" x14ac:dyDescent="0.25">
      <c r="A557" s="1"/>
      <c r="B557" s="1"/>
      <c r="C557" s="1"/>
      <c r="D557" s="1"/>
      <c r="E557" s="1"/>
    </row>
    <row r="558" spans="1:5" x14ac:dyDescent="0.25">
      <c r="A558" s="1"/>
      <c r="B558" s="1"/>
      <c r="C558" s="1"/>
      <c r="D558" s="1"/>
      <c r="E558" s="1"/>
    </row>
    <row r="559" spans="1:5" x14ac:dyDescent="0.25">
      <c r="A559" s="1"/>
      <c r="B559" s="1"/>
      <c r="C559" s="1"/>
      <c r="D559" s="1"/>
      <c r="E559" s="1"/>
    </row>
    <row r="560" spans="1:5" x14ac:dyDescent="0.25">
      <c r="A560" s="1"/>
      <c r="B560" s="1"/>
      <c r="C560" s="1"/>
      <c r="D560" s="1"/>
      <c r="E560" s="1"/>
    </row>
    <row r="561" spans="1:5" x14ac:dyDescent="0.25">
      <c r="A561" s="1"/>
      <c r="B561" s="1"/>
      <c r="C561" s="1"/>
      <c r="D561" s="1"/>
      <c r="E561" s="1"/>
    </row>
    <row r="562" spans="1:5" x14ac:dyDescent="0.25">
      <c r="A562" s="1"/>
      <c r="B562" s="1"/>
      <c r="C562" s="1"/>
      <c r="D562" s="1"/>
      <c r="E562" s="1"/>
    </row>
    <row r="563" spans="1:5" x14ac:dyDescent="0.25">
      <c r="A563" s="1"/>
      <c r="B563" s="1"/>
      <c r="C563" s="1"/>
      <c r="D563" s="1"/>
      <c r="E563" s="1"/>
    </row>
    <row r="564" spans="1:5" x14ac:dyDescent="0.25">
      <c r="A564" s="1"/>
      <c r="B564" s="1"/>
      <c r="C564" s="1"/>
      <c r="D564" s="1"/>
      <c r="E564" s="1"/>
    </row>
    <row r="565" spans="1:5" x14ac:dyDescent="0.25">
      <c r="A565" s="1"/>
      <c r="B565" s="1"/>
      <c r="C565" s="1"/>
      <c r="D565" s="1"/>
      <c r="E565" s="1"/>
    </row>
    <row r="566" spans="1:5" x14ac:dyDescent="0.25">
      <c r="A566" s="1"/>
      <c r="B566" s="1"/>
      <c r="C566" s="1"/>
      <c r="D566" s="1"/>
      <c r="E566" s="1"/>
    </row>
    <row r="567" spans="1:5" x14ac:dyDescent="0.25">
      <c r="A567" s="1"/>
      <c r="B567" s="1"/>
      <c r="C567" s="1"/>
      <c r="D567" s="1"/>
      <c r="E567" s="1"/>
    </row>
    <row r="568" spans="1:5" x14ac:dyDescent="0.25">
      <c r="A568" s="1"/>
      <c r="B568" s="1"/>
      <c r="C568" s="1"/>
      <c r="D568" s="1"/>
      <c r="E568" s="1"/>
    </row>
    <row r="569" spans="1:5" x14ac:dyDescent="0.25">
      <c r="A569" s="1"/>
      <c r="B569" s="1"/>
      <c r="C569" s="1"/>
      <c r="D569" s="1"/>
      <c r="E569" s="1"/>
    </row>
    <row r="570" spans="1:5" x14ac:dyDescent="0.25">
      <c r="A570" s="1"/>
      <c r="B570" s="1"/>
      <c r="C570" s="1"/>
      <c r="D570" s="1"/>
      <c r="E570" s="1"/>
    </row>
    <row r="571" spans="1:5" x14ac:dyDescent="0.25">
      <c r="A571" s="1"/>
      <c r="B571" s="1"/>
      <c r="C571" s="1"/>
      <c r="D571" s="1"/>
      <c r="E571" s="1"/>
    </row>
    <row r="572" spans="1:5" x14ac:dyDescent="0.25">
      <c r="A572" s="1"/>
      <c r="B572" s="1"/>
      <c r="C572" s="1"/>
      <c r="D572" s="1"/>
      <c r="E572" s="1"/>
    </row>
    <row r="573" spans="1:5" x14ac:dyDescent="0.25">
      <c r="A573" s="1"/>
      <c r="B573" s="1"/>
      <c r="C573" s="1"/>
      <c r="D573" s="1"/>
      <c r="E573" s="1"/>
    </row>
    <row r="574" spans="1:5" x14ac:dyDescent="0.25">
      <c r="A574" s="1"/>
      <c r="B574" s="1"/>
      <c r="C574" s="1"/>
      <c r="D574" s="1"/>
      <c r="E574" s="1"/>
    </row>
    <row r="575" spans="1:5" x14ac:dyDescent="0.25">
      <c r="A575" s="1"/>
      <c r="B575" s="1"/>
      <c r="C575" s="1"/>
      <c r="D575" s="1"/>
      <c r="E575" s="1"/>
    </row>
    <row r="576" spans="1:5" x14ac:dyDescent="0.25">
      <c r="A576" s="1"/>
      <c r="B576" s="1"/>
      <c r="C576" s="1"/>
      <c r="D576" s="1"/>
      <c r="E576" s="1"/>
    </row>
    <row r="577" spans="1:5" x14ac:dyDescent="0.25">
      <c r="A577" s="1"/>
      <c r="B577" s="1"/>
      <c r="C577" s="1"/>
      <c r="D577" s="1"/>
      <c r="E577" s="1"/>
    </row>
    <row r="578" spans="1:5" x14ac:dyDescent="0.25">
      <c r="A578" s="1"/>
      <c r="B578" s="1"/>
      <c r="C578" s="1"/>
      <c r="D578" s="1"/>
      <c r="E578" s="1"/>
    </row>
    <row r="579" spans="1:5" x14ac:dyDescent="0.25">
      <c r="A579" s="1"/>
      <c r="B579" s="1"/>
      <c r="C579" s="1"/>
      <c r="D579" s="1"/>
      <c r="E579" s="1"/>
    </row>
    <row r="580" spans="1:5" x14ac:dyDescent="0.25">
      <c r="A580" s="1"/>
      <c r="B580" s="1"/>
      <c r="C580" s="1"/>
      <c r="D580" s="1"/>
      <c r="E580" s="1"/>
    </row>
    <row r="581" spans="1:5" x14ac:dyDescent="0.25">
      <c r="A581" s="1"/>
      <c r="B581" s="1"/>
      <c r="C581" s="1"/>
      <c r="D581" s="1"/>
      <c r="E581" s="1"/>
    </row>
    <row r="582" spans="1:5" x14ac:dyDescent="0.25">
      <c r="A582" s="1"/>
      <c r="B582" s="1"/>
      <c r="C582" s="1"/>
      <c r="D582" s="1"/>
      <c r="E582" s="1"/>
    </row>
    <row r="583" spans="1:5" x14ac:dyDescent="0.25">
      <c r="A583" s="1"/>
      <c r="B583" s="1"/>
      <c r="C583" s="1"/>
      <c r="D583" s="1"/>
      <c r="E583" s="1"/>
    </row>
    <row r="584" spans="1:5" x14ac:dyDescent="0.25">
      <c r="A584" s="1"/>
      <c r="B584" s="1"/>
      <c r="C584" s="1"/>
      <c r="D584" s="1"/>
      <c r="E584" s="1"/>
    </row>
    <row r="585" spans="1:5" x14ac:dyDescent="0.25">
      <c r="A585" s="1"/>
      <c r="B585" s="1"/>
      <c r="C585" s="1"/>
      <c r="D585" s="1"/>
      <c r="E585" s="1"/>
    </row>
    <row r="586" spans="1:5" x14ac:dyDescent="0.25">
      <c r="A586" s="1"/>
      <c r="B586" s="1"/>
      <c r="C586" s="1"/>
      <c r="D586" s="1"/>
      <c r="E586" s="1"/>
    </row>
    <row r="587" spans="1:5" x14ac:dyDescent="0.25">
      <c r="A587" s="1"/>
      <c r="B587" s="1"/>
      <c r="C587" s="1"/>
      <c r="D587" s="1"/>
      <c r="E587" s="1"/>
    </row>
    <row r="588" spans="1:5" x14ac:dyDescent="0.25">
      <c r="A588" s="1"/>
      <c r="B588" s="1"/>
      <c r="C588" s="1"/>
      <c r="D588" s="1"/>
      <c r="E588" s="1"/>
    </row>
    <row r="589" spans="1:5" x14ac:dyDescent="0.25">
      <c r="A589" s="1"/>
      <c r="B589" s="1"/>
      <c r="C589" s="1"/>
      <c r="D589" s="1"/>
      <c r="E589" s="1"/>
    </row>
    <row r="590" spans="1:5" x14ac:dyDescent="0.25">
      <c r="A590" s="1"/>
      <c r="B590" s="1"/>
      <c r="C590" s="1"/>
      <c r="D590" s="1"/>
      <c r="E590" s="1"/>
    </row>
    <row r="591" spans="1:5" x14ac:dyDescent="0.25">
      <c r="A591" s="1"/>
      <c r="B591" s="1"/>
      <c r="C591" s="1"/>
      <c r="D591" s="1"/>
      <c r="E591" s="1"/>
    </row>
    <row r="592" spans="1:5" x14ac:dyDescent="0.25">
      <c r="A592" s="1"/>
      <c r="B592" s="1"/>
      <c r="C592" s="1"/>
      <c r="D592" s="1"/>
      <c r="E592" s="1"/>
    </row>
    <row r="593" spans="1:5" x14ac:dyDescent="0.25">
      <c r="A593" s="1"/>
      <c r="B593" s="1"/>
      <c r="C593" s="1"/>
      <c r="D593" s="1"/>
      <c r="E593" s="1"/>
    </row>
    <row r="594" spans="1:5" x14ac:dyDescent="0.25">
      <c r="A594" s="1"/>
      <c r="B594" s="1"/>
      <c r="C594" s="1"/>
      <c r="D594" s="1"/>
      <c r="E594" s="1"/>
    </row>
    <row r="595" spans="1:5" x14ac:dyDescent="0.25">
      <c r="A595" s="1"/>
      <c r="B595" s="1"/>
      <c r="C595" s="1"/>
      <c r="D595" s="1"/>
      <c r="E595" s="1"/>
    </row>
    <row r="596" spans="1:5" x14ac:dyDescent="0.25">
      <c r="A596" s="1"/>
      <c r="B596" s="1"/>
      <c r="C596" s="1"/>
      <c r="D596" s="1"/>
      <c r="E59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9F8C2-135B-4179-B983-D36438CA7387}">
  <dimension ref="A1:CA593"/>
  <sheetViews>
    <sheetView workbookViewId="0"/>
  </sheetViews>
  <sheetFormatPr defaultRowHeight="15" x14ac:dyDescent="0.25"/>
  <cols>
    <col min="1" max="1" width="10.7109375" customWidth="1"/>
    <col min="2" max="2" width="13.7109375" bestFit="1" customWidth="1"/>
    <col min="3" max="3" width="13.85546875" bestFit="1" customWidth="1"/>
    <col min="4" max="5" width="13.7109375" bestFit="1" customWidth="1"/>
    <col min="6" max="6" width="14.42578125" bestFit="1" customWidth="1"/>
    <col min="7" max="7" width="13.85546875" bestFit="1" customWidth="1"/>
    <col min="8" max="8" width="13.28515625" bestFit="1" customWidth="1"/>
    <col min="9" max="9" width="14" bestFit="1" customWidth="1"/>
    <col min="10" max="10" width="13.28515625" bestFit="1" customWidth="1"/>
    <col min="11" max="11" width="14.42578125" bestFit="1" customWidth="1"/>
    <col min="12" max="12" width="13.7109375" bestFit="1" customWidth="1"/>
    <col min="13" max="14" width="13.85546875" bestFit="1" customWidth="1"/>
    <col min="15" max="15" width="14" bestFit="1" customWidth="1"/>
    <col min="16" max="16" width="14.42578125" bestFit="1" customWidth="1"/>
    <col min="17" max="17" width="13.7109375" bestFit="1" customWidth="1"/>
    <col min="18" max="18" width="13.85546875" bestFit="1" customWidth="1"/>
    <col min="19" max="19" width="13.28515625" bestFit="1" customWidth="1"/>
    <col min="20" max="20" width="13.42578125" bestFit="1" customWidth="1"/>
    <col min="21" max="21" width="14.85546875" bestFit="1" customWidth="1"/>
    <col min="22" max="23" width="13.7109375" bestFit="1" customWidth="1"/>
    <col min="24" max="24" width="14.85546875" bestFit="1" customWidth="1"/>
    <col min="25" max="25" width="13.7109375" bestFit="1" customWidth="1"/>
    <col min="26" max="26" width="14.140625" bestFit="1" customWidth="1"/>
    <col min="27" max="27" width="13.42578125" bestFit="1" customWidth="1"/>
    <col min="28" max="28" width="13.85546875" bestFit="1" customWidth="1"/>
    <col min="29" max="29" width="13.7109375" bestFit="1" customWidth="1"/>
    <col min="30" max="30" width="14.140625" bestFit="1" customWidth="1"/>
    <col min="31" max="31" width="14.28515625" bestFit="1" customWidth="1"/>
    <col min="32" max="32" width="13.7109375" bestFit="1" customWidth="1"/>
    <col min="33" max="33" width="14.42578125" bestFit="1" customWidth="1"/>
    <col min="34" max="35" width="13.85546875" bestFit="1" customWidth="1"/>
    <col min="36" max="36" width="14.140625" bestFit="1" customWidth="1"/>
    <col min="37" max="37" width="13.7109375" bestFit="1" customWidth="1"/>
    <col min="38" max="38" width="13.42578125" bestFit="1" customWidth="1"/>
    <col min="39" max="39" width="13.7109375" bestFit="1" customWidth="1"/>
    <col min="40" max="40" width="14.5703125" bestFit="1" customWidth="1"/>
    <col min="41" max="42" width="13.85546875" bestFit="1" customWidth="1"/>
    <col min="43" max="43" width="14.5703125" bestFit="1" customWidth="1"/>
    <col min="44" max="44" width="13.7109375" bestFit="1" customWidth="1"/>
    <col min="45" max="45" width="14.140625" bestFit="1" customWidth="1"/>
    <col min="46" max="47" width="13.7109375" bestFit="1" customWidth="1"/>
    <col min="48" max="48" width="14.140625" bestFit="1" customWidth="1"/>
    <col min="49" max="49" width="13.7109375" bestFit="1" customWidth="1"/>
    <col min="50" max="50" width="14.140625" bestFit="1" customWidth="1"/>
  </cols>
  <sheetData>
    <row r="1" spans="1:79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</row>
    <row r="2" spans="1:79" x14ac:dyDescent="0.25">
      <c r="A2" s="1">
        <v>42062</v>
      </c>
      <c r="B2" s="2">
        <v>0</v>
      </c>
      <c r="C2" s="2">
        <v>0</v>
      </c>
      <c r="D2" s="2">
        <v>0</v>
      </c>
      <c r="E2" s="2">
        <v>2512.9574929999999</v>
      </c>
      <c r="F2" s="2">
        <v>0</v>
      </c>
      <c r="G2" s="2">
        <v>0</v>
      </c>
      <c r="H2" s="2">
        <v>2486.3806939999999</v>
      </c>
      <c r="I2" s="2">
        <v>0</v>
      </c>
      <c r="J2" s="2">
        <v>2488.7189309999999</v>
      </c>
      <c r="K2" s="2">
        <v>0</v>
      </c>
      <c r="L2" s="2">
        <v>0</v>
      </c>
      <c r="M2" s="2">
        <v>0</v>
      </c>
      <c r="N2" s="2">
        <v>0</v>
      </c>
      <c r="O2" s="2">
        <v>2531.5769660000001</v>
      </c>
      <c r="P2" s="2">
        <v>0</v>
      </c>
      <c r="Q2" s="2">
        <v>0</v>
      </c>
      <c r="R2" s="2">
        <v>0</v>
      </c>
      <c r="S2" s="2">
        <v>2500.681337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2525.6198570000001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4847.1715279999999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</row>
    <row r="3" spans="1:79" x14ac:dyDescent="0.25">
      <c r="A3" s="1">
        <v>42094</v>
      </c>
      <c r="B3" s="2">
        <v>0</v>
      </c>
      <c r="C3" s="2">
        <v>0</v>
      </c>
      <c r="D3" s="2">
        <v>0</v>
      </c>
      <c r="E3" s="2">
        <v>2502.853983</v>
      </c>
      <c r="F3" s="2">
        <v>0</v>
      </c>
      <c r="G3" s="2">
        <v>0</v>
      </c>
      <c r="H3" s="2">
        <v>2452.7113370000002</v>
      </c>
      <c r="I3" s="2">
        <v>0</v>
      </c>
      <c r="J3" s="2">
        <v>2507.6794030000001</v>
      </c>
      <c r="K3" s="2">
        <v>0</v>
      </c>
      <c r="L3" s="2">
        <v>0</v>
      </c>
      <c r="M3" s="2">
        <v>0</v>
      </c>
      <c r="N3" s="2">
        <v>0</v>
      </c>
      <c r="O3" s="2">
        <v>2468.7502439999998</v>
      </c>
      <c r="P3" s="2">
        <v>0</v>
      </c>
      <c r="Q3" s="2">
        <v>0</v>
      </c>
      <c r="R3" s="2">
        <v>0</v>
      </c>
      <c r="S3" s="2">
        <v>2437.789507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2493.4198609999999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4786.312414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</row>
    <row r="4" spans="1:79" x14ac:dyDescent="0.25">
      <c r="A4" s="1">
        <v>42124</v>
      </c>
      <c r="B4" s="2">
        <v>0</v>
      </c>
      <c r="C4" s="2">
        <v>0</v>
      </c>
      <c r="D4" s="2">
        <v>0</v>
      </c>
      <c r="E4" s="2">
        <v>2640.931564</v>
      </c>
      <c r="F4" s="2">
        <v>0</v>
      </c>
      <c r="G4" s="2">
        <v>0</v>
      </c>
      <c r="H4" s="2">
        <v>2591.837419</v>
      </c>
      <c r="I4" s="2">
        <v>0</v>
      </c>
      <c r="J4" s="2">
        <v>2633.2302140000002</v>
      </c>
      <c r="K4" s="2">
        <v>0</v>
      </c>
      <c r="L4" s="2">
        <v>0</v>
      </c>
      <c r="M4" s="2">
        <v>0</v>
      </c>
      <c r="N4" s="2">
        <v>0</v>
      </c>
      <c r="O4" s="2">
        <v>2665.361989</v>
      </c>
      <c r="P4" s="2">
        <v>0</v>
      </c>
      <c r="Q4" s="2">
        <v>0</v>
      </c>
      <c r="R4" s="2">
        <v>0</v>
      </c>
      <c r="S4" s="2">
        <v>2630.5617400000001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2635.5343280000002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5006.3020219999999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</row>
    <row r="5" spans="1:79" x14ac:dyDescent="0.25">
      <c r="A5" s="1">
        <v>42153</v>
      </c>
      <c r="B5" s="2">
        <v>0</v>
      </c>
      <c r="C5" s="2">
        <v>0</v>
      </c>
      <c r="D5" s="2">
        <v>0</v>
      </c>
      <c r="E5" s="2">
        <v>2647.1758810000001</v>
      </c>
      <c r="F5" s="2">
        <v>0</v>
      </c>
      <c r="G5" s="2">
        <v>0</v>
      </c>
      <c r="H5" s="2">
        <v>2719.862701</v>
      </c>
      <c r="I5" s="2">
        <v>0</v>
      </c>
      <c r="J5" s="2">
        <v>2474.076231</v>
      </c>
      <c r="K5" s="2">
        <v>0</v>
      </c>
      <c r="L5" s="2">
        <v>0</v>
      </c>
      <c r="M5" s="2">
        <v>0</v>
      </c>
      <c r="N5" s="2">
        <v>0</v>
      </c>
      <c r="O5" s="2">
        <v>2668.5618039999999</v>
      </c>
      <c r="P5" s="2">
        <v>0</v>
      </c>
      <c r="Q5" s="2">
        <v>0</v>
      </c>
      <c r="R5" s="2">
        <v>0</v>
      </c>
      <c r="S5" s="2">
        <v>2699.5264259999999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2667.206228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5167.9996529999999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</row>
    <row r="6" spans="1:79" x14ac:dyDescent="0.25">
      <c r="A6" s="1">
        <v>42185</v>
      </c>
      <c r="B6" s="2">
        <v>0</v>
      </c>
      <c r="C6" s="2">
        <v>0</v>
      </c>
      <c r="D6" s="2">
        <v>0</v>
      </c>
      <c r="E6" s="2">
        <v>2621.5089320000002</v>
      </c>
      <c r="F6" s="2">
        <v>0</v>
      </c>
      <c r="G6" s="2">
        <v>0</v>
      </c>
      <c r="H6" s="2">
        <v>2681.8877109999999</v>
      </c>
      <c r="I6" s="2">
        <v>0</v>
      </c>
      <c r="J6" s="2">
        <v>2671.2176100000001</v>
      </c>
      <c r="K6" s="2">
        <v>0</v>
      </c>
      <c r="L6" s="2">
        <v>0</v>
      </c>
      <c r="M6" s="2">
        <v>0</v>
      </c>
      <c r="N6" s="2">
        <v>0</v>
      </c>
      <c r="O6" s="2">
        <v>2620.4900720000001</v>
      </c>
      <c r="P6" s="2">
        <v>0</v>
      </c>
      <c r="Q6" s="2">
        <v>0</v>
      </c>
      <c r="R6" s="2">
        <v>0</v>
      </c>
      <c r="S6" s="2">
        <v>2672.5184530000001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2634.2859189999999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4891.9623730000003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</row>
    <row r="7" spans="1:79" x14ac:dyDescent="0.25">
      <c r="A7" s="1">
        <v>42216</v>
      </c>
      <c r="B7" s="2">
        <v>0</v>
      </c>
      <c r="C7" s="2">
        <v>0</v>
      </c>
      <c r="D7" s="2">
        <v>0</v>
      </c>
      <c r="E7" s="2">
        <v>2544.5330410000001</v>
      </c>
      <c r="F7" s="2">
        <v>0</v>
      </c>
      <c r="G7" s="2">
        <v>0</v>
      </c>
      <c r="H7" s="2">
        <v>2572.8945010000002</v>
      </c>
      <c r="I7" s="2">
        <v>0</v>
      </c>
      <c r="J7" s="2">
        <v>2612.1446420000002</v>
      </c>
      <c r="K7" s="2">
        <v>0</v>
      </c>
      <c r="L7" s="2">
        <v>0</v>
      </c>
      <c r="M7" s="2">
        <v>0</v>
      </c>
      <c r="N7" s="2">
        <v>0</v>
      </c>
      <c r="O7" s="2">
        <v>2535.7229870000001</v>
      </c>
      <c r="P7" s="2">
        <v>0</v>
      </c>
      <c r="Q7" s="2">
        <v>0</v>
      </c>
      <c r="R7" s="2">
        <v>0</v>
      </c>
      <c r="S7" s="2">
        <v>2595.6790299999998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2524.4941199999998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4885.3375720000004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</row>
    <row r="8" spans="1:79" x14ac:dyDescent="0.25">
      <c r="A8" s="1">
        <v>42247</v>
      </c>
      <c r="B8" s="2">
        <v>0</v>
      </c>
      <c r="C8" s="2">
        <v>0</v>
      </c>
      <c r="D8" s="2">
        <v>0</v>
      </c>
      <c r="E8" s="2">
        <v>2404.5772019999999</v>
      </c>
      <c r="F8" s="2">
        <v>0</v>
      </c>
      <c r="G8" s="2">
        <v>0</v>
      </c>
      <c r="H8" s="2">
        <v>2330.4614029999998</v>
      </c>
      <c r="I8" s="2">
        <v>0</v>
      </c>
      <c r="J8" s="2">
        <v>2413.2617439999999</v>
      </c>
      <c r="K8" s="2">
        <v>0</v>
      </c>
      <c r="L8" s="2">
        <v>0</v>
      </c>
      <c r="M8" s="2">
        <v>0</v>
      </c>
      <c r="N8" s="2">
        <v>0</v>
      </c>
      <c r="O8" s="2">
        <v>2376.3396670000002</v>
      </c>
      <c r="P8" s="2">
        <v>0</v>
      </c>
      <c r="Q8" s="2">
        <v>0</v>
      </c>
      <c r="R8" s="2">
        <v>0</v>
      </c>
      <c r="S8" s="2">
        <v>2363.0909660000002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2359.879649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4728.9496259999996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</row>
    <row r="9" spans="1:79" x14ac:dyDescent="0.25">
      <c r="A9" s="1">
        <v>42277</v>
      </c>
      <c r="B9" s="2">
        <v>0</v>
      </c>
      <c r="C9" s="2">
        <v>0</v>
      </c>
      <c r="D9" s="2">
        <v>0</v>
      </c>
      <c r="E9" s="2">
        <v>2374.2466749999999</v>
      </c>
      <c r="F9" s="2">
        <v>0</v>
      </c>
      <c r="G9" s="2">
        <v>0</v>
      </c>
      <c r="H9" s="2">
        <v>2255.9373009999999</v>
      </c>
      <c r="I9" s="2">
        <v>0</v>
      </c>
      <c r="J9" s="2">
        <v>2378.4288120000001</v>
      </c>
      <c r="K9" s="2">
        <v>0</v>
      </c>
      <c r="L9" s="2">
        <v>0</v>
      </c>
      <c r="M9" s="2">
        <v>0</v>
      </c>
      <c r="N9" s="2">
        <v>0</v>
      </c>
      <c r="O9" s="2">
        <v>2325.394785</v>
      </c>
      <c r="P9" s="2">
        <v>0</v>
      </c>
      <c r="Q9" s="2">
        <v>0</v>
      </c>
      <c r="R9" s="2">
        <v>0</v>
      </c>
      <c r="S9" s="2">
        <v>2310.1862799999999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2301.5331179999998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4608.9728510000004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</row>
    <row r="10" spans="1:79" x14ac:dyDescent="0.25">
      <c r="A10" s="1">
        <v>42307</v>
      </c>
      <c r="B10" s="2">
        <v>0</v>
      </c>
      <c r="C10" s="2">
        <v>0</v>
      </c>
      <c r="D10" s="2">
        <v>0</v>
      </c>
      <c r="E10" s="2">
        <v>2446.6755050000002</v>
      </c>
      <c r="F10" s="2">
        <v>0</v>
      </c>
      <c r="G10" s="2">
        <v>0</v>
      </c>
      <c r="H10" s="2">
        <v>2352.4638559999999</v>
      </c>
      <c r="I10" s="2">
        <v>0</v>
      </c>
      <c r="J10" s="2">
        <v>2459.1187070000001</v>
      </c>
      <c r="K10" s="2">
        <v>0</v>
      </c>
      <c r="L10" s="2">
        <v>0</v>
      </c>
      <c r="M10" s="2">
        <v>0</v>
      </c>
      <c r="N10" s="2">
        <v>0</v>
      </c>
      <c r="O10" s="2">
        <v>2395.494443</v>
      </c>
      <c r="P10" s="2">
        <v>0</v>
      </c>
      <c r="Q10" s="2">
        <v>0</v>
      </c>
      <c r="R10" s="2">
        <v>0</v>
      </c>
      <c r="S10" s="2">
        <v>2377.630279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2402.6498959999999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4938.7454189999999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</row>
    <row r="11" spans="1:79" x14ac:dyDescent="0.25">
      <c r="A11" s="1">
        <v>42338</v>
      </c>
      <c r="B11" s="2">
        <v>0</v>
      </c>
      <c r="C11" s="2">
        <v>0</v>
      </c>
      <c r="D11" s="2">
        <v>0</v>
      </c>
      <c r="E11" s="2">
        <v>2403.942599</v>
      </c>
      <c r="F11" s="2">
        <v>0</v>
      </c>
      <c r="G11" s="2">
        <v>0</v>
      </c>
      <c r="H11" s="2">
        <v>2396.3240289999999</v>
      </c>
      <c r="I11" s="2">
        <v>0</v>
      </c>
      <c r="J11" s="2">
        <v>2493.1448420000002</v>
      </c>
      <c r="K11" s="2">
        <v>0</v>
      </c>
      <c r="L11" s="2">
        <v>0</v>
      </c>
      <c r="M11" s="2">
        <v>0</v>
      </c>
      <c r="N11" s="2">
        <v>0</v>
      </c>
      <c r="O11" s="2">
        <v>2356.3943880000002</v>
      </c>
      <c r="P11" s="2">
        <v>0</v>
      </c>
      <c r="Q11" s="2">
        <v>0</v>
      </c>
      <c r="R11" s="2">
        <v>0</v>
      </c>
      <c r="S11" s="2">
        <v>2423.9440399999999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2368.2978899999998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5079.504594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</row>
    <row r="12" spans="1:79" x14ac:dyDescent="0.25">
      <c r="A12" s="1">
        <v>42369</v>
      </c>
      <c r="B12" s="2">
        <v>0</v>
      </c>
      <c r="C12" s="2">
        <v>0</v>
      </c>
      <c r="D12" s="2">
        <v>0</v>
      </c>
      <c r="E12" s="2">
        <v>2402.6214960000002</v>
      </c>
      <c r="F12" s="2">
        <v>0</v>
      </c>
      <c r="G12" s="2">
        <v>0</v>
      </c>
      <c r="H12" s="2">
        <v>2403.38841</v>
      </c>
      <c r="I12" s="2">
        <v>0</v>
      </c>
      <c r="J12" s="2">
        <v>2517.0652960000002</v>
      </c>
      <c r="K12" s="2">
        <v>0</v>
      </c>
      <c r="L12" s="2">
        <v>0</v>
      </c>
      <c r="M12" s="2">
        <v>0</v>
      </c>
      <c r="N12" s="2">
        <v>0</v>
      </c>
      <c r="O12" s="2">
        <v>2336.1304799999998</v>
      </c>
      <c r="P12" s="2">
        <v>0</v>
      </c>
      <c r="Q12" s="2">
        <v>0</v>
      </c>
      <c r="R12" s="2">
        <v>0</v>
      </c>
      <c r="S12" s="2">
        <v>2436.652478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2348.0985860000001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5049.6260380000003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</row>
    <row r="13" spans="1:79" x14ac:dyDescent="0.25">
      <c r="A13" s="1">
        <v>42398</v>
      </c>
      <c r="B13" s="2">
        <v>0</v>
      </c>
      <c r="C13" s="2">
        <v>0</v>
      </c>
      <c r="D13" s="2">
        <v>708.18429100000003</v>
      </c>
      <c r="E13" s="2">
        <v>2441.216461</v>
      </c>
      <c r="F13" s="2">
        <v>0</v>
      </c>
      <c r="G13" s="2">
        <v>0</v>
      </c>
      <c r="H13" s="2">
        <v>2415.130134</v>
      </c>
      <c r="I13" s="2">
        <v>0</v>
      </c>
      <c r="J13" s="2">
        <v>2576.1479570000001</v>
      </c>
      <c r="K13" s="2">
        <v>0</v>
      </c>
      <c r="L13" s="2">
        <v>2599.476122</v>
      </c>
      <c r="M13" s="2">
        <v>0</v>
      </c>
      <c r="N13" s="2">
        <v>0</v>
      </c>
      <c r="O13" s="2">
        <v>2386.3332489999998</v>
      </c>
      <c r="P13" s="2">
        <v>0</v>
      </c>
      <c r="Q13" s="2">
        <v>0</v>
      </c>
      <c r="R13" s="2">
        <v>0</v>
      </c>
      <c r="S13" s="2">
        <v>2451.9914910000002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2364.9119949999999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4743.282005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</row>
    <row r="14" spans="1:79" x14ac:dyDescent="0.25">
      <c r="A14" s="1">
        <v>42429</v>
      </c>
      <c r="B14" s="2">
        <v>0</v>
      </c>
      <c r="C14" s="2">
        <v>0</v>
      </c>
      <c r="D14" s="2">
        <v>722.12804100000005</v>
      </c>
      <c r="E14" s="2">
        <v>2510.6705919999999</v>
      </c>
      <c r="F14" s="2">
        <v>0</v>
      </c>
      <c r="G14" s="2">
        <v>0</v>
      </c>
      <c r="H14" s="2">
        <v>2378.5989100000002</v>
      </c>
      <c r="I14" s="2">
        <v>0</v>
      </c>
      <c r="J14" s="2">
        <v>2559.6344979999999</v>
      </c>
      <c r="K14" s="2">
        <v>0</v>
      </c>
      <c r="L14" s="2">
        <v>2647.8550719999998</v>
      </c>
      <c r="M14" s="2">
        <v>0</v>
      </c>
      <c r="N14" s="2">
        <v>0</v>
      </c>
      <c r="O14" s="2">
        <v>2432.7294350000002</v>
      </c>
      <c r="P14" s="2">
        <v>0</v>
      </c>
      <c r="Q14" s="2">
        <v>0</v>
      </c>
      <c r="R14" s="2">
        <v>0</v>
      </c>
      <c r="S14" s="2">
        <v>2440.6861399999998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2414.3970039999999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4892.650885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</row>
    <row r="15" spans="1:79" x14ac:dyDescent="0.25">
      <c r="A15" s="1">
        <v>42460</v>
      </c>
      <c r="B15" s="2">
        <v>0</v>
      </c>
      <c r="C15" s="2">
        <v>0</v>
      </c>
      <c r="D15" s="2">
        <v>826.77069100000006</v>
      </c>
      <c r="E15" s="2">
        <v>2795.4587820000002</v>
      </c>
      <c r="F15" s="2">
        <v>0</v>
      </c>
      <c r="G15" s="2">
        <v>0</v>
      </c>
      <c r="H15" s="2">
        <v>2701.8531910000002</v>
      </c>
      <c r="I15" s="2">
        <v>0</v>
      </c>
      <c r="J15" s="2">
        <v>2780.518141</v>
      </c>
      <c r="K15" s="2">
        <v>0</v>
      </c>
      <c r="L15" s="2">
        <v>2775.775443</v>
      </c>
      <c r="M15" s="2">
        <v>0</v>
      </c>
      <c r="N15" s="2">
        <v>0</v>
      </c>
      <c r="O15" s="2">
        <v>2745.3725789999999</v>
      </c>
      <c r="P15" s="2">
        <v>0</v>
      </c>
      <c r="Q15" s="2">
        <v>0</v>
      </c>
      <c r="R15" s="2">
        <v>0</v>
      </c>
      <c r="S15" s="2">
        <v>2744.8652480000001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2751.4035589999999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5489.8510299999998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</row>
    <row r="16" spans="1:79" x14ac:dyDescent="0.25">
      <c r="A16" s="1">
        <v>42489</v>
      </c>
      <c r="B16" s="2">
        <v>0</v>
      </c>
      <c r="C16" s="2">
        <v>0</v>
      </c>
      <c r="D16" s="2">
        <v>895.89871300000004</v>
      </c>
      <c r="E16" s="2">
        <v>2922.2084960000002</v>
      </c>
      <c r="F16" s="2">
        <v>0</v>
      </c>
      <c r="G16" s="2">
        <v>0</v>
      </c>
      <c r="H16" s="2">
        <v>2885.805699</v>
      </c>
      <c r="I16" s="2">
        <v>0</v>
      </c>
      <c r="J16" s="2">
        <v>2883.5607690000002</v>
      </c>
      <c r="K16" s="2">
        <v>0</v>
      </c>
      <c r="L16" s="2">
        <v>2882.844912</v>
      </c>
      <c r="M16" s="2">
        <v>0</v>
      </c>
      <c r="N16" s="2">
        <v>0</v>
      </c>
      <c r="O16" s="2">
        <v>2905.173945</v>
      </c>
      <c r="P16" s="2">
        <v>0</v>
      </c>
      <c r="Q16" s="2">
        <v>0</v>
      </c>
      <c r="R16" s="2">
        <v>0</v>
      </c>
      <c r="S16" s="2">
        <v>2895.398193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2929.5617860000002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5532.3437299999996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</row>
    <row r="17" spans="1:79" x14ac:dyDescent="0.25">
      <c r="A17" s="1">
        <v>42521</v>
      </c>
      <c r="B17" s="2">
        <v>0</v>
      </c>
      <c r="C17" s="2">
        <v>0</v>
      </c>
      <c r="D17" s="2">
        <v>878.92749900000001</v>
      </c>
      <c r="E17" s="2">
        <v>2825.286623</v>
      </c>
      <c r="F17" s="2">
        <v>0</v>
      </c>
      <c r="G17" s="2">
        <v>0</v>
      </c>
      <c r="H17" s="2">
        <v>2829.2267409999999</v>
      </c>
      <c r="I17" s="2">
        <v>0</v>
      </c>
      <c r="J17" s="2">
        <v>2891.4811800000002</v>
      </c>
      <c r="K17" s="2">
        <v>0</v>
      </c>
      <c r="L17" s="2">
        <v>2898.1845720000001</v>
      </c>
      <c r="M17" s="2">
        <v>0</v>
      </c>
      <c r="N17" s="2">
        <v>0</v>
      </c>
      <c r="O17" s="2">
        <v>2779.2253179999998</v>
      </c>
      <c r="P17" s="2">
        <v>0</v>
      </c>
      <c r="Q17" s="2">
        <v>0</v>
      </c>
      <c r="R17" s="2">
        <v>0</v>
      </c>
      <c r="S17" s="2">
        <v>2870.531637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2786.1681170000002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5593.1565199999995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</row>
    <row r="18" spans="1:79" x14ac:dyDescent="0.25">
      <c r="A18" s="1">
        <v>42551</v>
      </c>
      <c r="B18" s="2">
        <v>0</v>
      </c>
      <c r="C18" s="2">
        <v>0</v>
      </c>
      <c r="D18" s="2">
        <v>886.15885600000001</v>
      </c>
      <c r="E18" s="2">
        <v>2906.173859</v>
      </c>
      <c r="F18" s="2">
        <v>0</v>
      </c>
      <c r="G18" s="2">
        <v>0</v>
      </c>
      <c r="H18" s="2">
        <v>2949.7708189999998</v>
      </c>
      <c r="I18" s="2">
        <v>0</v>
      </c>
      <c r="J18" s="2">
        <v>2968.1095679999999</v>
      </c>
      <c r="K18" s="2">
        <v>0</v>
      </c>
      <c r="L18" s="2">
        <v>2925.5947719999999</v>
      </c>
      <c r="M18" s="2">
        <v>0</v>
      </c>
      <c r="N18" s="2">
        <v>0</v>
      </c>
      <c r="O18" s="2">
        <v>2878.3567539999999</v>
      </c>
      <c r="P18" s="2">
        <v>0</v>
      </c>
      <c r="Q18" s="2">
        <v>0</v>
      </c>
      <c r="R18" s="2">
        <v>0</v>
      </c>
      <c r="S18" s="2">
        <v>2949.588041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2914.8021520000002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</row>
    <row r="19" spans="1:79" x14ac:dyDescent="0.25">
      <c r="A19" s="1">
        <v>42580</v>
      </c>
      <c r="B19" s="2">
        <v>0</v>
      </c>
      <c r="C19" s="2">
        <v>0</v>
      </c>
      <c r="D19" s="2">
        <v>907.25582799999995</v>
      </c>
      <c r="E19" s="2">
        <v>2988.7003829999999</v>
      </c>
      <c r="F19" s="2">
        <v>0</v>
      </c>
      <c r="G19" s="2">
        <v>0</v>
      </c>
      <c r="H19" s="2">
        <v>3079.2532940000001</v>
      </c>
      <c r="I19" s="2">
        <v>0</v>
      </c>
      <c r="J19" s="2">
        <v>3041.6185329999998</v>
      </c>
      <c r="K19" s="2">
        <v>0</v>
      </c>
      <c r="L19" s="2">
        <v>2994.5976500000002</v>
      </c>
      <c r="M19" s="2">
        <v>0</v>
      </c>
      <c r="N19" s="2">
        <v>0</v>
      </c>
      <c r="O19" s="2">
        <v>3003.3547290000001</v>
      </c>
      <c r="P19" s="2">
        <v>0</v>
      </c>
      <c r="Q19" s="2">
        <v>0</v>
      </c>
      <c r="R19" s="2">
        <v>0</v>
      </c>
      <c r="S19" s="2">
        <v>3069.3389889999999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3044.3705909999999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5680.0835120000002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</row>
    <row r="20" spans="1:79" x14ac:dyDescent="0.25">
      <c r="A20" s="1">
        <v>42613</v>
      </c>
      <c r="B20" s="2">
        <v>0</v>
      </c>
      <c r="C20" s="2">
        <v>0</v>
      </c>
      <c r="D20" s="2">
        <v>903.30324399999995</v>
      </c>
      <c r="E20" s="2">
        <v>3029.4542970000002</v>
      </c>
      <c r="F20" s="2">
        <v>0</v>
      </c>
      <c r="G20" s="2">
        <v>0</v>
      </c>
      <c r="H20" s="2">
        <v>2998.4854439999999</v>
      </c>
      <c r="I20" s="2">
        <v>0</v>
      </c>
      <c r="J20" s="2">
        <v>3002.6200899999999</v>
      </c>
      <c r="K20" s="2">
        <v>0</v>
      </c>
      <c r="L20" s="2">
        <v>2951.9940969999998</v>
      </c>
      <c r="M20" s="2">
        <v>0</v>
      </c>
      <c r="N20" s="2">
        <v>0</v>
      </c>
      <c r="O20" s="2">
        <v>3023.0678499999999</v>
      </c>
      <c r="P20" s="2">
        <v>0</v>
      </c>
      <c r="Q20" s="2">
        <v>0</v>
      </c>
      <c r="R20" s="2">
        <v>0</v>
      </c>
      <c r="S20" s="2">
        <v>3014.4881650000002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3047.7176049999998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5700.9997329999997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</row>
    <row r="21" spans="1:79" x14ac:dyDescent="0.25">
      <c r="A21" s="1">
        <v>42643</v>
      </c>
      <c r="B21" s="2">
        <v>0</v>
      </c>
      <c r="C21" s="2">
        <v>0</v>
      </c>
      <c r="D21" s="2">
        <v>936.978835</v>
      </c>
      <c r="E21" s="2">
        <v>3079.4200879999999</v>
      </c>
      <c r="F21" s="2">
        <v>0</v>
      </c>
      <c r="G21" s="2">
        <v>0</v>
      </c>
      <c r="H21" s="2">
        <v>3075.6166629999998</v>
      </c>
      <c r="I21" s="2">
        <v>0</v>
      </c>
      <c r="J21" s="2">
        <v>3026.339551</v>
      </c>
      <c r="K21" s="2">
        <v>0</v>
      </c>
      <c r="L21" s="2">
        <v>2990.1350590000002</v>
      </c>
      <c r="M21" s="2">
        <v>0</v>
      </c>
      <c r="N21" s="2">
        <v>0</v>
      </c>
      <c r="O21" s="2">
        <v>3087.311827</v>
      </c>
      <c r="P21" s="2">
        <v>0</v>
      </c>
      <c r="Q21" s="2">
        <v>0</v>
      </c>
      <c r="R21" s="2">
        <v>0</v>
      </c>
      <c r="S21" s="2">
        <v>3047.7385869999998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3127.3344280000001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</row>
    <row r="22" spans="1:79" x14ac:dyDescent="0.25">
      <c r="A22" s="1">
        <v>42674</v>
      </c>
      <c r="B22" s="2">
        <v>0</v>
      </c>
      <c r="C22" s="2">
        <v>0</v>
      </c>
      <c r="D22" s="2">
        <v>955.35242700000003</v>
      </c>
      <c r="E22" s="2">
        <v>3093.1607650000001</v>
      </c>
      <c r="F22" s="2">
        <v>0</v>
      </c>
      <c r="G22" s="2">
        <v>0</v>
      </c>
      <c r="H22" s="2">
        <v>3108.872836</v>
      </c>
      <c r="I22" s="2">
        <v>0</v>
      </c>
      <c r="J22" s="2">
        <v>3045.492287</v>
      </c>
      <c r="K22" s="2">
        <v>0</v>
      </c>
      <c r="L22" s="2">
        <v>3003.1346840000001</v>
      </c>
      <c r="M22" s="2">
        <v>0</v>
      </c>
      <c r="N22" s="2">
        <v>0</v>
      </c>
      <c r="O22" s="2">
        <v>3121.876538</v>
      </c>
      <c r="P22" s="2">
        <v>0</v>
      </c>
      <c r="Q22" s="2">
        <v>0</v>
      </c>
      <c r="R22" s="2">
        <v>0</v>
      </c>
      <c r="S22" s="2">
        <v>3072.5406929999999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3156.5413140000001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5671.4950609999996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</row>
    <row r="23" spans="1:79" x14ac:dyDescent="0.25">
      <c r="A23" s="1">
        <v>42704</v>
      </c>
      <c r="B23" s="2">
        <v>0</v>
      </c>
      <c r="C23" s="2">
        <v>0</v>
      </c>
      <c r="D23" s="2">
        <v>941.25538400000005</v>
      </c>
      <c r="E23" s="2">
        <v>2936.6639879999998</v>
      </c>
      <c r="F23" s="2">
        <v>0</v>
      </c>
      <c r="G23" s="2">
        <v>0</v>
      </c>
      <c r="H23" s="2">
        <v>2990.0804469999998</v>
      </c>
      <c r="I23" s="2">
        <v>0</v>
      </c>
      <c r="J23" s="2">
        <v>3001.0456079999999</v>
      </c>
      <c r="K23" s="2">
        <v>0</v>
      </c>
      <c r="L23" s="2">
        <v>2985.501557</v>
      </c>
      <c r="M23" s="2">
        <v>0</v>
      </c>
      <c r="N23" s="2">
        <v>0</v>
      </c>
      <c r="O23" s="2">
        <v>2929.6703440000001</v>
      </c>
      <c r="P23" s="2">
        <v>0</v>
      </c>
      <c r="Q23" s="2">
        <v>0</v>
      </c>
      <c r="R23" s="2">
        <v>0</v>
      </c>
      <c r="S23" s="2">
        <v>3003.4810000000002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2953.903378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5574.3018780000002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</row>
    <row r="24" spans="1:79" x14ac:dyDescent="0.25">
      <c r="A24" s="1">
        <v>42734</v>
      </c>
      <c r="B24" s="2">
        <v>0</v>
      </c>
      <c r="C24" s="2">
        <v>0</v>
      </c>
      <c r="D24" s="2">
        <v>971.29090399999995</v>
      </c>
      <c r="E24" s="2">
        <v>3054.2914510000001</v>
      </c>
      <c r="F24" s="2">
        <v>0</v>
      </c>
      <c r="G24" s="2">
        <v>0</v>
      </c>
      <c r="H24" s="2">
        <v>3140.911959</v>
      </c>
      <c r="I24" s="2">
        <v>0</v>
      </c>
      <c r="J24" s="2">
        <v>3095.4485970000001</v>
      </c>
      <c r="K24" s="2">
        <v>0</v>
      </c>
      <c r="L24" s="2">
        <v>3039.907862</v>
      </c>
      <c r="M24" s="2">
        <v>0</v>
      </c>
      <c r="N24" s="2">
        <v>0</v>
      </c>
      <c r="O24" s="2">
        <v>3067.5881479999998</v>
      </c>
      <c r="P24" s="2">
        <v>0</v>
      </c>
      <c r="Q24" s="2">
        <v>0</v>
      </c>
      <c r="R24" s="2">
        <v>0</v>
      </c>
      <c r="S24" s="2">
        <v>3142.775623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3121.7289190000001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5527.0780100000002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</row>
    <row r="25" spans="1:79" x14ac:dyDescent="0.25">
      <c r="A25" s="1">
        <v>42766</v>
      </c>
      <c r="B25" s="2">
        <v>0</v>
      </c>
      <c r="C25" s="2">
        <v>0</v>
      </c>
      <c r="D25" s="2">
        <v>959.13014599999997</v>
      </c>
      <c r="E25" s="2">
        <v>3133.4598470000001</v>
      </c>
      <c r="F25" s="2">
        <v>0</v>
      </c>
      <c r="G25" s="2">
        <v>0</v>
      </c>
      <c r="H25" s="2">
        <v>3237.2765220000001</v>
      </c>
      <c r="I25" s="2">
        <v>0</v>
      </c>
      <c r="J25" s="2">
        <v>3156.959914</v>
      </c>
      <c r="K25" s="2">
        <v>0</v>
      </c>
      <c r="L25" s="2">
        <v>3104.5889299999999</v>
      </c>
      <c r="M25" s="2">
        <v>0</v>
      </c>
      <c r="N25" s="2">
        <v>0</v>
      </c>
      <c r="O25" s="2">
        <v>3157.6538839999998</v>
      </c>
      <c r="P25" s="2">
        <v>0</v>
      </c>
      <c r="Q25" s="2">
        <v>0</v>
      </c>
      <c r="R25" s="2">
        <v>0</v>
      </c>
      <c r="S25" s="2">
        <v>3213.5985150000001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3220.25054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5499.0477920000003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</row>
    <row r="26" spans="1:79" x14ac:dyDescent="0.25">
      <c r="A26" s="1">
        <v>42794</v>
      </c>
      <c r="B26" s="2">
        <v>0</v>
      </c>
      <c r="C26" s="2">
        <v>0</v>
      </c>
      <c r="D26" s="2">
        <v>1002.853819</v>
      </c>
      <c r="E26" s="2">
        <v>3308.8600449999999</v>
      </c>
      <c r="F26" s="2">
        <v>0</v>
      </c>
      <c r="G26" s="2">
        <v>0</v>
      </c>
      <c r="H26" s="2">
        <v>3375.0142209999999</v>
      </c>
      <c r="I26" s="2">
        <v>0</v>
      </c>
      <c r="J26" s="2">
        <v>3225.454855</v>
      </c>
      <c r="K26" s="2">
        <v>0</v>
      </c>
      <c r="L26" s="2">
        <v>3131.4384610000002</v>
      </c>
      <c r="M26" s="2">
        <v>0</v>
      </c>
      <c r="N26" s="2">
        <v>0</v>
      </c>
      <c r="O26" s="2">
        <v>3362.2611430000002</v>
      </c>
      <c r="P26" s="2">
        <v>0</v>
      </c>
      <c r="Q26" s="2">
        <v>0</v>
      </c>
      <c r="R26" s="2">
        <v>0</v>
      </c>
      <c r="S26" s="2">
        <v>3316.7344090000001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3455.6349749999999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5640.0862219999999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</row>
    <row r="27" spans="1:79" x14ac:dyDescent="0.25">
      <c r="A27" s="1">
        <v>42825</v>
      </c>
      <c r="B27" s="2">
        <v>0</v>
      </c>
      <c r="C27" s="2">
        <v>0</v>
      </c>
      <c r="D27" s="2">
        <v>1024.2477730000001</v>
      </c>
      <c r="E27" s="2">
        <v>3325.0028280000001</v>
      </c>
      <c r="F27" s="2">
        <v>0</v>
      </c>
      <c r="G27" s="2">
        <v>0</v>
      </c>
      <c r="H27" s="2">
        <v>3374.3812079999998</v>
      </c>
      <c r="I27" s="2">
        <v>0</v>
      </c>
      <c r="J27" s="2">
        <v>3245.5970950000001</v>
      </c>
      <c r="K27" s="2">
        <v>0</v>
      </c>
      <c r="L27" s="2">
        <v>3164.5208560000001</v>
      </c>
      <c r="M27" s="2">
        <v>0</v>
      </c>
      <c r="N27" s="2">
        <v>0</v>
      </c>
      <c r="O27" s="2">
        <v>3377.6744920000001</v>
      </c>
      <c r="P27" s="2">
        <v>0</v>
      </c>
      <c r="Q27" s="2">
        <v>0</v>
      </c>
      <c r="R27" s="2">
        <v>0</v>
      </c>
      <c r="S27" s="2">
        <v>3343.381382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3466.9928909999999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5734.0147729999999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</row>
    <row r="28" spans="1:79" x14ac:dyDescent="0.25">
      <c r="A28" s="1">
        <v>42853</v>
      </c>
      <c r="B28" s="2">
        <v>0</v>
      </c>
      <c r="C28" s="2">
        <v>0</v>
      </c>
      <c r="D28" s="2">
        <v>1017.6684310000001</v>
      </c>
      <c r="E28" s="2">
        <v>3278.6795649999999</v>
      </c>
      <c r="F28" s="2">
        <v>0</v>
      </c>
      <c r="G28" s="2">
        <v>0</v>
      </c>
      <c r="H28" s="2">
        <v>3337.1317239999998</v>
      </c>
      <c r="I28" s="2">
        <v>0</v>
      </c>
      <c r="J28" s="2">
        <v>3205.2183690000002</v>
      </c>
      <c r="K28" s="2">
        <v>0</v>
      </c>
      <c r="L28" s="2">
        <v>3158.2217340000002</v>
      </c>
      <c r="M28" s="2">
        <v>0</v>
      </c>
      <c r="N28" s="2">
        <v>0</v>
      </c>
      <c r="O28" s="2">
        <v>3323.6588569999999</v>
      </c>
      <c r="P28" s="2">
        <v>0</v>
      </c>
      <c r="Q28" s="2">
        <v>0</v>
      </c>
      <c r="R28" s="2">
        <v>0</v>
      </c>
      <c r="S28" s="2">
        <v>3300.5206720000001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3414.2241389999999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</row>
    <row r="29" spans="1:79" x14ac:dyDescent="0.25">
      <c r="A29" s="1">
        <v>42886</v>
      </c>
      <c r="B29" s="2">
        <v>0</v>
      </c>
      <c r="C29" s="2">
        <v>0</v>
      </c>
      <c r="D29" s="2">
        <v>1002.549671</v>
      </c>
      <c r="E29" s="2">
        <v>3150.3263750000001</v>
      </c>
      <c r="F29" s="2">
        <v>0</v>
      </c>
      <c r="G29" s="2">
        <v>0</v>
      </c>
      <c r="H29" s="2">
        <v>3238.9366610000002</v>
      </c>
      <c r="I29" s="2">
        <v>0</v>
      </c>
      <c r="J29" s="2">
        <v>3169.517124</v>
      </c>
      <c r="K29" s="2">
        <v>0</v>
      </c>
      <c r="L29" s="2">
        <v>3131.6063989999998</v>
      </c>
      <c r="M29" s="2">
        <v>0</v>
      </c>
      <c r="N29" s="2">
        <v>0</v>
      </c>
      <c r="O29" s="2">
        <v>3167.580058</v>
      </c>
      <c r="P29" s="2">
        <v>0</v>
      </c>
      <c r="Q29" s="2">
        <v>0</v>
      </c>
      <c r="R29" s="2">
        <v>0</v>
      </c>
      <c r="S29" s="2">
        <v>3222.5525590000002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3218.6724290000002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5138.3569749999997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</row>
    <row r="30" spans="1:79" x14ac:dyDescent="0.25">
      <c r="A30" s="1">
        <v>42916</v>
      </c>
      <c r="B30" s="2">
        <v>0</v>
      </c>
      <c r="C30" s="2">
        <v>0</v>
      </c>
      <c r="D30" s="2">
        <v>972.05696999999998</v>
      </c>
      <c r="E30" s="2">
        <v>3151.3251289999998</v>
      </c>
      <c r="F30" s="2">
        <v>0</v>
      </c>
      <c r="G30" s="2">
        <v>0</v>
      </c>
      <c r="H30" s="2">
        <v>3229.0146340000001</v>
      </c>
      <c r="I30" s="2">
        <v>0</v>
      </c>
      <c r="J30" s="2">
        <v>3177.8340269999999</v>
      </c>
      <c r="K30" s="2">
        <v>0</v>
      </c>
      <c r="L30" s="2">
        <v>3141.4528489999998</v>
      </c>
      <c r="M30" s="2">
        <v>0</v>
      </c>
      <c r="N30" s="2">
        <v>0</v>
      </c>
      <c r="O30" s="2">
        <v>3153.3691159999998</v>
      </c>
      <c r="P30" s="2">
        <v>0</v>
      </c>
      <c r="Q30" s="2">
        <v>0</v>
      </c>
      <c r="R30" s="2">
        <v>0</v>
      </c>
      <c r="S30" s="2">
        <v>3227.4411829999999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3209.4049420000001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5109.9394469999997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</row>
    <row r="31" spans="1:79" x14ac:dyDescent="0.25">
      <c r="A31" s="1">
        <v>42947</v>
      </c>
      <c r="B31" s="2">
        <v>0</v>
      </c>
      <c r="C31" s="2">
        <v>0</v>
      </c>
      <c r="D31" s="2">
        <v>1011.7989</v>
      </c>
      <c r="E31" s="2">
        <v>3295.4839449999999</v>
      </c>
      <c r="F31" s="2">
        <v>0</v>
      </c>
      <c r="G31" s="2">
        <v>0</v>
      </c>
      <c r="H31" s="2">
        <v>3392.9782610000002</v>
      </c>
      <c r="I31" s="2">
        <v>0</v>
      </c>
      <c r="J31" s="2">
        <v>3302.8920640000001</v>
      </c>
      <c r="K31" s="2">
        <v>0</v>
      </c>
      <c r="L31" s="2">
        <v>3271.891153</v>
      </c>
      <c r="M31" s="2">
        <v>0</v>
      </c>
      <c r="N31" s="2">
        <v>0</v>
      </c>
      <c r="O31" s="2">
        <v>3319.3731819999998</v>
      </c>
      <c r="P31" s="2">
        <v>0</v>
      </c>
      <c r="Q31" s="2">
        <v>0</v>
      </c>
      <c r="R31" s="2">
        <v>0</v>
      </c>
      <c r="S31" s="2">
        <v>3379.7909709999999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3388.8669650000002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</row>
    <row r="32" spans="1:79" x14ac:dyDescent="0.25">
      <c r="A32" s="1">
        <v>42978</v>
      </c>
      <c r="B32" s="2">
        <v>0</v>
      </c>
      <c r="C32" s="2">
        <v>0</v>
      </c>
      <c r="D32" s="2">
        <v>1020.594688</v>
      </c>
      <c r="E32" s="2">
        <v>3352.8417909999998</v>
      </c>
      <c r="F32" s="2">
        <v>0</v>
      </c>
      <c r="G32" s="2">
        <v>0</v>
      </c>
      <c r="H32" s="2">
        <v>3352.222366</v>
      </c>
      <c r="I32" s="2">
        <v>0</v>
      </c>
      <c r="J32" s="2">
        <v>3267.6619209999999</v>
      </c>
      <c r="K32" s="2">
        <v>0</v>
      </c>
      <c r="L32" s="2">
        <v>3242.1723080000002</v>
      </c>
      <c r="M32" s="2">
        <v>0</v>
      </c>
      <c r="N32" s="2">
        <v>0</v>
      </c>
      <c r="O32" s="2">
        <v>3355.7675180000001</v>
      </c>
      <c r="P32" s="2">
        <v>0</v>
      </c>
      <c r="Q32" s="2">
        <v>0</v>
      </c>
      <c r="R32" s="2">
        <v>0</v>
      </c>
      <c r="S32" s="2">
        <v>3336.2135539999999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3426.8209040000002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5305.5602419999996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</row>
    <row r="33" spans="1:79" x14ac:dyDescent="0.25">
      <c r="A33" s="1">
        <v>43007</v>
      </c>
      <c r="B33" s="2">
        <v>0</v>
      </c>
      <c r="C33" s="2">
        <v>0</v>
      </c>
      <c r="D33" s="2">
        <v>1044.9396859999999</v>
      </c>
      <c r="E33" s="2">
        <v>3423.606499</v>
      </c>
      <c r="F33" s="2">
        <v>0</v>
      </c>
      <c r="G33" s="2">
        <v>0</v>
      </c>
      <c r="H33" s="2">
        <v>3452.640934</v>
      </c>
      <c r="I33" s="2">
        <v>0</v>
      </c>
      <c r="J33" s="2">
        <v>3329.926465</v>
      </c>
      <c r="K33" s="2">
        <v>0</v>
      </c>
      <c r="L33" s="2">
        <v>3289.049708</v>
      </c>
      <c r="M33" s="2">
        <v>0</v>
      </c>
      <c r="N33" s="2">
        <v>0</v>
      </c>
      <c r="O33" s="2">
        <v>3460.6701360000002</v>
      </c>
      <c r="P33" s="2">
        <v>0</v>
      </c>
      <c r="Q33" s="2">
        <v>0</v>
      </c>
      <c r="R33" s="2">
        <v>0</v>
      </c>
      <c r="S33" s="2">
        <v>3422.9569449999999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3538.2797380000002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</row>
    <row r="34" spans="1:79" x14ac:dyDescent="0.25">
      <c r="A34" s="1">
        <v>43039</v>
      </c>
      <c r="B34" s="2">
        <v>0</v>
      </c>
      <c r="C34" s="2">
        <v>0</v>
      </c>
      <c r="D34" s="2">
        <v>1042.2771009999999</v>
      </c>
      <c r="E34" s="2">
        <v>3391.174395</v>
      </c>
      <c r="F34" s="2">
        <v>0</v>
      </c>
      <c r="G34" s="2">
        <v>0</v>
      </c>
      <c r="H34" s="2">
        <v>3395.9953529999998</v>
      </c>
      <c r="I34" s="2">
        <v>0</v>
      </c>
      <c r="J34" s="2">
        <v>3308.6898200000001</v>
      </c>
      <c r="K34" s="2">
        <v>0</v>
      </c>
      <c r="L34" s="2">
        <v>3275.4895069999998</v>
      </c>
      <c r="M34" s="2">
        <v>0</v>
      </c>
      <c r="N34" s="2">
        <v>0</v>
      </c>
      <c r="O34" s="2">
        <v>3412.094396</v>
      </c>
      <c r="P34" s="2">
        <v>0</v>
      </c>
      <c r="Q34" s="2">
        <v>0</v>
      </c>
      <c r="R34" s="2">
        <v>0</v>
      </c>
      <c r="S34" s="2">
        <v>3379.5491539999998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3481.9756510000002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</row>
    <row r="35" spans="1:79" x14ac:dyDescent="0.25">
      <c r="A35" s="1">
        <v>43069</v>
      </c>
      <c r="B35" s="2">
        <v>0</v>
      </c>
      <c r="C35" s="2">
        <v>0</v>
      </c>
      <c r="D35" s="2">
        <v>1021.463843</v>
      </c>
      <c r="E35" s="2">
        <v>3248.0843970000001</v>
      </c>
      <c r="F35" s="2">
        <v>0</v>
      </c>
      <c r="G35" s="2">
        <v>0</v>
      </c>
      <c r="H35" s="2">
        <v>3337.6189380000001</v>
      </c>
      <c r="I35" s="2">
        <v>0</v>
      </c>
      <c r="J35" s="2">
        <v>3279.6678959999999</v>
      </c>
      <c r="K35" s="2">
        <v>0</v>
      </c>
      <c r="L35" s="2">
        <v>3260.0701939999999</v>
      </c>
      <c r="M35" s="2">
        <v>0</v>
      </c>
      <c r="N35" s="2">
        <v>0</v>
      </c>
      <c r="O35" s="2">
        <v>3270.9261700000002</v>
      </c>
      <c r="P35" s="2">
        <v>0</v>
      </c>
      <c r="Q35" s="2">
        <v>0</v>
      </c>
      <c r="R35" s="2">
        <v>0</v>
      </c>
      <c r="S35" s="2">
        <v>3312.3691009999998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3315.7191870000001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</row>
    <row r="36" spans="1:79" x14ac:dyDescent="0.25">
      <c r="A36" s="1">
        <v>43098</v>
      </c>
      <c r="B36" s="2">
        <v>0</v>
      </c>
      <c r="C36" s="2">
        <v>0</v>
      </c>
      <c r="D36" s="2">
        <v>1039.304269</v>
      </c>
      <c r="E36" s="2">
        <v>3273.8485580000001</v>
      </c>
      <c r="F36" s="2">
        <v>0</v>
      </c>
      <c r="G36" s="2">
        <v>0</v>
      </c>
      <c r="H36" s="2">
        <v>3358.5804830000002</v>
      </c>
      <c r="I36" s="2">
        <v>0</v>
      </c>
      <c r="J36" s="2">
        <v>3301.746502</v>
      </c>
      <c r="K36" s="2">
        <v>0</v>
      </c>
      <c r="L36" s="2">
        <v>3294.0154539999999</v>
      </c>
      <c r="M36" s="2">
        <v>0</v>
      </c>
      <c r="N36" s="2">
        <v>0</v>
      </c>
      <c r="O36" s="2">
        <v>3291.022594</v>
      </c>
      <c r="P36" s="2">
        <v>0</v>
      </c>
      <c r="Q36" s="2">
        <v>0</v>
      </c>
      <c r="R36" s="2">
        <v>0</v>
      </c>
      <c r="S36" s="2">
        <v>3342.8998409999999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3336.528632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</row>
    <row r="37" spans="1:79" x14ac:dyDescent="0.25">
      <c r="A37" s="1">
        <v>43131</v>
      </c>
      <c r="B37" s="2">
        <v>0</v>
      </c>
      <c r="C37" s="2">
        <v>0</v>
      </c>
      <c r="D37" s="2">
        <v>1025.3446449999999</v>
      </c>
      <c r="E37" s="2">
        <v>3444.1076790000002</v>
      </c>
      <c r="F37" s="2">
        <v>1017.022712</v>
      </c>
      <c r="G37" s="2">
        <v>0</v>
      </c>
      <c r="H37" s="2">
        <v>3563.2454459999999</v>
      </c>
      <c r="I37" s="2">
        <v>0</v>
      </c>
      <c r="J37" s="2">
        <v>3453.224929</v>
      </c>
      <c r="K37" s="2">
        <v>3442.4746930000001</v>
      </c>
      <c r="L37" s="2">
        <v>3418.6056279999998</v>
      </c>
      <c r="M37" s="2">
        <v>0</v>
      </c>
      <c r="N37" s="2">
        <v>0</v>
      </c>
      <c r="O37" s="2">
        <v>3483.1039919999998</v>
      </c>
      <c r="P37" s="2">
        <v>0</v>
      </c>
      <c r="Q37" s="2">
        <v>0</v>
      </c>
      <c r="R37" s="2">
        <v>0</v>
      </c>
      <c r="S37" s="2">
        <v>3537.1390379999998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3548.7744440000001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</row>
    <row r="38" spans="1:79" x14ac:dyDescent="0.25">
      <c r="A38" s="1">
        <v>43159</v>
      </c>
      <c r="B38" s="2">
        <v>0</v>
      </c>
      <c r="C38" s="2">
        <v>0</v>
      </c>
      <c r="D38" s="2">
        <v>1041.7587149999999</v>
      </c>
      <c r="E38" s="2">
        <v>3452.2787490000001</v>
      </c>
      <c r="F38" s="2">
        <v>1034.8556639999999</v>
      </c>
      <c r="G38" s="2">
        <v>0</v>
      </c>
      <c r="H38" s="2">
        <v>3506.00099</v>
      </c>
      <c r="I38" s="2">
        <v>0</v>
      </c>
      <c r="J38" s="2">
        <v>3374.091981</v>
      </c>
      <c r="K38" s="2">
        <v>3347.6514499999998</v>
      </c>
      <c r="L38" s="2">
        <v>3329.078231</v>
      </c>
      <c r="M38" s="2">
        <v>0</v>
      </c>
      <c r="N38" s="2">
        <v>0</v>
      </c>
      <c r="O38" s="2">
        <v>3516.2052490000001</v>
      </c>
      <c r="P38" s="2">
        <v>0</v>
      </c>
      <c r="Q38" s="2">
        <v>0</v>
      </c>
      <c r="R38" s="2">
        <v>0</v>
      </c>
      <c r="S38" s="2">
        <v>3463.2140680000002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3566.4832459999998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</row>
    <row r="39" spans="1:79" x14ac:dyDescent="0.25">
      <c r="A39" s="1">
        <v>43189</v>
      </c>
      <c r="B39" s="2">
        <v>0</v>
      </c>
      <c r="C39" s="2">
        <v>0</v>
      </c>
      <c r="D39" s="2">
        <v>1055.510389</v>
      </c>
      <c r="E39" s="2">
        <v>3464.373677</v>
      </c>
      <c r="F39" s="2">
        <v>1049.3747289999999</v>
      </c>
      <c r="G39" s="2">
        <v>0</v>
      </c>
      <c r="H39" s="2">
        <v>3483.9233570000001</v>
      </c>
      <c r="I39" s="2">
        <v>0</v>
      </c>
      <c r="J39" s="2">
        <v>3394.5993779999999</v>
      </c>
      <c r="K39" s="2">
        <v>3379.3048269999999</v>
      </c>
      <c r="L39" s="2">
        <v>3383.9584909999999</v>
      </c>
      <c r="M39" s="2">
        <v>0</v>
      </c>
      <c r="N39" s="2">
        <v>0</v>
      </c>
      <c r="O39" s="2">
        <v>3499.092216</v>
      </c>
      <c r="P39" s="2">
        <v>0</v>
      </c>
      <c r="Q39" s="2">
        <v>0</v>
      </c>
      <c r="R39" s="2">
        <v>0</v>
      </c>
      <c r="S39" s="2">
        <v>3459.4287770000001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3544.8471119999999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</row>
    <row r="40" spans="1:79" x14ac:dyDescent="0.25">
      <c r="A40" s="1">
        <v>43220</v>
      </c>
      <c r="B40" s="2">
        <v>0</v>
      </c>
      <c r="C40" s="2">
        <v>0</v>
      </c>
      <c r="D40" s="2">
        <v>1053.318135</v>
      </c>
      <c r="E40" s="2">
        <v>3442.1248049999999</v>
      </c>
      <c r="F40" s="2">
        <v>1046.2169369999999</v>
      </c>
      <c r="G40" s="2">
        <v>0</v>
      </c>
      <c r="H40" s="2">
        <v>3451.5498400000001</v>
      </c>
      <c r="I40" s="2">
        <v>0</v>
      </c>
      <c r="J40" s="2">
        <v>3385.583807</v>
      </c>
      <c r="K40" s="2">
        <v>3376.4351660000002</v>
      </c>
      <c r="L40" s="2">
        <v>3378.9902750000001</v>
      </c>
      <c r="M40" s="2">
        <v>0</v>
      </c>
      <c r="N40" s="2">
        <v>0</v>
      </c>
      <c r="O40" s="2">
        <v>3471.3826450000001</v>
      </c>
      <c r="P40" s="2">
        <v>0</v>
      </c>
      <c r="Q40" s="2">
        <v>0</v>
      </c>
      <c r="R40" s="2">
        <v>0</v>
      </c>
      <c r="S40" s="2">
        <v>3432.9485239999999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3510.1115850000001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</row>
    <row r="41" spans="1:79" x14ac:dyDescent="0.25">
      <c r="A41" s="1">
        <v>43251</v>
      </c>
      <c r="B41" s="2">
        <v>0</v>
      </c>
      <c r="C41" s="2">
        <v>0</v>
      </c>
      <c r="D41" s="2">
        <v>973.99654199999998</v>
      </c>
      <c r="E41" s="2">
        <v>3207.9815789999998</v>
      </c>
      <c r="F41" s="2">
        <v>957.62198100000001</v>
      </c>
      <c r="G41" s="2">
        <v>0</v>
      </c>
      <c r="H41" s="2">
        <v>3266.9292719999999</v>
      </c>
      <c r="I41" s="2">
        <v>0</v>
      </c>
      <c r="J41" s="2">
        <v>3254.4338870000001</v>
      </c>
      <c r="K41" s="2">
        <v>3245.8400409999999</v>
      </c>
      <c r="L41" s="2">
        <v>3251.1969640000002</v>
      </c>
      <c r="M41" s="2">
        <v>0</v>
      </c>
      <c r="N41" s="2">
        <v>0</v>
      </c>
      <c r="O41" s="2">
        <v>3199.6000399999998</v>
      </c>
      <c r="P41" s="2">
        <v>0</v>
      </c>
      <c r="Q41" s="2">
        <v>0</v>
      </c>
      <c r="R41" s="2">
        <v>0</v>
      </c>
      <c r="S41" s="2">
        <v>3262.2923489999998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3224.2954249999998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</row>
    <row r="42" spans="1:79" x14ac:dyDescent="0.25">
      <c r="A42" s="1">
        <v>43280</v>
      </c>
      <c r="B42" s="2">
        <v>0</v>
      </c>
      <c r="C42" s="2">
        <v>0</v>
      </c>
      <c r="D42" s="2">
        <v>962.25930100000005</v>
      </c>
      <c r="E42" s="2">
        <v>3175.2053559999999</v>
      </c>
      <c r="F42" s="2">
        <v>945.27134799999999</v>
      </c>
      <c r="G42" s="2">
        <v>0</v>
      </c>
      <c r="H42" s="2">
        <v>3202.2835960000002</v>
      </c>
      <c r="I42" s="2">
        <v>0</v>
      </c>
      <c r="J42" s="2">
        <v>3216.1811739999998</v>
      </c>
      <c r="K42" s="2">
        <v>3224.576204</v>
      </c>
      <c r="L42" s="2">
        <v>3227.1521280000002</v>
      </c>
      <c r="M42" s="2">
        <v>0</v>
      </c>
      <c r="N42" s="2">
        <v>0</v>
      </c>
      <c r="O42" s="2">
        <v>3155.6686770000001</v>
      </c>
      <c r="P42" s="2">
        <v>0</v>
      </c>
      <c r="Q42" s="2">
        <v>0</v>
      </c>
      <c r="R42" s="2">
        <v>0</v>
      </c>
      <c r="S42" s="2">
        <v>3214.9894210000002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3156.5718019999999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</row>
    <row r="43" spans="1:79" x14ac:dyDescent="0.25">
      <c r="A43" s="1">
        <v>43312</v>
      </c>
      <c r="B43" s="2">
        <v>0</v>
      </c>
      <c r="C43" s="2">
        <v>0</v>
      </c>
      <c r="D43" s="2">
        <v>953.56241</v>
      </c>
      <c r="E43" s="2">
        <v>3276.7003100000002</v>
      </c>
      <c r="F43" s="2">
        <v>941.11001099999999</v>
      </c>
      <c r="G43" s="2">
        <v>0</v>
      </c>
      <c r="H43" s="2">
        <v>3335.5383240000001</v>
      </c>
      <c r="I43" s="2">
        <v>0</v>
      </c>
      <c r="J43" s="2">
        <v>3307.233365</v>
      </c>
      <c r="K43" s="2">
        <v>3315.2476270000002</v>
      </c>
      <c r="L43" s="2">
        <v>3307.5181360000001</v>
      </c>
      <c r="M43" s="2">
        <v>0</v>
      </c>
      <c r="N43" s="2">
        <v>0</v>
      </c>
      <c r="O43" s="2">
        <v>3281.1283389999999</v>
      </c>
      <c r="P43" s="2">
        <v>0</v>
      </c>
      <c r="Q43" s="2">
        <v>0</v>
      </c>
      <c r="R43" s="2">
        <v>0</v>
      </c>
      <c r="S43" s="2">
        <v>3339.4687859999999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3296.7531770000001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</row>
    <row r="44" spans="1:79" x14ac:dyDescent="0.25">
      <c r="A44" s="1">
        <v>43343</v>
      </c>
      <c r="B44" s="2">
        <v>0</v>
      </c>
      <c r="C44" s="2">
        <v>0</v>
      </c>
      <c r="D44" s="2">
        <v>913.13099899999997</v>
      </c>
      <c r="E44" s="2">
        <v>3275.7664749999999</v>
      </c>
      <c r="F44" s="2">
        <v>896.64502500000003</v>
      </c>
      <c r="G44" s="2">
        <v>0</v>
      </c>
      <c r="H44" s="2">
        <v>3213.7995209999999</v>
      </c>
      <c r="I44" s="2">
        <v>0</v>
      </c>
      <c r="J44" s="2">
        <v>3216.6550969999998</v>
      </c>
      <c r="K44" s="2">
        <v>3224.5322259999998</v>
      </c>
      <c r="L44" s="2">
        <v>3218.2474499999998</v>
      </c>
      <c r="M44" s="2">
        <v>0</v>
      </c>
      <c r="N44" s="2">
        <v>0</v>
      </c>
      <c r="O44" s="2">
        <v>3256.8087059999998</v>
      </c>
      <c r="P44" s="2">
        <v>0</v>
      </c>
      <c r="Q44" s="2">
        <v>0</v>
      </c>
      <c r="R44" s="2">
        <v>0</v>
      </c>
      <c r="S44" s="2">
        <v>3236.3776969999999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3263.820698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</row>
    <row r="45" spans="1:79" x14ac:dyDescent="0.25">
      <c r="A45" s="1">
        <v>43371</v>
      </c>
      <c r="B45" s="2">
        <v>0</v>
      </c>
      <c r="C45" s="2">
        <v>0</v>
      </c>
      <c r="D45" s="2">
        <v>942.86573099999998</v>
      </c>
      <c r="E45" s="2">
        <v>3235.734144</v>
      </c>
      <c r="F45" s="2">
        <v>925.21974299999999</v>
      </c>
      <c r="G45" s="2">
        <v>0</v>
      </c>
      <c r="H45" s="2">
        <v>3180.022676</v>
      </c>
      <c r="I45" s="2">
        <v>0</v>
      </c>
      <c r="J45" s="2">
        <v>3189.0265180000001</v>
      </c>
      <c r="K45" s="2">
        <v>3188.3611940000001</v>
      </c>
      <c r="L45" s="2">
        <v>3190.3791339999998</v>
      </c>
      <c r="M45" s="2">
        <v>0</v>
      </c>
      <c r="N45" s="2">
        <v>0</v>
      </c>
      <c r="O45" s="2">
        <v>3225.5063570000002</v>
      </c>
      <c r="P45" s="2">
        <v>0</v>
      </c>
      <c r="Q45" s="2">
        <v>0</v>
      </c>
      <c r="R45" s="2">
        <v>0</v>
      </c>
      <c r="S45" s="2">
        <v>3188.4741730000001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3230.2012850000001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</row>
    <row r="46" spans="1:79" x14ac:dyDescent="0.25">
      <c r="A46" s="1">
        <v>43404</v>
      </c>
      <c r="B46" s="2">
        <v>0</v>
      </c>
      <c r="C46" s="2">
        <v>0</v>
      </c>
      <c r="D46" s="2">
        <v>1031.9120270000001</v>
      </c>
      <c r="E46" s="2">
        <v>3551.5997470000002</v>
      </c>
      <c r="F46" s="2">
        <v>1021.547728</v>
      </c>
      <c r="G46" s="2">
        <v>0</v>
      </c>
      <c r="H46" s="2">
        <v>3587.5398599999999</v>
      </c>
      <c r="I46" s="2">
        <v>0</v>
      </c>
      <c r="J46" s="2">
        <v>3483.6434180000001</v>
      </c>
      <c r="K46" s="2">
        <v>3473.0586840000001</v>
      </c>
      <c r="L46" s="2">
        <v>3436.7460689999998</v>
      </c>
      <c r="M46" s="2">
        <v>0</v>
      </c>
      <c r="N46" s="2">
        <v>0</v>
      </c>
      <c r="O46" s="2">
        <v>3593.9765659999998</v>
      </c>
      <c r="P46" s="2">
        <v>0</v>
      </c>
      <c r="Q46" s="2">
        <v>0</v>
      </c>
      <c r="R46" s="2">
        <v>0</v>
      </c>
      <c r="S46" s="2">
        <v>3538.7105529999999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3658.2268170000002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</row>
    <row r="47" spans="1:79" x14ac:dyDescent="0.25">
      <c r="A47" s="1">
        <v>43434</v>
      </c>
      <c r="B47" s="2">
        <v>0</v>
      </c>
      <c r="C47" s="2">
        <v>0</v>
      </c>
      <c r="D47" s="2">
        <v>1055.203769</v>
      </c>
      <c r="E47" s="2">
        <v>3497.2837300000001</v>
      </c>
      <c r="F47" s="2">
        <v>1049.5037830000001</v>
      </c>
      <c r="G47" s="2">
        <v>0</v>
      </c>
      <c r="H47" s="2">
        <v>3664.6887360000001</v>
      </c>
      <c r="I47" s="2">
        <v>0</v>
      </c>
      <c r="J47" s="2">
        <v>3508.651965</v>
      </c>
      <c r="K47" s="2">
        <v>3488.6106319999999</v>
      </c>
      <c r="L47" s="2">
        <v>3446.7680690000002</v>
      </c>
      <c r="M47" s="2">
        <v>0</v>
      </c>
      <c r="N47" s="2">
        <v>0</v>
      </c>
      <c r="O47" s="2">
        <v>3569.332054</v>
      </c>
      <c r="P47" s="2">
        <v>0</v>
      </c>
      <c r="Q47" s="2">
        <v>0</v>
      </c>
      <c r="R47" s="2">
        <v>0</v>
      </c>
      <c r="S47" s="2">
        <v>3596.068577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3645.6458360000001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6342.6575339999999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</row>
    <row r="48" spans="1:79" x14ac:dyDescent="0.25">
      <c r="A48" s="1">
        <v>43465</v>
      </c>
      <c r="B48" s="2">
        <v>0</v>
      </c>
      <c r="C48" s="2">
        <v>0</v>
      </c>
      <c r="D48" s="2">
        <v>1094.566094</v>
      </c>
      <c r="E48" s="2">
        <v>3569.0741499999999</v>
      </c>
      <c r="F48" s="2">
        <v>1099.039659</v>
      </c>
      <c r="G48" s="2">
        <v>0</v>
      </c>
      <c r="H48" s="2">
        <v>3744.1661650000001</v>
      </c>
      <c r="I48" s="2">
        <v>0</v>
      </c>
      <c r="J48" s="2">
        <v>3569.9514559999998</v>
      </c>
      <c r="K48" s="2">
        <v>3544.5316659999999</v>
      </c>
      <c r="L48" s="2">
        <v>3509.044946</v>
      </c>
      <c r="M48" s="2">
        <v>0</v>
      </c>
      <c r="N48" s="2">
        <v>0</v>
      </c>
      <c r="O48" s="2">
        <v>3656.088409</v>
      </c>
      <c r="P48" s="2">
        <v>0</v>
      </c>
      <c r="Q48" s="2">
        <v>0</v>
      </c>
      <c r="R48" s="2">
        <v>0</v>
      </c>
      <c r="S48" s="2">
        <v>3678.699556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3742.3137240000001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</row>
    <row r="49" spans="1:79" x14ac:dyDescent="0.25">
      <c r="A49" s="1">
        <v>43496</v>
      </c>
      <c r="B49" s="2">
        <v>0</v>
      </c>
      <c r="C49" s="2">
        <v>0</v>
      </c>
      <c r="D49" s="2">
        <v>1076.899662</v>
      </c>
      <c r="E49" s="2">
        <v>3789.1794559999998</v>
      </c>
      <c r="F49" s="2">
        <v>1081.5090009999999</v>
      </c>
      <c r="G49" s="2">
        <v>0</v>
      </c>
      <c r="H49" s="2">
        <v>4062.2668250000002</v>
      </c>
      <c r="I49" s="2">
        <v>0</v>
      </c>
      <c r="J49" s="2">
        <v>3750.6970489999999</v>
      </c>
      <c r="K49" s="2">
        <v>3686.377133</v>
      </c>
      <c r="L49" s="2">
        <v>3623.1526439999998</v>
      </c>
      <c r="M49" s="2">
        <v>0</v>
      </c>
      <c r="N49" s="2">
        <v>0</v>
      </c>
      <c r="O49" s="2">
        <v>3933.1299359999998</v>
      </c>
      <c r="P49" s="2">
        <v>0</v>
      </c>
      <c r="Q49" s="2">
        <v>0</v>
      </c>
      <c r="R49" s="2">
        <v>0</v>
      </c>
      <c r="S49" s="2">
        <v>3950.6219390000001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4079.4010739999999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</row>
    <row r="50" spans="1:79" x14ac:dyDescent="0.25">
      <c r="A50" s="1">
        <v>43524</v>
      </c>
      <c r="B50" s="2">
        <v>0</v>
      </c>
      <c r="C50" s="2">
        <v>0</v>
      </c>
      <c r="D50" s="2">
        <v>1075.954252</v>
      </c>
      <c r="E50" s="2">
        <v>3820.8514930000001</v>
      </c>
      <c r="F50" s="2">
        <v>1080.0838670000001</v>
      </c>
      <c r="G50" s="2">
        <v>0</v>
      </c>
      <c r="H50" s="2">
        <v>3984.6075329999999</v>
      </c>
      <c r="I50" s="2">
        <v>0</v>
      </c>
      <c r="J50" s="2">
        <v>3680.7849120000001</v>
      </c>
      <c r="K50" s="2">
        <v>3609.5990579999998</v>
      </c>
      <c r="L50" s="2">
        <v>3552.866282</v>
      </c>
      <c r="M50" s="2">
        <v>0</v>
      </c>
      <c r="N50" s="2">
        <v>0</v>
      </c>
      <c r="O50" s="2">
        <v>3949.700429</v>
      </c>
      <c r="P50" s="2">
        <v>0</v>
      </c>
      <c r="Q50" s="2">
        <v>0</v>
      </c>
      <c r="R50" s="2">
        <v>0</v>
      </c>
      <c r="S50" s="2">
        <v>3886.7634979999998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4094.0407019999998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6827.4370570000001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</row>
    <row r="51" spans="1:79" x14ac:dyDescent="0.25">
      <c r="A51" s="1">
        <v>43553</v>
      </c>
      <c r="B51" s="2">
        <v>0</v>
      </c>
      <c r="C51" s="2">
        <v>0</v>
      </c>
      <c r="D51" s="2">
        <v>1083.915227</v>
      </c>
      <c r="E51" s="2">
        <v>3843.5184199999999</v>
      </c>
      <c r="F51" s="2">
        <v>1089.385331</v>
      </c>
      <c r="G51" s="2">
        <v>0</v>
      </c>
      <c r="H51" s="2">
        <v>3993.9349689999999</v>
      </c>
      <c r="I51" s="2">
        <v>0</v>
      </c>
      <c r="J51" s="2">
        <v>3705.0797739999998</v>
      </c>
      <c r="K51" s="2">
        <v>3641.110361</v>
      </c>
      <c r="L51" s="2">
        <v>3583.5257590000001</v>
      </c>
      <c r="M51" s="2">
        <v>0</v>
      </c>
      <c r="N51" s="2">
        <v>0</v>
      </c>
      <c r="O51" s="2">
        <v>3968.4946930000001</v>
      </c>
      <c r="P51" s="2">
        <v>0</v>
      </c>
      <c r="Q51" s="2">
        <v>0</v>
      </c>
      <c r="R51" s="2">
        <v>0</v>
      </c>
      <c r="S51" s="2">
        <v>3915.9445129999999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4095.7535360000002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6924.6693610000002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</row>
    <row r="52" spans="1:79" x14ac:dyDescent="0.25">
      <c r="A52" s="1">
        <v>43585</v>
      </c>
      <c r="B52" s="2">
        <v>0</v>
      </c>
      <c r="C52" s="2">
        <v>0</v>
      </c>
      <c r="D52" s="2">
        <v>1093.519767</v>
      </c>
      <c r="E52" s="2">
        <v>3899.777055</v>
      </c>
      <c r="F52" s="2">
        <v>1097.9440050000001</v>
      </c>
      <c r="G52" s="2">
        <v>0</v>
      </c>
      <c r="H52" s="2">
        <v>4077.4108150000002</v>
      </c>
      <c r="I52" s="2">
        <v>0</v>
      </c>
      <c r="J52" s="2">
        <v>3752.9688379999998</v>
      </c>
      <c r="K52" s="2">
        <v>3684.889463</v>
      </c>
      <c r="L52" s="2">
        <v>3620.4296199999999</v>
      </c>
      <c r="M52" s="2">
        <v>0</v>
      </c>
      <c r="N52" s="2">
        <v>0</v>
      </c>
      <c r="O52" s="2">
        <v>4052.5277390000001</v>
      </c>
      <c r="P52" s="2">
        <v>0</v>
      </c>
      <c r="Q52" s="2">
        <v>0</v>
      </c>
      <c r="R52" s="2">
        <v>0</v>
      </c>
      <c r="S52" s="2">
        <v>3972.553778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4185.0926950000003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7002.7536270000001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</row>
    <row r="53" spans="1:79" x14ac:dyDescent="0.25">
      <c r="A53" s="1">
        <v>43616</v>
      </c>
      <c r="B53" s="2">
        <v>0</v>
      </c>
      <c r="C53" s="2">
        <v>0</v>
      </c>
      <c r="D53" s="2">
        <v>1131.4258609999999</v>
      </c>
      <c r="E53" s="2">
        <v>4012.0870030000001</v>
      </c>
      <c r="F53" s="2">
        <v>1138.1092510000001</v>
      </c>
      <c r="G53" s="2">
        <v>0</v>
      </c>
      <c r="H53" s="2">
        <v>4328.5487480000002</v>
      </c>
      <c r="I53" s="2">
        <v>0</v>
      </c>
      <c r="J53" s="2">
        <v>3913.397363</v>
      </c>
      <c r="K53" s="2">
        <v>3815.1985709999999</v>
      </c>
      <c r="L53" s="2">
        <v>3733.0912189999999</v>
      </c>
      <c r="M53" s="2">
        <v>0</v>
      </c>
      <c r="N53" s="2">
        <v>0</v>
      </c>
      <c r="O53" s="2">
        <v>4180.6256970000004</v>
      </c>
      <c r="P53" s="2">
        <v>0</v>
      </c>
      <c r="Q53" s="2">
        <v>0</v>
      </c>
      <c r="R53" s="2">
        <v>0</v>
      </c>
      <c r="S53" s="2">
        <v>4200.5309010000001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4360.999656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7202.4998960000003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</row>
    <row r="54" spans="1:79" x14ac:dyDescent="0.25">
      <c r="A54" s="1">
        <v>43644</v>
      </c>
      <c r="B54" s="2">
        <v>0</v>
      </c>
      <c r="C54" s="2">
        <v>0</v>
      </c>
      <c r="D54" s="2">
        <v>1150.155477</v>
      </c>
      <c r="E54" s="2">
        <v>4193.5791010000003</v>
      </c>
      <c r="F54" s="2">
        <v>1166.57158</v>
      </c>
      <c r="G54" s="2">
        <v>0</v>
      </c>
      <c r="H54" s="2">
        <v>4594.0679339999997</v>
      </c>
      <c r="I54" s="2">
        <v>0</v>
      </c>
      <c r="J54" s="2">
        <v>4055.1128869999998</v>
      </c>
      <c r="K54" s="2">
        <v>3944.7583460000001</v>
      </c>
      <c r="L54" s="2">
        <v>3859.3062209999998</v>
      </c>
      <c r="M54" s="2">
        <v>0</v>
      </c>
      <c r="N54" s="2">
        <v>0</v>
      </c>
      <c r="O54" s="2">
        <v>4414.7337340000004</v>
      </c>
      <c r="P54" s="2">
        <v>0</v>
      </c>
      <c r="Q54" s="2">
        <v>0</v>
      </c>
      <c r="R54" s="2">
        <v>0</v>
      </c>
      <c r="S54" s="2">
        <v>4409.613128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4651.766764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7352.5745800000004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</row>
    <row r="55" spans="1:79" x14ac:dyDescent="0.25">
      <c r="A55" s="1">
        <v>43677</v>
      </c>
      <c r="B55" s="2">
        <v>0</v>
      </c>
      <c r="C55" s="2">
        <v>0</v>
      </c>
      <c r="D55" s="2">
        <v>1169.169899</v>
      </c>
      <c r="E55" s="2">
        <v>4217.1897529999997</v>
      </c>
      <c r="F55" s="2">
        <v>1189.31206</v>
      </c>
      <c r="G55" s="2">
        <v>0</v>
      </c>
      <c r="H55" s="2">
        <v>4682.5085390000004</v>
      </c>
      <c r="I55" s="2">
        <v>0</v>
      </c>
      <c r="J55" s="2">
        <v>4092.6318019999999</v>
      </c>
      <c r="K55" s="2">
        <v>3983.8594250000001</v>
      </c>
      <c r="L55" s="2">
        <v>3895.8132949999999</v>
      </c>
      <c r="M55" s="2">
        <v>0</v>
      </c>
      <c r="N55" s="2">
        <v>0</v>
      </c>
      <c r="O55" s="2">
        <v>4497.168686</v>
      </c>
      <c r="P55" s="2">
        <v>0</v>
      </c>
      <c r="Q55" s="2">
        <v>0</v>
      </c>
      <c r="R55" s="2">
        <v>0</v>
      </c>
      <c r="S55" s="2">
        <v>4472.6172999999999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4747.982137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7465.3051969999997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</row>
    <row r="56" spans="1:79" x14ac:dyDescent="0.25">
      <c r="A56" s="1">
        <v>43707</v>
      </c>
      <c r="B56" s="2">
        <v>0</v>
      </c>
      <c r="C56" s="2">
        <v>0</v>
      </c>
      <c r="D56" s="2">
        <v>1167.2893730000001</v>
      </c>
      <c r="E56" s="2">
        <v>4209.8639270000003</v>
      </c>
      <c r="F56" s="2">
        <v>1183.640065</v>
      </c>
      <c r="G56" s="2">
        <v>0</v>
      </c>
      <c r="H56" s="2">
        <v>4535.166604</v>
      </c>
      <c r="I56" s="2">
        <v>0</v>
      </c>
      <c r="J56" s="2">
        <v>4004.727253</v>
      </c>
      <c r="K56" s="2">
        <v>3892.4551059999999</v>
      </c>
      <c r="L56" s="2">
        <v>3798.6030380000002</v>
      </c>
      <c r="M56" s="2">
        <v>0</v>
      </c>
      <c r="N56" s="2">
        <v>0</v>
      </c>
      <c r="O56" s="2">
        <v>4443.6619710000004</v>
      </c>
      <c r="P56" s="2">
        <v>0</v>
      </c>
      <c r="Q56" s="2">
        <v>0</v>
      </c>
      <c r="R56" s="2">
        <v>0</v>
      </c>
      <c r="S56" s="2">
        <v>4328.8481190000002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4685.8395490000003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7462.4901460000001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</row>
    <row r="57" spans="1:79" x14ac:dyDescent="0.25">
      <c r="A57" s="1">
        <v>43738</v>
      </c>
      <c r="B57" s="2">
        <v>0</v>
      </c>
      <c r="C57" s="2">
        <v>0</v>
      </c>
      <c r="D57" s="2">
        <v>1198.9608539999999</v>
      </c>
      <c r="E57" s="2">
        <v>4355.1413910000001</v>
      </c>
      <c r="F57" s="2">
        <v>1218.472473</v>
      </c>
      <c r="G57" s="2">
        <v>0</v>
      </c>
      <c r="H57" s="2">
        <v>4725.6597259999999</v>
      </c>
      <c r="I57" s="2">
        <v>0</v>
      </c>
      <c r="J57" s="2">
        <v>4125.0021779999997</v>
      </c>
      <c r="K57" s="2">
        <v>4004.9548989999998</v>
      </c>
      <c r="L57" s="2">
        <v>3898.410347</v>
      </c>
      <c r="M57" s="2">
        <v>0</v>
      </c>
      <c r="N57" s="2">
        <v>0</v>
      </c>
      <c r="O57" s="2">
        <v>4622.4066249999996</v>
      </c>
      <c r="P57" s="2">
        <v>0</v>
      </c>
      <c r="Q57" s="2">
        <v>0</v>
      </c>
      <c r="R57" s="2">
        <v>0</v>
      </c>
      <c r="S57" s="2">
        <v>4479.7306150000004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4898.4609419999997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7630.0119619999996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</row>
    <row r="58" spans="1:79" x14ac:dyDescent="0.25">
      <c r="A58" s="1">
        <v>43769</v>
      </c>
      <c r="B58" s="2">
        <v>0</v>
      </c>
      <c r="C58" s="2">
        <v>0</v>
      </c>
      <c r="D58" s="2">
        <v>1241.3999980000001</v>
      </c>
      <c r="E58" s="2">
        <v>4574.2496300000003</v>
      </c>
      <c r="F58" s="2">
        <v>1268.7339460000001</v>
      </c>
      <c r="G58" s="2">
        <v>0</v>
      </c>
      <c r="H58" s="2">
        <v>4974.4300679999997</v>
      </c>
      <c r="I58" s="2">
        <v>0</v>
      </c>
      <c r="J58" s="2">
        <v>4263.2465229999998</v>
      </c>
      <c r="K58" s="2">
        <v>4128.3986080000004</v>
      </c>
      <c r="L58" s="2">
        <v>4000.5766880000001</v>
      </c>
      <c r="M58" s="2">
        <v>0</v>
      </c>
      <c r="N58" s="2">
        <v>0</v>
      </c>
      <c r="O58" s="2">
        <v>4833.2526029999999</v>
      </c>
      <c r="P58" s="2">
        <v>0</v>
      </c>
      <c r="Q58" s="2">
        <v>0</v>
      </c>
      <c r="R58" s="2">
        <v>0</v>
      </c>
      <c r="S58" s="2">
        <v>4670.6149189999996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5174.9251960000001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7900.5452859999996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</row>
    <row r="59" spans="1:79" x14ac:dyDescent="0.25">
      <c r="A59" s="1">
        <v>43798</v>
      </c>
      <c r="B59" s="2">
        <v>0</v>
      </c>
      <c r="C59" s="2">
        <v>0</v>
      </c>
      <c r="D59" s="2">
        <v>1217.0206029999999</v>
      </c>
      <c r="E59" s="2">
        <v>4321.1868249999998</v>
      </c>
      <c r="F59" s="2">
        <v>1241.556198</v>
      </c>
      <c r="G59" s="2">
        <v>0</v>
      </c>
      <c r="H59" s="2">
        <v>4729.5945579999998</v>
      </c>
      <c r="I59" s="2">
        <v>0</v>
      </c>
      <c r="J59" s="2">
        <v>4153.753522</v>
      </c>
      <c r="K59" s="2">
        <v>4047.003099</v>
      </c>
      <c r="L59" s="2">
        <v>3936.3552530000002</v>
      </c>
      <c r="M59" s="2">
        <v>0</v>
      </c>
      <c r="N59" s="2">
        <v>0</v>
      </c>
      <c r="O59" s="2">
        <v>4534.1647659999999</v>
      </c>
      <c r="P59" s="2">
        <v>0</v>
      </c>
      <c r="Q59" s="2">
        <v>0</v>
      </c>
      <c r="R59" s="2">
        <v>0</v>
      </c>
      <c r="S59" s="2">
        <v>4496.5318960000004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4804.2302129999998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7712.5593500000004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</row>
    <row r="60" spans="1:79" x14ac:dyDescent="0.25">
      <c r="A60" s="1">
        <v>43830</v>
      </c>
      <c r="B60" s="2">
        <v>0</v>
      </c>
      <c r="C60" s="2">
        <v>0</v>
      </c>
      <c r="D60" s="2">
        <v>1228.0450049999999</v>
      </c>
      <c r="E60" s="2">
        <v>4372.4814120000001</v>
      </c>
      <c r="F60" s="2">
        <v>1258.0634889999999</v>
      </c>
      <c r="G60" s="2">
        <v>0</v>
      </c>
      <c r="H60" s="2">
        <v>4888.6500500000002</v>
      </c>
      <c r="I60" s="2">
        <v>0</v>
      </c>
      <c r="J60" s="2">
        <v>4199.9209039999996</v>
      </c>
      <c r="K60" s="2">
        <v>4112.5534690000004</v>
      </c>
      <c r="L60" s="2">
        <v>3994.9741920000001</v>
      </c>
      <c r="M60" s="2">
        <v>0</v>
      </c>
      <c r="N60" s="2">
        <v>0</v>
      </c>
      <c r="O60" s="2">
        <v>4671.1843840000001</v>
      </c>
      <c r="P60" s="2">
        <v>0</v>
      </c>
      <c r="Q60" s="2">
        <v>0</v>
      </c>
      <c r="R60" s="2">
        <v>0</v>
      </c>
      <c r="S60" s="2">
        <v>4589.9470780000001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4972.1959779999997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7652.6985880000002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</row>
    <row r="61" spans="1:79" x14ac:dyDescent="0.25">
      <c r="A61" s="1">
        <v>43861</v>
      </c>
      <c r="B61" s="2">
        <v>0</v>
      </c>
      <c r="C61" s="2">
        <v>1242.110764</v>
      </c>
      <c r="D61" s="2">
        <v>1197.1577460000001</v>
      </c>
      <c r="E61" s="2">
        <v>4409.2161930000002</v>
      </c>
      <c r="F61" s="2">
        <v>1222.797053</v>
      </c>
      <c r="G61" s="2">
        <v>0</v>
      </c>
      <c r="H61" s="2">
        <v>4862.3449229999997</v>
      </c>
      <c r="I61" s="2">
        <v>0</v>
      </c>
      <c r="J61" s="2">
        <v>4251.2730860000001</v>
      </c>
      <c r="K61" s="2">
        <v>4165.1268010000003</v>
      </c>
      <c r="L61" s="2">
        <v>4036.183008</v>
      </c>
      <c r="M61" s="2">
        <v>0</v>
      </c>
      <c r="N61" s="2">
        <v>0</v>
      </c>
      <c r="O61" s="2">
        <v>4666.3742570000004</v>
      </c>
      <c r="P61" s="2">
        <v>0</v>
      </c>
      <c r="Q61" s="2">
        <v>0</v>
      </c>
      <c r="R61" s="2">
        <v>0</v>
      </c>
      <c r="S61" s="2">
        <v>4593.2867420000002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4929.7910229999998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7744.3519910000005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</row>
    <row r="62" spans="1:79" x14ac:dyDescent="0.25">
      <c r="A62" s="1">
        <v>43889</v>
      </c>
      <c r="B62" s="2">
        <v>0</v>
      </c>
      <c r="C62" s="2">
        <v>1239.961773</v>
      </c>
      <c r="D62" s="2">
        <v>1200.7453760000001</v>
      </c>
      <c r="E62" s="2">
        <v>4439.1142220000002</v>
      </c>
      <c r="F62" s="2">
        <v>1223.222759</v>
      </c>
      <c r="G62" s="2">
        <v>0</v>
      </c>
      <c r="H62" s="2">
        <v>4767.5119949999998</v>
      </c>
      <c r="I62" s="2">
        <v>0</v>
      </c>
      <c r="J62" s="2">
        <v>4180.6722559999998</v>
      </c>
      <c r="K62" s="2">
        <v>4092.0049560000002</v>
      </c>
      <c r="L62" s="2">
        <v>3971.7200910000001</v>
      </c>
      <c r="M62" s="2">
        <v>0</v>
      </c>
      <c r="N62" s="2">
        <v>0</v>
      </c>
      <c r="O62" s="2">
        <v>4666.3450339999999</v>
      </c>
      <c r="P62" s="2">
        <v>0</v>
      </c>
      <c r="Q62" s="2">
        <v>0</v>
      </c>
      <c r="R62" s="2">
        <v>0</v>
      </c>
      <c r="S62" s="2">
        <v>4520.370277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4926.1284919999998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7785.6315590000004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</row>
    <row r="63" spans="1:79" x14ac:dyDescent="0.25">
      <c r="A63" s="1">
        <v>43921</v>
      </c>
      <c r="B63" s="2">
        <v>0</v>
      </c>
      <c r="C63" s="2">
        <v>1171.7679129999999</v>
      </c>
      <c r="D63" s="2">
        <v>1160.040299</v>
      </c>
      <c r="E63" s="2">
        <v>3996.3252680000001</v>
      </c>
      <c r="F63" s="2">
        <v>1166.8231330000001</v>
      </c>
      <c r="G63" s="2">
        <v>0</v>
      </c>
      <c r="H63" s="2">
        <v>4112.8619829999998</v>
      </c>
      <c r="I63" s="2">
        <v>0</v>
      </c>
      <c r="J63" s="2">
        <v>3893.3126820000002</v>
      </c>
      <c r="K63" s="2">
        <v>3873.707167</v>
      </c>
      <c r="L63" s="2">
        <v>3792.0158670000001</v>
      </c>
      <c r="M63" s="2">
        <v>0</v>
      </c>
      <c r="N63" s="2">
        <v>0</v>
      </c>
      <c r="O63" s="2">
        <v>4101.6034689999997</v>
      </c>
      <c r="P63" s="2">
        <v>0</v>
      </c>
      <c r="Q63" s="2">
        <v>0</v>
      </c>
      <c r="R63" s="2">
        <v>0</v>
      </c>
      <c r="S63" s="2">
        <v>4037.480618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4219.468417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7386.86276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</row>
    <row r="64" spans="1:79" x14ac:dyDescent="0.25">
      <c r="A64" s="1">
        <v>43951</v>
      </c>
      <c r="B64" s="2">
        <v>0</v>
      </c>
      <c r="C64" s="2">
        <v>1188.872466</v>
      </c>
      <c r="D64" s="2">
        <v>1178.615</v>
      </c>
      <c r="E64" s="2">
        <v>4088.1893129999999</v>
      </c>
      <c r="F64" s="2">
        <v>1184.398328</v>
      </c>
      <c r="G64" s="2">
        <v>0</v>
      </c>
      <c r="H64" s="2">
        <v>4218.6285930000004</v>
      </c>
      <c r="I64" s="2">
        <v>0</v>
      </c>
      <c r="J64" s="2">
        <v>3956.3471399999999</v>
      </c>
      <c r="K64" s="2">
        <v>3907.0936809999998</v>
      </c>
      <c r="L64" s="2">
        <v>3839.7316510000001</v>
      </c>
      <c r="M64" s="2">
        <v>0</v>
      </c>
      <c r="N64" s="2">
        <v>0</v>
      </c>
      <c r="O64" s="2">
        <v>4185.6705309999998</v>
      </c>
      <c r="P64" s="2">
        <v>0</v>
      </c>
      <c r="Q64" s="2">
        <v>0</v>
      </c>
      <c r="R64" s="2">
        <v>0</v>
      </c>
      <c r="S64" s="2">
        <v>4085.8335109999998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4328.9873109999999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7526.683677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</row>
    <row r="65" spans="1:79" x14ac:dyDescent="0.25">
      <c r="A65" s="1">
        <v>43980</v>
      </c>
      <c r="B65" s="2">
        <v>0</v>
      </c>
      <c r="C65" s="2">
        <v>1238.5753239999999</v>
      </c>
      <c r="D65" s="2">
        <v>1215.669913</v>
      </c>
      <c r="E65" s="2">
        <v>4037.612893</v>
      </c>
      <c r="F65" s="2">
        <v>1230.3320550000001</v>
      </c>
      <c r="G65" s="2">
        <v>0</v>
      </c>
      <c r="H65" s="2">
        <v>4225.2309610000002</v>
      </c>
      <c r="I65" s="2">
        <v>0</v>
      </c>
      <c r="J65" s="2">
        <v>4025.1612409999998</v>
      </c>
      <c r="K65" s="2">
        <v>4008.0221019999999</v>
      </c>
      <c r="L65" s="2">
        <v>3962.6658069999999</v>
      </c>
      <c r="M65" s="2">
        <v>0</v>
      </c>
      <c r="N65" s="2">
        <v>0</v>
      </c>
      <c r="O65" s="2">
        <v>4114.4903160000003</v>
      </c>
      <c r="P65" s="2">
        <v>0</v>
      </c>
      <c r="Q65" s="2">
        <v>0</v>
      </c>
      <c r="R65" s="2">
        <v>0</v>
      </c>
      <c r="S65" s="2">
        <v>4141.8279510000002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4236.8096800000003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7750.0325249999996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</row>
    <row r="66" spans="1:79" x14ac:dyDescent="0.25">
      <c r="A66" s="1">
        <v>44012</v>
      </c>
      <c r="B66" s="2">
        <v>0</v>
      </c>
      <c r="C66" s="2">
        <v>1218.1798799999999</v>
      </c>
      <c r="D66" s="2">
        <v>1188.9969739999999</v>
      </c>
      <c r="E66" s="2">
        <v>4147.0150970000004</v>
      </c>
      <c r="F66" s="2">
        <v>1205.1084089999999</v>
      </c>
      <c r="G66" s="2">
        <v>0</v>
      </c>
      <c r="H66" s="2">
        <v>4369.4903679999998</v>
      </c>
      <c r="I66" s="2">
        <v>0</v>
      </c>
      <c r="J66" s="2">
        <v>4142.3467010000004</v>
      </c>
      <c r="K66" s="2">
        <v>4096.0449079999999</v>
      </c>
      <c r="L66" s="2">
        <v>4018.645732</v>
      </c>
      <c r="M66" s="2">
        <v>0</v>
      </c>
      <c r="N66" s="2">
        <v>0</v>
      </c>
      <c r="O66" s="2">
        <v>4227.2443030000004</v>
      </c>
      <c r="P66" s="2">
        <v>0</v>
      </c>
      <c r="Q66" s="2">
        <v>0</v>
      </c>
      <c r="R66" s="2">
        <v>0</v>
      </c>
      <c r="S66" s="2">
        <v>4238.1789580000004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4389.8046459999996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7846.9942620000002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</row>
    <row r="67" spans="1:79" x14ac:dyDescent="0.25">
      <c r="A67" s="1">
        <v>44043</v>
      </c>
      <c r="B67" s="2">
        <v>0</v>
      </c>
      <c r="C67" s="2">
        <v>1258.6744020000001</v>
      </c>
      <c r="D67" s="2">
        <v>1219.8269660000001</v>
      </c>
      <c r="E67" s="2">
        <v>4435.1601909999999</v>
      </c>
      <c r="F67" s="2">
        <v>1243.557912</v>
      </c>
      <c r="G67" s="2">
        <v>0</v>
      </c>
      <c r="H67" s="2">
        <v>4754.6144649999997</v>
      </c>
      <c r="I67" s="2">
        <v>0</v>
      </c>
      <c r="J67" s="2">
        <v>4317.1161629999997</v>
      </c>
      <c r="K67" s="2">
        <v>4245.4337079999996</v>
      </c>
      <c r="L67" s="2">
        <v>4139.8501589999996</v>
      </c>
      <c r="M67" s="2">
        <v>0</v>
      </c>
      <c r="N67" s="2">
        <v>0</v>
      </c>
      <c r="O67" s="2">
        <v>4569.7829350000002</v>
      </c>
      <c r="P67" s="2">
        <v>0</v>
      </c>
      <c r="Q67" s="2">
        <v>0</v>
      </c>
      <c r="R67" s="2">
        <v>0</v>
      </c>
      <c r="S67" s="2">
        <v>4572.3080819999996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4810.7824680000003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8210.7838479999991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</row>
    <row r="68" spans="1:79" x14ac:dyDescent="0.25">
      <c r="A68" s="1">
        <v>44074</v>
      </c>
      <c r="B68" s="2">
        <v>0</v>
      </c>
      <c r="C68" s="2">
        <v>1216.041727</v>
      </c>
      <c r="D68" s="2">
        <v>1187.1896369999999</v>
      </c>
      <c r="E68" s="2">
        <v>4305.8295820000003</v>
      </c>
      <c r="F68" s="2">
        <v>1205.6103169999999</v>
      </c>
      <c r="G68" s="2">
        <v>0</v>
      </c>
      <c r="H68" s="2">
        <v>4442.2756149999996</v>
      </c>
      <c r="I68" s="2">
        <v>0</v>
      </c>
      <c r="J68" s="2">
        <v>4136.8668879999996</v>
      </c>
      <c r="K68" s="2">
        <v>4077.6064999999999</v>
      </c>
      <c r="L68" s="2">
        <v>3986.2602670000001</v>
      </c>
      <c r="M68" s="2">
        <v>0</v>
      </c>
      <c r="N68" s="2">
        <v>0</v>
      </c>
      <c r="O68" s="2">
        <v>4386.9223959999999</v>
      </c>
      <c r="P68" s="2">
        <v>0</v>
      </c>
      <c r="Q68" s="2">
        <v>0</v>
      </c>
      <c r="R68" s="2">
        <v>0</v>
      </c>
      <c r="S68" s="2">
        <v>4325.8989760000004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4560.2098189999997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8405.7611109999998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</row>
    <row r="69" spans="1:79" x14ac:dyDescent="0.25">
      <c r="A69" s="1">
        <v>44104</v>
      </c>
      <c r="B69" s="2">
        <v>0</v>
      </c>
      <c r="C69" s="2">
        <v>1183.94857</v>
      </c>
      <c r="D69" s="2">
        <v>1163.7966899999999</v>
      </c>
      <c r="E69" s="2">
        <v>4189.8064889999996</v>
      </c>
      <c r="F69" s="2">
        <v>1180.4550609999999</v>
      </c>
      <c r="G69" s="2">
        <v>0</v>
      </c>
      <c r="H69" s="2">
        <v>4290.4395990000003</v>
      </c>
      <c r="I69" s="2">
        <v>0</v>
      </c>
      <c r="J69" s="2">
        <v>4053.3375580000002</v>
      </c>
      <c r="K69" s="2">
        <v>4022.5759819999998</v>
      </c>
      <c r="L69" s="2">
        <v>3946.9580719999999</v>
      </c>
      <c r="M69" s="2">
        <v>0</v>
      </c>
      <c r="N69" s="2">
        <v>0</v>
      </c>
      <c r="O69" s="2">
        <v>4254.2577309999997</v>
      </c>
      <c r="P69" s="2">
        <v>0</v>
      </c>
      <c r="Q69" s="2">
        <v>0</v>
      </c>
      <c r="R69" s="2">
        <v>0</v>
      </c>
      <c r="S69" s="2">
        <v>4186.4824420000004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4395.175362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8206.7662639999999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</row>
    <row r="70" spans="1:79" x14ac:dyDescent="0.25">
      <c r="A70" s="1">
        <v>44134</v>
      </c>
      <c r="B70" s="2">
        <v>0</v>
      </c>
      <c r="C70" s="2">
        <v>1177.478824</v>
      </c>
      <c r="D70" s="2">
        <v>1161.5489250000001</v>
      </c>
      <c r="E70" s="2">
        <v>4199.5291010000001</v>
      </c>
      <c r="F70" s="2">
        <v>1175.2854170000001</v>
      </c>
      <c r="G70" s="2">
        <v>0</v>
      </c>
      <c r="H70" s="2">
        <v>4320.1126029999996</v>
      </c>
      <c r="I70" s="2">
        <v>0</v>
      </c>
      <c r="J70" s="2">
        <v>4066.1169970000001</v>
      </c>
      <c r="K70" s="2">
        <v>4010.763453</v>
      </c>
      <c r="L70" s="2">
        <v>3935.7409499999999</v>
      </c>
      <c r="M70" s="2">
        <v>0</v>
      </c>
      <c r="N70" s="2">
        <v>0</v>
      </c>
      <c r="O70" s="2">
        <v>4282.9988899999998</v>
      </c>
      <c r="P70" s="2">
        <v>0</v>
      </c>
      <c r="Q70" s="2">
        <v>0</v>
      </c>
      <c r="R70" s="2">
        <v>0</v>
      </c>
      <c r="S70" s="2">
        <v>4220.912343</v>
      </c>
      <c r="T70" s="2">
        <v>0</v>
      </c>
      <c r="U70" s="2">
        <v>10625.925535</v>
      </c>
      <c r="V70" s="2">
        <v>0</v>
      </c>
      <c r="W70" s="2">
        <v>0</v>
      </c>
      <c r="X70" s="2">
        <v>10554.044012</v>
      </c>
      <c r="Y70" s="2">
        <v>0</v>
      </c>
      <c r="Z70" s="2">
        <v>10497.105179</v>
      </c>
      <c r="AA70" s="2">
        <v>0</v>
      </c>
      <c r="AB70" s="2">
        <v>4430.6251140000004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10514.911973</v>
      </c>
      <c r="AP70" s="2">
        <v>8766.544973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</row>
    <row r="71" spans="1:79" x14ac:dyDescent="0.25">
      <c r="A71" s="1">
        <v>44165</v>
      </c>
      <c r="B71" s="2">
        <v>0</v>
      </c>
      <c r="C71" s="2">
        <v>1176.610805</v>
      </c>
      <c r="D71" s="2">
        <v>1167.0608629999999</v>
      </c>
      <c r="E71" s="2">
        <v>4207.0193049999998</v>
      </c>
      <c r="F71" s="2">
        <v>1179.72614</v>
      </c>
      <c r="G71" s="2">
        <v>0</v>
      </c>
      <c r="H71" s="2">
        <v>4439.9783559999996</v>
      </c>
      <c r="I71" s="2">
        <v>0</v>
      </c>
      <c r="J71" s="2">
        <v>4165.165129</v>
      </c>
      <c r="K71" s="2">
        <v>4093.5697009999999</v>
      </c>
      <c r="L71" s="2">
        <v>4003.1488559999998</v>
      </c>
      <c r="M71" s="2">
        <v>0</v>
      </c>
      <c r="N71" s="2">
        <v>0</v>
      </c>
      <c r="O71" s="2">
        <v>4296.4256679999999</v>
      </c>
      <c r="P71" s="2">
        <v>0</v>
      </c>
      <c r="Q71" s="2">
        <v>0</v>
      </c>
      <c r="R71" s="2">
        <v>0</v>
      </c>
      <c r="S71" s="2">
        <v>4306.847788</v>
      </c>
      <c r="T71" s="2">
        <v>0</v>
      </c>
      <c r="U71" s="2">
        <v>10628.961159</v>
      </c>
      <c r="V71" s="2">
        <v>0</v>
      </c>
      <c r="W71" s="2">
        <v>0</v>
      </c>
      <c r="X71" s="2">
        <v>10549.591729</v>
      </c>
      <c r="Y71" s="2">
        <v>0</v>
      </c>
      <c r="Z71" s="2">
        <v>10502.666218</v>
      </c>
      <c r="AA71" s="2">
        <v>0</v>
      </c>
      <c r="AB71" s="2">
        <v>4466.7471740000001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10526.043030000001</v>
      </c>
      <c r="AP71" s="2">
        <v>8856.1649610000004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</row>
    <row r="72" spans="1:79" x14ac:dyDescent="0.25">
      <c r="A72" s="1">
        <v>44196</v>
      </c>
      <c r="B72" s="2">
        <v>0</v>
      </c>
      <c r="C72" s="2">
        <v>1265.2504409999999</v>
      </c>
      <c r="D72" s="2">
        <v>1230.9901580000001</v>
      </c>
      <c r="E72" s="2">
        <v>4523.2302630000004</v>
      </c>
      <c r="F72" s="2">
        <v>1253.279935</v>
      </c>
      <c r="G72" s="2">
        <v>0</v>
      </c>
      <c r="H72" s="2">
        <v>4818.7503669999996</v>
      </c>
      <c r="I72" s="2">
        <v>0</v>
      </c>
      <c r="J72" s="2">
        <v>4394.2843050000001</v>
      </c>
      <c r="K72" s="2">
        <v>4289.418471</v>
      </c>
      <c r="L72" s="2">
        <v>4161.1051209999996</v>
      </c>
      <c r="M72" s="2">
        <v>0</v>
      </c>
      <c r="N72" s="2">
        <v>0</v>
      </c>
      <c r="O72" s="2">
        <v>4625.6443140000001</v>
      </c>
      <c r="P72" s="2">
        <v>0</v>
      </c>
      <c r="Q72" s="2">
        <v>0</v>
      </c>
      <c r="R72" s="2">
        <v>0</v>
      </c>
      <c r="S72" s="2">
        <v>4640.8098</v>
      </c>
      <c r="T72" s="2">
        <v>0</v>
      </c>
      <c r="U72" s="2">
        <v>10690.201709999999</v>
      </c>
      <c r="V72" s="2">
        <v>0</v>
      </c>
      <c r="W72" s="2">
        <v>0</v>
      </c>
      <c r="X72" s="2">
        <v>10613.763503</v>
      </c>
      <c r="Y72" s="2">
        <v>0</v>
      </c>
      <c r="Z72" s="2">
        <v>10541.220374</v>
      </c>
      <c r="AA72" s="2">
        <v>0</v>
      </c>
      <c r="AB72" s="2">
        <v>4875.8013199999996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10595.407143</v>
      </c>
      <c r="AP72" s="2">
        <v>8701.7022159999997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</row>
    <row r="73" spans="1:79" x14ac:dyDescent="0.25">
      <c r="A73" s="1">
        <v>44225</v>
      </c>
      <c r="B73" s="2">
        <v>0</v>
      </c>
      <c r="C73" s="2">
        <v>1170.3930150000001</v>
      </c>
      <c r="D73" s="2">
        <v>1155.5246480000001</v>
      </c>
      <c r="E73" s="2">
        <v>4482.7897860000003</v>
      </c>
      <c r="F73" s="2">
        <v>1165.7626439999999</v>
      </c>
      <c r="G73" s="2">
        <v>0</v>
      </c>
      <c r="H73" s="2">
        <v>4713.8968779999996</v>
      </c>
      <c r="I73" s="2">
        <v>0</v>
      </c>
      <c r="J73" s="2">
        <v>4334.0590700000002</v>
      </c>
      <c r="K73" s="2">
        <v>4231.2662399999999</v>
      </c>
      <c r="L73" s="2">
        <v>4134.3717260000003</v>
      </c>
      <c r="M73" s="2">
        <v>0</v>
      </c>
      <c r="N73" s="2">
        <v>0</v>
      </c>
      <c r="O73" s="2">
        <v>4560.6544670000003</v>
      </c>
      <c r="P73" s="2">
        <v>0</v>
      </c>
      <c r="Q73" s="2">
        <v>0</v>
      </c>
      <c r="R73" s="2">
        <v>0</v>
      </c>
      <c r="S73" s="2">
        <v>4592.257028</v>
      </c>
      <c r="T73" s="2">
        <v>0</v>
      </c>
      <c r="U73" s="2">
        <v>10709.503479000001</v>
      </c>
      <c r="V73" s="2">
        <v>0</v>
      </c>
      <c r="W73" s="2">
        <v>0</v>
      </c>
      <c r="X73" s="2">
        <v>10664.93075</v>
      </c>
      <c r="Y73" s="2">
        <v>0</v>
      </c>
      <c r="Z73" s="2">
        <v>10577.714333</v>
      </c>
      <c r="AA73" s="2">
        <v>0</v>
      </c>
      <c r="AB73" s="2">
        <v>4718.8362870000001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10654.240191999999</v>
      </c>
      <c r="AP73" s="2">
        <v>9083.5968529999991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</row>
    <row r="74" spans="1:79" x14ac:dyDescent="0.25">
      <c r="A74" s="1">
        <v>44253</v>
      </c>
      <c r="B74" s="2">
        <v>0</v>
      </c>
      <c r="C74" s="2">
        <v>1113.020352</v>
      </c>
      <c r="D74" s="2">
        <v>1110.1615220000001</v>
      </c>
      <c r="E74" s="2">
        <v>4359.5812459999997</v>
      </c>
      <c r="F74" s="2">
        <v>1115.045044</v>
      </c>
      <c r="G74" s="2">
        <v>0</v>
      </c>
      <c r="H74" s="2">
        <v>4497.0783359999996</v>
      </c>
      <c r="I74" s="2">
        <v>0</v>
      </c>
      <c r="J74" s="2">
        <v>4131.8587230000003</v>
      </c>
      <c r="K74" s="2">
        <v>4041.7094689999999</v>
      </c>
      <c r="L74" s="2">
        <v>3959.364955</v>
      </c>
      <c r="M74" s="2">
        <v>0</v>
      </c>
      <c r="N74" s="2">
        <v>0</v>
      </c>
      <c r="O74" s="2">
        <v>4474.0034509999996</v>
      </c>
      <c r="P74" s="2">
        <v>0</v>
      </c>
      <c r="Q74" s="2">
        <v>0</v>
      </c>
      <c r="R74" s="2">
        <v>0</v>
      </c>
      <c r="S74" s="2">
        <v>4387.6076739999999</v>
      </c>
      <c r="T74" s="2">
        <v>0</v>
      </c>
      <c r="U74" s="2">
        <v>10690.339054</v>
      </c>
      <c r="V74" s="2">
        <v>0</v>
      </c>
      <c r="W74" s="2">
        <v>0</v>
      </c>
      <c r="X74" s="2">
        <v>10654.544411999999</v>
      </c>
      <c r="Y74" s="2">
        <v>0</v>
      </c>
      <c r="Z74" s="2">
        <v>10577.073886</v>
      </c>
      <c r="AA74" s="2">
        <v>0</v>
      </c>
      <c r="AB74" s="2">
        <v>4603.6438619999999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10638.46542</v>
      </c>
      <c r="AP74" s="2">
        <v>9354.2581439999994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</row>
    <row r="75" spans="1:79" x14ac:dyDescent="0.25">
      <c r="A75" s="1">
        <v>44286</v>
      </c>
      <c r="B75" s="2">
        <v>0</v>
      </c>
      <c r="C75" s="2">
        <v>1068.9127550000001</v>
      </c>
      <c r="D75" s="2">
        <v>1076.9180160000001</v>
      </c>
      <c r="E75" s="2">
        <v>4327.5275110000002</v>
      </c>
      <c r="F75" s="2">
        <v>1071.9781029999999</v>
      </c>
      <c r="G75" s="2">
        <v>0</v>
      </c>
      <c r="H75" s="2">
        <v>4428.0094550000003</v>
      </c>
      <c r="I75" s="2">
        <v>0</v>
      </c>
      <c r="J75" s="2">
        <v>4083.5785110000002</v>
      </c>
      <c r="K75" s="2">
        <v>4004.538321</v>
      </c>
      <c r="L75" s="2">
        <v>3948.2291919999998</v>
      </c>
      <c r="M75" s="2">
        <v>0</v>
      </c>
      <c r="N75" s="2">
        <v>0</v>
      </c>
      <c r="O75" s="2">
        <v>4426.0404570000001</v>
      </c>
      <c r="P75" s="2">
        <v>0</v>
      </c>
      <c r="Q75" s="2">
        <v>0</v>
      </c>
      <c r="R75" s="2">
        <v>0</v>
      </c>
      <c r="S75" s="2">
        <v>4340.7218970000004</v>
      </c>
      <c r="T75" s="2">
        <v>0</v>
      </c>
      <c r="U75" s="2">
        <v>10703.065857</v>
      </c>
      <c r="V75" s="2">
        <v>0</v>
      </c>
      <c r="W75" s="2">
        <v>0</v>
      </c>
      <c r="X75" s="2">
        <v>10671.102720999999</v>
      </c>
      <c r="Y75" s="2">
        <v>0</v>
      </c>
      <c r="Z75" s="2">
        <v>10610.041886000001</v>
      </c>
      <c r="AA75" s="2">
        <v>0</v>
      </c>
      <c r="AB75" s="2">
        <v>4531.4939459999996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10654.375058</v>
      </c>
      <c r="AP75" s="2">
        <v>9190.7590689999997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</row>
    <row r="76" spans="1:79" x14ac:dyDescent="0.25">
      <c r="A76" s="1">
        <v>44316</v>
      </c>
      <c r="B76" s="2">
        <v>0</v>
      </c>
      <c r="C76" s="2">
        <v>1088.371588</v>
      </c>
      <c r="D76" s="2">
        <v>1096.0618469999999</v>
      </c>
      <c r="E76" s="2">
        <v>4346.0635840000004</v>
      </c>
      <c r="F76" s="2">
        <v>1090.7429420000001</v>
      </c>
      <c r="G76" s="2">
        <v>0</v>
      </c>
      <c r="H76" s="2">
        <v>4427.4441479999996</v>
      </c>
      <c r="I76" s="2">
        <v>0</v>
      </c>
      <c r="J76" s="2">
        <v>4103.2207399999998</v>
      </c>
      <c r="K76" s="2">
        <v>4048.883726</v>
      </c>
      <c r="L76" s="2">
        <v>3999.9005109999998</v>
      </c>
      <c r="M76" s="2">
        <v>0</v>
      </c>
      <c r="N76" s="2">
        <v>0</v>
      </c>
      <c r="O76" s="2">
        <v>4441.1366399999997</v>
      </c>
      <c r="P76" s="2">
        <v>0</v>
      </c>
      <c r="Q76" s="2">
        <v>0</v>
      </c>
      <c r="R76" s="2">
        <v>0</v>
      </c>
      <c r="S76" s="2">
        <v>4360.688854</v>
      </c>
      <c r="T76" s="2">
        <v>0</v>
      </c>
      <c r="U76" s="2">
        <v>10684.585631</v>
      </c>
      <c r="V76" s="2">
        <v>0</v>
      </c>
      <c r="W76" s="2">
        <v>0</v>
      </c>
      <c r="X76" s="2">
        <v>10665.168529</v>
      </c>
      <c r="Y76" s="2">
        <v>0</v>
      </c>
      <c r="Z76" s="2">
        <v>10620.678226</v>
      </c>
      <c r="AA76" s="2">
        <v>0</v>
      </c>
      <c r="AB76" s="2">
        <v>4531.704197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10646.954159999999</v>
      </c>
      <c r="AP76" s="2">
        <v>9305.1021889999993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</row>
    <row r="77" spans="1:79" x14ac:dyDescent="0.25">
      <c r="A77" s="1">
        <v>44347</v>
      </c>
      <c r="B77" s="2">
        <v>0</v>
      </c>
      <c r="C77" s="2">
        <v>1095.754477</v>
      </c>
      <c r="D77" s="2">
        <v>1104.038215</v>
      </c>
      <c r="E77" s="2">
        <v>4251.2353780000003</v>
      </c>
      <c r="F77" s="2">
        <v>1100.2563540000001</v>
      </c>
      <c r="G77" s="2">
        <v>0</v>
      </c>
      <c r="H77" s="2">
        <v>4530.0519649999997</v>
      </c>
      <c r="I77" s="2">
        <v>0</v>
      </c>
      <c r="J77" s="2">
        <v>4137.449302</v>
      </c>
      <c r="K77" s="2">
        <v>4081.9967280000001</v>
      </c>
      <c r="L77" s="2">
        <v>4025.5000829999999</v>
      </c>
      <c r="M77" s="2">
        <v>0</v>
      </c>
      <c r="N77" s="2">
        <v>0</v>
      </c>
      <c r="O77" s="2">
        <v>4418.8353660000002</v>
      </c>
      <c r="P77" s="2">
        <v>0</v>
      </c>
      <c r="Q77" s="2">
        <v>0</v>
      </c>
      <c r="R77" s="2">
        <v>0</v>
      </c>
      <c r="S77" s="2">
        <v>4412.1462320000001</v>
      </c>
      <c r="T77" s="2">
        <v>0</v>
      </c>
      <c r="U77" s="2">
        <v>10739.642001</v>
      </c>
      <c r="V77" s="2">
        <v>0</v>
      </c>
      <c r="W77" s="2">
        <v>0</v>
      </c>
      <c r="X77" s="2">
        <v>10715.044257</v>
      </c>
      <c r="Y77" s="2">
        <v>0</v>
      </c>
      <c r="Z77" s="2">
        <v>10668.912624000001</v>
      </c>
      <c r="AA77" s="2">
        <v>0</v>
      </c>
      <c r="AB77" s="2">
        <v>4511.4391820000001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10699.094837000001</v>
      </c>
      <c r="AP77" s="2">
        <v>9919.9257739999994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</row>
    <row r="78" spans="1:79" x14ac:dyDescent="0.25">
      <c r="A78" s="1">
        <v>44377</v>
      </c>
      <c r="B78" s="2">
        <v>0</v>
      </c>
      <c r="C78" s="2">
        <v>1056.0902779999999</v>
      </c>
      <c r="D78" s="2">
        <v>1060.8460210000001</v>
      </c>
      <c r="E78" s="2">
        <v>4301.185923</v>
      </c>
      <c r="F78" s="2">
        <v>1064.427222</v>
      </c>
      <c r="G78" s="2">
        <v>0</v>
      </c>
      <c r="H78" s="2">
        <v>4583.3436680000004</v>
      </c>
      <c r="I78" s="2">
        <v>0</v>
      </c>
      <c r="J78" s="2">
        <v>4168.2035960000003</v>
      </c>
      <c r="K78" s="2">
        <v>4095.3364689999999</v>
      </c>
      <c r="L78" s="2">
        <v>4016.6781999999998</v>
      </c>
      <c r="M78" s="2">
        <v>0</v>
      </c>
      <c r="N78" s="2">
        <v>0</v>
      </c>
      <c r="O78" s="2">
        <v>4449.0526280000004</v>
      </c>
      <c r="P78" s="2">
        <v>0</v>
      </c>
      <c r="Q78" s="2">
        <v>0</v>
      </c>
      <c r="R78" s="2">
        <v>0</v>
      </c>
      <c r="S78" s="2">
        <v>4440.8080950000003</v>
      </c>
      <c r="T78" s="2">
        <v>0</v>
      </c>
      <c r="U78" s="2">
        <v>10779.148074999999</v>
      </c>
      <c r="V78" s="2">
        <v>0</v>
      </c>
      <c r="W78" s="2">
        <v>0</v>
      </c>
      <c r="X78" s="2">
        <v>10758.605030000001</v>
      </c>
      <c r="Y78" s="2">
        <v>0</v>
      </c>
      <c r="Z78" s="2">
        <v>10714.009731</v>
      </c>
      <c r="AA78" s="2">
        <v>0</v>
      </c>
      <c r="AB78" s="2">
        <v>4568.002845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10740.198026</v>
      </c>
      <c r="AP78" s="2">
        <v>9760.2813249999999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</row>
    <row r="79" spans="1:79" x14ac:dyDescent="0.25">
      <c r="A79" s="1">
        <v>44407</v>
      </c>
      <c r="B79" s="2">
        <v>0</v>
      </c>
      <c r="C79" s="2">
        <v>1034.8251620000001</v>
      </c>
      <c r="D79" s="2">
        <v>1044.692448</v>
      </c>
      <c r="E79" s="2">
        <v>4250.9144530000003</v>
      </c>
      <c r="F79" s="2">
        <v>1044.9670149999999</v>
      </c>
      <c r="G79" s="2">
        <v>0</v>
      </c>
      <c r="H79" s="2">
        <v>4553.7823250000001</v>
      </c>
      <c r="I79" s="2">
        <v>0</v>
      </c>
      <c r="J79" s="2">
        <v>4144.7697250000001</v>
      </c>
      <c r="K79" s="2">
        <v>4069.1147129999999</v>
      </c>
      <c r="L79" s="2">
        <v>4001.7672429999998</v>
      </c>
      <c r="M79" s="2">
        <v>0</v>
      </c>
      <c r="N79" s="2">
        <v>0</v>
      </c>
      <c r="O79" s="2">
        <v>4425.1501289999997</v>
      </c>
      <c r="P79" s="2">
        <v>0</v>
      </c>
      <c r="Q79" s="2">
        <v>0</v>
      </c>
      <c r="R79" s="2">
        <v>0</v>
      </c>
      <c r="S79" s="2">
        <v>4394.9154209999997</v>
      </c>
      <c r="T79" s="2">
        <v>0</v>
      </c>
      <c r="U79" s="2">
        <v>10835.941994999999</v>
      </c>
      <c r="V79" s="2">
        <v>0</v>
      </c>
      <c r="W79" s="2">
        <v>0</v>
      </c>
      <c r="X79" s="2">
        <v>10815.533697999999</v>
      </c>
      <c r="Y79" s="2">
        <v>0</v>
      </c>
      <c r="Z79" s="2">
        <v>10775.285822</v>
      </c>
      <c r="AA79" s="2">
        <v>0</v>
      </c>
      <c r="AB79" s="2">
        <v>4529.5636709999999</v>
      </c>
      <c r="AC79" s="2">
        <v>0</v>
      </c>
      <c r="AD79" s="2">
        <v>0</v>
      </c>
      <c r="AE79" s="2">
        <v>10730.455377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10802.868741</v>
      </c>
      <c r="AP79" s="2">
        <v>9788.1839839999993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</row>
    <row r="80" spans="1:79" x14ac:dyDescent="0.25">
      <c r="A80" s="1">
        <v>44439</v>
      </c>
      <c r="B80" s="2">
        <v>0</v>
      </c>
      <c r="C80" s="2">
        <v>989.08739600000001</v>
      </c>
      <c r="D80" s="2">
        <v>1015.65363</v>
      </c>
      <c r="E80" s="2">
        <v>4183.9827690000002</v>
      </c>
      <c r="F80" s="2">
        <v>1007.0002030000001</v>
      </c>
      <c r="G80" s="2">
        <v>0</v>
      </c>
      <c r="H80" s="2">
        <v>4301.5612590000001</v>
      </c>
      <c r="I80" s="2">
        <v>0</v>
      </c>
      <c r="J80" s="2">
        <v>4002.2425739999999</v>
      </c>
      <c r="K80" s="2">
        <v>3943.752101</v>
      </c>
      <c r="L80" s="2">
        <v>3883.4291600000001</v>
      </c>
      <c r="M80" s="2">
        <v>0</v>
      </c>
      <c r="N80" s="2">
        <v>0</v>
      </c>
      <c r="O80" s="2">
        <v>4295.3830189999999</v>
      </c>
      <c r="P80" s="2">
        <v>0</v>
      </c>
      <c r="Q80" s="2">
        <v>0</v>
      </c>
      <c r="R80" s="2">
        <v>0</v>
      </c>
      <c r="S80" s="2">
        <v>4182.150302</v>
      </c>
      <c r="T80" s="2">
        <v>0</v>
      </c>
      <c r="U80" s="2">
        <v>10888.432613000001</v>
      </c>
      <c r="V80" s="2">
        <v>0</v>
      </c>
      <c r="W80" s="2">
        <v>0</v>
      </c>
      <c r="X80" s="2">
        <v>10867.179101</v>
      </c>
      <c r="Y80" s="2">
        <v>0</v>
      </c>
      <c r="Z80" s="2">
        <v>10804.703659000001</v>
      </c>
      <c r="AA80" s="2">
        <v>0</v>
      </c>
      <c r="AB80" s="2">
        <v>4386.387111</v>
      </c>
      <c r="AC80" s="2">
        <v>0</v>
      </c>
      <c r="AD80" s="2">
        <v>0</v>
      </c>
      <c r="AE80" s="2">
        <v>10777.354178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10853.03206</v>
      </c>
      <c r="AP80" s="2">
        <v>9508.6640530000004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</row>
    <row r="81" spans="1:79" x14ac:dyDescent="0.25">
      <c r="A81" s="1">
        <v>44469</v>
      </c>
      <c r="B81" s="2">
        <v>0</v>
      </c>
      <c r="C81" s="2">
        <v>964.43100600000002</v>
      </c>
      <c r="D81" s="2">
        <v>1000.197557</v>
      </c>
      <c r="E81" s="2">
        <v>4133.3435460000001</v>
      </c>
      <c r="F81" s="2">
        <v>982.52936499999998</v>
      </c>
      <c r="G81" s="2">
        <v>0</v>
      </c>
      <c r="H81" s="2">
        <v>4228.104002</v>
      </c>
      <c r="I81" s="2">
        <v>0</v>
      </c>
      <c r="J81" s="2">
        <v>3984.1609699999999</v>
      </c>
      <c r="K81" s="2">
        <v>3943.661384</v>
      </c>
      <c r="L81" s="2">
        <v>3902.516795</v>
      </c>
      <c r="M81" s="2">
        <v>0</v>
      </c>
      <c r="N81" s="2">
        <v>0</v>
      </c>
      <c r="O81" s="2">
        <v>4241.1616459999996</v>
      </c>
      <c r="P81" s="2">
        <v>0</v>
      </c>
      <c r="Q81" s="2">
        <v>0</v>
      </c>
      <c r="R81" s="2">
        <v>0</v>
      </c>
      <c r="S81" s="2">
        <v>4131.1190189999998</v>
      </c>
      <c r="T81" s="2">
        <v>0</v>
      </c>
      <c r="U81" s="2">
        <v>10944.712264</v>
      </c>
      <c r="V81" s="2">
        <v>0</v>
      </c>
      <c r="W81" s="2">
        <v>0</v>
      </c>
      <c r="X81" s="2">
        <v>10919.415257000001</v>
      </c>
      <c r="Y81" s="2">
        <v>0</v>
      </c>
      <c r="Z81" s="2">
        <v>10864.937881</v>
      </c>
      <c r="AA81" s="2">
        <v>0</v>
      </c>
      <c r="AB81" s="2">
        <v>4300.8097559999997</v>
      </c>
      <c r="AC81" s="2">
        <v>0</v>
      </c>
      <c r="AD81" s="2">
        <v>0</v>
      </c>
      <c r="AE81" s="2">
        <v>10827.439176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10906.375107</v>
      </c>
      <c r="AP81" s="2">
        <v>9537.0299169999998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</row>
    <row r="82" spans="1:79" x14ac:dyDescent="0.25">
      <c r="A82" s="1">
        <v>44498</v>
      </c>
      <c r="B82" s="2">
        <v>0</v>
      </c>
      <c r="C82" s="2">
        <v>919.51515400000005</v>
      </c>
      <c r="D82" s="2">
        <v>956.27131499999996</v>
      </c>
      <c r="E82" s="2">
        <v>3992.9370650000001</v>
      </c>
      <c r="F82" s="2">
        <v>936.31018300000005</v>
      </c>
      <c r="G82" s="2">
        <v>0</v>
      </c>
      <c r="H82" s="2">
        <v>4022.8183220000001</v>
      </c>
      <c r="I82" s="2">
        <v>0</v>
      </c>
      <c r="J82" s="2">
        <v>3888.9098629999999</v>
      </c>
      <c r="K82" s="2">
        <v>3862.4273170000001</v>
      </c>
      <c r="L82" s="2">
        <v>3832.0499519999998</v>
      </c>
      <c r="M82" s="2">
        <v>0</v>
      </c>
      <c r="N82" s="2">
        <v>0</v>
      </c>
      <c r="O82" s="2">
        <v>4056.3093199999998</v>
      </c>
      <c r="P82" s="2">
        <v>0</v>
      </c>
      <c r="Q82" s="2">
        <v>0</v>
      </c>
      <c r="R82" s="2">
        <v>0</v>
      </c>
      <c r="S82" s="2">
        <v>3977.8057690000001</v>
      </c>
      <c r="T82" s="2">
        <v>0</v>
      </c>
      <c r="U82" s="2">
        <v>11013.800309</v>
      </c>
      <c r="V82" s="2">
        <v>0</v>
      </c>
      <c r="W82" s="2">
        <v>0</v>
      </c>
      <c r="X82" s="2">
        <v>10983.11456</v>
      </c>
      <c r="Y82" s="2">
        <v>0</v>
      </c>
      <c r="Z82" s="2">
        <v>10931.576249</v>
      </c>
      <c r="AA82" s="2">
        <v>0</v>
      </c>
      <c r="AB82" s="2">
        <v>4089.0450500000002</v>
      </c>
      <c r="AC82" s="2">
        <v>0</v>
      </c>
      <c r="AD82" s="2">
        <v>0</v>
      </c>
      <c r="AE82" s="2">
        <v>10904.227354000001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10969.168508000001</v>
      </c>
      <c r="AP82" s="2">
        <v>9398.9966619999996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</row>
    <row r="83" spans="1:79" x14ac:dyDescent="0.25">
      <c r="A83" s="1">
        <v>44530</v>
      </c>
      <c r="B83" s="2">
        <v>0</v>
      </c>
      <c r="C83" s="2">
        <v>968.17420700000002</v>
      </c>
      <c r="D83" s="2">
        <v>990.91004099999998</v>
      </c>
      <c r="E83" s="2">
        <v>4071.0700299999999</v>
      </c>
      <c r="F83" s="2">
        <v>978.37391700000001</v>
      </c>
      <c r="G83" s="2">
        <v>0</v>
      </c>
      <c r="H83" s="2">
        <v>4206.3848900000003</v>
      </c>
      <c r="I83" s="2">
        <v>0</v>
      </c>
      <c r="J83" s="2">
        <v>4043.4282830000002</v>
      </c>
      <c r="K83" s="2">
        <v>4002.0931129999999</v>
      </c>
      <c r="L83" s="2">
        <v>3957.770356</v>
      </c>
      <c r="M83" s="2">
        <v>0</v>
      </c>
      <c r="N83" s="2">
        <v>0</v>
      </c>
      <c r="O83" s="2">
        <v>4129.9333809999998</v>
      </c>
      <c r="P83" s="2">
        <v>0</v>
      </c>
      <c r="Q83" s="2">
        <v>0</v>
      </c>
      <c r="R83" s="2">
        <v>0</v>
      </c>
      <c r="S83" s="2">
        <v>4167.5312549999999</v>
      </c>
      <c r="T83" s="2">
        <v>0</v>
      </c>
      <c r="U83" s="2">
        <v>11082.549529</v>
      </c>
      <c r="V83" s="2">
        <v>0</v>
      </c>
      <c r="W83" s="2">
        <v>0</v>
      </c>
      <c r="X83" s="2">
        <v>11057.136541</v>
      </c>
      <c r="Y83" s="2">
        <v>0</v>
      </c>
      <c r="Z83" s="2">
        <v>11007.191489000001</v>
      </c>
      <c r="AA83" s="2">
        <v>0</v>
      </c>
      <c r="AB83" s="2">
        <v>4174.6347420000002</v>
      </c>
      <c r="AC83" s="2">
        <v>0</v>
      </c>
      <c r="AD83" s="2">
        <v>0</v>
      </c>
      <c r="AE83" s="2">
        <v>10975.578579000001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11041.424869</v>
      </c>
      <c r="AP83" s="2">
        <v>9313.4991879999998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</row>
    <row r="84" spans="1:79" x14ac:dyDescent="0.25">
      <c r="A84" s="1">
        <v>44561</v>
      </c>
      <c r="B84" s="2">
        <v>0</v>
      </c>
      <c r="C84" s="2">
        <v>928.64710400000001</v>
      </c>
      <c r="D84" s="2">
        <v>951.66444000000001</v>
      </c>
      <c r="E84" s="2">
        <v>4112.7790510000004</v>
      </c>
      <c r="F84" s="2">
        <v>938.60605199999998</v>
      </c>
      <c r="G84" s="2">
        <v>0</v>
      </c>
      <c r="H84" s="2">
        <v>4245.5048880000004</v>
      </c>
      <c r="I84" s="2">
        <v>0</v>
      </c>
      <c r="J84" s="2">
        <v>4088.1438309999999</v>
      </c>
      <c r="K84" s="2">
        <v>4046.8787040000002</v>
      </c>
      <c r="L84" s="2">
        <v>4002.5851520000001</v>
      </c>
      <c r="M84" s="2">
        <v>0</v>
      </c>
      <c r="N84" s="2">
        <v>0</v>
      </c>
      <c r="O84" s="2">
        <v>4169.8546729999998</v>
      </c>
      <c r="P84" s="2">
        <v>0</v>
      </c>
      <c r="Q84" s="2">
        <v>0</v>
      </c>
      <c r="R84" s="2">
        <v>0</v>
      </c>
      <c r="S84" s="2">
        <v>4207.517409</v>
      </c>
      <c r="T84" s="2">
        <v>0</v>
      </c>
      <c r="U84" s="2">
        <v>11166.086800999999</v>
      </c>
      <c r="V84" s="2">
        <v>0</v>
      </c>
      <c r="W84" s="2">
        <v>0</v>
      </c>
      <c r="X84" s="2">
        <v>11140.523311999999</v>
      </c>
      <c r="Y84" s="2">
        <v>0</v>
      </c>
      <c r="Z84" s="2">
        <v>11090.418874999999</v>
      </c>
      <c r="AA84" s="2">
        <v>0</v>
      </c>
      <c r="AB84" s="2">
        <v>4210.2739549999997</v>
      </c>
      <c r="AC84" s="2">
        <v>0</v>
      </c>
      <c r="AD84" s="2">
        <v>0</v>
      </c>
      <c r="AE84" s="2">
        <v>11060.04608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11124.645858</v>
      </c>
      <c r="AP84" s="2">
        <v>8512.6574199999995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</row>
    <row r="85" spans="1:79" x14ac:dyDescent="0.25">
      <c r="A85" s="1">
        <v>44592</v>
      </c>
      <c r="B85" s="2">
        <v>0</v>
      </c>
      <c r="C85" s="2">
        <v>940.00898199999995</v>
      </c>
      <c r="D85" s="2">
        <v>967.37958600000002</v>
      </c>
      <c r="E85" s="2">
        <v>3990.273608</v>
      </c>
      <c r="F85" s="2">
        <v>947.22705199999996</v>
      </c>
      <c r="G85" s="2">
        <v>927.05571999999995</v>
      </c>
      <c r="H85" s="2">
        <v>4085.8191820000002</v>
      </c>
      <c r="I85" s="2">
        <v>0</v>
      </c>
      <c r="J85" s="2">
        <v>4033.2700669999999</v>
      </c>
      <c r="K85" s="2">
        <v>4014.111535</v>
      </c>
      <c r="L85" s="2">
        <v>3996.177021</v>
      </c>
      <c r="M85" s="2">
        <v>4090.3047120000001</v>
      </c>
      <c r="N85" s="2">
        <v>4039.0822480000002</v>
      </c>
      <c r="O85" s="2">
        <v>4011.496243</v>
      </c>
      <c r="P85" s="2">
        <v>0</v>
      </c>
      <c r="Q85" s="2">
        <v>0</v>
      </c>
      <c r="R85" s="2">
        <v>3943.703931</v>
      </c>
      <c r="S85" s="2">
        <v>4064.7105860000001</v>
      </c>
      <c r="T85" s="2">
        <v>0</v>
      </c>
      <c r="U85" s="2">
        <v>11263.948333</v>
      </c>
      <c r="V85" s="2">
        <v>0</v>
      </c>
      <c r="W85" s="2">
        <v>0</v>
      </c>
      <c r="X85" s="2">
        <v>11239.940774000001</v>
      </c>
      <c r="Y85" s="2">
        <v>0</v>
      </c>
      <c r="Z85" s="2">
        <v>11194.121537999999</v>
      </c>
      <c r="AA85" s="2">
        <v>0</v>
      </c>
      <c r="AB85" s="2">
        <v>4052.595855</v>
      </c>
      <c r="AC85" s="2">
        <v>0</v>
      </c>
      <c r="AD85" s="2">
        <v>0</v>
      </c>
      <c r="AE85" s="2">
        <v>11174.494424</v>
      </c>
      <c r="AF85" s="2">
        <v>0</v>
      </c>
      <c r="AG85" s="2">
        <v>0</v>
      </c>
      <c r="AH85" s="2">
        <v>0</v>
      </c>
      <c r="AI85" s="2">
        <v>11149.705855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11226.210848999999</v>
      </c>
      <c r="AP85" s="2">
        <v>9203.0940019999998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</row>
    <row r="86" spans="1:79" x14ac:dyDescent="0.25">
      <c r="A86" s="1">
        <v>44620</v>
      </c>
      <c r="B86" s="2">
        <v>0</v>
      </c>
      <c r="C86" s="2">
        <v>937.35796400000004</v>
      </c>
      <c r="D86" s="2">
        <v>972.39093500000001</v>
      </c>
      <c r="E86" s="2">
        <v>3990.3661040000002</v>
      </c>
      <c r="F86" s="2">
        <v>949.77369899999997</v>
      </c>
      <c r="G86" s="2">
        <v>920.37743399999999</v>
      </c>
      <c r="H86" s="2">
        <v>3978.3094369999999</v>
      </c>
      <c r="I86" s="2">
        <v>0</v>
      </c>
      <c r="J86" s="2">
        <v>3920.1433910000001</v>
      </c>
      <c r="K86" s="2">
        <v>3913.8527899999999</v>
      </c>
      <c r="L86" s="2">
        <v>3908.7299509999998</v>
      </c>
      <c r="M86" s="2">
        <v>3999.574196</v>
      </c>
      <c r="N86" s="2">
        <v>3920.170192</v>
      </c>
      <c r="O86" s="2">
        <v>4019.6597069999998</v>
      </c>
      <c r="P86" s="2">
        <v>0</v>
      </c>
      <c r="Q86" s="2">
        <v>0</v>
      </c>
      <c r="R86" s="2">
        <v>3970.9774219999999</v>
      </c>
      <c r="S86" s="2">
        <v>3948.0356790000001</v>
      </c>
      <c r="T86" s="2">
        <v>0</v>
      </c>
      <c r="U86" s="2">
        <v>11366.706861000001</v>
      </c>
      <c r="V86" s="2">
        <v>0</v>
      </c>
      <c r="W86" s="2">
        <v>0</v>
      </c>
      <c r="X86" s="2">
        <v>11349.486150000001</v>
      </c>
      <c r="Y86" s="2">
        <v>0</v>
      </c>
      <c r="Z86" s="2">
        <v>11320.644311</v>
      </c>
      <c r="AA86" s="2">
        <v>0</v>
      </c>
      <c r="AB86" s="2">
        <v>4049.1524039999999</v>
      </c>
      <c r="AC86" s="2">
        <v>0</v>
      </c>
      <c r="AD86" s="2">
        <v>0</v>
      </c>
      <c r="AE86" s="2">
        <v>11313.185804000001</v>
      </c>
      <c r="AF86" s="2">
        <v>0</v>
      </c>
      <c r="AG86" s="2">
        <v>0</v>
      </c>
      <c r="AH86" s="2">
        <v>0</v>
      </c>
      <c r="AI86" s="2">
        <v>11305.100053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11340.932817000001</v>
      </c>
      <c r="AP86" s="2">
        <v>9657.1206880000009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</row>
    <row r="87" spans="1:79" x14ac:dyDescent="0.25">
      <c r="A87" s="1">
        <v>44651</v>
      </c>
      <c r="B87" s="2">
        <v>0</v>
      </c>
      <c r="C87" s="2">
        <v>942.69929300000001</v>
      </c>
      <c r="D87" s="2">
        <v>977.89699800000005</v>
      </c>
      <c r="E87" s="2">
        <v>4153.9038579999997</v>
      </c>
      <c r="F87" s="2">
        <v>961.10085000000004</v>
      </c>
      <c r="G87" s="2">
        <v>930.35016199999995</v>
      </c>
      <c r="H87" s="2">
        <v>4109.6193499999999</v>
      </c>
      <c r="I87" s="2">
        <v>0</v>
      </c>
      <c r="J87" s="2">
        <v>4063.7297130000002</v>
      </c>
      <c r="K87" s="2">
        <v>4042.8242620000001</v>
      </c>
      <c r="L87" s="2">
        <v>4021.9692140000002</v>
      </c>
      <c r="M87" s="2">
        <v>4139.4576950000001</v>
      </c>
      <c r="N87" s="2">
        <v>4071.069109</v>
      </c>
      <c r="O87" s="2">
        <v>4153.1982209999996</v>
      </c>
      <c r="P87" s="2">
        <v>0</v>
      </c>
      <c r="Q87" s="2">
        <v>0</v>
      </c>
      <c r="R87" s="2">
        <v>4091.288309</v>
      </c>
      <c r="S87" s="2">
        <v>4118.912816</v>
      </c>
      <c r="T87" s="2">
        <v>0</v>
      </c>
      <c r="U87" s="2">
        <v>11479.863230000001</v>
      </c>
      <c r="V87" s="2">
        <v>0</v>
      </c>
      <c r="W87" s="2">
        <v>0</v>
      </c>
      <c r="X87" s="2">
        <v>11463.944665999999</v>
      </c>
      <c r="Y87" s="2">
        <v>0</v>
      </c>
      <c r="Z87" s="2">
        <v>11416.327095000001</v>
      </c>
      <c r="AA87" s="2">
        <v>0</v>
      </c>
      <c r="AB87" s="2">
        <v>4184.7618860000002</v>
      </c>
      <c r="AC87" s="2">
        <v>0</v>
      </c>
      <c r="AD87" s="2">
        <v>0</v>
      </c>
      <c r="AE87" s="2">
        <v>11402.975297999999</v>
      </c>
      <c r="AF87" s="2">
        <v>0</v>
      </c>
      <c r="AG87" s="2">
        <v>0</v>
      </c>
      <c r="AH87" s="2">
        <v>0</v>
      </c>
      <c r="AI87" s="2">
        <v>11394.308139999999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11456.819871</v>
      </c>
      <c r="AP87" s="2">
        <v>9904.6209930000005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</row>
    <row r="88" spans="1:79" x14ac:dyDescent="0.25">
      <c r="A88" s="1">
        <v>44680</v>
      </c>
      <c r="B88" s="2">
        <v>0</v>
      </c>
      <c r="C88" s="2">
        <v>921.03889900000001</v>
      </c>
      <c r="D88" s="2">
        <v>963.41516300000001</v>
      </c>
      <c r="E88" s="2">
        <v>4169.6969680000002</v>
      </c>
      <c r="F88" s="2">
        <v>940.900621</v>
      </c>
      <c r="G88" s="2">
        <v>905.18292299999996</v>
      </c>
      <c r="H88" s="2">
        <v>4091.4806229999999</v>
      </c>
      <c r="I88" s="2">
        <v>0</v>
      </c>
      <c r="J88" s="2">
        <v>4099.8377920000003</v>
      </c>
      <c r="K88" s="2">
        <v>4077.9252710000001</v>
      </c>
      <c r="L88" s="2">
        <v>4058.3309119999999</v>
      </c>
      <c r="M88" s="2">
        <v>4095.8261940000002</v>
      </c>
      <c r="N88" s="2">
        <v>4100.8279220000004</v>
      </c>
      <c r="O88" s="2">
        <v>4150.3580000000002</v>
      </c>
      <c r="P88" s="2">
        <v>0</v>
      </c>
      <c r="Q88" s="2">
        <v>0</v>
      </c>
      <c r="R88" s="2">
        <v>4120.3515580000003</v>
      </c>
      <c r="S88" s="2">
        <v>4121.7306680000002</v>
      </c>
      <c r="T88" s="2">
        <v>0</v>
      </c>
      <c r="U88" s="2">
        <v>11546.951556</v>
      </c>
      <c r="V88" s="2">
        <v>0</v>
      </c>
      <c r="W88" s="2">
        <v>0</v>
      </c>
      <c r="X88" s="2">
        <v>11533.418726</v>
      </c>
      <c r="Y88" s="2">
        <v>0</v>
      </c>
      <c r="Z88" s="2">
        <v>11498.681365</v>
      </c>
      <c r="AA88" s="2">
        <v>0</v>
      </c>
      <c r="AB88" s="2">
        <v>4157.3399879999997</v>
      </c>
      <c r="AC88" s="2">
        <v>0</v>
      </c>
      <c r="AD88" s="2">
        <v>11457.003497</v>
      </c>
      <c r="AE88" s="2">
        <v>11483.535273</v>
      </c>
      <c r="AF88" s="2">
        <v>0</v>
      </c>
      <c r="AG88" s="2">
        <v>0</v>
      </c>
      <c r="AH88" s="2">
        <v>0</v>
      </c>
      <c r="AI88" s="2">
        <v>11473.913732000001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11522.183923000001</v>
      </c>
      <c r="AP88" s="2">
        <v>10008.213154999999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</row>
    <row r="89" spans="1:79" x14ac:dyDescent="0.25">
      <c r="A89" s="1">
        <v>44712</v>
      </c>
      <c r="B89" s="2">
        <v>0</v>
      </c>
      <c r="C89" s="2">
        <v>915.87937199999999</v>
      </c>
      <c r="D89" s="2">
        <v>961.74355700000001</v>
      </c>
      <c r="E89" s="2">
        <v>4091.7242999999999</v>
      </c>
      <c r="F89" s="2">
        <v>936.651791</v>
      </c>
      <c r="G89" s="2">
        <v>898.93408499999998</v>
      </c>
      <c r="H89" s="2">
        <v>4143.5187299999998</v>
      </c>
      <c r="I89" s="2">
        <v>0</v>
      </c>
      <c r="J89" s="2">
        <v>4143.6813309999998</v>
      </c>
      <c r="K89" s="2">
        <v>4121.071833</v>
      </c>
      <c r="L89" s="2">
        <v>4096.4516320000002</v>
      </c>
      <c r="M89" s="2">
        <v>4130.9825739999997</v>
      </c>
      <c r="N89" s="2">
        <v>4138.2956620000004</v>
      </c>
      <c r="O89" s="2">
        <v>4084.784005</v>
      </c>
      <c r="P89" s="2">
        <v>0</v>
      </c>
      <c r="Q89" s="2">
        <v>0</v>
      </c>
      <c r="R89" s="2">
        <v>4049.2814210000001</v>
      </c>
      <c r="S89" s="2">
        <v>4168.4641330000004</v>
      </c>
      <c r="T89" s="2">
        <v>0</v>
      </c>
      <c r="U89" s="2">
        <v>11672.982144</v>
      </c>
      <c r="V89" s="2">
        <v>0</v>
      </c>
      <c r="W89" s="2">
        <v>0</v>
      </c>
      <c r="X89" s="2">
        <v>11658.523643</v>
      </c>
      <c r="Y89" s="2">
        <v>0</v>
      </c>
      <c r="Z89" s="2">
        <v>11630.450933</v>
      </c>
      <c r="AA89" s="2">
        <v>0</v>
      </c>
      <c r="AB89" s="2">
        <v>4085.7834069999999</v>
      </c>
      <c r="AC89" s="2">
        <v>0</v>
      </c>
      <c r="AD89" s="2">
        <v>11598.367835999999</v>
      </c>
      <c r="AE89" s="2">
        <v>11619.228885</v>
      </c>
      <c r="AF89" s="2">
        <v>0</v>
      </c>
      <c r="AG89" s="2">
        <v>0</v>
      </c>
      <c r="AH89" s="2">
        <v>0</v>
      </c>
      <c r="AI89" s="2">
        <v>11610.164472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11649.400598</v>
      </c>
      <c r="AP89" s="2">
        <v>10085.356830999999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</row>
    <row r="90" spans="1:79" x14ac:dyDescent="0.25">
      <c r="A90" s="1">
        <v>44742</v>
      </c>
      <c r="B90" s="2">
        <v>0</v>
      </c>
      <c r="C90" s="2">
        <v>853.88244599999996</v>
      </c>
      <c r="D90" s="2">
        <v>908.78575499999999</v>
      </c>
      <c r="E90" s="2">
        <v>4064.125689</v>
      </c>
      <c r="F90" s="2">
        <v>877.41998000000001</v>
      </c>
      <c r="G90" s="2">
        <v>834.88244599999996</v>
      </c>
      <c r="H90" s="2">
        <v>4068.5830639999999</v>
      </c>
      <c r="I90" s="2">
        <v>0</v>
      </c>
      <c r="J90" s="2">
        <v>4142.9510650000002</v>
      </c>
      <c r="K90" s="2">
        <v>4127.2545639999998</v>
      </c>
      <c r="L90" s="2">
        <v>4110.6490469999999</v>
      </c>
      <c r="M90" s="2">
        <v>4060.13877</v>
      </c>
      <c r="N90" s="2">
        <v>4136.9268300000003</v>
      </c>
      <c r="O90" s="2">
        <v>4019.9546129999999</v>
      </c>
      <c r="P90" s="2">
        <v>0</v>
      </c>
      <c r="Q90" s="2">
        <v>0</v>
      </c>
      <c r="R90" s="2">
        <v>4059.3055039999999</v>
      </c>
      <c r="S90" s="2">
        <v>4113.7508699999998</v>
      </c>
      <c r="T90" s="2">
        <v>0</v>
      </c>
      <c r="U90" s="2">
        <v>11799.96917</v>
      </c>
      <c r="V90" s="2">
        <v>0</v>
      </c>
      <c r="W90" s="2">
        <v>0</v>
      </c>
      <c r="X90" s="2">
        <v>11786.275960000001</v>
      </c>
      <c r="Y90" s="2">
        <v>0</v>
      </c>
      <c r="Z90" s="2">
        <v>11757.669472</v>
      </c>
      <c r="AA90" s="2">
        <v>0</v>
      </c>
      <c r="AB90" s="2">
        <v>4009.971368</v>
      </c>
      <c r="AC90" s="2">
        <v>0</v>
      </c>
      <c r="AD90" s="2">
        <v>11722.299295999999</v>
      </c>
      <c r="AE90" s="2">
        <v>11747.482481999999</v>
      </c>
      <c r="AF90" s="2">
        <v>0</v>
      </c>
      <c r="AG90" s="2">
        <v>0</v>
      </c>
      <c r="AH90" s="2">
        <v>0</v>
      </c>
      <c r="AI90" s="2">
        <v>11738.136511000001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11777.853926</v>
      </c>
      <c r="AP90" s="2">
        <v>9862.4110139999993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</row>
    <row r="91" spans="1:79" x14ac:dyDescent="0.25">
      <c r="A91" s="1">
        <v>44771</v>
      </c>
      <c r="B91" s="2">
        <v>0</v>
      </c>
      <c r="C91" s="2">
        <v>868.98180500000001</v>
      </c>
      <c r="D91" s="2">
        <v>921.53639399999997</v>
      </c>
      <c r="E91" s="2">
        <v>3980.2350649999998</v>
      </c>
      <c r="F91" s="2">
        <v>891.43931699999996</v>
      </c>
      <c r="G91" s="2">
        <v>851.75844400000005</v>
      </c>
      <c r="H91" s="2">
        <v>3979.1034589999999</v>
      </c>
      <c r="I91" s="2">
        <v>664.00122099999999</v>
      </c>
      <c r="J91" s="2">
        <v>4092.7262139999998</v>
      </c>
      <c r="K91" s="2">
        <v>4093.2322490000001</v>
      </c>
      <c r="L91" s="2">
        <v>4095.280295</v>
      </c>
      <c r="M91" s="2">
        <v>3961.0416009999999</v>
      </c>
      <c r="N91" s="2">
        <v>4066.5159990000002</v>
      </c>
      <c r="O91" s="2">
        <v>3932.9347520000001</v>
      </c>
      <c r="P91" s="2">
        <v>0</v>
      </c>
      <c r="Q91" s="2">
        <v>0</v>
      </c>
      <c r="R91" s="2">
        <v>4036.9547980000002</v>
      </c>
      <c r="S91" s="2">
        <v>4016.952475</v>
      </c>
      <c r="T91" s="2">
        <v>0</v>
      </c>
      <c r="U91" s="2">
        <v>11927.166622999999</v>
      </c>
      <c r="V91" s="2">
        <v>0</v>
      </c>
      <c r="W91" s="2">
        <v>0</v>
      </c>
      <c r="X91" s="2">
        <v>11911.512586999999</v>
      </c>
      <c r="Y91" s="2">
        <v>0</v>
      </c>
      <c r="Z91" s="2">
        <v>11878.038322</v>
      </c>
      <c r="AA91" s="2">
        <v>0</v>
      </c>
      <c r="AB91" s="2">
        <v>3912.4423320000001</v>
      </c>
      <c r="AC91" s="2">
        <v>0</v>
      </c>
      <c r="AD91" s="2">
        <v>11845.569362</v>
      </c>
      <c r="AE91" s="2">
        <v>11866.896191</v>
      </c>
      <c r="AF91" s="2">
        <v>0</v>
      </c>
      <c r="AG91" s="2">
        <v>0</v>
      </c>
      <c r="AH91" s="2">
        <v>0</v>
      </c>
      <c r="AI91" s="2">
        <v>11857.154306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11902.572553</v>
      </c>
      <c r="AP91" s="2">
        <v>9888.15229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</row>
    <row r="92" spans="1:79" x14ac:dyDescent="0.25">
      <c r="A92" s="1">
        <v>44804</v>
      </c>
      <c r="B92" s="2">
        <v>0</v>
      </c>
      <c r="C92" s="2">
        <v>911.19356200000004</v>
      </c>
      <c r="D92" s="2">
        <v>955.85634600000003</v>
      </c>
      <c r="E92" s="2">
        <v>4066.4188749999998</v>
      </c>
      <c r="F92" s="2">
        <v>930.57918900000004</v>
      </c>
      <c r="G92" s="2">
        <v>895.40130099999999</v>
      </c>
      <c r="H92" s="2">
        <v>3997.5780070000001</v>
      </c>
      <c r="I92" s="2">
        <v>686.81558500000006</v>
      </c>
      <c r="J92" s="2">
        <v>4021.7628749999999</v>
      </c>
      <c r="K92" s="2">
        <v>4013.4911910000001</v>
      </c>
      <c r="L92" s="2">
        <v>3989.46486</v>
      </c>
      <c r="M92" s="2">
        <v>3997.5027020000002</v>
      </c>
      <c r="N92" s="2">
        <v>4008.0573239999999</v>
      </c>
      <c r="O92" s="2">
        <v>4054.4730880000002</v>
      </c>
      <c r="P92" s="2">
        <v>0</v>
      </c>
      <c r="Q92" s="2">
        <v>0</v>
      </c>
      <c r="R92" s="2">
        <v>4058.8407910000001</v>
      </c>
      <c r="S92" s="2">
        <v>4018.6238360000002</v>
      </c>
      <c r="T92" s="2">
        <v>0</v>
      </c>
      <c r="U92" s="2">
        <v>12070.948689999999</v>
      </c>
      <c r="V92" s="2">
        <v>0</v>
      </c>
      <c r="W92" s="2">
        <v>0</v>
      </c>
      <c r="X92" s="2">
        <v>12055.160034</v>
      </c>
      <c r="Y92" s="2">
        <v>0</v>
      </c>
      <c r="Z92" s="2">
        <v>12015.349372000001</v>
      </c>
      <c r="AA92" s="2">
        <v>0</v>
      </c>
      <c r="AB92" s="2">
        <v>4058.147191</v>
      </c>
      <c r="AC92" s="2">
        <v>0</v>
      </c>
      <c r="AD92" s="2">
        <v>11981.374701000001</v>
      </c>
      <c r="AE92" s="2">
        <v>12004.331214</v>
      </c>
      <c r="AF92" s="2">
        <v>0</v>
      </c>
      <c r="AG92" s="2">
        <v>0</v>
      </c>
      <c r="AH92" s="2">
        <v>0</v>
      </c>
      <c r="AI92" s="2">
        <v>11994.100068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12047.737912000001</v>
      </c>
      <c r="AP92" s="2">
        <v>9781.9244159999998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</row>
    <row r="93" spans="1:79" x14ac:dyDescent="0.25">
      <c r="A93" s="1">
        <v>44834</v>
      </c>
      <c r="B93" s="2">
        <v>0</v>
      </c>
      <c r="C93" s="2">
        <v>928.91835400000002</v>
      </c>
      <c r="D93" s="2">
        <v>970.59944299999995</v>
      </c>
      <c r="E93" s="2">
        <v>4147.2125720000004</v>
      </c>
      <c r="F93" s="2">
        <v>947.15919499999995</v>
      </c>
      <c r="G93" s="2">
        <v>913.95799799999998</v>
      </c>
      <c r="H93" s="2">
        <v>4127.5986240000002</v>
      </c>
      <c r="I93" s="2">
        <v>699.61052500000005</v>
      </c>
      <c r="J93" s="2">
        <v>4069.0451029999999</v>
      </c>
      <c r="K93" s="2">
        <v>4037.9179330000002</v>
      </c>
      <c r="L93" s="2">
        <v>4010.7562090000001</v>
      </c>
      <c r="M93" s="2">
        <v>4143.7763789999999</v>
      </c>
      <c r="N93" s="2">
        <v>4068.1761809999998</v>
      </c>
      <c r="O93" s="2">
        <v>4171.3567659999999</v>
      </c>
      <c r="P93" s="2">
        <v>0</v>
      </c>
      <c r="Q93" s="2">
        <v>0</v>
      </c>
      <c r="R93" s="2">
        <v>4076.991794</v>
      </c>
      <c r="S93" s="2">
        <v>4123.2461130000002</v>
      </c>
      <c r="T93" s="2">
        <v>0</v>
      </c>
      <c r="U93" s="2">
        <v>12208.032368</v>
      </c>
      <c r="V93" s="2">
        <v>0</v>
      </c>
      <c r="W93" s="2">
        <v>0</v>
      </c>
      <c r="X93" s="2">
        <v>12189.259797999999</v>
      </c>
      <c r="Y93" s="2">
        <v>0</v>
      </c>
      <c r="Z93" s="2">
        <v>12152.718145999999</v>
      </c>
      <c r="AA93" s="2">
        <v>0</v>
      </c>
      <c r="AB93" s="2">
        <v>4199.2175779999998</v>
      </c>
      <c r="AC93" s="2">
        <v>0</v>
      </c>
      <c r="AD93" s="2">
        <v>12112.370582</v>
      </c>
      <c r="AE93" s="2">
        <v>12138.583649</v>
      </c>
      <c r="AF93" s="2">
        <v>0</v>
      </c>
      <c r="AG93" s="2">
        <v>0</v>
      </c>
      <c r="AH93" s="2">
        <v>0</v>
      </c>
      <c r="AI93" s="2">
        <v>12129.246315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12182.088530000001</v>
      </c>
      <c r="AP93" s="2">
        <v>9793.4881860000005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</row>
    <row r="94" spans="1:79" x14ac:dyDescent="0.25">
      <c r="A94" s="1">
        <v>44865</v>
      </c>
      <c r="B94" s="2">
        <v>0</v>
      </c>
      <c r="C94" s="2">
        <v>945.53325600000005</v>
      </c>
      <c r="D94" s="2">
        <v>983.33952599999998</v>
      </c>
      <c r="E94" s="2">
        <v>4178.0840760000001</v>
      </c>
      <c r="F94" s="2">
        <v>961.43963299999996</v>
      </c>
      <c r="G94" s="2">
        <v>932.59616100000005</v>
      </c>
      <c r="H94" s="2">
        <v>4142.0070249999999</v>
      </c>
      <c r="I94" s="2">
        <v>704.70988999999997</v>
      </c>
      <c r="J94" s="2">
        <v>4115.1370960000004</v>
      </c>
      <c r="K94" s="2">
        <v>4090.474029</v>
      </c>
      <c r="L94" s="2">
        <v>4082.8093359999998</v>
      </c>
      <c r="M94" s="2">
        <v>4152.0802819999999</v>
      </c>
      <c r="N94" s="2">
        <v>4102.5208060000004</v>
      </c>
      <c r="O94" s="2">
        <v>4190.9969870000004</v>
      </c>
      <c r="P94" s="2">
        <v>0</v>
      </c>
      <c r="Q94" s="2">
        <v>0</v>
      </c>
      <c r="R94" s="2">
        <v>4138.6255430000001</v>
      </c>
      <c r="S94" s="2">
        <v>4165.554795</v>
      </c>
      <c r="T94" s="2">
        <v>0</v>
      </c>
      <c r="U94" s="2">
        <v>12339.980173</v>
      </c>
      <c r="V94" s="2">
        <v>0</v>
      </c>
      <c r="W94" s="2">
        <v>0</v>
      </c>
      <c r="X94" s="2">
        <v>12322.684943</v>
      </c>
      <c r="Y94" s="2">
        <v>0</v>
      </c>
      <c r="Z94" s="2">
        <v>12286.709874</v>
      </c>
      <c r="AA94" s="2">
        <v>0</v>
      </c>
      <c r="AB94" s="2">
        <v>4210.7915110000004</v>
      </c>
      <c r="AC94" s="2">
        <v>0</v>
      </c>
      <c r="AD94" s="2">
        <v>12248.052127999999</v>
      </c>
      <c r="AE94" s="2">
        <v>12275.027249000001</v>
      </c>
      <c r="AF94" s="2">
        <v>0</v>
      </c>
      <c r="AG94" s="2">
        <v>0</v>
      </c>
      <c r="AH94" s="2">
        <v>12227.740431</v>
      </c>
      <c r="AI94" s="2">
        <v>12265.199008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12317.146513</v>
      </c>
      <c r="AP94" s="2">
        <v>9579.5138270000007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</row>
    <row r="95" spans="1:79" x14ac:dyDescent="0.25">
      <c r="A95" s="1">
        <v>44895</v>
      </c>
      <c r="B95" s="2">
        <v>0</v>
      </c>
      <c r="C95" s="2">
        <v>912.79164500000002</v>
      </c>
      <c r="D95" s="2">
        <v>960.10647100000006</v>
      </c>
      <c r="E95" s="2">
        <v>4020.596693</v>
      </c>
      <c r="F95" s="2">
        <v>932.66958899999997</v>
      </c>
      <c r="G95" s="2">
        <v>895.99131499999999</v>
      </c>
      <c r="H95" s="2">
        <v>4079.32323</v>
      </c>
      <c r="I95" s="2">
        <v>688.58137899999997</v>
      </c>
      <c r="J95" s="2">
        <v>4082.431697</v>
      </c>
      <c r="K95" s="2">
        <v>4064.7003030000001</v>
      </c>
      <c r="L95" s="2">
        <v>4046.1131839999998</v>
      </c>
      <c r="M95" s="2">
        <v>4087.2038499999999</v>
      </c>
      <c r="N95" s="2">
        <v>4067.6853860000001</v>
      </c>
      <c r="O95" s="2">
        <v>4018.0812620000002</v>
      </c>
      <c r="P95" s="2">
        <v>0</v>
      </c>
      <c r="Q95" s="2">
        <v>0</v>
      </c>
      <c r="R95" s="2">
        <v>3995.2433860000001</v>
      </c>
      <c r="S95" s="2">
        <v>4103.7213110000002</v>
      </c>
      <c r="T95" s="2">
        <v>0</v>
      </c>
      <c r="U95" s="2">
        <v>12465.881417000001</v>
      </c>
      <c r="V95" s="2">
        <v>0</v>
      </c>
      <c r="W95" s="2">
        <v>0</v>
      </c>
      <c r="X95" s="2">
        <v>12448.621966999999</v>
      </c>
      <c r="Y95" s="2">
        <v>0</v>
      </c>
      <c r="Z95" s="2">
        <v>12408.670461</v>
      </c>
      <c r="AA95" s="2">
        <v>0</v>
      </c>
      <c r="AB95" s="2">
        <v>4025.488249</v>
      </c>
      <c r="AC95" s="2">
        <v>0</v>
      </c>
      <c r="AD95" s="2">
        <v>12370.929464000001</v>
      </c>
      <c r="AE95" s="2">
        <v>12398.055025</v>
      </c>
      <c r="AF95" s="2">
        <v>0</v>
      </c>
      <c r="AG95" s="2">
        <v>0</v>
      </c>
      <c r="AH95" s="2">
        <v>12350.972444000001</v>
      </c>
      <c r="AI95" s="2">
        <v>12388.563577000001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12442.127818000001</v>
      </c>
      <c r="AP95" s="2">
        <v>9213.3117660000007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</row>
    <row r="96" spans="1:79" x14ac:dyDescent="0.25">
      <c r="A96" s="1">
        <v>44925</v>
      </c>
      <c r="B96" s="2">
        <v>0</v>
      </c>
      <c r="C96" s="2">
        <v>917.98653000000002</v>
      </c>
      <c r="D96" s="2">
        <v>955.72753299999999</v>
      </c>
      <c r="E96" s="2">
        <v>4133.045838</v>
      </c>
      <c r="F96" s="2">
        <v>934.417461</v>
      </c>
      <c r="G96" s="2">
        <v>904.71605599999998</v>
      </c>
      <c r="H96" s="2">
        <v>4233.1949180000001</v>
      </c>
      <c r="I96" s="2">
        <v>722.55341399999998</v>
      </c>
      <c r="J96" s="2">
        <v>4174.8461859999998</v>
      </c>
      <c r="K96" s="2">
        <v>4144.7171820000003</v>
      </c>
      <c r="L96" s="2">
        <v>4117.8794809999999</v>
      </c>
      <c r="M96" s="2">
        <v>4249.0802480000002</v>
      </c>
      <c r="N96" s="2">
        <v>4172.7851270000001</v>
      </c>
      <c r="O96" s="2">
        <v>4161.1617139999998</v>
      </c>
      <c r="P96" s="2">
        <v>0</v>
      </c>
      <c r="Q96" s="2">
        <v>0</v>
      </c>
      <c r="R96" s="2">
        <v>4067.1039420000002</v>
      </c>
      <c r="S96" s="2">
        <v>4228.6653820000001</v>
      </c>
      <c r="T96" s="2">
        <v>0</v>
      </c>
      <c r="U96" s="2">
        <v>12600.583041</v>
      </c>
      <c r="V96" s="2">
        <v>0</v>
      </c>
      <c r="W96" s="2">
        <v>0</v>
      </c>
      <c r="X96" s="2">
        <v>12581.614228</v>
      </c>
      <c r="Y96" s="2">
        <v>0</v>
      </c>
      <c r="Z96" s="2">
        <v>12545.747765</v>
      </c>
      <c r="AA96" s="2">
        <v>0</v>
      </c>
      <c r="AB96" s="2">
        <v>4185.0955590000003</v>
      </c>
      <c r="AC96" s="2">
        <v>0</v>
      </c>
      <c r="AD96" s="2">
        <v>12504.476075</v>
      </c>
      <c r="AE96" s="2">
        <v>12531.224373999999</v>
      </c>
      <c r="AF96" s="2">
        <v>0</v>
      </c>
      <c r="AG96" s="2">
        <v>0</v>
      </c>
      <c r="AH96" s="2">
        <v>12487.512897000001</v>
      </c>
      <c r="AI96" s="2">
        <v>12519.997160000001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12574.036807</v>
      </c>
      <c r="AP96" s="2">
        <v>9351.1073460000007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</row>
    <row r="97" spans="1:79" x14ac:dyDescent="0.25">
      <c r="A97" s="1">
        <v>44957</v>
      </c>
      <c r="B97" s="2">
        <v>0</v>
      </c>
      <c r="C97" s="2">
        <v>870.34467800000004</v>
      </c>
      <c r="D97" s="2">
        <v>929.82569599999999</v>
      </c>
      <c r="E97" s="2">
        <v>3953.3910299999998</v>
      </c>
      <c r="F97" s="2">
        <v>895.42959299999995</v>
      </c>
      <c r="G97" s="2">
        <v>849.50107000000003</v>
      </c>
      <c r="H97" s="2">
        <v>3915.6977820000002</v>
      </c>
      <c r="I97" s="2">
        <v>703.87577299999998</v>
      </c>
      <c r="J97" s="2">
        <v>4091.3783990000002</v>
      </c>
      <c r="K97" s="2">
        <v>4092.239086</v>
      </c>
      <c r="L97" s="2">
        <v>4113.4948279999999</v>
      </c>
      <c r="M97" s="2">
        <v>3897.76413</v>
      </c>
      <c r="N97" s="2">
        <v>4056.9428910000001</v>
      </c>
      <c r="O97" s="2">
        <v>3874.4129779999998</v>
      </c>
      <c r="P97" s="2">
        <v>662.00967500000002</v>
      </c>
      <c r="Q97" s="2">
        <v>0</v>
      </c>
      <c r="R97" s="2">
        <v>4057.7150959999999</v>
      </c>
      <c r="S97" s="2">
        <v>3960.4012010000001</v>
      </c>
      <c r="T97" s="2">
        <v>0</v>
      </c>
      <c r="U97" s="2">
        <v>12754.32345</v>
      </c>
      <c r="V97" s="2">
        <v>0</v>
      </c>
      <c r="W97" s="2">
        <v>0</v>
      </c>
      <c r="X97" s="2">
        <v>12732.012688000001</v>
      </c>
      <c r="Y97" s="2">
        <v>0</v>
      </c>
      <c r="Z97" s="2">
        <v>12689.958113999999</v>
      </c>
      <c r="AA97" s="2">
        <v>0</v>
      </c>
      <c r="AB97" s="2">
        <v>3849.203708</v>
      </c>
      <c r="AC97" s="2">
        <v>0</v>
      </c>
      <c r="AD97" s="2">
        <v>12648.031249</v>
      </c>
      <c r="AE97" s="2">
        <v>12677.097817</v>
      </c>
      <c r="AF97" s="2">
        <v>0</v>
      </c>
      <c r="AG97" s="2">
        <v>3976.842729</v>
      </c>
      <c r="AH97" s="2">
        <v>12634.826138</v>
      </c>
      <c r="AI97" s="2">
        <v>12661.261901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12725.80603</v>
      </c>
      <c r="AP97" s="2">
        <v>8703.6831889999994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</row>
    <row r="98" spans="1:79" x14ac:dyDescent="0.25">
      <c r="A98" s="1">
        <v>44985</v>
      </c>
      <c r="B98" s="2">
        <v>0</v>
      </c>
      <c r="C98" s="2">
        <v>867.86051299999997</v>
      </c>
      <c r="D98" s="2">
        <v>934.72866099999999</v>
      </c>
      <c r="E98" s="2">
        <v>4003.0427880000002</v>
      </c>
      <c r="F98" s="2">
        <v>894.85957599999995</v>
      </c>
      <c r="G98" s="2">
        <v>845.71443699999998</v>
      </c>
      <c r="H98" s="2">
        <v>3837.142034</v>
      </c>
      <c r="I98" s="2">
        <v>710.05576399999995</v>
      </c>
      <c r="J98" s="2">
        <v>4026.9387740000002</v>
      </c>
      <c r="K98" s="2">
        <v>4032.3829169999999</v>
      </c>
      <c r="L98" s="2">
        <v>4067.9195</v>
      </c>
      <c r="M98" s="2">
        <v>3821.201939</v>
      </c>
      <c r="N98" s="2">
        <v>3986.4272310000001</v>
      </c>
      <c r="O98" s="2">
        <v>3916.1185099999998</v>
      </c>
      <c r="P98" s="2">
        <v>666.80058499999996</v>
      </c>
      <c r="Q98" s="2">
        <v>0</v>
      </c>
      <c r="R98" s="2">
        <v>4128.6908590000003</v>
      </c>
      <c r="S98" s="2">
        <v>3890.5035339999999</v>
      </c>
      <c r="T98" s="2">
        <v>0</v>
      </c>
      <c r="U98" s="2">
        <v>12875.692131</v>
      </c>
      <c r="V98" s="2">
        <v>0</v>
      </c>
      <c r="W98" s="2">
        <v>0</v>
      </c>
      <c r="X98" s="2">
        <v>12853.936925</v>
      </c>
      <c r="Y98" s="2">
        <v>0</v>
      </c>
      <c r="Z98" s="2">
        <v>12820.762814</v>
      </c>
      <c r="AA98" s="2">
        <v>0</v>
      </c>
      <c r="AB98" s="2">
        <v>3891.543017</v>
      </c>
      <c r="AC98" s="2">
        <v>0</v>
      </c>
      <c r="AD98" s="2">
        <v>12774.172134</v>
      </c>
      <c r="AE98" s="2">
        <v>12805.825443</v>
      </c>
      <c r="AF98" s="2">
        <v>0</v>
      </c>
      <c r="AG98" s="2">
        <v>4028.2411619999998</v>
      </c>
      <c r="AH98" s="2">
        <v>12753.847513000001</v>
      </c>
      <c r="AI98" s="2">
        <v>12786.531875000001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12847.235084</v>
      </c>
      <c r="AP98" s="2">
        <v>8727.2349579999991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</row>
    <row r="99" spans="1:79" x14ac:dyDescent="0.25">
      <c r="A99" s="1">
        <v>45016</v>
      </c>
      <c r="B99" s="2">
        <v>0</v>
      </c>
      <c r="C99" s="2">
        <v>903.26523499999996</v>
      </c>
      <c r="D99" s="2">
        <v>965.685115</v>
      </c>
      <c r="E99" s="2">
        <v>4143.2192459999997</v>
      </c>
      <c r="F99" s="2">
        <v>928.817723</v>
      </c>
      <c r="G99" s="2">
        <v>879.80778399999997</v>
      </c>
      <c r="H99" s="2">
        <v>4001.420631</v>
      </c>
      <c r="I99" s="2">
        <v>732.387158</v>
      </c>
      <c r="J99" s="2">
        <v>4139.6833660000002</v>
      </c>
      <c r="K99" s="2">
        <v>4133.7303469999997</v>
      </c>
      <c r="L99" s="2">
        <v>4147.3267480000004</v>
      </c>
      <c r="M99" s="2">
        <v>4016.64615</v>
      </c>
      <c r="N99" s="2">
        <v>4112.0128539999996</v>
      </c>
      <c r="O99" s="2">
        <v>4071.8442690000002</v>
      </c>
      <c r="P99" s="2">
        <v>690.54384000000005</v>
      </c>
      <c r="Q99" s="2">
        <v>0</v>
      </c>
      <c r="R99" s="2">
        <v>4218.3301719999999</v>
      </c>
      <c r="S99" s="2">
        <v>4049.6163999999999</v>
      </c>
      <c r="T99" s="2">
        <v>0</v>
      </c>
      <c r="U99" s="2">
        <v>13032.937626999999</v>
      </c>
      <c r="V99" s="2">
        <v>0</v>
      </c>
      <c r="W99" s="2">
        <v>0</v>
      </c>
      <c r="X99" s="2">
        <v>13002.607636999999</v>
      </c>
      <c r="Y99" s="2">
        <v>0</v>
      </c>
      <c r="Z99" s="2">
        <v>12961.976403000001</v>
      </c>
      <c r="AA99" s="2">
        <v>0</v>
      </c>
      <c r="AB99" s="2">
        <v>4069.4516290000001</v>
      </c>
      <c r="AC99" s="2">
        <v>0</v>
      </c>
      <c r="AD99" s="2">
        <v>12922.662163999999</v>
      </c>
      <c r="AE99" s="2">
        <v>12948.402233000001</v>
      </c>
      <c r="AF99" s="2">
        <v>0</v>
      </c>
      <c r="AG99" s="2">
        <v>4154.8435559999998</v>
      </c>
      <c r="AH99" s="2">
        <v>12900.442773000001</v>
      </c>
      <c r="AI99" s="2">
        <v>12933.719701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12992.893173</v>
      </c>
      <c r="AP99" s="2">
        <v>8817.5578029999997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</row>
    <row r="100" spans="1:79" x14ac:dyDescent="0.25">
      <c r="A100" s="1">
        <v>45044</v>
      </c>
      <c r="B100" s="2">
        <v>0</v>
      </c>
      <c r="C100" s="2">
        <v>928.612979</v>
      </c>
      <c r="D100" s="2">
        <v>981.19104000000004</v>
      </c>
      <c r="E100" s="2">
        <v>4240.7188939999996</v>
      </c>
      <c r="F100" s="2">
        <v>950.21877300000006</v>
      </c>
      <c r="G100" s="2">
        <v>908.89079200000003</v>
      </c>
      <c r="H100" s="2">
        <v>4163.5799850000003</v>
      </c>
      <c r="I100" s="2">
        <v>741.05469600000004</v>
      </c>
      <c r="J100" s="2">
        <v>4217.5509499999998</v>
      </c>
      <c r="K100" s="2">
        <v>4204.5548989999998</v>
      </c>
      <c r="L100" s="2">
        <v>4199.448429</v>
      </c>
      <c r="M100" s="2">
        <v>4178.7639369999997</v>
      </c>
      <c r="N100" s="2">
        <v>4194.4651039999999</v>
      </c>
      <c r="O100" s="2">
        <v>4224.3855759999997</v>
      </c>
      <c r="P100" s="2">
        <v>700.25102400000003</v>
      </c>
      <c r="Q100" s="2">
        <v>0</v>
      </c>
      <c r="R100" s="2">
        <v>4274.7442460000002</v>
      </c>
      <c r="S100" s="2">
        <v>4174.0310099999997</v>
      </c>
      <c r="T100" s="2">
        <v>0</v>
      </c>
      <c r="U100" s="2">
        <v>13146.189836</v>
      </c>
      <c r="V100" s="2">
        <v>0</v>
      </c>
      <c r="W100" s="2">
        <v>0</v>
      </c>
      <c r="X100" s="2">
        <v>13113.423253000001</v>
      </c>
      <c r="Y100" s="2">
        <v>0</v>
      </c>
      <c r="Z100" s="2">
        <v>13075.682467000001</v>
      </c>
      <c r="AA100" s="2">
        <v>0</v>
      </c>
      <c r="AB100" s="2">
        <v>4231.7045770000004</v>
      </c>
      <c r="AC100" s="2">
        <v>0</v>
      </c>
      <c r="AD100" s="2">
        <v>13024.558702</v>
      </c>
      <c r="AE100" s="2">
        <v>13056.009357999999</v>
      </c>
      <c r="AF100" s="2">
        <v>0</v>
      </c>
      <c r="AG100" s="2">
        <v>4237.2584800000004</v>
      </c>
      <c r="AH100" s="2">
        <v>12993.160683</v>
      </c>
      <c r="AI100" s="2">
        <v>13039.705022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13106.26461</v>
      </c>
      <c r="AP100" s="2">
        <v>8736.3552589999999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</row>
    <row r="101" spans="1:79" x14ac:dyDescent="0.25">
      <c r="A101" s="1">
        <v>45077</v>
      </c>
      <c r="B101" s="2">
        <v>0</v>
      </c>
      <c r="C101" s="2">
        <v>974.89491999999996</v>
      </c>
      <c r="D101" s="2">
        <v>1014.905843</v>
      </c>
      <c r="E101" s="2">
        <v>4306.8722699999998</v>
      </c>
      <c r="F101" s="2">
        <v>991.90320299999996</v>
      </c>
      <c r="G101" s="2">
        <v>958.43899599999997</v>
      </c>
      <c r="H101" s="2">
        <v>4370.1200099999996</v>
      </c>
      <c r="I101" s="2">
        <v>764.07146399999999</v>
      </c>
      <c r="J101" s="2">
        <v>4337.7655969999996</v>
      </c>
      <c r="K101" s="2">
        <v>4293.7596320000002</v>
      </c>
      <c r="L101" s="2">
        <v>4245.3827879999999</v>
      </c>
      <c r="M101" s="2">
        <v>4391.0952790000001</v>
      </c>
      <c r="N101" s="2">
        <v>4348.8310620000002</v>
      </c>
      <c r="O101" s="2">
        <v>4290.5320330000004</v>
      </c>
      <c r="P101" s="2">
        <v>725.40302999999994</v>
      </c>
      <c r="Q101" s="2">
        <v>0</v>
      </c>
      <c r="R101" s="2">
        <v>4218.9511430000002</v>
      </c>
      <c r="S101" s="2">
        <v>4355.8434550000002</v>
      </c>
      <c r="T101" s="2">
        <v>0</v>
      </c>
      <c r="U101" s="2">
        <v>13297.50906</v>
      </c>
      <c r="V101" s="2">
        <v>0</v>
      </c>
      <c r="W101" s="2">
        <v>0</v>
      </c>
      <c r="X101" s="2">
        <v>13278.546456</v>
      </c>
      <c r="Y101" s="2">
        <v>0</v>
      </c>
      <c r="Z101" s="2">
        <v>13237.627154</v>
      </c>
      <c r="AA101" s="2">
        <v>0</v>
      </c>
      <c r="AB101" s="2">
        <v>4323.8068489999996</v>
      </c>
      <c r="AC101" s="2">
        <v>0</v>
      </c>
      <c r="AD101" s="2">
        <v>13192.609268</v>
      </c>
      <c r="AE101" s="2">
        <v>13220.913449</v>
      </c>
      <c r="AF101" s="2">
        <v>0</v>
      </c>
      <c r="AG101" s="2">
        <v>4275.3433299999997</v>
      </c>
      <c r="AH101" s="2">
        <v>13169.627923</v>
      </c>
      <c r="AI101" s="2">
        <v>13203.081947999999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13271.66669</v>
      </c>
      <c r="AP101" s="2">
        <v>8370.7032909999998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</row>
    <row r="102" spans="1:79" x14ac:dyDescent="0.25">
      <c r="A102" s="1">
        <v>45107</v>
      </c>
      <c r="B102" s="2">
        <v>0</v>
      </c>
      <c r="C102" s="2">
        <v>973.25929900000006</v>
      </c>
      <c r="D102" s="2">
        <v>995.13844300000005</v>
      </c>
      <c r="E102" s="2">
        <v>4439.4759620000004</v>
      </c>
      <c r="F102" s="2">
        <v>980.72188100000005</v>
      </c>
      <c r="G102" s="2">
        <v>964.68869199999995</v>
      </c>
      <c r="H102" s="2">
        <v>4544.5376429999997</v>
      </c>
      <c r="I102" s="2">
        <v>784.31379900000002</v>
      </c>
      <c r="J102" s="2">
        <v>4431.978924</v>
      </c>
      <c r="K102" s="2">
        <v>4362.9665660000001</v>
      </c>
      <c r="L102" s="2">
        <v>4286.3870269999998</v>
      </c>
      <c r="M102" s="2">
        <v>4592.6267879999996</v>
      </c>
      <c r="N102" s="2">
        <v>4463.9269510000004</v>
      </c>
      <c r="O102" s="2">
        <v>4452.4193889999997</v>
      </c>
      <c r="P102" s="2">
        <v>747.82440199999996</v>
      </c>
      <c r="Q102" s="2">
        <v>0</v>
      </c>
      <c r="R102" s="2">
        <v>4258.5031630000003</v>
      </c>
      <c r="S102" s="2">
        <v>4513.6458860000002</v>
      </c>
      <c r="T102" s="2">
        <v>0</v>
      </c>
      <c r="U102" s="2">
        <v>13446.310125</v>
      </c>
      <c r="V102" s="2">
        <v>0</v>
      </c>
      <c r="W102" s="2">
        <v>0</v>
      </c>
      <c r="X102" s="2">
        <v>13426.592806000001</v>
      </c>
      <c r="Y102" s="2">
        <v>0</v>
      </c>
      <c r="Z102" s="2">
        <v>13388.583842</v>
      </c>
      <c r="AA102" s="2">
        <v>0</v>
      </c>
      <c r="AB102" s="2">
        <v>4511.3311709999998</v>
      </c>
      <c r="AC102" s="2">
        <v>0</v>
      </c>
      <c r="AD102" s="2">
        <v>13349.418199</v>
      </c>
      <c r="AE102" s="2">
        <v>13375.322398</v>
      </c>
      <c r="AF102" s="2">
        <v>0</v>
      </c>
      <c r="AG102" s="2">
        <v>4399.0530230000004</v>
      </c>
      <c r="AH102" s="2">
        <v>13330.561664000001</v>
      </c>
      <c r="AI102" s="2">
        <v>13359.747599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13416.411353</v>
      </c>
      <c r="AP102" s="2">
        <v>7965.5143740000003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</row>
    <row r="103" spans="1:79" x14ac:dyDescent="0.25">
      <c r="A103" s="1">
        <v>45138</v>
      </c>
      <c r="B103" s="2">
        <v>0</v>
      </c>
      <c r="C103" s="2">
        <v>975.06679799999995</v>
      </c>
      <c r="D103" s="2">
        <v>1002.088787</v>
      </c>
      <c r="E103" s="2">
        <v>4457.0523020000001</v>
      </c>
      <c r="F103" s="2">
        <v>987.06109600000002</v>
      </c>
      <c r="G103" s="2">
        <v>963.40662999999995</v>
      </c>
      <c r="H103" s="2">
        <v>4576.8819309999999</v>
      </c>
      <c r="I103" s="2">
        <v>791.42069200000003</v>
      </c>
      <c r="J103" s="2">
        <v>4464.3025749999997</v>
      </c>
      <c r="K103" s="2">
        <v>4398.9717199999996</v>
      </c>
      <c r="L103" s="2">
        <v>4326.9064070000004</v>
      </c>
      <c r="M103" s="2">
        <v>4628.2816990000001</v>
      </c>
      <c r="N103" s="2">
        <v>4481.4605899999997</v>
      </c>
      <c r="O103" s="2">
        <v>4500.104147</v>
      </c>
      <c r="P103" s="2">
        <v>754.35320200000001</v>
      </c>
      <c r="Q103" s="2">
        <v>0</v>
      </c>
      <c r="R103" s="2">
        <v>4294.5257080000001</v>
      </c>
      <c r="S103" s="2">
        <v>4547.1256910000002</v>
      </c>
      <c r="T103" s="2">
        <v>809.78713900000002</v>
      </c>
      <c r="U103" s="2">
        <v>13588.127623</v>
      </c>
      <c r="V103" s="2">
        <v>0</v>
      </c>
      <c r="W103" s="2">
        <v>0</v>
      </c>
      <c r="X103" s="2">
        <v>13567.560024</v>
      </c>
      <c r="Y103" s="2">
        <v>0</v>
      </c>
      <c r="Z103" s="2">
        <v>13532.270210999999</v>
      </c>
      <c r="AA103" s="2">
        <v>679.25674800000002</v>
      </c>
      <c r="AB103" s="2">
        <v>4548.611234</v>
      </c>
      <c r="AC103" s="2">
        <v>0</v>
      </c>
      <c r="AD103" s="2">
        <v>13492.344872</v>
      </c>
      <c r="AE103" s="2">
        <v>13517.847064</v>
      </c>
      <c r="AF103" s="2">
        <v>0</v>
      </c>
      <c r="AG103" s="2">
        <v>4416.4969940000001</v>
      </c>
      <c r="AH103" s="2">
        <v>13470.839293000001</v>
      </c>
      <c r="AI103" s="2">
        <v>13504.307521000001</v>
      </c>
      <c r="AJ103" s="2">
        <v>0</v>
      </c>
      <c r="AK103" s="2">
        <v>0</v>
      </c>
      <c r="AL103" s="2">
        <v>13454.961595999999</v>
      </c>
      <c r="AM103" s="2">
        <v>0</v>
      </c>
      <c r="AN103" s="2">
        <v>0</v>
      </c>
      <c r="AO103" s="2">
        <v>13556.712077</v>
      </c>
      <c r="AP103" s="2">
        <v>8185.7432529999996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</row>
    <row r="104" spans="1:79" x14ac:dyDescent="0.25">
      <c r="A104" s="1">
        <v>45169</v>
      </c>
      <c r="B104" s="2">
        <v>0</v>
      </c>
      <c r="C104" s="2">
        <v>970.38456900000006</v>
      </c>
      <c r="D104" s="2">
        <v>1006.149422</v>
      </c>
      <c r="E104" s="2">
        <v>4429.051058</v>
      </c>
      <c r="F104" s="2">
        <v>985.875405</v>
      </c>
      <c r="G104" s="2">
        <v>956.65184799999997</v>
      </c>
      <c r="H104" s="2">
        <v>4371.2205489999997</v>
      </c>
      <c r="I104" s="2">
        <v>797.26504199999999</v>
      </c>
      <c r="J104" s="2">
        <v>4332.9660510000003</v>
      </c>
      <c r="K104" s="2">
        <v>4278.6801519999999</v>
      </c>
      <c r="L104" s="2">
        <v>4234.9246830000002</v>
      </c>
      <c r="M104" s="2">
        <v>4405.2479839999996</v>
      </c>
      <c r="N104" s="2">
        <v>4345.4942019999999</v>
      </c>
      <c r="O104" s="2">
        <v>4431.1439090000003</v>
      </c>
      <c r="P104" s="2">
        <v>758.33879000000002</v>
      </c>
      <c r="Q104" s="2">
        <v>0</v>
      </c>
      <c r="R104" s="2">
        <v>4312.9019829999997</v>
      </c>
      <c r="S104" s="2">
        <v>4386.8631599999999</v>
      </c>
      <c r="T104" s="2">
        <v>816.82086700000002</v>
      </c>
      <c r="U104" s="2">
        <v>13747.050273000001</v>
      </c>
      <c r="V104" s="2">
        <v>0</v>
      </c>
      <c r="W104" s="2">
        <v>0</v>
      </c>
      <c r="X104" s="2">
        <v>13734.250373999999</v>
      </c>
      <c r="Y104" s="2">
        <v>0</v>
      </c>
      <c r="Z104" s="2">
        <v>13695.424472000001</v>
      </c>
      <c r="AA104" s="2">
        <v>680.879144</v>
      </c>
      <c r="AB104" s="2">
        <v>4452.7838199999997</v>
      </c>
      <c r="AC104" s="2">
        <v>0</v>
      </c>
      <c r="AD104" s="2">
        <v>13648.926879000001</v>
      </c>
      <c r="AE104" s="2">
        <v>13679.476155</v>
      </c>
      <c r="AF104" s="2">
        <v>0</v>
      </c>
      <c r="AG104" s="2">
        <v>4404.338049</v>
      </c>
      <c r="AH104" s="2">
        <v>13632.071158999999</v>
      </c>
      <c r="AI104" s="2">
        <v>13661.218081999999</v>
      </c>
      <c r="AJ104" s="2">
        <v>0</v>
      </c>
      <c r="AK104" s="2">
        <v>0</v>
      </c>
      <c r="AL104" s="2">
        <v>13613.936823</v>
      </c>
      <c r="AM104" s="2">
        <v>0</v>
      </c>
      <c r="AN104" s="2">
        <v>0</v>
      </c>
      <c r="AO104" s="2">
        <v>13720.900533</v>
      </c>
      <c r="AP104" s="2">
        <v>8321.1978519999993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</row>
    <row r="105" spans="1:79" x14ac:dyDescent="0.25">
      <c r="A105" s="1">
        <v>45198</v>
      </c>
      <c r="B105" s="2">
        <v>0</v>
      </c>
      <c r="C105" s="2">
        <v>956.00839099999996</v>
      </c>
      <c r="D105" s="2">
        <v>1002.730692</v>
      </c>
      <c r="E105" s="2">
        <v>4358.1495020000002</v>
      </c>
      <c r="F105" s="2">
        <v>977.57397900000001</v>
      </c>
      <c r="G105" s="2">
        <v>938.30355599999996</v>
      </c>
      <c r="H105" s="2">
        <v>4277.7196940000003</v>
      </c>
      <c r="I105" s="2">
        <v>797.06384600000001</v>
      </c>
      <c r="J105" s="2">
        <v>4280.3651659999996</v>
      </c>
      <c r="K105" s="2">
        <v>4247.5414119999996</v>
      </c>
      <c r="L105" s="2">
        <v>4222.6250479999999</v>
      </c>
      <c r="M105" s="2">
        <v>4274.5476159999998</v>
      </c>
      <c r="N105" s="2">
        <v>4296.4909340000004</v>
      </c>
      <c r="O105" s="2">
        <v>4344.3126060000004</v>
      </c>
      <c r="P105" s="2">
        <v>756.30490099999997</v>
      </c>
      <c r="Q105" s="2">
        <v>0</v>
      </c>
      <c r="R105" s="2">
        <v>4296.7604570000003</v>
      </c>
      <c r="S105" s="2">
        <v>4288.8696529999997</v>
      </c>
      <c r="T105" s="2">
        <v>817.60829200000001</v>
      </c>
      <c r="U105" s="2">
        <v>13881.434152</v>
      </c>
      <c r="V105" s="2">
        <v>0</v>
      </c>
      <c r="W105" s="2">
        <v>0</v>
      </c>
      <c r="X105" s="2">
        <v>13872.785474</v>
      </c>
      <c r="Y105" s="2">
        <v>0</v>
      </c>
      <c r="Z105" s="2">
        <v>13834.803476999999</v>
      </c>
      <c r="AA105" s="2">
        <v>676.86620900000003</v>
      </c>
      <c r="AB105" s="2">
        <v>4340.6844119999996</v>
      </c>
      <c r="AC105" s="2">
        <v>0</v>
      </c>
      <c r="AD105" s="2">
        <v>13785.396339999999</v>
      </c>
      <c r="AE105" s="2">
        <v>13816.853652</v>
      </c>
      <c r="AF105" s="2">
        <v>0</v>
      </c>
      <c r="AG105" s="2">
        <v>4341.2939489999999</v>
      </c>
      <c r="AH105" s="2">
        <v>13773.096615</v>
      </c>
      <c r="AI105" s="2">
        <v>13800.986172999999</v>
      </c>
      <c r="AJ105" s="2">
        <v>0</v>
      </c>
      <c r="AK105" s="2">
        <v>0</v>
      </c>
      <c r="AL105" s="2">
        <v>13752.786797000001</v>
      </c>
      <c r="AM105" s="2">
        <v>0</v>
      </c>
      <c r="AN105" s="2">
        <v>0</v>
      </c>
      <c r="AO105" s="2">
        <v>13857.265052999999</v>
      </c>
      <c r="AP105" s="2">
        <v>8434.3528459999998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</row>
    <row r="106" spans="1:79" x14ac:dyDescent="0.25">
      <c r="A106" s="1">
        <v>45230</v>
      </c>
      <c r="B106" s="2">
        <v>0</v>
      </c>
      <c r="C106" s="2">
        <v>954.91389100000004</v>
      </c>
      <c r="D106" s="2">
        <v>1002.4541379999999</v>
      </c>
      <c r="E106" s="2">
        <v>4325.809749</v>
      </c>
      <c r="F106" s="2">
        <v>976.65937799999995</v>
      </c>
      <c r="G106" s="2">
        <v>938.99637199999995</v>
      </c>
      <c r="H106" s="2">
        <v>4223.6955319999997</v>
      </c>
      <c r="I106" s="2">
        <v>796.298588</v>
      </c>
      <c r="J106" s="2">
        <v>4245.6786849999999</v>
      </c>
      <c r="K106" s="2">
        <v>4217.0536190000003</v>
      </c>
      <c r="L106" s="2">
        <v>4193.3746590000001</v>
      </c>
      <c r="M106" s="2">
        <v>4224.464465</v>
      </c>
      <c r="N106" s="2">
        <v>4252.308129</v>
      </c>
      <c r="O106" s="2">
        <v>4311.4577300000001</v>
      </c>
      <c r="P106" s="2">
        <v>754.38758099999995</v>
      </c>
      <c r="Q106" s="2">
        <v>0</v>
      </c>
      <c r="R106" s="2">
        <v>4252.9689950000002</v>
      </c>
      <c r="S106" s="2">
        <v>4247.6321889999999</v>
      </c>
      <c r="T106" s="2">
        <v>818.18806300000006</v>
      </c>
      <c r="U106" s="2">
        <v>14019.714497999999</v>
      </c>
      <c r="V106" s="2">
        <v>0</v>
      </c>
      <c r="W106" s="2">
        <v>0</v>
      </c>
      <c r="X106" s="2">
        <v>14010.811293999999</v>
      </c>
      <c r="Y106" s="2">
        <v>0</v>
      </c>
      <c r="Z106" s="2">
        <v>13967.262708</v>
      </c>
      <c r="AA106" s="2">
        <v>674.29226400000005</v>
      </c>
      <c r="AB106" s="2">
        <v>4290.7090260000004</v>
      </c>
      <c r="AC106" s="2">
        <v>0</v>
      </c>
      <c r="AD106" s="2">
        <v>13912.273153</v>
      </c>
      <c r="AE106" s="2">
        <v>13946.231516</v>
      </c>
      <c r="AF106" s="2">
        <v>0</v>
      </c>
      <c r="AG106" s="2">
        <v>4308.6480099999999</v>
      </c>
      <c r="AH106" s="2">
        <v>13898.490712999999</v>
      </c>
      <c r="AI106" s="2">
        <v>13933.290324</v>
      </c>
      <c r="AJ106" s="2">
        <v>0</v>
      </c>
      <c r="AK106" s="2">
        <v>0</v>
      </c>
      <c r="AL106" s="2">
        <v>13880.403888000001</v>
      </c>
      <c r="AM106" s="2">
        <v>0</v>
      </c>
      <c r="AN106" s="2">
        <v>0</v>
      </c>
      <c r="AO106" s="2">
        <v>13992.093534</v>
      </c>
      <c r="AP106" s="2">
        <v>8398.9107829999994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</row>
    <row r="107" spans="1:79" x14ac:dyDescent="0.25">
      <c r="A107" s="1">
        <v>45260</v>
      </c>
      <c r="B107" s="2">
        <v>0</v>
      </c>
      <c r="C107" s="2">
        <v>1008.385281</v>
      </c>
      <c r="D107" s="2">
        <v>1038.1301390000001</v>
      </c>
      <c r="E107" s="2">
        <v>4318.6016579999996</v>
      </c>
      <c r="F107" s="2">
        <v>1022.578212</v>
      </c>
      <c r="G107" s="2">
        <v>997.15126699999996</v>
      </c>
      <c r="H107" s="2">
        <v>4392.0484260000003</v>
      </c>
      <c r="I107" s="2">
        <v>819.49298399999998</v>
      </c>
      <c r="J107" s="2">
        <v>4361.199783</v>
      </c>
      <c r="K107" s="2">
        <v>4323.6972669999996</v>
      </c>
      <c r="L107" s="2">
        <v>4290.0154149999998</v>
      </c>
      <c r="M107" s="2">
        <v>4414.4641069999998</v>
      </c>
      <c r="N107" s="2">
        <v>4366.5745470000002</v>
      </c>
      <c r="O107" s="2">
        <v>4336.8008570000002</v>
      </c>
      <c r="P107" s="2">
        <v>781.13734499999998</v>
      </c>
      <c r="Q107" s="2">
        <v>0</v>
      </c>
      <c r="R107" s="2">
        <v>4238.6593419999999</v>
      </c>
      <c r="S107" s="2">
        <v>4383.1779829999996</v>
      </c>
      <c r="T107" s="2">
        <v>838.62260000000003</v>
      </c>
      <c r="U107" s="2">
        <v>14143.633922999999</v>
      </c>
      <c r="V107" s="2">
        <v>0</v>
      </c>
      <c r="W107" s="2">
        <v>0</v>
      </c>
      <c r="X107" s="2">
        <v>14135.101941999999</v>
      </c>
      <c r="Y107" s="2">
        <v>0</v>
      </c>
      <c r="Z107" s="2">
        <v>14092.923108999999</v>
      </c>
      <c r="AA107" s="2">
        <v>704.97314100000006</v>
      </c>
      <c r="AB107" s="2">
        <v>4345.083826</v>
      </c>
      <c r="AC107" s="2">
        <v>0</v>
      </c>
      <c r="AD107" s="2">
        <v>14044.023394</v>
      </c>
      <c r="AE107" s="2">
        <v>14075.208282</v>
      </c>
      <c r="AF107" s="2">
        <v>0</v>
      </c>
      <c r="AG107" s="2">
        <v>4297.7734069999997</v>
      </c>
      <c r="AH107" s="2">
        <v>14026.26612</v>
      </c>
      <c r="AI107" s="2">
        <v>14062.573026</v>
      </c>
      <c r="AJ107" s="2">
        <v>0</v>
      </c>
      <c r="AK107" s="2">
        <v>0</v>
      </c>
      <c r="AL107" s="2">
        <v>14010.518034999999</v>
      </c>
      <c r="AM107" s="2">
        <v>0</v>
      </c>
      <c r="AN107" s="2">
        <v>0</v>
      </c>
      <c r="AO107" s="2">
        <v>14116.524012</v>
      </c>
      <c r="AP107" s="2">
        <v>8502.4015990000007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</row>
    <row r="108" spans="1:79" x14ac:dyDescent="0.25">
      <c r="A108" s="1">
        <v>45289</v>
      </c>
      <c r="B108" s="2">
        <v>0</v>
      </c>
      <c r="C108" s="2">
        <v>988.65443700000003</v>
      </c>
      <c r="D108" s="2">
        <v>1004.957453</v>
      </c>
      <c r="E108" s="2">
        <v>4452.1236680000002</v>
      </c>
      <c r="F108" s="2">
        <v>997.64217199999996</v>
      </c>
      <c r="G108" s="2">
        <v>982.99917100000005</v>
      </c>
      <c r="H108" s="2">
        <v>4594.3309010000003</v>
      </c>
      <c r="I108" s="2">
        <v>831.274002</v>
      </c>
      <c r="J108" s="2">
        <v>4459.196387</v>
      </c>
      <c r="K108" s="2">
        <v>4408.1230770000002</v>
      </c>
      <c r="L108" s="2">
        <v>4355.3056379999998</v>
      </c>
      <c r="M108" s="2">
        <v>4625.5119279999999</v>
      </c>
      <c r="N108" s="2">
        <v>4472.4969460000002</v>
      </c>
      <c r="O108" s="2">
        <v>4497.9018500000002</v>
      </c>
      <c r="P108" s="2">
        <v>793.52706699999999</v>
      </c>
      <c r="Q108" s="2">
        <v>0</v>
      </c>
      <c r="R108" s="2">
        <v>4309.0297309999996</v>
      </c>
      <c r="S108" s="2">
        <v>4563.4259229999998</v>
      </c>
      <c r="T108" s="2">
        <v>850.27231700000004</v>
      </c>
      <c r="U108" s="2">
        <v>14270.894576999999</v>
      </c>
      <c r="V108" s="2">
        <v>0</v>
      </c>
      <c r="W108" s="2">
        <v>0</v>
      </c>
      <c r="X108" s="2">
        <v>14262.214895999999</v>
      </c>
      <c r="Y108" s="2">
        <v>0</v>
      </c>
      <c r="Z108" s="2">
        <v>14220.986411</v>
      </c>
      <c r="AA108" s="2">
        <v>719.21854900000005</v>
      </c>
      <c r="AB108" s="2">
        <v>4556.3783000000003</v>
      </c>
      <c r="AC108" s="2">
        <v>0</v>
      </c>
      <c r="AD108" s="2">
        <v>14176.66008</v>
      </c>
      <c r="AE108" s="2">
        <v>14206.839102</v>
      </c>
      <c r="AF108" s="2">
        <v>0</v>
      </c>
      <c r="AG108" s="2">
        <v>4422.8875340000004</v>
      </c>
      <c r="AH108" s="2">
        <v>14157.701829</v>
      </c>
      <c r="AI108" s="2">
        <v>14193.562615999999</v>
      </c>
      <c r="AJ108" s="2">
        <v>0</v>
      </c>
      <c r="AK108" s="2">
        <v>0</v>
      </c>
      <c r="AL108" s="2">
        <v>14140.799292</v>
      </c>
      <c r="AM108" s="2">
        <v>0</v>
      </c>
      <c r="AN108" s="2">
        <v>0</v>
      </c>
      <c r="AO108" s="2">
        <v>14247.296694000001</v>
      </c>
      <c r="AP108" s="2">
        <v>8311.5319459999992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</row>
    <row r="109" spans="1:79" x14ac:dyDescent="0.25">
      <c r="A109" s="1">
        <v>45322</v>
      </c>
      <c r="B109" s="2">
        <v>971.85190499999999</v>
      </c>
      <c r="C109" s="2">
        <v>986.23169199999995</v>
      </c>
      <c r="D109" s="2">
        <v>1012.164938</v>
      </c>
      <c r="E109" s="2">
        <v>4399.4771860000001</v>
      </c>
      <c r="F109" s="2">
        <v>1000.2930679999999</v>
      </c>
      <c r="G109" s="2">
        <v>979.27687700000001</v>
      </c>
      <c r="H109" s="2">
        <v>4506.9692880000002</v>
      </c>
      <c r="I109" s="2">
        <v>837.44641100000001</v>
      </c>
      <c r="J109" s="2">
        <v>4443.8212519999997</v>
      </c>
      <c r="K109" s="2">
        <v>4411.9528959999998</v>
      </c>
      <c r="L109" s="2">
        <v>4382.1617230000002</v>
      </c>
      <c r="M109" s="2">
        <v>4518.3349260000005</v>
      </c>
      <c r="N109" s="2">
        <v>4436.8706789999997</v>
      </c>
      <c r="O109" s="2">
        <v>4427.5654050000003</v>
      </c>
      <c r="P109" s="2">
        <v>798.93025</v>
      </c>
      <c r="Q109" s="2">
        <v>817.817182</v>
      </c>
      <c r="R109" s="2">
        <v>4333.4824840000001</v>
      </c>
      <c r="S109" s="2">
        <v>4489.4015369999997</v>
      </c>
      <c r="T109" s="2">
        <v>857.07112900000004</v>
      </c>
      <c r="U109" s="2">
        <v>14407.797705999999</v>
      </c>
      <c r="V109" s="2">
        <v>0</v>
      </c>
      <c r="W109" s="2">
        <v>4354.5150100000001</v>
      </c>
      <c r="X109" s="2">
        <v>14402.349292000001</v>
      </c>
      <c r="Y109" s="2">
        <v>554.86292800000001</v>
      </c>
      <c r="Z109" s="2">
        <v>14362.956394000001</v>
      </c>
      <c r="AA109" s="2">
        <v>722.989417</v>
      </c>
      <c r="AB109" s="2">
        <v>4464.7276339999999</v>
      </c>
      <c r="AC109" s="2">
        <v>0</v>
      </c>
      <c r="AD109" s="2">
        <v>14319.397908999999</v>
      </c>
      <c r="AE109" s="2">
        <v>14349.306531</v>
      </c>
      <c r="AF109" s="2">
        <v>0</v>
      </c>
      <c r="AG109" s="2">
        <v>4389.1459349999996</v>
      </c>
      <c r="AH109" s="2">
        <v>14298.469080000001</v>
      </c>
      <c r="AI109" s="2">
        <v>14335.786392</v>
      </c>
      <c r="AJ109" s="2">
        <v>0</v>
      </c>
      <c r="AK109" s="2">
        <v>684.83008099999995</v>
      </c>
      <c r="AL109" s="2">
        <v>14275.479079000001</v>
      </c>
      <c r="AM109" s="2">
        <v>14255.242112</v>
      </c>
      <c r="AN109" s="2">
        <v>0</v>
      </c>
      <c r="AO109" s="2">
        <v>14390.025498000001</v>
      </c>
      <c r="AP109" s="2">
        <v>8378.8532610000002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</row>
    <row r="110" spans="1:79" x14ac:dyDescent="0.25">
      <c r="A110" s="1">
        <v>45351</v>
      </c>
      <c r="B110" s="2">
        <v>967.38329799999997</v>
      </c>
      <c r="C110" s="2">
        <v>986.05714</v>
      </c>
      <c r="D110" s="2">
        <v>1015.222065</v>
      </c>
      <c r="E110" s="2">
        <v>4426.267382</v>
      </c>
      <c r="F110" s="2">
        <v>1001.016161</v>
      </c>
      <c r="G110" s="2">
        <v>976.88533600000005</v>
      </c>
      <c r="H110" s="2">
        <v>4401.2965009999998</v>
      </c>
      <c r="I110" s="2">
        <v>841.36168199999997</v>
      </c>
      <c r="J110" s="2">
        <v>4347.3825790000001</v>
      </c>
      <c r="K110" s="2">
        <v>4316.8489829999999</v>
      </c>
      <c r="L110" s="2">
        <v>4274.4454409999998</v>
      </c>
      <c r="M110" s="2">
        <v>4401.9352609999996</v>
      </c>
      <c r="N110" s="2">
        <v>4346.8368829999999</v>
      </c>
      <c r="O110" s="2">
        <v>4448.746674</v>
      </c>
      <c r="P110" s="2">
        <v>801.84407799999997</v>
      </c>
      <c r="Q110" s="2">
        <v>821.326235</v>
      </c>
      <c r="R110" s="2">
        <v>4359.5782509999999</v>
      </c>
      <c r="S110" s="2">
        <v>4390.3360480000001</v>
      </c>
      <c r="T110" s="2">
        <v>861.57651299999998</v>
      </c>
      <c r="U110" s="2">
        <v>14525.864030999999</v>
      </c>
      <c r="V110" s="2">
        <v>0</v>
      </c>
      <c r="W110" s="2">
        <v>4385.9154870000002</v>
      </c>
      <c r="X110" s="2">
        <v>14519.180629</v>
      </c>
      <c r="Y110" s="2">
        <v>553.68990399999996</v>
      </c>
      <c r="Z110" s="2">
        <v>14483.482549</v>
      </c>
      <c r="AA110" s="2">
        <v>724.53002800000002</v>
      </c>
      <c r="AB110" s="2">
        <v>4481.4165220000004</v>
      </c>
      <c r="AC110" s="2">
        <v>0</v>
      </c>
      <c r="AD110" s="2">
        <v>14437.454256000001</v>
      </c>
      <c r="AE110" s="2">
        <v>14466.309114</v>
      </c>
      <c r="AF110" s="2">
        <v>0</v>
      </c>
      <c r="AG110" s="2">
        <v>4418.9872050000004</v>
      </c>
      <c r="AH110" s="2">
        <v>14413.713652</v>
      </c>
      <c r="AI110" s="2">
        <v>14453.363656</v>
      </c>
      <c r="AJ110" s="2">
        <v>0</v>
      </c>
      <c r="AK110" s="2">
        <v>685.88669200000004</v>
      </c>
      <c r="AL110" s="2">
        <v>14392.864346</v>
      </c>
      <c r="AM110" s="2">
        <v>14373.003021</v>
      </c>
      <c r="AN110" s="2">
        <v>0</v>
      </c>
      <c r="AO110" s="2">
        <v>14509.170056999999</v>
      </c>
      <c r="AP110" s="2">
        <v>8368.4714729999996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</row>
    <row r="111" spans="1:79" x14ac:dyDescent="0.25">
      <c r="A111" s="1">
        <v>45380</v>
      </c>
      <c r="B111" s="2">
        <v>963.06210799999997</v>
      </c>
      <c r="C111" s="2">
        <v>984.30800499999998</v>
      </c>
      <c r="D111" s="2">
        <v>1020.251225</v>
      </c>
      <c r="E111" s="2">
        <v>4408.7496209999999</v>
      </c>
      <c r="F111" s="2">
        <v>1002.382853</v>
      </c>
      <c r="G111" s="2">
        <v>974.73122799999999</v>
      </c>
      <c r="H111" s="2">
        <v>4365.6300199999996</v>
      </c>
      <c r="I111" s="2">
        <v>846.24994700000002</v>
      </c>
      <c r="J111" s="2">
        <v>4347.3743539999996</v>
      </c>
      <c r="K111" s="2">
        <v>4329.3355620000002</v>
      </c>
      <c r="L111" s="2">
        <v>4311.8368289999999</v>
      </c>
      <c r="M111" s="2">
        <v>4372.5019410000004</v>
      </c>
      <c r="N111" s="2">
        <v>4338.6228609999998</v>
      </c>
      <c r="O111" s="2">
        <v>4417.1311530000003</v>
      </c>
      <c r="P111" s="2">
        <v>805.75302299999998</v>
      </c>
      <c r="Q111" s="2">
        <v>825.63130999999998</v>
      </c>
      <c r="R111" s="2">
        <v>4386.156481</v>
      </c>
      <c r="S111" s="2">
        <v>4357.2484880000002</v>
      </c>
      <c r="T111" s="2">
        <v>867.35553000000004</v>
      </c>
      <c r="U111" s="2">
        <v>14645.411934</v>
      </c>
      <c r="V111" s="2">
        <v>0</v>
      </c>
      <c r="W111" s="2">
        <v>4396.6344589999999</v>
      </c>
      <c r="X111" s="2">
        <v>14639.493347</v>
      </c>
      <c r="Y111" s="2">
        <v>551.26699799999994</v>
      </c>
      <c r="Z111" s="2">
        <v>14606.32582</v>
      </c>
      <c r="AA111" s="2">
        <v>726.16923299999996</v>
      </c>
      <c r="AB111" s="2">
        <v>4440.9872640000003</v>
      </c>
      <c r="AC111" s="2">
        <v>0</v>
      </c>
      <c r="AD111" s="2">
        <v>14565.511009</v>
      </c>
      <c r="AE111" s="2">
        <v>14591.338902</v>
      </c>
      <c r="AF111" s="2">
        <v>0</v>
      </c>
      <c r="AG111" s="2">
        <v>4406.7552340000002</v>
      </c>
      <c r="AH111" s="2">
        <v>14545.088953</v>
      </c>
      <c r="AI111" s="2">
        <v>14580.351425999999</v>
      </c>
      <c r="AJ111" s="2">
        <v>0</v>
      </c>
      <c r="AK111" s="2">
        <v>686.495544</v>
      </c>
      <c r="AL111" s="2">
        <v>14524.007648999999</v>
      </c>
      <c r="AM111" s="2">
        <v>14495.909009999999</v>
      </c>
      <c r="AN111" s="2">
        <v>0</v>
      </c>
      <c r="AO111" s="2">
        <v>14631.802114</v>
      </c>
      <c r="AP111" s="2">
        <v>8319.0945499999998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</row>
    <row r="112" spans="1:79" x14ac:dyDescent="0.25">
      <c r="A112" s="1">
        <v>45412</v>
      </c>
      <c r="B112" s="2">
        <v>929.40831600000001</v>
      </c>
      <c r="C112" s="2">
        <v>958.24650299999996</v>
      </c>
      <c r="D112" s="2">
        <v>1012.399937</v>
      </c>
      <c r="E112" s="2">
        <v>4296.7244000000001</v>
      </c>
      <c r="F112" s="2">
        <v>984.31269599999996</v>
      </c>
      <c r="G112" s="2">
        <v>942.43939</v>
      </c>
      <c r="H112" s="2">
        <v>4208.053836</v>
      </c>
      <c r="I112" s="2">
        <v>843.87454600000001</v>
      </c>
      <c r="J112" s="2">
        <v>4272.6577719999996</v>
      </c>
      <c r="K112" s="2">
        <v>4274.7762830000001</v>
      </c>
      <c r="L112" s="2">
        <v>4292.3936009999998</v>
      </c>
      <c r="M112" s="2">
        <v>4202.4570450000001</v>
      </c>
      <c r="N112" s="2">
        <v>4244.2390310000001</v>
      </c>
      <c r="O112" s="2">
        <v>4286.7072950000002</v>
      </c>
      <c r="P112" s="2">
        <v>800.06132400000001</v>
      </c>
      <c r="Q112" s="2">
        <v>821.85635300000001</v>
      </c>
      <c r="R112" s="2">
        <v>4352.5132839999997</v>
      </c>
      <c r="S112" s="2">
        <v>4240.1554619999997</v>
      </c>
      <c r="T112" s="2">
        <v>867.18816400000003</v>
      </c>
      <c r="U112" s="2">
        <v>14776.311307</v>
      </c>
      <c r="V112" s="2">
        <v>0</v>
      </c>
      <c r="W112" s="2">
        <v>4337.1594050000003</v>
      </c>
      <c r="X112" s="2">
        <v>14770.295856999999</v>
      </c>
      <c r="Y112" s="2">
        <v>534.25592900000004</v>
      </c>
      <c r="Z112" s="2">
        <v>14740.913263</v>
      </c>
      <c r="AA112" s="2">
        <v>715.64094799999998</v>
      </c>
      <c r="AB112" s="2">
        <v>4276.0721130000002</v>
      </c>
      <c r="AC112" s="2">
        <v>0</v>
      </c>
      <c r="AD112" s="2">
        <v>14696.957612</v>
      </c>
      <c r="AE112" s="2">
        <v>14723.532010000001</v>
      </c>
      <c r="AF112" s="2">
        <v>0</v>
      </c>
      <c r="AG112" s="2">
        <v>4303.8472019999999</v>
      </c>
      <c r="AH112" s="2">
        <v>14676.797724</v>
      </c>
      <c r="AI112" s="2">
        <v>14712.240108</v>
      </c>
      <c r="AJ112" s="2">
        <v>0</v>
      </c>
      <c r="AK112" s="2">
        <v>674.33148300000005</v>
      </c>
      <c r="AL112" s="2">
        <v>14657.125575</v>
      </c>
      <c r="AM112" s="2">
        <v>14629.974758</v>
      </c>
      <c r="AN112" s="2">
        <v>0</v>
      </c>
      <c r="AO112" s="2">
        <v>14763.260587999999</v>
      </c>
      <c r="AP112" s="2">
        <v>8214.4235169999993</v>
      </c>
      <c r="AQ112" s="2">
        <v>0</v>
      </c>
      <c r="AR112" s="2">
        <v>0</v>
      </c>
      <c r="AS112" s="2">
        <v>0</v>
      </c>
      <c r="AT112" s="2">
        <v>14617.899517</v>
      </c>
      <c r="AU112" s="2">
        <v>0</v>
      </c>
      <c r="AV112" s="2">
        <v>0</v>
      </c>
      <c r="AW112" s="2">
        <v>0</v>
      </c>
      <c r="AX112" s="2">
        <v>0</v>
      </c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</row>
    <row r="113" spans="1:79" x14ac:dyDescent="0.25">
      <c r="A113" s="1">
        <v>45443</v>
      </c>
      <c r="B113" s="2">
        <v>937.03406700000005</v>
      </c>
      <c r="C113" s="2">
        <v>964.93322999999998</v>
      </c>
      <c r="D113" s="2">
        <v>1018.1711319999999</v>
      </c>
      <c r="E113" s="2">
        <v>4243.1679260000001</v>
      </c>
      <c r="F113" s="2">
        <v>990.523056</v>
      </c>
      <c r="G113" s="2">
        <v>950.48927600000002</v>
      </c>
      <c r="H113" s="2">
        <v>4276.2740720000002</v>
      </c>
      <c r="I113" s="2">
        <v>849.222892</v>
      </c>
      <c r="J113" s="2">
        <v>4333.2842689999998</v>
      </c>
      <c r="K113" s="2">
        <v>4324.1677730000001</v>
      </c>
      <c r="L113" s="2">
        <v>4337.3331909999997</v>
      </c>
      <c r="M113" s="2">
        <v>4265.0346740000005</v>
      </c>
      <c r="N113" s="2">
        <v>4315.7703250000004</v>
      </c>
      <c r="O113" s="2">
        <v>4226.4243900000001</v>
      </c>
      <c r="P113" s="2">
        <v>804.54360499999996</v>
      </c>
      <c r="Q113" s="2">
        <v>826.649002</v>
      </c>
      <c r="R113" s="2">
        <v>4272.4477120000001</v>
      </c>
      <c r="S113" s="2">
        <v>4308.066245</v>
      </c>
      <c r="T113" s="2">
        <v>872.71859900000004</v>
      </c>
      <c r="U113" s="2">
        <v>14900.403452</v>
      </c>
      <c r="V113" s="2">
        <v>0</v>
      </c>
      <c r="W113" s="2">
        <v>4264.8591930000002</v>
      </c>
      <c r="X113" s="2">
        <v>14893.533164</v>
      </c>
      <c r="Y113" s="2">
        <v>536.120181</v>
      </c>
      <c r="Z113" s="2">
        <v>14863.280051</v>
      </c>
      <c r="AA113" s="2">
        <v>718.89381900000001</v>
      </c>
      <c r="AB113" s="2">
        <v>4218.1938639999998</v>
      </c>
      <c r="AC113" s="2">
        <v>0</v>
      </c>
      <c r="AD113" s="2">
        <v>14818.585918999999</v>
      </c>
      <c r="AE113" s="2">
        <v>14847.959755</v>
      </c>
      <c r="AF113" s="2">
        <v>0</v>
      </c>
      <c r="AG113" s="2">
        <v>4251.4027319999996</v>
      </c>
      <c r="AH113" s="2">
        <v>14796.231401999999</v>
      </c>
      <c r="AI113" s="2">
        <v>14833.861505999999</v>
      </c>
      <c r="AJ113" s="2">
        <v>0</v>
      </c>
      <c r="AK113" s="2">
        <v>676.75357799999995</v>
      </c>
      <c r="AL113" s="2">
        <v>14778.45211</v>
      </c>
      <c r="AM113" s="2">
        <v>14755.188509</v>
      </c>
      <c r="AN113" s="2">
        <v>0</v>
      </c>
      <c r="AO113" s="2">
        <v>14887.884923</v>
      </c>
      <c r="AP113" s="2">
        <v>8319.4758419999998</v>
      </c>
      <c r="AQ113" s="2">
        <v>0</v>
      </c>
      <c r="AR113" s="2">
        <v>0</v>
      </c>
      <c r="AS113" s="2">
        <v>0</v>
      </c>
      <c r="AT113" s="2">
        <v>14737.185670999999</v>
      </c>
      <c r="AU113" s="2">
        <v>0</v>
      </c>
      <c r="AV113" s="2">
        <v>0</v>
      </c>
      <c r="AW113" s="2">
        <v>0</v>
      </c>
      <c r="AX113" s="2">
        <v>0</v>
      </c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</row>
    <row r="114" spans="1:79" x14ac:dyDescent="0.25">
      <c r="A114" s="1">
        <v>45471</v>
      </c>
      <c r="B114" s="2">
        <v>874.48154299999999</v>
      </c>
      <c r="C114" s="2">
        <v>900.65753299999994</v>
      </c>
      <c r="D114" s="2">
        <v>961.06592499999999</v>
      </c>
      <c r="E114" s="2">
        <v>4174.4771019999998</v>
      </c>
      <c r="F114" s="2">
        <v>928.64593500000001</v>
      </c>
      <c r="G114" s="2">
        <v>884.975593</v>
      </c>
      <c r="H114" s="2">
        <v>4145.2231529999999</v>
      </c>
      <c r="I114" s="2">
        <v>847.732393</v>
      </c>
      <c r="J114" s="2">
        <v>4302.5689279999997</v>
      </c>
      <c r="K114" s="2">
        <v>4312.1197469999997</v>
      </c>
      <c r="L114" s="2">
        <v>4346.3703679999999</v>
      </c>
      <c r="M114" s="2">
        <v>4119.6039289999999</v>
      </c>
      <c r="N114" s="2">
        <v>4261.6331620000001</v>
      </c>
      <c r="O114" s="2">
        <v>4108.9575359999999</v>
      </c>
      <c r="P114" s="2">
        <v>800.18996200000004</v>
      </c>
      <c r="Q114" s="2">
        <v>823.64123700000005</v>
      </c>
      <c r="R114" s="2">
        <v>4271.7596940000003</v>
      </c>
      <c r="S114" s="2">
        <v>4221.6597819999997</v>
      </c>
      <c r="T114" s="2">
        <v>873.06566399999997</v>
      </c>
      <c r="U114" s="2">
        <v>15021.383637999999</v>
      </c>
      <c r="V114" s="2">
        <v>0</v>
      </c>
      <c r="W114" s="2">
        <v>4247.4938249999996</v>
      </c>
      <c r="X114" s="2">
        <v>15015.240254</v>
      </c>
      <c r="Y114" s="2">
        <v>524.78456900000003</v>
      </c>
      <c r="Z114" s="2">
        <v>14988.924343000001</v>
      </c>
      <c r="AA114" s="2">
        <v>710.65357700000004</v>
      </c>
      <c r="AB114" s="2">
        <v>4082.5348920000001</v>
      </c>
      <c r="AC114" s="2">
        <v>0</v>
      </c>
      <c r="AD114" s="2">
        <v>14935.511454</v>
      </c>
      <c r="AE114" s="2">
        <v>14965.327141</v>
      </c>
      <c r="AF114" s="2">
        <v>0</v>
      </c>
      <c r="AG114" s="2">
        <v>4192.1824219999999</v>
      </c>
      <c r="AH114" s="2">
        <v>14912.334827000001</v>
      </c>
      <c r="AI114" s="2">
        <v>14950.982566000001</v>
      </c>
      <c r="AJ114" s="2">
        <v>0</v>
      </c>
      <c r="AK114" s="2">
        <v>667.98609099999999</v>
      </c>
      <c r="AL114" s="2">
        <v>14895.016192999999</v>
      </c>
      <c r="AM114" s="2">
        <v>14873.221450999999</v>
      </c>
      <c r="AN114" s="2">
        <v>0</v>
      </c>
      <c r="AO114" s="2">
        <v>15009.968059999999</v>
      </c>
      <c r="AP114" s="2">
        <v>8023.5132469999999</v>
      </c>
      <c r="AQ114" s="2">
        <v>0</v>
      </c>
      <c r="AR114" s="2">
        <v>0</v>
      </c>
      <c r="AS114" s="2">
        <v>0</v>
      </c>
      <c r="AT114" s="2">
        <v>14861.340238000001</v>
      </c>
      <c r="AU114" s="2">
        <v>0</v>
      </c>
      <c r="AV114" s="2">
        <v>0</v>
      </c>
      <c r="AW114" s="2">
        <v>0</v>
      </c>
      <c r="AX114" s="2">
        <v>0</v>
      </c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</row>
    <row r="115" spans="1:79" x14ac:dyDescent="0.25">
      <c r="A115" s="1">
        <v>45504</v>
      </c>
      <c r="B115" s="2">
        <v>903.12455299999999</v>
      </c>
      <c r="C115" s="2">
        <v>926.16659200000004</v>
      </c>
      <c r="D115" s="2">
        <v>973.92715199999998</v>
      </c>
      <c r="E115" s="2">
        <v>4307.3556360000002</v>
      </c>
      <c r="F115" s="2">
        <v>948.17939200000001</v>
      </c>
      <c r="G115" s="2">
        <v>914.10292600000002</v>
      </c>
      <c r="H115" s="2">
        <v>4293.3263820000002</v>
      </c>
      <c r="I115" s="2">
        <v>855.53856399999995</v>
      </c>
      <c r="J115" s="2">
        <v>4379.1990260000002</v>
      </c>
      <c r="K115" s="2">
        <v>4358.6914189999998</v>
      </c>
      <c r="L115" s="2">
        <v>4377.4803670000001</v>
      </c>
      <c r="M115" s="2">
        <v>4290.9486880000004</v>
      </c>
      <c r="N115" s="2">
        <v>4367.8016040000002</v>
      </c>
      <c r="O115" s="2">
        <v>4244.9497940000001</v>
      </c>
      <c r="P115" s="2">
        <v>808.405529</v>
      </c>
      <c r="Q115" s="2">
        <v>831.50002500000005</v>
      </c>
      <c r="R115" s="2">
        <v>4311.0987800000003</v>
      </c>
      <c r="S115" s="2">
        <v>4375.0380619999996</v>
      </c>
      <c r="T115" s="2">
        <v>880.84984899999995</v>
      </c>
      <c r="U115" s="2">
        <v>15157.327673</v>
      </c>
      <c r="V115" s="2">
        <v>0</v>
      </c>
      <c r="W115" s="2">
        <v>4306.4812300000003</v>
      </c>
      <c r="X115" s="2">
        <v>15152.568453</v>
      </c>
      <c r="Y115" s="2">
        <v>539.50415699999996</v>
      </c>
      <c r="Z115" s="2">
        <v>15126.301802</v>
      </c>
      <c r="AA115" s="2">
        <v>721.19578000000001</v>
      </c>
      <c r="AB115" s="2">
        <v>4243.9892399999999</v>
      </c>
      <c r="AC115" s="2">
        <v>0</v>
      </c>
      <c r="AD115" s="2">
        <v>15076.239051</v>
      </c>
      <c r="AE115" s="2">
        <v>15106.385831</v>
      </c>
      <c r="AF115" s="2">
        <v>0</v>
      </c>
      <c r="AG115" s="2">
        <v>4303.3928130000004</v>
      </c>
      <c r="AH115" s="2">
        <v>15054.883188</v>
      </c>
      <c r="AI115" s="2">
        <v>15093.775412999999</v>
      </c>
      <c r="AJ115" s="2">
        <v>0</v>
      </c>
      <c r="AK115" s="2">
        <v>679.83454200000006</v>
      </c>
      <c r="AL115" s="2">
        <v>15037.377140000001</v>
      </c>
      <c r="AM115" s="2">
        <v>15020.431892000001</v>
      </c>
      <c r="AN115" s="2">
        <v>641.49586599999998</v>
      </c>
      <c r="AO115" s="2">
        <v>15149.900865</v>
      </c>
      <c r="AP115" s="2">
        <v>8146.8447980000001</v>
      </c>
      <c r="AQ115" s="2">
        <v>784.59174399999995</v>
      </c>
      <c r="AR115" s="2">
        <v>15001.228287</v>
      </c>
      <c r="AS115" s="2">
        <v>0</v>
      </c>
      <c r="AT115" s="2">
        <v>15010.337495</v>
      </c>
      <c r="AU115" s="2">
        <v>0</v>
      </c>
      <c r="AV115" s="2">
        <v>0</v>
      </c>
      <c r="AW115" s="2">
        <v>0</v>
      </c>
      <c r="AX115" s="2">
        <v>0</v>
      </c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</row>
    <row r="116" spans="1:79" x14ac:dyDescent="0.25">
      <c r="A116" s="1">
        <v>45534</v>
      </c>
      <c r="B116" s="2">
        <v>901.41614600000003</v>
      </c>
      <c r="C116" s="2">
        <v>928.94543199999998</v>
      </c>
      <c r="D116" s="2">
        <v>980.16763500000002</v>
      </c>
      <c r="E116" s="2">
        <v>4326.1778430000004</v>
      </c>
      <c r="F116" s="2">
        <v>951.21070299999997</v>
      </c>
      <c r="G116" s="2">
        <v>914.07316800000001</v>
      </c>
      <c r="H116" s="2">
        <v>4210.5722830000004</v>
      </c>
      <c r="I116" s="2">
        <v>861.59815400000002</v>
      </c>
      <c r="J116" s="2">
        <v>4282.8651390000005</v>
      </c>
      <c r="K116" s="2">
        <v>4261.377101</v>
      </c>
      <c r="L116" s="2">
        <v>4276.050596</v>
      </c>
      <c r="M116" s="2">
        <v>4194.1811260000004</v>
      </c>
      <c r="N116" s="2">
        <v>4268.4031150000001</v>
      </c>
      <c r="O116" s="2">
        <v>4291.4189230000002</v>
      </c>
      <c r="P116" s="2">
        <v>814.61843399999998</v>
      </c>
      <c r="Q116" s="2">
        <v>837.79555300000004</v>
      </c>
      <c r="R116" s="2">
        <v>4340.9160739999998</v>
      </c>
      <c r="S116" s="2">
        <v>4285.6703660000003</v>
      </c>
      <c r="T116" s="2">
        <v>887.04389600000002</v>
      </c>
      <c r="U116" s="2">
        <v>15291.968637</v>
      </c>
      <c r="V116" s="2">
        <v>0</v>
      </c>
      <c r="W116" s="2">
        <v>4332.5478659999999</v>
      </c>
      <c r="X116" s="2">
        <v>15287.428029999999</v>
      </c>
      <c r="Y116" s="2">
        <v>542.55040799999995</v>
      </c>
      <c r="Z116" s="2">
        <v>15265.198931000001</v>
      </c>
      <c r="AA116" s="2">
        <v>726.99470399999996</v>
      </c>
      <c r="AB116" s="2">
        <v>4275.4507089999997</v>
      </c>
      <c r="AC116" s="2">
        <v>0</v>
      </c>
      <c r="AD116" s="2">
        <v>15210.574055999999</v>
      </c>
      <c r="AE116" s="2">
        <v>15248.978111</v>
      </c>
      <c r="AF116" s="2">
        <v>0</v>
      </c>
      <c r="AG116" s="2">
        <v>4331.9048220000004</v>
      </c>
      <c r="AH116" s="2">
        <v>15187.993328</v>
      </c>
      <c r="AI116" s="2">
        <v>15230.020694999999</v>
      </c>
      <c r="AJ116" s="2">
        <v>0</v>
      </c>
      <c r="AK116" s="2">
        <v>685.09618999999998</v>
      </c>
      <c r="AL116" s="2">
        <v>15168.990048</v>
      </c>
      <c r="AM116" s="2">
        <v>15155.536398</v>
      </c>
      <c r="AN116" s="2">
        <v>645.92523600000004</v>
      </c>
      <c r="AO116" s="2">
        <v>15286.281412</v>
      </c>
      <c r="AP116" s="2">
        <v>8268.5376699999997</v>
      </c>
      <c r="AQ116" s="2">
        <v>790.99882600000001</v>
      </c>
      <c r="AR116" s="2">
        <v>15135.508806</v>
      </c>
      <c r="AS116" s="2">
        <v>0</v>
      </c>
      <c r="AT116" s="2">
        <v>15146.302302</v>
      </c>
      <c r="AU116" s="2">
        <v>0</v>
      </c>
      <c r="AV116" s="2">
        <v>0</v>
      </c>
      <c r="AW116" s="2">
        <v>0</v>
      </c>
      <c r="AX116" s="2">
        <v>0</v>
      </c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</row>
    <row r="117" spans="1:79" x14ac:dyDescent="0.25">
      <c r="A117" s="1">
        <v>45565</v>
      </c>
      <c r="B117" s="2">
        <v>897.36226499999998</v>
      </c>
      <c r="C117" s="2">
        <v>925.39968499999998</v>
      </c>
      <c r="D117" s="2">
        <v>982.28558699999996</v>
      </c>
      <c r="E117" s="2">
        <v>4276.435058</v>
      </c>
      <c r="F117" s="2">
        <v>952.27618299999995</v>
      </c>
      <c r="G117" s="2">
        <v>912.50060699999995</v>
      </c>
      <c r="H117" s="2">
        <v>4135.997257</v>
      </c>
      <c r="I117" s="2">
        <v>864.92589399999997</v>
      </c>
      <c r="J117" s="2">
        <v>4261.0250040000001</v>
      </c>
      <c r="K117" s="2">
        <v>4258.0364129999998</v>
      </c>
      <c r="L117" s="2">
        <v>4298.5445730000001</v>
      </c>
      <c r="M117" s="2">
        <v>4119.7784229999997</v>
      </c>
      <c r="N117" s="2">
        <v>4231.4634759999999</v>
      </c>
      <c r="O117" s="2">
        <v>4231.0482739999998</v>
      </c>
      <c r="P117" s="2">
        <v>815.94704400000001</v>
      </c>
      <c r="Q117" s="2">
        <v>840.00910899999997</v>
      </c>
      <c r="R117" s="2">
        <v>4355.6694680000001</v>
      </c>
      <c r="S117" s="2">
        <v>4198.44193</v>
      </c>
      <c r="T117" s="2">
        <v>892.14483900000005</v>
      </c>
      <c r="U117" s="2">
        <v>15416.273728</v>
      </c>
      <c r="V117" s="2">
        <v>0</v>
      </c>
      <c r="W117" s="2">
        <v>4326.9642949999998</v>
      </c>
      <c r="X117" s="2">
        <v>15413.098048</v>
      </c>
      <c r="Y117" s="2">
        <v>539.35406599999999</v>
      </c>
      <c r="Z117" s="2">
        <v>15393.720238</v>
      </c>
      <c r="AA117" s="2">
        <v>726.62909200000001</v>
      </c>
      <c r="AB117" s="2">
        <v>4198.4808549999998</v>
      </c>
      <c r="AC117" s="2">
        <v>0</v>
      </c>
      <c r="AD117" s="2">
        <v>15345.514659</v>
      </c>
      <c r="AE117" s="2">
        <v>15382.327874000001</v>
      </c>
      <c r="AF117" s="2">
        <v>0</v>
      </c>
      <c r="AG117" s="2">
        <v>4288.4932209999997</v>
      </c>
      <c r="AH117" s="2">
        <v>15322.329116000001</v>
      </c>
      <c r="AI117" s="2">
        <v>15365.694097</v>
      </c>
      <c r="AJ117" s="2">
        <v>0</v>
      </c>
      <c r="AK117" s="2">
        <v>683.96009800000002</v>
      </c>
      <c r="AL117" s="2">
        <v>15307.098188</v>
      </c>
      <c r="AM117" s="2">
        <v>15292.915542999999</v>
      </c>
      <c r="AN117" s="2">
        <v>644.18910200000005</v>
      </c>
      <c r="AO117" s="2">
        <v>15412.435164</v>
      </c>
      <c r="AP117" s="2">
        <v>8290.71443</v>
      </c>
      <c r="AQ117" s="2">
        <v>791.56166099999996</v>
      </c>
      <c r="AR117" s="2">
        <v>15279.010383000001</v>
      </c>
      <c r="AS117" s="2">
        <v>0</v>
      </c>
      <c r="AT117" s="2">
        <v>15284.729689</v>
      </c>
      <c r="AU117" s="2">
        <v>0</v>
      </c>
      <c r="AV117" s="2">
        <v>0</v>
      </c>
      <c r="AW117" s="2">
        <v>0</v>
      </c>
      <c r="AX117" s="2">
        <v>0</v>
      </c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</row>
    <row r="118" spans="1:79" x14ac:dyDescent="0.25">
      <c r="A118" s="1">
        <v>45596</v>
      </c>
      <c r="B118" s="2">
        <v>887.63253099999997</v>
      </c>
      <c r="C118" s="2">
        <v>918.35540300000002</v>
      </c>
      <c r="D118" s="2">
        <v>982.56921999999997</v>
      </c>
      <c r="E118" s="2">
        <v>4235.0606770000004</v>
      </c>
      <c r="F118" s="2">
        <v>946.29006600000002</v>
      </c>
      <c r="G118" s="2">
        <v>901.72862999999995</v>
      </c>
      <c r="H118" s="2">
        <v>4042.9373000000001</v>
      </c>
      <c r="I118" s="2">
        <v>869.99333000000001</v>
      </c>
      <c r="J118" s="2">
        <v>4241.8421150000004</v>
      </c>
      <c r="K118" s="2">
        <v>4273.3888470000002</v>
      </c>
      <c r="L118" s="2">
        <v>4337.1430659999996</v>
      </c>
      <c r="M118" s="2">
        <v>4023.597158</v>
      </c>
      <c r="N118" s="2">
        <v>4198.7582439999996</v>
      </c>
      <c r="O118" s="2">
        <v>4122.5713880000003</v>
      </c>
      <c r="P118" s="2">
        <v>818.54074900000001</v>
      </c>
      <c r="Q118" s="2">
        <v>843.60728500000005</v>
      </c>
      <c r="R118" s="2">
        <v>4385.5912289999997</v>
      </c>
      <c r="S118" s="2">
        <v>4129.2398020000001</v>
      </c>
      <c r="T118" s="2">
        <v>898.52008699999999</v>
      </c>
      <c r="U118" s="2">
        <v>15559.236853</v>
      </c>
      <c r="V118" s="2">
        <v>0</v>
      </c>
      <c r="W118" s="2">
        <v>4329.3270229999998</v>
      </c>
      <c r="X118" s="2">
        <v>15558.723406999999</v>
      </c>
      <c r="Y118" s="2">
        <v>533.45323099999996</v>
      </c>
      <c r="Z118" s="2">
        <v>15539.539194000001</v>
      </c>
      <c r="AA118" s="2">
        <v>724.71427900000003</v>
      </c>
      <c r="AB118" s="2">
        <v>4096.1281230000004</v>
      </c>
      <c r="AC118" s="2">
        <v>0</v>
      </c>
      <c r="AD118" s="2">
        <v>15494.993855999999</v>
      </c>
      <c r="AE118" s="2">
        <v>15529.799277</v>
      </c>
      <c r="AF118" s="2">
        <v>0</v>
      </c>
      <c r="AG118" s="2">
        <v>4253.4140319999997</v>
      </c>
      <c r="AH118" s="2">
        <v>15476.151941</v>
      </c>
      <c r="AI118" s="2">
        <v>15515.5317</v>
      </c>
      <c r="AJ118" s="2">
        <v>0</v>
      </c>
      <c r="AK118" s="2">
        <v>680.47924399999999</v>
      </c>
      <c r="AL118" s="2">
        <v>15464.949481</v>
      </c>
      <c r="AM118" s="2">
        <v>15451.755472000001</v>
      </c>
      <c r="AN118" s="2">
        <v>639.92598299999997</v>
      </c>
      <c r="AO118" s="2">
        <v>15558.256638000001</v>
      </c>
      <c r="AP118" s="2">
        <v>8347.0715479999999</v>
      </c>
      <c r="AQ118" s="2">
        <v>792.85198300000002</v>
      </c>
      <c r="AR118" s="2">
        <v>15441.999996</v>
      </c>
      <c r="AS118" s="2">
        <v>0</v>
      </c>
      <c r="AT118" s="2">
        <v>15446.947749999999</v>
      </c>
      <c r="AU118" s="2">
        <v>0</v>
      </c>
      <c r="AV118" s="2">
        <v>0</v>
      </c>
      <c r="AW118" s="2">
        <v>15436.025351</v>
      </c>
      <c r="AX118" s="2">
        <v>0</v>
      </c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</row>
    <row r="119" spans="1:79" x14ac:dyDescent="0.25">
      <c r="A119" s="1">
        <v>45625</v>
      </c>
      <c r="B119" s="2">
        <v>863.79572399999995</v>
      </c>
      <c r="C119" s="2">
        <v>900.27022799999997</v>
      </c>
      <c r="D119" s="2">
        <v>974.73086799999999</v>
      </c>
      <c r="E119" s="2">
        <v>4092.4401809999999</v>
      </c>
      <c r="F119" s="2">
        <v>931.87799099999995</v>
      </c>
      <c r="G119" s="2">
        <v>879.24258599999996</v>
      </c>
      <c r="H119" s="2">
        <v>4038.6584440000001</v>
      </c>
      <c r="I119" s="2">
        <v>868.56498399999998</v>
      </c>
      <c r="J119" s="2">
        <v>4230.6525250000004</v>
      </c>
      <c r="K119" s="2">
        <v>4270.9822809999996</v>
      </c>
      <c r="L119" s="2">
        <v>4354.6054199999999</v>
      </c>
      <c r="M119" s="2">
        <v>3992.1657420000001</v>
      </c>
      <c r="N119" s="2">
        <v>4184.3125879999998</v>
      </c>
      <c r="O119" s="2">
        <v>4008.088139</v>
      </c>
      <c r="P119" s="2">
        <v>813.27617599999996</v>
      </c>
      <c r="Q119" s="2">
        <v>840.06416100000001</v>
      </c>
      <c r="R119" s="2">
        <v>4262.6500839999999</v>
      </c>
      <c r="S119" s="2">
        <v>4118.8552989999998</v>
      </c>
      <c r="T119" s="2">
        <v>899.54446900000005</v>
      </c>
      <c r="U119" s="2">
        <v>15684.64313</v>
      </c>
      <c r="V119" s="2">
        <v>0</v>
      </c>
      <c r="W119" s="2">
        <v>4200.3397379999997</v>
      </c>
      <c r="X119" s="2">
        <v>15682.77693</v>
      </c>
      <c r="Y119" s="2">
        <v>521.20769199999995</v>
      </c>
      <c r="Z119" s="2">
        <v>15669.525341</v>
      </c>
      <c r="AA119" s="2">
        <v>714.73644999999999</v>
      </c>
      <c r="AB119" s="2">
        <v>3953.8786620000001</v>
      </c>
      <c r="AC119" s="2">
        <v>0</v>
      </c>
      <c r="AD119" s="2">
        <v>15626.728198999999</v>
      </c>
      <c r="AE119" s="2">
        <v>15663.581729</v>
      </c>
      <c r="AF119" s="2">
        <v>0</v>
      </c>
      <c r="AG119" s="2">
        <v>4103.989157</v>
      </c>
      <c r="AH119" s="2">
        <v>15608.41121</v>
      </c>
      <c r="AI119" s="2">
        <v>15646.582058</v>
      </c>
      <c r="AJ119" s="2">
        <v>0</v>
      </c>
      <c r="AK119" s="2">
        <v>669.593568</v>
      </c>
      <c r="AL119" s="2">
        <v>15592.603397000001</v>
      </c>
      <c r="AM119" s="2">
        <v>15582.456915000001</v>
      </c>
      <c r="AN119" s="2">
        <v>628.50859300000002</v>
      </c>
      <c r="AO119" s="2">
        <v>15682.369188999999</v>
      </c>
      <c r="AP119" s="2">
        <v>8474.1584999999995</v>
      </c>
      <c r="AQ119" s="2">
        <v>786.453033</v>
      </c>
      <c r="AR119" s="2">
        <v>15573.078867</v>
      </c>
      <c r="AS119" s="2">
        <v>0</v>
      </c>
      <c r="AT119" s="2">
        <v>15577.752209</v>
      </c>
      <c r="AU119" s="2">
        <v>0</v>
      </c>
      <c r="AV119" s="2">
        <v>0</v>
      </c>
      <c r="AW119" s="2">
        <v>15567.386173000001</v>
      </c>
      <c r="AX119" s="2">
        <v>0</v>
      </c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</row>
    <row r="120" spans="1:79" x14ac:dyDescent="0.25">
      <c r="A120" s="1">
        <v>45657</v>
      </c>
      <c r="B120" s="2">
        <v>799.42379100000005</v>
      </c>
      <c r="C120" s="2">
        <v>846.127252</v>
      </c>
      <c r="D120" s="2">
        <v>956.53967999999998</v>
      </c>
      <c r="E120" s="2">
        <v>3936.8057709999998</v>
      </c>
      <c r="F120" s="2">
        <v>889.60750399999995</v>
      </c>
      <c r="G120" s="2">
        <v>817.78297399999997</v>
      </c>
      <c r="H120" s="2">
        <v>3793.800099</v>
      </c>
      <c r="I120" s="2">
        <v>865.69646299999999</v>
      </c>
      <c r="J120" s="2">
        <v>4160.1841400000003</v>
      </c>
      <c r="K120" s="2">
        <v>4211.9030620000003</v>
      </c>
      <c r="L120" s="2">
        <v>4357.9267680000003</v>
      </c>
      <c r="M120" s="2">
        <v>3736.1591629999998</v>
      </c>
      <c r="N120" s="2">
        <v>4074.6307780000002</v>
      </c>
      <c r="O120" s="2">
        <v>3811.5310479999998</v>
      </c>
      <c r="P120" s="2">
        <v>802.45842600000003</v>
      </c>
      <c r="Q120" s="2">
        <v>833.14014299999997</v>
      </c>
      <c r="R120" s="2">
        <v>4241.7412400000003</v>
      </c>
      <c r="S120" s="2">
        <v>3981.514784</v>
      </c>
      <c r="T120" s="2">
        <v>900.88777500000003</v>
      </c>
      <c r="U120" s="2">
        <v>15817.948113</v>
      </c>
      <c r="V120" s="2">
        <v>0</v>
      </c>
      <c r="W120" s="2">
        <v>4137.566433</v>
      </c>
      <c r="X120" s="2">
        <v>15814.688941</v>
      </c>
      <c r="Y120" s="2">
        <v>484.082517</v>
      </c>
      <c r="Z120" s="2">
        <v>15796.905887000001</v>
      </c>
      <c r="AA120" s="2">
        <v>692.39667399999996</v>
      </c>
      <c r="AB120" s="2">
        <v>3699.8023840000001</v>
      </c>
      <c r="AC120" s="2">
        <v>0</v>
      </c>
      <c r="AD120" s="2">
        <v>15756.514304</v>
      </c>
      <c r="AE120" s="2">
        <v>15786.748661</v>
      </c>
      <c r="AF120" s="2">
        <v>0</v>
      </c>
      <c r="AG120" s="2">
        <v>3986.6647429999998</v>
      </c>
      <c r="AH120" s="2">
        <v>15730.567498</v>
      </c>
      <c r="AI120" s="2">
        <v>15771.734321</v>
      </c>
      <c r="AJ120" s="2">
        <v>0</v>
      </c>
      <c r="AK120" s="2">
        <v>642.97250199999996</v>
      </c>
      <c r="AL120" s="2">
        <v>15717.040352</v>
      </c>
      <c r="AM120" s="2">
        <v>15707.341942999999</v>
      </c>
      <c r="AN120" s="2">
        <v>598.58459100000005</v>
      </c>
      <c r="AO120" s="2">
        <v>15811.587981999999</v>
      </c>
      <c r="AP120" s="2">
        <v>8507.4957130000003</v>
      </c>
      <c r="AQ120" s="2">
        <v>772.12517200000002</v>
      </c>
      <c r="AR120" s="2">
        <v>15698.039063</v>
      </c>
      <c r="AS120" s="2">
        <v>0</v>
      </c>
      <c r="AT120" s="2">
        <v>15701.045096</v>
      </c>
      <c r="AU120" s="2">
        <v>0</v>
      </c>
      <c r="AV120" s="2">
        <v>0</v>
      </c>
      <c r="AW120" s="2">
        <v>15695.808271</v>
      </c>
      <c r="AX120" s="2">
        <v>0</v>
      </c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</row>
    <row r="121" spans="1:79" x14ac:dyDescent="0.25">
      <c r="A121" s="1">
        <v>45688</v>
      </c>
      <c r="B121" s="2">
        <v>777.74696900000004</v>
      </c>
      <c r="C121" s="2">
        <v>833.78742499999998</v>
      </c>
      <c r="D121" s="2">
        <v>934.57495800000004</v>
      </c>
      <c r="E121" s="2">
        <v>3967.980673</v>
      </c>
      <c r="F121" s="2">
        <v>878.74582699999996</v>
      </c>
      <c r="G121" s="2">
        <v>804.20379800000001</v>
      </c>
      <c r="H121" s="2">
        <v>3802.3834980000001</v>
      </c>
      <c r="I121" s="2">
        <v>881.21654000000001</v>
      </c>
      <c r="J121" s="2">
        <v>4213.031215</v>
      </c>
      <c r="K121" s="2">
        <v>4321.6496159999997</v>
      </c>
      <c r="L121" s="2">
        <v>4425.3294159999996</v>
      </c>
      <c r="M121" s="2">
        <v>3745.2550700000002</v>
      </c>
      <c r="N121" s="2">
        <v>4106.120637</v>
      </c>
      <c r="O121" s="2">
        <v>3793.694731</v>
      </c>
      <c r="P121" s="2">
        <v>821.683896</v>
      </c>
      <c r="Q121" s="2">
        <v>850.55549099999996</v>
      </c>
      <c r="R121" s="2">
        <v>4338.2656740000002</v>
      </c>
      <c r="S121" s="2">
        <v>3964.917156</v>
      </c>
      <c r="T121" s="2">
        <v>914.42510800000002</v>
      </c>
      <c r="U121" s="2">
        <v>15989.133390000001</v>
      </c>
      <c r="V121" s="2">
        <v>741.87783400000001</v>
      </c>
      <c r="W121" s="2">
        <v>4227.9658600000002</v>
      </c>
      <c r="X121" s="2">
        <v>15989.00548</v>
      </c>
      <c r="Y121" s="2">
        <v>510.28001599999999</v>
      </c>
      <c r="Z121" s="2">
        <v>15975.846699</v>
      </c>
      <c r="AA121" s="2">
        <v>717.28506600000003</v>
      </c>
      <c r="AB121" s="2">
        <v>3721.2003</v>
      </c>
      <c r="AC121" s="2">
        <v>584.58050200000002</v>
      </c>
      <c r="AD121" s="2">
        <v>15943.229552000001</v>
      </c>
      <c r="AE121" s="2">
        <v>15968.52383</v>
      </c>
      <c r="AF121" s="2">
        <v>386.98815300000001</v>
      </c>
      <c r="AG121" s="2">
        <v>4027.0898229999998</v>
      </c>
      <c r="AH121" s="2">
        <v>15921.085068</v>
      </c>
      <c r="AI121" s="2">
        <v>15959.602081000001</v>
      </c>
      <c r="AJ121" s="2">
        <v>0</v>
      </c>
      <c r="AK121" s="2">
        <v>669.73164499999996</v>
      </c>
      <c r="AL121" s="2">
        <v>15904.136941999999</v>
      </c>
      <c r="AM121" s="2">
        <v>15894.19191</v>
      </c>
      <c r="AN121" s="2">
        <v>626.53360699999996</v>
      </c>
      <c r="AO121" s="2">
        <v>15988.717682</v>
      </c>
      <c r="AP121" s="2">
        <v>8205.0681960000002</v>
      </c>
      <c r="AQ121" s="2">
        <v>793.29470100000003</v>
      </c>
      <c r="AR121" s="2">
        <v>15885.54197</v>
      </c>
      <c r="AS121" s="2">
        <v>0</v>
      </c>
      <c r="AT121" s="2">
        <v>15889.763013</v>
      </c>
      <c r="AU121" s="2">
        <v>15879.258373000001</v>
      </c>
      <c r="AV121" s="2">
        <v>0</v>
      </c>
      <c r="AW121" s="2">
        <v>15880.985162999999</v>
      </c>
      <c r="AX121" s="2">
        <v>0</v>
      </c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</row>
    <row r="122" spans="1:79" x14ac:dyDescent="0.25">
      <c r="A122" s="1">
        <v>45716</v>
      </c>
      <c r="B122" s="2">
        <v>765.61369400000001</v>
      </c>
      <c r="C122" s="2">
        <v>826.97153500000002</v>
      </c>
      <c r="D122" s="2">
        <v>943.37356799999998</v>
      </c>
      <c r="E122" s="2">
        <v>3976.5707320000001</v>
      </c>
      <c r="F122" s="2">
        <v>879.75698299999999</v>
      </c>
      <c r="G122" s="2">
        <v>792.99332800000002</v>
      </c>
      <c r="H122" s="2">
        <v>3706.6270730000001</v>
      </c>
      <c r="I122" s="2">
        <v>890.57592099999999</v>
      </c>
      <c r="J122" s="2">
        <v>4103.1826529999998</v>
      </c>
      <c r="K122" s="2">
        <v>4220.30123</v>
      </c>
      <c r="L122" s="2">
        <v>4326.5335150000001</v>
      </c>
      <c r="M122" s="2">
        <v>3654.3072179999999</v>
      </c>
      <c r="N122" s="2">
        <v>3999.5987439999999</v>
      </c>
      <c r="O122" s="2">
        <v>3799.8392829999998</v>
      </c>
      <c r="P122" s="2">
        <v>830.95488</v>
      </c>
      <c r="Q122" s="2">
        <v>860.03760599999998</v>
      </c>
      <c r="R122" s="2">
        <v>4368.3663319999996</v>
      </c>
      <c r="S122" s="2">
        <v>3822.8983469999998</v>
      </c>
      <c r="T122" s="2">
        <v>923.654314</v>
      </c>
      <c r="U122" s="2">
        <v>16146.920076</v>
      </c>
      <c r="V122" s="2">
        <v>749.07280900000001</v>
      </c>
      <c r="W122" s="2">
        <v>4250.0854849999996</v>
      </c>
      <c r="X122" s="2">
        <v>16146.387247000001</v>
      </c>
      <c r="Y122" s="2">
        <v>506.85113699999999</v>
      </c>
      <c r="Z122" s="2">
        <v>16133.599346000001</v>
      </c>
      <c r="AA122" s="2">
        <v>723.55502899999999</v>
      </c>
      <c r="AB122" s="2">
        <v>3753.3618259999998</v>
      </c>
      <c r="AC122" s="2">
        <v>584.75454500000001</v>
      </c>
      <c r="AD122" s="2">
        <v>16103.534863000001</v>
      </c>
      <c r="AE122" s="2">
        <v>16127.302274</v>
      </c>
      <c r="AF122" s="2">
        <v>380.43948499999999</v>
      </c>
      <c r="AG122" s="2">
        <v>4044.9982180000002</v>
      </c>
      <c r="AH122" s="2">
        <v>16082.350866999999</v>
      </c>
      <c r="AI122" s="2">
        <v>16120.504665</v>
      </c>
      <c r="AJ122" s="2">
        <v>0</v>
      </c>
      <c r="AK122" s="2">
        <v>674.09040100000004</v>
      </c>
      <c r="AL122" s="2">
        <v>16062.329406999999</v>
      </c>
      <c r="AM122" s="2">
        <v>16051.123847999999</v>
      </c>
      <c r="AN122" s="2">
        <v>628.73015199999998</v>
      </c>
      <c r="AO122" s="2">
        <v>16146.306515</v>
      </c>
      <c r="AP122" s="2">
        <v>8288.8200489999999</v>
      </c>
      <c r="AQ122" s="2">
        <v>801.89053799999999</v>
      </c>
      <c r="AR122" s="2">
        <v>16041.452191</v>
      </c>
      <c r="AS122" s="2">
        <v>0</v>
      </c>
      <c r="AT122" s="2">
        <v>16045.908579999999</v>
      </c>
      <c r="AU122" s="2">
        <v>16033.653509</v>
      </c>
      <c r="AV122" s="2">
        <v>0</v>
      </c>
      <c r="AW122" s="2">
        <v>16037.302582</v>
      </c>
      <c r="AX122" s="2">
        <v>0</v>
      </c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</row>
    <row r="123" spans="1:79" x14ac:dyDescent="0.25">
      <c r="A123" s="1">
        <v>45747</v>
      </c>
      <c r="B123" s="2">
        <v>782.46595500000001</v>
      </c>
      <c r="C123" s="2">
        <v>845.51966300000004</v>
      </c>
      <c r="D123" s="2">
        <v>954.94946600000003</v>
      </c>
      <c r="E123" s="2">
        <v>4101.6131020000003</v>
      </c>
      <c r="F123" s="2">
        <v>896.96324500000003</v>
      </c>
      <c r="G123" s="2">
        <v>810.95058900000004</v>
      </c>
      <c r="H123" s="2">
        <v>3832.7023319999998</v>
      </c>
      <c r="I123" s="2">
        <v>899.79301999999996</v>
      </c>
      <c r="J123" s="2">
        <v>4166.6781499999997</v>
      </c>
      <c r="K123" s="2">
        <v>4249.6574559999999</v>
      </c>
      <c r="L123" s="2">
        <v>4334.2120340000001</v>
      </c>
      <c r="M123" s="2">
        <v>3764.8223779999998</v>
      </c>
      <c r="N123" s="2">
        <v>4083.7749229999999</v>
      </c>
      <c r="O123" s="2">
        <v>3922.9896520000002</v>
      </c>
      <c r="P123" s="2">
        <v>839.98191199999997</v>
      </c>
      <c r="Q123" s="2">
        <v>869.31576099999995</v>
      </c>
      <c r="R123" s="2">
        <v>4387.3461779999998</v>
      </c>
      <c r="S123" s="2">
        <v>3923.1328589999998</v>
      </c>
      <c r="T123" s="2">
        <v>933.18840599999999</v>
      </c>
      <c r="U123" s="2">
        <v>16301.994287</v>
      </c>
      <c r="V123" s="2">
        <v>759.20428700000002</v>
      </c>
      <c r="W123" s="2">
        <v>4288.0234129999999</v>
      </c>
      <c r="X123" s="2">
        <v>16301.896475</v>
      </c>
      <c r="Y123" s="2">
        <v>519.66473499999995</v>
      </c>
      <c r="Z123" s="2">
        <v>16289.311335</v>
      </c>
      <c r="AA123" s="2">
        <v>734.105638</v>
      </c>
      <c r="AB123" s="2">
        <v>3868.110177</v>
      </c>
      <c r="AC123" s="2">
        <v>597.38163399999996</v>
      </c>
      <c r="AD123" s="2">
        <v>16258.321244000001</v>
      </c>
      <c r="AE123" s="2">
        <v>16282.562309000001</v>
      </c>
      <c r="AF123" s="2">
        <v>391.27783699999998</v>
      </c>
      <c r="AG123" s="2">
        <v>4144.3737140000003</v>
      </c>
      <c r="AH123" s="2">
        <v>16237.112349000001</v>
      </c>
      <c r="AI123" s="2">
        <v>16274.215688</v>
      </c>
      <c r="AJ123" s="2">
        <v>0</v>
      </c>
      <c r="AK123" s="2">
        <v>686.07607399999995</v>
      </c>
      <c r="AL123" s="2">
        <v>16219.457289</v>
      </c>
      <c r="AM123" s="2">
        <v>16206.676525999999</v>
      </c>
      <c r="AN123" s="2">
        <v>641.28471999999999</v>
      </c>
      <c r="AO123" s="2">
        <v>16301.961683</v>
      </c>
      <c r="AP123" s="2">
        <v>8362.118622</v>
      </c>
      <c r="AQ123" s="2">
        <v>811.30969800000003</v>
      </c>
      <c r="AR123" s="2">
        <v>16199.568856</v>
      </c>
      <c r="AS123" s="2">
        <v>0</v>
      </c>
      <c r="AT123" s="2">
        <v>16201.720719999999</v>
      </c>
      <c r="AU123" s="2">
        <v>16198.395113</v>
      </c>
      <c r="AV123" s="2">
        <v>0</v>
      </c>
      <c r="AW123" s="2">
        <v>16196.455174999999</v>
      </c>
      <c r="AX123" s="2">
        <v>0</v>
      </c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</row>
    <row r="124" spans="1:79" x14ac:dyDescent="0.25">
      <c r="A124" s="1">
        <v>45777</v>
      </c>
      <c r="B124" s="2">
        <v>831.50534500000003</v>
      </c>
      <c r="C124" s="2">
        <v>888.27569400000004</v>
      </c>
      <c r="D124" s="2">
        <v>979.256754</v>
      </c>
      <c r="E124" s="2">
        <v>4185.7430199999999</v>
      </c>
      <c r="F124" s="2">
        <v>936.02231200000006</v>
      </c>
      <c r="G124" s="2">
        <v>859.28710799999999</v>
      </c>
      <c r="H124" s="2">
        <v>3919.5541750000002</v>
      </c>
      <c r="I124" s="2">
        <v>911.50335900000005</v>
      </c>
      <c r="J124" s="2">
        <v>4287.8490110000002</v>
      </c>
      <c r="K124" s="2">
        <v>4358.5820549999999</v>
      </c>
      <c r="L124" s="2">
        <v>4392.5544239999999</v>
      </c>
      <c r="M124" s="2">
        <v>3839.349882</v>
      </c>
      <c r="N124" s="2">
        <v>4203.790559</v>
      </c>
      <c r="O124" s="2">
        <v>4006.6392879999999</v>
      </c>
      <c r="P124" s="2">
        <v>855.72619299999997</v>
      </c>
      <c r="Q124" s="2">
        <v>882.616176</v>
      </c>
      <c r="R124" s="2">
        <v>4461.8393480000004</v>
      </c>
      <c r="S124" s="2">
        <v>4021.5612259999998</v>
      </c>
      <c r="T124" s="2">
        <v>943.78607099999999</v>
      </c>
      <c r="U124" s="2">
        <v>16473.794239999999</v>
      </c>
      <c r="V124" s="2">
        <v>781.96776499999999</v>
      </c>
      <c r="W124" s="2">
        <v>4408.9199850000005</v>
      </c>
      <c r="X124" s="2">
        <v>16473.415335000002</v>
      </c>
      <c r="Y124" s="2">
        <v>549.97197300000005</v>
      </c>
      <c r="Z124" s="2">
        <v>16458.621572</v>
      </c>
      <c r="AA124" s="2">
        <v>759.21510899999998</v>
      </c>
      <c r="AB124" s="2">
        <v>3948.2377550000001</v>
      </c>
      <c r="AC124" s="2">
        <v>627.518731</v>
      </c>
      <c r="AD124" s="2">
        <v>16426.381711999999</v>
      </c>
      <c r="AE124" s="2">
        <v>16451.043474999999</v>
      </c>
      <c r="AF124" s="2">
        <v>420.23773399999999</v>
      </c>
      <c r="AG124" s="2">
        <v>4245.3183399999998</v>
      </c>
      <c r="AH124" s="2">
        <v>16406.019694999999</v>
      </c>
      <c r="AI124" s="2">
        <v>16441.620276000001</v>
      </c>
      <c r="AJ124" s="2">
        <v>0</v>
      </c>
      <c r="AK124" s="2">
        <v>714.24449300000003</v>
      </c>
      <c r="AL124" s="2">
        <v>16391.440095999998</v>
      </c>
      <c r="AM124" s="2">
        <v>16377.008763</v>
      </c>
      <c r="AN124" s="2">
        <v>671.05340899999999</v>
      </c>
      <c r="AO124" s="2">
        <v>16472.95406</v>
      </c>
      <c r="AP124" s="2">
        <v>8239.8257140000005</v>
      </c>
      <c r="AQ124" s="2">
        <v>829.65622299999995</v>
      </c>
      <c r="AR124" s="2">
        <v>16371.605251000001</v>
      </c>
      <c r="AS124" s="2">
        <v>16360.551114</v>
      </c>
      <c r="AT124" s="2">
        <v>16371.720568999999</v>
      </c>
      <c r="AU124" s="2">
        <v>16364.208369</v>
      </c>
      <c r="AV124" s="2">
        <v>0</v>
      </c>
      <c r="AW124" s="2">
        <v>16369.068235999999</v>
      </c>
      <c r="AX124" s="2">
        <v>0</v>
      </c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</row>
    <row r="125" spans="1:79" x14ac:dyDescent="0.25">
      <c r="A125" s="1">
        <v>45807</v>
      </c>
      <c r="B125" s="2">
        <v>844.39372300000002</v>
      </c>
      <c r="C125" s="2">
        <v>900.00554299999999</v>
      </c>
      <c r="D125" s="2">
        <v>986.84701199999995</v>
      </c>
      <c r="E125" s="2">
        <v>4147.4378470000001</v>
      </c>
      <c r="F125" s="2">
        <v>944.15125999999998</v>
      </c>
      <c r="G125" s="2">
        <v>871.03805299999999</v>
      </c>
      <c r="H125" s="2">
        <v>4040.9829589999999</v>
      </c>
      <c r="I125" s="2">
        <v>921.38668299999995</v>
      </c>
      <c r="J125" s="2">
        <v>4320.5839370000003</v>
      </c>
      <c r="K125" s="2">
        <v>4376.4481470000001</v>
      </c>
      <c r="L125" s="2">
        <v>4427.5896570000004</v>
      </c>
      <c r="M125" s="2">
        <v>3977.5741680000001</v>
      </c>
      <c r="N125" s="2">
        <v>4253.8430699999999</v>
      </c>
      <c r="O125" s="2">
        <v>4001.3095720000001</v>
      </c>
      <c r="P125" s="2">
        <v>863.38908000000004</v>
      </c>
      <c r="Q125" s="2">
        <v>891.58803799999998</v>
      </c>
      <c r="R125" s="2">
        <v>4348.7666250000002</v>
      </c>
      <c r="S125" s="2">
        <v>4137.9111780000003</v>
      </c>
      <c r="T125" s="2">
        <v>954.32845199999997</v>
      </c>
      <c r="U125" s="2">
        <v>16661.143906000001</v>
      </c>
      <c r="V125" s="2">
        <v>787.52518599999996</v>
      </c>
      <c r="W125" s="2">
        <v>4305.5986220000004</v>
      </c>
      <c r="X125" s="2">
        <v>16660.194188000001</v>
      </c>
      <c r="Y125" s="2">
        <v>555.76468399999999</v>
      </c>
      <c r="Z125" s="2">
        <v>16649.763945999999</v>
      </c>
      <c r="AA125" s="2">
        <v>764.22015299999998</v>
      </c>
      <c r="AB125" s="2">
        <v>3948.0640680000001</v>
      </c>
      <c r="AC125" s="2">
        <v>632.87969999999996</v>
      </c>
      <c r="AD125" s="2">
        <v>16619.389618000001</v>
      </c>
      <c r="AE125" s="2">
        <v>16643.315858000002</v>
      </c>
      <c r="AF125" s="2">
        <v>426.35348699999997</v>
      </c>
      <c r="AG125" s="2">
        <v>4178.2166649999999</v>
      </c>
      <c r="AH125" s="2">
        <v>16600.778469000001</v>
      </c>
      <c r="AI125" s="2">
        <v>16633.868659</v>
      </c>
      <c r="AJ125" s="2">
        <v>0</v>
      </c>
      <c r="AK125" s="2">
        <v>719.230681</v>
      </c>
      <c r="AL125" s="2">
        <v>16582.933759</v>
      </c>
      <c r="AM125" s="2">
        <v>16566.921838999999</v>
      </c>
      <c r="AN125" s="2">
        <v>676.27651900000001</v>
      </c>
      <c r="AO125" s="2">
        <v>16659.627689000001</v>
      </c>
      <c r="AP125" s="2">
        <v>8229.8096719999994</v>
      </c>
      <c r="AQ125" s="2">
        <v>835.98775499999999</v>
      </c>
      <c r="AR125" s="2">
        <v>16558.974195999999</v>
      </c>
      <c r="AS125" s="2">
        <v>16552.476122</v>
      </c>
      <c r="AT125" s="2">
        <v>16562.406511000001</v>
      </c>
      <c r="AU125" s="2">
        <v>16557.641258</v>
      </c>
      <c r="AV125" s="2">
        <v>0</v>
      </c>
      <c r="AW125" s="2">
        <v>16560.407104000002</v>
      </c>
      <c r="AX125" s="2">
        <v>0</v>
      </c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</row>
    <row r="126" spans="1:79" x14ac:dyDescent="0.25">
      <c r="A126" s="1">
        <v>45838</v>
      </c>
      <c r="B126" s="2">
        <v>823.96575700000005</v>
      </c>
      <c r="C126" s="2">
        <v>877.24920099999997</v>
      </c>
      <c r="D126" s="2">
        <v>949.06446500000004</v>
      </c>
      <c r="E126" s="2">
        <v>4204.3745760000002</v>
      </c>
      <c r="F126" s="2">
        <v>917.48918600000002</v>
      </c>
      <c r="G126" s="2">
        <v>849.507025</v>
      </c>
      <c r="H126" s="2">
        <v>4140.5823689999997</v>
      </c>
      <c r="I126" s="2">
        <v>931.11694399999999</v>
      </c>
      <c r="J126" s="2">
        <v>4354.7396609999996</v>
      </c>
      <c r="K126" s="2">
        <v>4397.2165429999995</v>
      </c>
      <c r="L126" s="2">
        <v>4445.9618399999999</v>
      </c>
      <c r="M126" s="2">
        <v>4082.4073119999998</v>
      </c>
      <c r="N126" s="2">
        <v>4296.5917410000002</v>
      </c>
      <c r="O126" s="2">
        <v>4087.3867679999998</v>
      </c>
      <c r="P126" s="2">
        <v>872.10037499999999</v>
      </c>
      <c r="Q126" s="2">
        <v>900.78271400000006</v>
      </c>
      <c r="R126" s="2">
        <v>4355.4587650000003</v>
      </c>
      <c r="S126" s="2">
        <v>4211.9590870000002</v>
      </c>
      <c r="T126" s="2">
        <v>964.52418399999999</v>
      </c>
      <c r="U126" s="2">
        <v>16844.059953</v>
      </c>
      <c r="V126" s="2">
        <v>797.64525600000002</v>
      </c>
      <c r="W126" s="2">
        <v>4334.4962070000001</v>
      </c>
      <c r="X126" s="2">
        <v>16844.127331</v>
      </c>
      <c r="Y126" s="2">
        <v>573.95293600000002</v>
      </c>
      <c r="Z126" s="2">
        <v>16834.643869</v>
      </c>
      <c r="AA126" s="2">
        <v>775.58524699999998</v>
      </c>
      <c r="AB126" s="2">
        <v>4050.1833150000002</v>
      </c>
      <c r="AC126" s="2">
        <v>650.096452</v>
      </c>
      <c r="AD126" s="2">
        <v>16804.980678</v>
      </c>
      <c r="AE126" s="2">
        <v>16827.687084000001</v>
      </c>
      <c r="AF126" s="2">
        <v>443.38910099999998</v>
      </c>
      <c r="AG126" s="2">
        <v>4227.6979659999997</v>
      </c>
      <c r="AH126" s="2">
        <v>16784.076636000002</v>
      </c>
      <c r="AI126" s="2">
        <v>16821.067190000002</v>
      </c>
      <c r="AJ126" s="2">
        <v>0</v>
      </c>
      <c r="AK126" s="2">
        <v>732.54692299999999</v>
      </c>
      <c r="AL126" s="2">
        <v>16766.423584</v>
      </c>
      <c r="AM126" s="2">
        <v>16749.814892999999</v>
      </c>
      <c r="AN126" s="2">
        <v>691.80857300000002</v>
      </c>
      <c r="AO126" s="2">
        <v>16843.807284999999</v>
      </c>
      <c r="AP126" s="2">
        <v>7774.5624600000001</v>
      </c>
      <c r="AQ126" s="2">
        <v>844.42685100000006</v>
      </c>
      <c r="AR126" s="2">
        <v>16742.049571</v>
      </c>
      <c r="AS126" s="2">
        <v>16744.273046999999</v>
      </c>
      <c r="AT126" s="2">
        <v>16744.643627000001</v>
      </c>
      <c r="AU126" s="2">
        <v>16745.064739000001</v>
      </c>
      <c r="AV126" s="2">
        <v>0</v>
      </c>
      <c r="AW126" s="2">
        <v>16747.170303999999</v>
      </c>
      <c r="AX126" s="2">
        <v>0</v>
      </c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</row>
    <row r="127" spans="1:79" x14ac:dyDescent="0.25">
      <c r="A127" s="1"/>
      <c r="B127" s="1"/>
      <c r="C127" s="1"/>
    </row>
    <row r="128" spans="1:79" x14ac:dyDescent="0.25">
      <c r="A128" s="1"/>
      <c r="B128" s="1"/>
      <c r="C128" s="1"/>
    </row>
    <row r="129" spans="1:3" x14ac:dyDescent="0.25">
      <c r="A129" s="1"/>
      <c r="B129" s="1"/>
      <c r="C129" s="1"/>
    </row>
    <row r="130" spans="1:3" x14ac:dyDescent="0.25">
      <c r="A130" s="1"/>
      <c r="B130" s="1"/>
      <c r="C130" s="1"/>
    </row>
    <row r="131" spans="1:3" x14ac:dyDescent="0.25">
      <c r="A131" s="1"/>
      <c r="B131" s="1"/>
      <c r="C131" s="1"/>
    </row>
    <row r="132" spans="1:3" x14ac:dyDescent="0.25">
      <c r="A132" s="1"/>
      <c r="B132" s="1"/>
      <c r="C132" s="1"/>
    </row>
    <row r="133" spans="1:3" x14ac:dyDescent="0.25">
      <c r="A133" s="1"/>
      <c r="B133" s="1"/>
      <c r="C133" s="1"/>
    </row>
    <row r="134" spans="1:3" x14ac:dyDescent="0.25">
      <c r="A134" s="1"/>
      <c r="B134" s="1"/>
      <c r="C134" s="1"/>
    </row>
    <row r="135" spans="1:3" x14ac:dyDescent="0.25">
      <c r="A135" s="1"/>
      <c r="B135" s="1"/>
      <c r="C135" s="1"/>
    </row>
    <row r="136" spans="1:3" x14ac:dyDescent="0.25">
      <c r="A136" s="1"/>
      <c r="B136" s="1"/>
      <c r="C136" s="1"/>
    </row>
    <row r="137" spans="1:3" x14ac:dyDescent="0.25">
      <c r="A137" s="1"/>
      <c r="B137" s="1"/>
      <c r="C137" s="1"/>
    </row>
    <row r="138" spans="1:3" x14ac:dyDescent="0.25">
      <c r="A138" s="1"/>
      <c r="B138" s="1"/>
      <c r="C138" s="1"/>
    </row>
    <row r="139" spans="1:3" x14ac:dyDescent="0.25">
      <c r="A139" s="1"/>
      <c r="B139" s="1"/>
      <c r="C139" s="1"/>
    </row>
    <row r="140" spans="1:3" x14ac:dyDescent="0.25">
      <c r="A140" s="1"/>
      <c r="B140" s="1"/>
      <c r="C140" s="1"/>
    </row>
    <row r="141" spans="1:3" x14ac:dyDescent="0.25">
      <c r="A141" s="1"/>
      <c r="B141" s="1"/>
      <c r="C141" s="1"/>
    </row>
    <row r="142" spans="1:3" x14ac:dyDescent="0.25">
      <c r="A142" s="1"/>
      <c r="B142" s="1"/>
      <c r="C142" s="1"/>
    </row>
    <row r="143" spans="1:3" x14ac:dyDescent="0.25">
      <c r="A143" s="1"/>
      <c r="B143" s="1"/>
      <c r="C143" s="1"/>
    </row>
    <row r="144" spans="1:3" x14ac:dyDescent="0.25">
      <c r="A144" s="1"/>
      <c r="B144" s="1"/>
      <c r="C144" s="1"/>
    </row>
    <row r="145" spans="1:3" x14ac:dyDescent="0.25">
      <c r="A145" s="1"/>
      <c r="B145" s="1"/>
      <c r="C145" s="1"/>
    </row>
    <row r="146" spans="1:3" x14ac:dyDescent="0.25">
      <c r="A146" s="1"/>
      <c r="B146" s="1"/>
      <c r="C146" s="1"/>
    </row>
    <row r="147" spans="1:3" x14ac:dyDescent="0.25">
      <c r="A147" s="1"/>
      <c r="B147" s="1"/>
      <c r="C147" s="1"/>
    </row>
    <row r="148" spans="1:3" x14ac:dyDescent="0.25">
      <c r="A148" s="1"/>
      <c r="B148" s="1"/>
      <c r="C148" s="1"/>
    </row>
    <row r="149" spans="1:3" x14ac:dyDescent="0.25">
      <c r="A149" s="1"/>
      <c r="B149" s="1"/>
      <c r="C149" s="1"/>
    </row>
    <row r="150" spans="1:3" x14ac:dyDescent="0.25">
      <c r="A150" s="1"/>
      <c r="B150" s="1"/>
      <c r="C150" s="1"/>
    </row>
    <row r="151" spans="1:3" x14ac:dyDescent="0.25">
      <c r="A151" s="1"/>
      <c r="B151" s="1"/>
      <c r="C151" s="1"/>
    </row>
    <row r="152" spans="1:3" x14ac:dyDescent="0.25">
      <c r="A152" s="1"/>
      <c r="B152" s="1"/>
      <c r="C152" s="1"/>
    </row>
    <row r="153" spans="1:3" x14ac:dyDescent="0.25">
      <c r="A153" s="1"/>
      <c r="B153" s="1"/>
      <c r="C153" s="1"/>
    </row>
    <row r="154" spans="1:3" x14ac:dyDescent="0.25">
      <c r="A154" s="1"/>
      <c r="B154" s="1"/>
      <c r="C154" s="1"/>
    </row>
    <row r="155" spans="1:3" x14ac:dyDescent="0.25">
      <c r="A155" s="1"/>
      <c r="B155" s="1"/>
      <c r="C155" s="1"/>
    </row>
    <row r="156" spans="1:3" x14ac:dyDescent="0.25">
      <c r="A156" s="1"/>
      <c r="B156" s="1"/>
      <c r="C156" s="1"/>
    </row>
    <row r="157" spans="1:3" x14ac:dyDescent="0.25">
      <c r="A157" s="1"/>
      <c r="B157" s="1"/>
      <c r="C157" s="1"/>
    </row>
    <row r="158" spans="1:3" x14ac:dyDescent="0.25">
      <c r="A158" s="1"/>
      <c r="B158" s="1"/>
      <c r="C158" s="1"/>
    </row>
    <row r="159" spans="1:3" x14ac:dyDescent="0.25">
      <c r="A159" s="1"/>
      <c r="B159" s="1"/>
      <c r="C159" s="1"/>
    </row>
    <row r="160" spans="1:3" x14ac:dyDescent="0.25">
      <c r="A160" s="1"/>
      <c r="B160" s="1"/>
      <c r="C160" s="1"/>
    </row>
    <row r="161" spans="1:3" x14ac:dyDescent="0.25">
      <c r="A161" s="1"/>
      <c r="B161" s="1"/>
      <c r="C161" s="1"/>
    </row>
    <row r="162" spans="1:3" x14ac:dyDescent="0.25">
      <c r="A162" s="1"/>
      <c r="B162" s="1"/>
      <c r="C162" s="1"/>
    </row>
    <row r="163" spans="1:3" x14ac:dyDescent="0.25">
      <c r="A163" s="1"/>
      <c r="B163" s="1"/>
      <c r="C163" s="1"/>
    </row>
    <row r="164" spans="1:3" x14ac:dyDescent="0.25">
      <c r="A164" s="1"/>
      <c r="B164" s="1"/>
      <c r="C164" s="1"/>
    </row>
    <row r="165" spans="1:3" x14ac:dyDescent="0.25">
      <c r="A165" s="1"/>
      <c r="B165" s="1"/>
      <c r="C165" s="1"/>
    </row>
    <row r="166" spans="1:3" x14ac:dyDescent="0.25">
      <c r="A166" s="1"/>
      <c r="B166" s="1"/>
      <c r="C166" s="1"/>
    </row>
    <row r="167" spans="1:3" x14ac:dyDescent="0.25">
      <c r="A167" s="1"/>
      <c r="B167" s="1"/>
      <c r="C167" s="1"/>
    </row>
    <row r="168" spans="1:3" x14ac:dyDescent="0.25">
      <c r="A168" s="1"/>
      <c r="B168" s="1"/>
      <c r="C168" s="1"/>
    </row>
    <row r="169" spans="1:3" x14ac:dyDescent="0.25">
      <c r="A169" s="1"/>
      <c r="B169" s="1"/>
      <c r="C169" s="1"/>
    </row>
    <row r="170" spans="1:3" x14ac:dyDescent="0.25">
      <c r="A170" s="1"/>
      <c r="B170" s="1"/>
      <c r="C170" s="1"/>
    </row>
    <row r="171" spans="1:3" x14ac:dyDescent="0.25">
      <c r="A171" s="1"/>
      <c r="B171" s="1"/>
      <c r="C171" s="1"/>
    </row>
    <row r="172" spans="1:3" x14ac:dyDescent="0.25">
      <c r="A172" s="1"/>
      <c r="B172" s="1"/>
      <c r="C172" s="1"/>
    </row>
    <row r="173" spans="1:3" x14ac:dyDescent="0.25">
      <c r="A173" s="1"/>
      <c r="B173" s="1"/>
      <c r="C173" s="1"/>
    </row>
    <row r="174" spans="1:3" x14ac:dyDescent="0.25">
      <c r="A174" s="1"/>
      <c r="B174" s="1"/>
      <c r="C174" s="1"/>
    </row>
    <row r="175" spans="1:3" x14ac:dyDescent="0.25">
      <c r="A175" s="1"/>
      <c r="B175" s="1"/>
      <c r="C175" s="1"/>
    </row>
    <row r="176" spans="1:3" x14ac:dyDescent="0.25">
      <c r="A176" s="1"/>
      <c r="B176" s="1"/>
      <c r="C176" s="1"/>
    </row>
    <row r="177" spans="1:3" x14ac:dyDescent="0.25">
      <c r="A177" s="1"/>
      <c r="B177" s="1"/>
      <c r="C177" s="1"/>
    </row>
    <row r="178" spans="1:3" x14ac:dyDescent="0.25">
      <c r="A178" s="1"/>
      <c r="B178" s="1"/>
      <c r="C178" s="1"/>
    </row>
    <row r="179" spans="1:3" x14ac:dyDescent="0.25">
      <c r="A179" s="1"/>
      <c r="B179" s="1"/>
      <c r="C179" s="1"/>
    </row>
    <row r="180" spans="1:3" x14ac:dyDescent="0.25">
      <c r="A180" s="1"/>
      <c r="B180" s="1"/>
      <c r="C180" s="1"/>
    </row>
    <row r="181" spans="1:3" x14ac:dyDescent="0.25">
      <c r="A181" s="1"/>
      <c r="B181" s="1"/>
      <c r="C181" s="1"/>
    </row>
    <row r="182" spans="1:3" x14ac:dyDescent="0.25">
      <c r="A182" s="1"/>
      <c r="B182" s="1"/>
      <c r="C182" s="1"/>
    </row>
    <row r="183" spans="1:3" x14ac:dyDescent="0.25">
      <c r="A183" s="1"/>
      <c r="B183" s="1"/>
      <c r="C183" s="1"/>
    </row>
    <row r="184" spans="1:3" x14ac:dyDescent="0.25">
      <c r="A184" s="1"/>
      <c r="B184" s="1"/>
      <c r="C184" s="1"/>
    </row>
    <row r="185" spans="1:3" x14ac:dyDescent="0.25">
      <c r="A185" s="1"/>
      <c r="B185" s="1"/>
      <c r="C185" s="1"/>
    </row>
    <row r="186" spans="1:3" x14ac:dyDescent="0.25">
      <c r="A186" s="1"/>
      <c r="B186" s="1"/>
      <c r="C186" s="1"/>
    </row>
    <row r="187" spans="1:3" x14ac:dyDescent="0.25">
      <c r="A187" s="1"/>
      <c r="B187" s="1"/>
      <c r="C187" s="1"/>
    </row>
    <row r="188" spans="1:3" x14ac:dyDescent="0.25">
      <c r="A188" s="1"/>
      <c r="B188" s="1"/>
      <c r="C188" s="1"/>
    </row>
    <row r="189" spans="1:3" x14ac:dyDescent="0.25">
      <c r="A189" s="1"/>
      <c r="B189" s="1"/>
      <c r="C189" s="1"/>
    </row>
    <row r="190" spans="1:3" x14ac:dyDescent="0.25">
      <c r="A190" s="1"/>
      <c r="B190" s="1"/>
      <c r="C190" s="1"/>
    </row>
    <row r="191" spans="1:3" x14ac:dyDescent="0.25">
      <c r="A191" s="1"/>
      <c r="B191" s="1"/>
      <c r="C191" s="1"/>
    </row>
    <row r="192" spans="1:3" x14ac:dyDescent="0.25">
      <c r="A192" s="1"/>
      <c r="B192" s="1"/>
      <c r="C192" s="1"/>
    </row>
    <row r="193" spans="1:3" x14ac:dyDescent="0.25">
      <c r="A193" s="1"/>
      <c r="B193" s="1"/>
      <c r="C193" s="1"/>
    </row>
    <row r="194" spans="1:3" x14ac:dyDescent="0.25">
      <c r="A194" s="1"/>
      <c r="B194" s="1"/>
      <c r="C194" s="1"/>
    </row>
    <row r="195" spans="1:3" x14ac:dyDescent="0.25">
      <c r="A195" s="1"/>
      <c r="B195" s="1"/>
      <c r="C195" s="1"/>
    </row>
    <row r="196" spans="1:3" x14ac:dyDescent="0.25">
      <c r="A196" s="1"/>
      <c r="B196" s="1"/>
      <c r="C196" s="1"/>
    </row>
    <row r="197" spans="1:3" x14ac:dyDescent="0.25">
      <c r="A197" s="1"/>
      <c r="B197" s="1"/>
      <c r="C197" s="1"/>
    </row>
    <row r="198" spans="1:3" x14ac:dyDescent="0.25">
      <c r="A198" s="1"/>
      <c r="B198" s="1"/>
      <c r="C198" s="1"/>
    </row>
    <row r="199" spans="1:3" x14ac:dyDescent="0.25">
      <c r="A199" s="1"/>
      <c r="B199" s="1"/>
      <c r="C199" s="1"/>
    </row>
    <row r="200" spans="1:3" x14ac:dyDescent="0.25">
      <c r="A200" s="1"/>
      <c r="B200" s="1"/>
      <c r="C200" s="1"/>
    </row>
    <row r="201" spans="1:3" x14ac:dyDescent="0.25">
      <c r="A201" s="1"/>
      <c r="B201" s="1"/>
      <c r="C201" s="1"/>
    </row>
    <row r="202" spans="1:3" x14ac:dyDescent="0.25">
      <c r="A202" s="1"/>
      <c r="B202" s="1"/>
      <c r="C202" s="1"/>
    </row>
    <row r="203" spans="1:3" x14ac:dyDescent="0.25">
      <c r="A203" s="1"/>
      <c r="B203" s="1"/>
      <c r="C203" s="1"/>
    </row>
    <row r="204" spans="1:3" x14ac:dyDescent="0.25">
      <c r="A204" s="1"/>
      <c r="B204" s="1"/>
      <c r="C204" s="1"/>
    </row>
    <row r="205" spans="1:3" x14ac:dyDescent="0.25">
      <c r="A205" s="1"/>
      <c r="B205" s="1"/>
      <c r="C205" s="1"/>
    </row>
    <row r="206" spans="1:3" x14ac:dyDescent="0.25">
      <c r="A206" s="1"/>
      <c r="B206" s="1"/>
      <c r="C206" s="1"/>
    </row>
    <row r="207" spans="1:3" x14ac:dyDescent="0.25">
      <c r="A207" s="1"/>
      <c r="B207" s="1"/>
      <c r="C207" s="1"/>
    </row>
    <row r="208" spans="1:3" x14ac:dyDescent="0.25">
      <c r="A208" s="1"/>
      <c r="B208" s="1"/>
      <c r="C208" s="1"/>
    </row>
    <row r="209" spans="1:3" x14ac:dyDescent="0.25">
      <c r="A209" s="1"/>
      <c r="B209" s="1"/>
      <c r="C209" s="1"/>
    </row>
    <row r="210" spans="1:3" x14ac:dyDescent="0.25">
      <c r="A210" s="1"/>
      <c r="B210" s="1"/>
      <c r="C210" s="1"/>
    </row>
    <row r="211" spans="1:3" x14ac:dyDescent="0.25">
      <c r="A211" s="1"/>
      <c r="B211" s="1"/>
      <c r="C211" s="1"/>
    </row>
    <row r="212" spans="1:3" x14ac:dyDescent="0.25">
      <c r="A212" s="1"/>
      <c r="B212" s="1"/>
      <c r="C212" s="1"/>
    </row>
    <row r="213" spans="1:3" x14ac:dyDescent="0.25">
      <c r="A213" s="1"/>
      <c r="B213" s="1"/>
      <c r="C213" s="1"/>
    </row>
    <row r="214" spans="1:3" x14ac:dyDescent="0.25">
      <c r="A214" s="1"/>
      <c r="B214" s="1"/>
      <c r="C214" s="1"/>
    </row>
    <row r="215" spans="1:3" x14ac:dyDescent="0.25">
      <c r="A215" s="1"/>
      <c r="B215" s="1"/>
      <c r="C215" s="1"/>
    </row>
    <row r="216" spans="1:3" x14ac:dyDescent="0.25">
      <c r="A216" s="1"/>
      <c r="B216" s="1"/>
      <c r="C216" s="1"/>
    </row>
    <row r="217" spans="1:3" x14ac:dyDescent="0.25">
      <c r="A217" s="1"/>
      <c r="B217" s="1"/>
      <c r="C217" s="1"/>
    </row>
    <row r="218" spans="1:3" x14ac:dyDescent="0.25">
      <c r="A218" s="1"/>
      <c r="B218" s="1"/>
      <c r="C218" s="1"/>
    </row>
    <row r="219" spans="1:3" x14ac:dyDescent="0.25">
      <c r="A219" s="1"/>
      <c r="B219" s="1"/>
      <c r="C219" s="1"/>
    </row>
    <row r="220" spans="1:3" x14ac:dyDescent="0.25">
      <c r="A220" s="1"/>
      <c r="B220" s="1"/>
      <c r="C220" s="1"/>
    </row>
    <row r="221" spans="1:3" x14ac:dyDescent="0.25">
      <c r="A221" s="1"/>
      <c r="B221" s="1"/>
      <c r="C221" s="1"/>
    </row>
    <row r="222" spans="1:3" x14ac:dyDescent="0.25">
      <c r="A222" s="1"/>
      <c r="B222" s="1"/>
      <c r="C222" s="1"/>
    </row>
    <row r="223" spans="1:3" x14ac:dyDescent="0.25">
      <c r="A223" s="1"/>
      <c r="B223" s="1"/>
      <c r="C223" s="1"/>
    </row>
    <row r="224" spans="1:3" x14ac:dyDescent="0.25">
      <c r="A224" s="1"/>
      <c r="B224" s="1"/>
      <c r="C224" s="1"/>
    </row>
    <row r="225" spans="1:3" x14ac:dyDescent="0.25">
      <c r="A225" s="1"/>
      <c r="B225" s="1"/>
      <c r="C225" s="1"/>
    </row>
    <row r="226" spans="1:3" x14ac:dyDescent="0.25">
      <c r="A226" s="1"/>
      <c r="B226" s="1"/>
      <c r="C226" s="1"/>
    </row>
    <row r="227" spans="1:3" x14ac:dyDescent="0.25">
      <c r="A227" s="1"/>
      <c r="B227" s="1"/>
      <c r="C227" s="1"/>
    </row>
    <row r="228" spans="1:3" x14ac:dyDescent="0.25">
      <c r="A228" s="1"/>
      <c r="B228" s="1"/>
      <c r="C228" s="1"/>
    </row>
    <row r="229" spans="1:3" x14ac:dyDescent="0.25">
      <c r="A229" s="1"/>
      <c r="B229" s="1"/>
      <c r="C229" s="1"/>
    </row>
    <row r="230" spans="1:3" x14ac:dyDescent="0.25">
      <c r="A230" s="1"/>
      <c r="B230" s="1"/>
      <c r="C230" s="1"/>
    </row>
    <row r="231" spans="1:3" x14ac:dyDescent="0.25">
      <c r="A231" s="1"/>
      <c r="B231" s="1"/>
      <c r="C231" s="1"/>
    </row>
    <row r="232" spans="1:3" x14ac:dyDescent="0.25">
      <c r="A232" s="1"/>
      <c r="B232" s="1"/>
      <c r="C232" s="1"/>
    </row>
    <row r="233" spans="1:3" x14ac:dyDescent="0.25">
      <c r="A233" s="1"/>
      <c r="B233" s="1"/>
      <c r="C233" s="1"/>
    </row>
    <row r="234" spans="1:3" x14ac:dyDescent="0.25">
      <c r="A234" s="1"/>
      <c r="B234" s="1"/>
      <c r="C234" s="1"/>
    </row>
    <row r="235" spans="1:3" x14ac:dyDescent="0.25">
      <c r="A235" s="1"/>
      <c r="B235" s="1"/>
      <c r="C235" s="1"/>
    </row>
    <row r="236" spans="1:3" x14ac:dyDescent="0.25">
      <c r="A236" s="1"/>
      <c r="B236" s="1"/>
      <c r="C236" s="1"/>
    </row>
    <row r="237" spans="1:3" x14ac:dyDescent="0.25">
      <c r="A237" s="1"/>
      <c r="B237" s="1"/>
      <c r="C237" s="1"/>
    </row>
    <row r="238" spans="1:3" x14ac:dyDescent="0.25">
      <c r="A238" s="1"/>
      <c r="B238" s="1"/>
      <c r="C238" s="1"/>
    </row>
    <row r="239" spans="1:3" x14ac:dyDescent="0.25">
      <c r="A239" s="1"/>
      <c r="B239" s="1"/>
      <c r="C239" s="1"/>
    </row>
    <row r="240" spans="1:3" x14ac:dyDescent="0.25">
      <c r="A240" s="1"/>
      <c r="B240" s="1"/>
      <c r="C240" s="1"/>
    </row>
    <row r="241" spans="1:3" x14ac:dyDescent="0.25">
      <c r="A241" s="1"/>
      <c r="B241" s="1"/>
      <c r="C241" s="1"/>
    </row>
    <row r="242" spans="1:3" x14ac:dyDescent="0.25">
      <c r="A242" s="1"/>
      <c r="B242" s="1"/>
      <c r="C242" s="1"/>
    </row>
    <row r="243" spans="1:3" x14ac:dyDescent="0.25">
      <c r="A243" s="1"/>
      <c r="B243" s="1"/>
      <c r="C243" s="1"/>
    </row>
    <row r="244" spans="1:3" x14ac:dyDescent="0.25">
      <c r="A244" s="1"/>
      <c r="B244" s="1"/>
      <c r="C244" s="1"/>
    </row>
    <row r="245" spans="1:3" x14ac:dyDescent="0.25">
      <c r="A245" s="1"/>
      <c r="B245" s="1"/>
      <c r="C245" s="1"/>
    </row>
    <row r="246" spans="1:3" x14ac:dyDescent="0.25">
      <c r="A246" s="1"/>
      <c r="B246" s="1"/>
      <c r="C246" s="1"/>
    </row>
    <row r="247" spans="1:3" x14ac:dyDescent="0.25">
      <c r="A247" s="1"/>
      <c r="B247" s="1"/>
      <c r="C247" s="1"/>
    </row>
    <row r="248" spans="1:3" x14ac:dyDescent="0.25">
      <c r="A248" s="1"/>
      <c r="B248" s="1"/>
      <c r="C248" s="1"/>
    </row>
    <row r="249" spans="1:3" x14ac:dyDescent="0.25">
      <c r="A249" s="1"/>
      <c r="B249" s="1"/>
      <c r="C249" s="1"/>
    </row>
    <row r="250" spans="1:3" x14ac:dyDescent="0.25">
      <c r="A250" s="1"/>
      <c r="B250" s="1"/>
      <c r="C250" s="1"/>
    </row>
    <row r="251" spans="1:3" x14ac:dyDescent="0.25">
      <c r="A251" s="1"/>
      <c r="B251" s="1"/>
      <c r="C251" s="1"/>
    </row>
    <row r="252" spans="1:3" x14ac:dyDescent="0.25">
      <c r="A252" s="1"/>
      <c r="B252" s="1"/>
      <c r="C252" s="1"/>
    </row>
    <row r="253" spans="1:3" x14ac:dyDescent="0.25">
      <c r="A253" s="1"/>
      <c r="B253" s="1"/>
      <c r="C253" s="1"/>
    </row>
    <row r="254" spans="1:3" x14ac:dyDescent="0.25">
      <c r="A254" s="1"/>
      <c r="B254" s="1"/>
      <c r="C254" s="1"/>
    </row>
    <row r="255" spans="1:3" x14ac:dyDescent="0.25">
      <c r="A255" s="1"/>
      <c r="B255" s="1"/>
      <c r="C255" s="1"/>
    </row>
    <row r="256" spans="1:3" x14ac:dyDescent="0.25">
      <c r="A256" s="1"/>
      <c r="B256" s="1"/>
      <c r="C256" s="1"/>
    </row>
    <row r="257" spans="1:3" x14ac:dyDescent="0.25">
      <c r="A257" s="1"/>
      <c r="B257" s="1"/>
      <c r="C257" s="1"/>
    </row>
    <row r="258" spans="1:3" x14ac:dyDescent="0.25">
      <c r="A258" s="1"/>
      <c r="B258" s="1"/>
      <c r="C258" s="1"/>
    </row>
    <row r="259" spans="1:3" x14ac:dyDescent="0.25">
      <c r="A259" s="1"/>
      <c r="B259" s="1"/>
      <c r="C259" s="1"/>
    </row>
    <row r="260" spans="1:3" x14ac:dyDescent="0.25">
      <c r="A260" s="1"/>
      <c r="B260" s="1"/>
      <c r="C260" s="1"/>
    </row>
    <row r="261" spans="1:3" x14ac:dyDescent="0.25">
      <c r="A261" s="1"/>
      <c r="B261" s="1"/>
      <c r="C261" s="1"/>
    </row>
    <row r="262" spans="1:3" x14ac:dyDescent="0.25">
      <c r="A262" s="1"/>
      <c r="B262" s="1"/>
      <c r="C262" s="1"/>
    </row>
    <row r="263" spans="1:3" x14ac:dyDescent="0.25">
      <c r="A263" s="1"/>
      <c r="B263" s="1"/>
      <c r="C263" s="1"/>
    </row>
    <row r="264" spans="1:3" x14ac:dyDescent="0.25">
      <c r="A264" s="1"/>
      <c r="B264" s="1"/>
      <c r="C264" s="1"/>
    </row>
    <row r="265" spans="1:3" x14ac:dyDescent="0.25">
      <c r="A265" s="1"/>
      <c r="B265" s="1"/>
      <c r="C265" s="1"/>
    </row>
    <row r="266" spans="1:3" x14ac:dyDescent="0.25">
      <c r="A266" s="1"/>
      <c r="B266" s="1"/>
      <c r="C266" s="1"/>
    </row>
    <row r="267" spans="1:3" x14ac:dyDescent="0.25">
      <c r="A267" s="1"/>
      <c r="B267" s="1"/>
      <c r="C267" s="1"/>
    </row>
    <row r="268" spans="1:3" x14ac:dyDescent="0.25">
      <c r="A268" s="1"/>
      <c r="B268" s="1"/>
      <c r="C268" s="1"/>
    </row>
    <row r="269" spans="1:3" x14ac:dyDescent="0.25">
      <c r="A269" s="1"/>
      <c r="B269" s="1"/>
      <c r="C269" s="1"/>
    </row>
    <row r="270" spans="1:3" x14ac:dyDescent="0.25">
      <c r="A270" s="1"/>
      <c r="B270" s="1"/>
      <c r="C270" s="1"/>
    </row>
    <row r="271" spans="1:3" x14ac:dyDescent="0.25">
      <c r="A271" s="1"/>
      <c r="B271" s="1"/>
      <c r="C271" s="1"/>
    </row>
    <row r="272" spans="1:3" x14ac:dyDescent="0.25">
      <c r="A272" s="1"/>
      <c r="B272" s="1"/>
      <c r="C272" s="1"/>
    </row>
    <row r="273" spans="1:3" x14ac:dyDescent="0.25">
      <c r="A273" s="1"/>
      <c r="B273" s="1"/>
      <c r="C273" s="1"/>
    </row>
    <row r="274" spans="1:3" x14ac:dyDescent="0.25">
      <c r="A274" s="1"/>
      <c r="B274" s="1"/>
      <c r="C274" s="1"/>
    </row>
    <row r="275" spans="1:3" x14ac:dyDescent="0.25">
      <c r="A275" s="1"/>
      <c r="B275" s="1"/>
      <c r="C275" s="1"/>
    </row>
    <row r="276" spans="1:3" x14ac:dyDescent="0.25">
      <c r="A276" s="1"/>
      <c r="B276" s="1"/>
      <c r="C276" s="1"/>
    </row>
    <row r="277" spans="1:3" x14ac:dyDescent="0.25">
      <c r="A277" s="1"/>
      <c r="B277" s="1"/>
      <c r="C277" s="1"/>
    </row>
    <row r="278" spans="1:3" x14ac:dyDescent="0.25">
      <c r="A278" s="1"/>
      <c r="B278" s="1"/>
      <c r="C278" s="1"/>
    </row>
    <row r="279" spans="1:3" x14ac:dyDescent="0.25">
      <c r="A279" s="1"/>
      <c r="B279" s="1"/>
      <c r="C279" s="1"/>
    </row>
    <row r="280" spans="1:3" x14ac:dyDescent="0.25">
      <c r="A280" s="1"/>
      <c r="B280" s="1"/>
      <c r="C280" s="1"/>
    </row>
    <row r="281" spans="1:3" x14ac:dyDescent="0.25">
      <c r="A281" s="1"/>
      <c r="B281" s="1"/>
      <c r="C281" s="1"/>
    </row>
    <row r="282" spans="1:3" x14ac:dyDescent="0.25">
      <c r="A282" s="1"/>
      <c r="B282" s="1"/>
      <c r="C282" s="1"/>
    </row>
    <row r="283" spans="1:3" x14ac:dyDescent="0.25">
      <c r="A283" s="1"/>
      <c r="B283" s="1"/>
      <c r="C283" s="1"/>
    </row>
    <row r="284" spans="1:3" x14ac:dyDescent="0.25">
      <c r="A284" s="1"/>
      <c r="B284" s="1"/>
      <c r="C284" s="1"/>
    </row>
    <row r="285" spans="1:3" x14ac:dyDescent="0.25">
      <c r="A285" s="1"/>
      <c r="B285" s="1"/>
      <c r="C285" s="1"/>
    </row>
    <row r="286" spans="1:3" x14ac:dyDescent="0.25">
      <c r="A286" s="1"/>
      <c r="B286" s="1"/>
      <c r="C286" s="1"/>
    </row>
    <row r="287" spans="1:3" x14ac:dyDescent="0.25">
      <c r="A287" s="1"/>
      <c r="B287" s="1"/>
      <c r="C287" s="1"/>
    </row>
    <row r="288" spans="1:3" x14ac:dyDescent="0.25">
      <c r="A288" s="1"/>
      <c r="B288" s="1"/>
      <c r="C288" s="1"/>
    </row>
    <row r="289" spans="1:3" x14ac:dyDescent="0.25">
      <c r="A289" s="1"/>
      <c r="B289" s="1"/>
      <c r="C289" s="1"/>
    </row>
    <row r="290" spans="1:3" x14ac:dyDescent="0.25">
      <c r="A290" s="1"/>
      <c r="B290" s="1"/>
      <c r="C290" s="1"/>
    </row>
    <row r="291" spans="1:3" x14ac:dyDescent="0.25">
      <c r="A291" s="1"/>
      <c r="B291" s="1"/>
      <c r="C291" s="1"/>
    </row>
    <row r="292" spans="1:3" x14ac:dyDescent="0.25">
      <c r="A292" s="1"/>
      <c r="B292" s="1"/>
      <c r="C292" s="1"/>
    </row>
    <row r="293" spans="1:3" x14ac:dyDescent="0.25">
      <c r="A293" s="1"/>
      <c r="B293" s="1"/>
      <c r="C293" s="1"/>
    </row>
    <row r="294" spans="1:3" x14ac:dyDescent="0.25">
      <c r="A294" s="1"/>
      <c r="B294" s="1"/>
      <c r="C294" s="1"/>
    </row>
    <row r="295" spans="1:3" x14ac:dyDescent="0.25">
      <c r="A295" s="1"/>
      <c r="B295" s="1"/>
      <c r="C295" s="1"/>
    </row>
    <row r="296" spans="1:3" x14ac:dyDescent="0.25">
      <c r="A296" s="1"/>
      <c r="B296" s="1"/>
      <c r="C296" s="1"/>
    </row>
    <row r="297" spans="1:3" x14ac:dyDescent="0.25">
      <c r="A297" s="1"/>
      <c r="B297" s="1"/>
      <c r="C297" s="1"/>
    </row>
    <row r="298" spans="1:3" x14ac:dyDescent="0.25">
      <c r="A298" s="1"/>
      <c r="B298" s="1"/>
      <c r="C298" s="1"/>
    </row>
    <row r="299" spans="1:3" x14ac:dyDescent="0.25">
      <c r="A299" s="1"/>
      <c r="B299" s="1"/>
      <c r="C299" s="1"/>
    </row>
    <row r="300" spans="1:3" x14ac:dyDescent="0.25">
      <c r="A300" s="1"/>
      <c r="B300" s="1"/>
      <c r="C300" s="1"/>
    </row>
    <row r="301" spans="1:3" x14ac:dyDescent="0.25">
      <c r="A301" s="1"/>
      <c r="B301" s="1"/>
      <c r="C301" s="1"/>
    </row>
    <row r="302" spans="1:3" x14ac:dyDescent="0.25">
      <c r="A302" s="1"/>
      <c r="B302" s="1"/>
      <c r="C302" s="1"/>
    </row>
    <row r="303" spans="1:3" x14ac:dyDescent="0.25">
      <c r="A303" s="1"/>
      <c r="B303" s="1"/>
      <c r="C303" s="1"/>
    </row>
    <row r="304" spans="1:3" x14ac:dyDescent="0.25">
      <c r="A304" s="1"/>
      <c r="B304" s="1"/>
      <c r="C304" s="1"/>
    </row>
    <row r="305" spans="1:3" x14ac:dyDescent="0.25">
      <c r="A305" s="1"/>
      <c r="B305" s="1"/>
      <c r="C305" s="1"/>
    </row>
    <row r="306" spans="1:3" x14ac:dyDescent="0.25">
      <c r="A306" s="1"/>
      <c r="B306" s="1"/>
      <c r="C306" s="1"/>
    </row>
    <row r="307" spans="1:3" x14ac:dyDescent="0.25">
      <c r="A307" s="1"/>
      <c r="B307" s="1"/>
      <c r="C307" s="1"/>
    </row>
    <row r="308" spans="1:3" x14ac:dyDescent="0.25">
      <c r="A308" s="1"/>
      <c r="B308" s="1"/>
      <c r="C308" s="1"/>
    </row>
    <row r="309" spans="1:3" x14ac:dyDescent="0.25">
      <c r="A309" s="1"/>
      <c r="B309" s="1"/>
      <c r="C309" s="1"/>
    </row>
    <row r="310" spans="1:3" x14ac:dyDescent="0.25">
      <c r="A310" s="1"/>
      <c r="B310" s="1"/>
      <c r="C310" s="1"/>
    </row>
    <row r="311" spans="1:3" x14ac:dyDescent="0.25">
      <c r="A311" s="1"/>
      <c r="B311" s="1"/>
      <c r="C311" s="1"/>
    </row>
    <row r="312" spans="1:3" x14ac:dyDescent="0.25">
      <c r="A312" s="1"/>
      <c r="B312" s="1"/>
      <c r="C312" s="1"/>
    </row>
    <row r="313" spans="1:3" x14ac:dyDescent="0.25">
      <c r="A313" s="1"/>
      <c r="B313" s="1"/>
      <c r="C313" s="1"/>
    </row>
    <row r="314" spans="1:3" x14ac:dyDescent="0.25">
      <c r="A314" s="1"/>
      <c r="B314" s="1"/>
      <c r="C314" s="1"/>
    </row>
    <row r="315" spans="1:3" x14ac:dyDescent="0.25">
      <c r="A315" s="1"/>
      <c r="B315" s="1"/>
      <c r="C315" s="1"/>
    </row>
    <row r="316" spans="1:3" x14ac:dyDescent="0.25">
      <c r="A316" s="1"/>
      <c r="B316" s="1"/>
      <c r="C316" s="1"/>
    </row>
    <row r="317" spans="1:3" x14ac:dyDescent="0.25">
      <c r="A317" s="1"/>
      <c r="B317" s="1"/>
      <c r="C317" s="1"/>
    </row>
    <row r="318" spans="1:3" x14ac:dyDescent="0.25">
      <c r="A318" s="1"/>
      <c r="B318" s="1"/>
      <c r="C318" s="1"/>
    </row>
    <row r="319" spans="1:3" x14ac:dyDescent="0.25">
      <c r="A319" s="1"/>
      <c r="B319" s="1"/>
      <c r="C319" s="1"/>
    </row>
    <row r="320" spans="1:3" x14ac:dyDescent="0.25">
      <c r="A320" s="1"/>
      <c r="B320" s="1"/>
      <c r="C320" s="1"/>
    </row>
    <row r="321" spans="1:3" x14ac:dyDescent="0.25">
      <c r="A321" s="1"/>
      <c r="B321" s="1"/>
      <c r="C321" s="1"/>
    </row>
    <row r="322" spans="1:3" x14ac:dyDescent="0.25">
      <c r="A322" s="1"/>
      <c r="B322" s="1"/>
      <c r="C322" s="1"/>
    </row>
    <row r="323" spans="1:3" x14ac:dyDescent="0.25">
      <c r="A323" s="1"/>
      <c r="B323" s="1"/>
      <c r="C323" s="1"/>
    </row>
    <row r="324" spans="1:3" x14ac:dyDescent="0.25">
      <c r="A324" s="1"/>
      <c r="B324" s="1"/>
      <c r="C324" s="1"/>
    </row>
    <row r="325" spans="1:3" x14ac:dyDescent="0.25">
      <c r="A325" s="1"/>
      <c r="B325" s="1"/>
      <c r="C325" s="1"/>
    </row>
    <row r="326" spans="1:3" x14ac:dyDescent="0.25">
      <c r="A326" s="1"/>
      <c r="B326" s="1"/>
      <c r="C326" s="1"/>
    </row>
    <row r="327" spans="1:3" x14ac:dyDescent="0.25">
      <c r="A327" s="1"/>
      <c r="B327" s="1"/>
      <c r="C327" s="1"/>
    </row>
    <row r="328" spans="1:3" x14ac:dyDescent="0.25">
      <c r="A328" s="1"/>
      <c r="B328" s="1"/>
      <c r="C328" s="1"/>
    </row>
    <row r="329" spans="1:3" x14ac:dyDescent="0.25">
      <c r="A329" s="1"/>
      <c r="B329" s="1"/>
      <c r="C329" s="1"/>
    </row>
    <row r="330" spans="1:3" x14ac:dyDescent="0.25">
      <c r="A330" s="1"/>
      <c r="B330" s="1"/>
      <c r="C330" s="1"/>
    </row>
    <row r="331" spans="1:3" x14ac:dyDescent="0.25">
      <c r="A331" s="1"/>
      <c r="B331" s="1"/>
      <c r="C331" s="1"/>
    </row>
    <row r="332" spans="1:3" x14ac:dyDescent="0.25">
      <c r="A332" s="1"/>
      <c r="B332" s="1"/>
      <c r="C332" s="1"/>
    </row>
    <row r="333" spans="1:3" x14ac:dyDescent="0.25">
      <c r="A333" s="1"/>
      <c r="B333" s="1"/>
      <c r="C333" s="1"/>
    </row>
    <row r="334" spans="1:3" x14ac:dyDescent="0.25">
      <c r="A334" s="1"/>
      <c r="B334" s="1"/>
      <c r="C334" s="1"/>
    </row>
    <row r="335" spans="1:3" x14ac:dyDescent="0.25">
      <c r="A335" s="1"/>
      <c r="B335" s="1"/>
      <c r="C335" s="1"/>
    </row>
    <row r="336" spans="1:3" x14ac:dyDescent="0.25">
      <c r="A336" s="1"/>
      <c r="B336" s="1"/>
      <c r="C336" s="1"/>
    </row>
    <row r="337" spans="1:3" x14ac:dyDescent="0.25">
      <c r="A337" s="1"/>
      <c r="B337" s="1"/>
      <c r="C337" s="1"/>
    </row>
    <row r="338" spans="1:3" x14ac:dyDescent="0.25">
      <c r="A338" s="1"/>
      <c r="B338" s="1"/>
      <c r="C338" s="1"/>
    </row>
    <row r="339" spans="1:3" x14ac:dyDescent="0.25">
      <c r="A339" s="1"/>
      <c r="B339" s="1"/>
      <c r="C339" s="1"/>
    </row>
    <row r="340" spans="1:3" x14ac:dyDescent="0.25">
      <c r="A340" s="1"/>
      <c r="B340" s="1"/>
      <c r="C340" s="1"/>
    </row>
    <row r="341" spans="1:3" x14ac:dyDescent="0.25">
      <c r="A341" s="1"/>
      <c r="B341" s="1"/>
      <c r="C341" s="1"/>
    </row>
    <row r="342" spans="1:3" x14ac:dyDescent="0.25">
      <c r="A342" s="1"/>
      <c r="B342" s="1"/>
      <c r="C342" s="1"/>
    </row>
    <row r="343" spans="1:3" x14ac:dyDescent="0.25">
      <c r="A343" s="1"/>
      <c r="B343" s="1"/>
      <c r="C343" s="1"/>
    </row>
    <row r="344" spans="1:3" x14ac:dyDescent="0.25">
      <c r="A344" s="1"/>
      <c r="B344" s="1"/>
      <c r="C344" s="1"/>
    </row>
    <row r="345" spans="1:3" x14ac:dyDescent="0.25">
      <c r="A345" s="1"/>
      <c r="B345" s="1"/>
      <c r="C345" s="1"/>
    </row>
    <row r="346" spans="1:3" x14ac:dyDescent="0.25">
      <c r="A346" s="1"/>
      <c r="B346" s="1"/>
      <c r="C346" s="1"/>
    </row>
    <row r="347" spans="1:3" x14ac:dyDescent="0.25">
      <c r="A347" s="1"/>
      <c r="B347" s="1"/>
      <c r="C347" s="1"/>
    </row>
    <row r="348" spans="1:3" x14ac:dyDescent="0.25">
      <c r="A348" s="1"/>
      <c r="B348" s="1"/>
      <c r="C348" s="1"/>
    </row>
    <row r="349" spans="1:3" x14ac:dyDescent="0.25">
      <c r="A349" s="1"/>
      <c r="B349" s="1"/>
      <c r="C349" s="1"/>
    </row>
    <row r="350" spans="1:3" x14ac:dyDescent="0.25">
      <c r="A350" s="1"/>
      <c r="B350" s="1"/>
      <c r="C350" s="1"/>
    </row>
    <row r="351" spans="1:3" x14ac:dyDescent="0.25">
      <c r="A351" s="1"/>
      <c r="B351" s="1"/>
      <c r="C351" s="1"/>
    </row>
    <row r="352" spans="1:3" x14ac:dyDescent="0.25">
      <c r="A352" s="1"/>
      <c r="B352" s="1"/>
      <c r="C352" s="1"/>
    </row>
    <row r="353" spans="1:3" x14ac:dyDescent="0.25">
      <c r="A353" s="1"/>
      <c r="B353" s="1"/>
      <c r="C353" s="1"/>
    </row>
    <row r="354" spans="1:3" x14ac:dyDescent="0.25">
      <c r="A354" s="1"/>
      <c r="B354" s="1"/>
      <c r="C354" s="1"/>
    </row>
    <row r="355" spans="1:3" x14ac:dyDescent="0.25">
      <c r="A355" s="1"/>
      <c r="B355" s="1"/>
      <c r="C355" s="1"/>
    </row>
    <row r="356" spans="1:3" x14ac:dyDescent="0.25">
      <c r="A356" s="1"/>
      <c r="B356" s="1"/>
      <c r="C356" s="1"/>
    </row>
    <row r="357" spans="1:3" x14ac:dyDescent="0.25">
      <c r="A357" s="1"/>
      <c r="B357" s="1"/>
      <c r="C357" s="1"/>
    </row>
    <row r="358" spans="1:3" x14ac:dyDescent="0.25">
      <c r="A358" s="1"/>
      <c r="B358" s="1"/>
      <c r="C358" s="1"/>
    </row>
    <row r="359" spans="1:3" x14ac:dyDescent="0.25">
      <c r="A359" s="1"/>
      <c r="B359" s="1"/>
      <c r="C359" s="1"/>
    </row>
    <row r="360" spans="1:3" x14ac:dyDescent="0.25">
      <c r="A360" s="1"/>
      <c r="B360" s="1"/>
      <c r="C360" s="1"/>
    </row>
    <row r="361" spans="1:3" x14ac:dyDescent="0.25">
      <c r="A361" s="1"/>
      <c r="B361" s="1"/>
      <c r="C361" s="1"/>
    </row>
    <row r="362" spans="1:3" x14ac:dyDescent="0.25">
      <c r="A362" s="1"/>
      <c r="B362" s="1"/>
      <c r="C362" s="1"/>
    </row>
    <row r="363" spans="1:3" x14ac:dyDescent="0.25">
      <c r="A363" s="1"/>
      <c r="B363" s="1"/>
      <c r="C363" s="1"/>
    </row>
    <row r="364" spans="1:3" x14ac:dyDescent="0.25">
      <c r="A364" s="1"/>
      <c r="B364" s="1"/>
      <c r="C364" s="1"/>
    </row>
    <row r="365" spans="1:3" x14ac:dyDescent="0.25">
      <c r="A365" s="1"/>
      <c r="B365" s="1"/>
      <c r="C365" s="1"/>
    </row>
    <row r="366" spans="1:3" x14ac:dyDescent="0.25">
      <c r="A366" s="1"/>
      <c r="B366" s="1"/>
      <c r="C366" s="1"/>
    </row>
    <row r="367" spans="1:3" x14ac:dyDescent="0.25">
      <c r="A367" s="1"/>
      <c r="B367" s="1"/>
      <c r="C367" s="1"/>
    </row>
    <row r="368" spans="1:3" x14ac:dyDescent="0.25">
      <c r="A368" s="1"/>
      <c r="B368" s="1"/>
      <c r="C368" s="1"/>
    </row>
    <row r="369" spans="1:3" x14ac:dyDescent="0.25">
      <c r="A369" s="1"/>
      <c r="B369" s="1"/>
      <c r="C369" s="1"/>
    </row>
    <row r="370" spans="1:3" x14ac:dyDescent="0.25">
      <c r="A370" s="1"/>
      <c r="B370" s="1"/>
      <c r="C370" s="1"/>
    </row>
    <row r="371" spans="1:3" x14ac:dyDescent="0.25">
      <c r="A371" s="1"/>
      <c r="B371" s="1"/>
      <c r="C371" s="1"/>
    </row>
    <row r="372" spans="1:3" x14ac:dyDescent="0.25">
      <c r="A372" s="1"/>
      <c r="B372" s="1"/>
      <c r="C372" s="1"/>
    </row>
    <row r="373" spans="1:3" x14ac:dyDescent="0.25">
      <c r="A373" s="1"/>
      <c r="B373" s="1"/>
      <c r="C373" s="1"/>
    </row>
    <row r="374" spans="1:3" x14ac:dyDescent="0.25">
      <c r="A374" s="1"/>
      <c r="B374" s="1"/>
      <c r="C374" s="1"/>
    </row>
    <row r="375" spans="1:3" x14ac:dyDescent="0.25">
      <c r="A375" s="1"/>
      <c r="B375" s="1"/>
      <c r="C375" s="1"/>
    </row>
    <row r="376" spans="1:3" x14ac:dyDescent="0.25">
      <c r="A376" s="1"/>
      <c r="B376" s="1"/>
      <c r="C376" s="1"/>
    </row>
    <row r="377" spans="1:3" x14ac:dyDescent="0.25">
      <c r="A377" s="1"/>
      <c r="B377" s="1"/>
      <c r="C377" s="1"/>
    </row>
    <row r="378" spans="1:3" x14ac:dyDescent="0.25">
      <c r="A378" s="1"/>
      <c r="B378" s="1"/>
      <c r="C378" s="1"/>
    </row>
    <row r="379" spans="1:3" x14ac:dyDescent="0.25">
      <c r="A379" s="1"/>
      <c r="B379" s="1"/>
      <c r="C379" s="1"/>
    </row>
    <row r="380" spans="1:3" x14ac:dyDescent="0.25">
      <c r="A380" s="1"/>
      <c r="B380" s="1"/>
      <c r="C380" s="1"/>
    </row>
    <row r="381" spans="1:3" x14ac:dyDescent="0.25">
      <c r="A381" s="1"/>
      <c r="B381" s="1"/>
      <c r="C381" s="1"/>
    </row>
    <row r="382" spans="1:3" x14ac:dyDescent="0.25">
      <c r="A382" s="1"/>
      <c r="B382" s="1"/>
      <c r="C382" s="1"/>
    </row>
    <row r="383" spans="1:3" x14ac:dyDescent="0.25">
      <c r="A383" s="1"/>
      <c r="B383" s="1"/>
      <c r="C383" s="1"/>
    </row>
    <row r="384" spans="1:3" x14ac:dyDescent="0.25">
      <c r="A384" s="1"/>
      <c r="B384" s="1"/>
      <c r="C384" s="1"/>
    </row>
    <row r="385" spans="1:3" x14ac:dyDescent="0.25">
      <c r="A385" s="1"/>
      <c r="B385" s="1"/>
      <c r="C385" s="1"/>
    </row>
    <row r="386" spans="1:3" x14ac:dyDescent="0.25">
      <c r="A386" s="1"/>
      <c r="B386" s="1"/>
      <c r="C386" s="1"/>
    </row>
    <row r="387" spans="1:3" x14ac:dyDescent="0.25">
      <c r="A387" s="1"/>
      <c r="B387" s="1"/>
      <c r="C387" s="1"/>
    </row>
    <row r="388" spans="1:3" x14ac:dyDescent="0.25">
      <c r="A388" s="1"/>
      <c r="B388" s="1"/>
      <c r="C388" s="1"/>
    </row>
    <row r="389" spans="1:3" x14ac:dyDescent="0.25">
      <c r="A389" s="1"/>
      <c r="B389" s="1"/>
      <c r="C389" s="1"/>
    </row>
    <row r="390" spans="1:3" x14ac:dyDescent="0.25">
      <c r="A390" s="1"/>
      <c r="B390" s="1"/>
      <c r="C390" s="1"/>
    </row>
    <row r="391" spans="1:3" x14ac:dyDescent="0.25">
      <c r="A391" s="1"/>
      <c r="B391" s="1"/>
      <c r="C391" s="1"/>
    </row>
    <row r="392" spans="1:3" x14ac:dyDescent="0.25">
      <c r="A392" s="1"/>
      <c r="B392" s="1"/>
      <c r="C392" s="1"/>
    </row>
    <row r="393" spans="1:3" x14ac:dyDescent="0.25">
      <c r="A393" s="1"/>
      <c r="B393" s="1"/>
      <c r="C393" s="1"/>
    </row>
    <row r="394" spans="1:3" x14ac:dyDescent="0.25">
      <c r="A394" s="1"/>
      <c r="B394" s="1"/>
      <c r="C394" s="1"/>
    </row>
    <row r="395" spans="1:3" x14ac:dyDescent="0.25">
      <c r="A395" s="1"/>
      <c r="B395" s="1"/>
      <c r="C395" s="1"/>
    </row>
    <row r="396" spans="1:3" x14ac:dyDescent="0.25">
      <c r="A396" s="1"/>
      <c r="B396" s="1"/>
      <c r="C396" s="1"/>
    </row>
    <row r="397" spans="1:3" x14ac:dyDescent="0.25">
      <c r="A397" s="1"/>
      <c r="B397" s="1"/>
      <c r="C397" s="1"/>
    </row>
    <row r="398" spans="1:3" x14ac:dyDescent="0.25">
      <c r="A398" s="1"/>
      <c r="B398" s="1"/>
      <c r="C398" s="1"/>
    </row>
    <row r="399" spans="1:3" x14ac:dyDescent="0.25">
      <c r="A399" s="1"/>
      <c r="B399" s="1"/>
      <c r="C399" s="1"/>
    </row>
    <row r="400" spans="1:3" x14ac:dyDescent="0.25">
      <c r="A400" s="1"/>
      <c r="B400" s="1"/>
      <c r="C400" s="1"/>
    </row>
    <row r="401" spans="1:3" x14ac:dyDescent="0.25">
      <c r="A401" s="1"/>
      <c r="B401" s="1"/>
      <c r="C401" s="1"/>
    </row>
    <row r="402" spans="1:3" x14ac:dyDescent="0.25">
      <c r="A402" s="1"/>
      <c r="B402" s="1"/>
      <c r="C402" s="1"/>
    </row>
    <row r="403" spans="1:3" x14ac:dyDescent="0.25">
      <c r="A403" s="1"/>
      <c r="B403" s="1"/>
      <c r="C403" s="1"/>
    </row>
    <row r="404" spans="1:3" x14ac:dyDescent="0.25">
      <c r="A404" s="1"/>
      <c r="B404" s="1"/>
      <c r="C404" s="1"/>
    </row>
    <row r="405" spans="1:3" x14ac:dyDescent="0.25">
      <c r="A405" s="1"/>
      <c r="B405" s="1"/>
      <c r="C405" s="1"/>
    </row>
    <row r="406" spans="1:3" x14ac:dyDescent="0.25">
      <c r="A406" s="1"/>
      <c r="B406" s="1"/>
      <c r="C406" s="1"/>
    </row>
    <row r="407" spans="1:3" x14ac:dyDescent="0.25">
      <c r="A407" s="1"/>
      <c r="B407" s="1"/>
      <c r="C407" s="1"/>
    </row>
    <row r="408" spans="1:3" x14ac:dyDescent="0.25">
      <c r="A408" s="1"/>
      <c r="B408" s="1"/>
      <c r="C408" s="1"/>
    </row>
    <row r="409" spans="1:3" x14ac:dyDescent="0.25">
      <c r="A409" s="1"/>
      <c r="B409" s="1"/>
      <c r="C409" s="1"/>
    </row>
    <row r="410" spans="1:3" x14ac:dyDescent="0.25">
      <c r="A410" s="1"/>
      <c r="B410" s="1"/>
      <c r="C410" s="1"/>
    </row>
    <row r="411" spans="1:3" x14ac:dyDescent="0.25">
      <c r="A411" s="1"/>
      <c r="B411" s="1"/>
      <c r="C411" s="1"/>
    </row>
    <row r="412" spans="1:3" x14ac:dyDescent="0.25">
      <c r="A412" s="1"/>
      <c r="B412" s="1"/>
      <c r="C412" s="1"/>
    </row>
    <row r="413" spans="1:3" x14ac:dyDescent="0.25">
      <c r="A413" s="1"/>
      <c r="B413" s="1"/>
      <c r="C413" s="1"/>
    </row>
    <row r="414" spans="1:3" x14ac:dyDescent="0.25">
      <c r="A414" s="1"/>
      <c r="B414" s="1"/>
      <c r="C414" s="1"/>
    </row>
    <row r="415" spans="1:3" x14ac:dyDescent="0.25">
      <c r="A415" s="1"/>
      <c r="B415" s="1"/>
      <c r="C415" s="1"/>
    </row>
    <row r="416" spans="1:3" x14ac:dyDescent="0.25">
      <c r="A416" s="1"/>
      <c r="B416" s="1"/>
      <c r="C416" s="1"/>
    </row>
    <row r="417" spans="1:3" x14ac:dyDescent="0.25">
      <c r="A417" s="1"/>
      <c r="B417" s="1"/>
      <c r="C417" s="1"/>
    </row>
    <row r="418" spans="1:3" x14ac:dyDescent="0.25">
      <c r="A418" s="1"/>
      <c r="B418" s="1"/>
      <c r="C418" s="1"/>
    </row>
    <row r="419" spans="1:3" x14ac:dyDescent="0.25">
      <c r="A419" s="1"/>
      <c r="B419" s="1"/>
      <c r="C419" s="1"/>
    </row>
    <row r="420" spans="1:3" x14ac:dyDescent="0.25">
      <c r="A420" s="1"/>
      <c r="B420" s="1"/>
      <c r="C420" s="1"/>
    </row>
    <row r="421" spans="1:3" x14ac:dyDescent="0.25">
      <c r="A421" s="1"/>
      <c r="B421" s="1"/>
      <c r="C421" s="1"/>
    </row>
    <row r="422" spans="1:3" x14ac:dyDescent="0.25">
      <c r="A422" s="1"/>
      <c r="B422" s="1"/>
      <c r="C422" s="1"/>
    </row>
    <row r="423" spans="1:3" x14ac:dyDescent="0.25">
      <c r="A423" s="1"/>
      <c r="B423" s="1"/>
      <c r="C423" s="1"/>
    </row>
    <row r="424" spans="1:3" x14ac:dyDescent="0.25">
      <c r="A424" s="1"/>
      <c r="B424" s="1"/>
      <c r="C424" s="1"/>
    </row>
    <row r="425" spans="1:3" x14ac:dyDescent="0.25">
      <c r="A425" s="1"/>
      <c r="B425" s="1"/>
      <c r="C425" s="1"/>
    </row>
    <row r="426" spans="1:3" x14ac:dyDescent="0.25">
      <c r="A426" s="1"/>
      <c r="B426" s="1"/>
      <c r="C426" s="1"/>
    </row>
    <row r="427" spans="1:3" x14ac:dyDescent="0.25">
      <c r="A427" s="1"/>
      <c r="B427" s="1"/>
      <c r="C427" s="1"/>
    </row>
    <row r="428" spans="1:3" x14ac:dyDescent="0.25">
      <c r="A428" s="1"/>
      <c r="B428" s="1"/>
      <c r="C428" s="1"/>
    </row>
    <row r="429" spans="1:3" x14ac:dyDescent="0.25">
      <c r="A429" s="1"/>
      <c r="B429" s="1"/>
      <c r="C429" s="1"/>
    </row>
    <row r="430" spans="1:3" x14ac:dyDescent="0.25">
      <c r="A430" s="1"/>
      <c r="B430" s="1"/>
      <c r="C430" s="1"/>
    </row>
    <row r="431" spans="1:3" x14ac:dyDescent="0.25">
      <c r="A431" s="1"/>
      <c r="B431" s="1"/>
      <c r="C431" s="1"/>
    </row>
    <row r="432" spans="1:3" x14ac:dyDescent="0.25">
      <c r="A432" s="1"/>
      <c r="B432" s="1"/>
      <c r="C432" s="1"/>
    </row>
    <row r="433" spans="1:3" x14ac:dyDescent="0.25">
      <c r="A433" s="1"/>
      <c r="B433" s="1"/>
      <c r="C433" s="1"/>
    </row>
    <row r="434" spans="1:3" x14ac:dyDescent="0.25">
      <c r="A434" s="1"/>
      <c r="B434" s="1"/>
      <c r="C434" s="1"/>
    </row>
    <row r="435" spans="1:3" x14ac:dyDescent="0.25">
      <c r="A435" s="1"/>
      <c r="B435" s="1"/>
      <c r="C435" s="1"/>
    </row>
    <row r="436" spans="1:3" x14ac:dyDescent="0.25">
      <c r="A436" s="1"/>
      <c r="B436" s="1"/>
      <c r="C436" s="1"/>
    </row>
    <row r="437" spans="1:3" x14ac:dyDescent="0.25">
      <c r="A437" s="1"/>
      <c r="B437" s="1"/>
      <c r="C437" s="1"/>
    </row>
    <row r="438" spans="1:3" x14ac:dyDescent="0.25">
      <c r="A438" s="1"/>
      <c r="B438" s="1"/>
      <c r="C438" s="1"/>
    </row>
    <row r="439" spans="1:3" x14ac:dyDescent="0.25">
      <c r="A439" s="1"/>
      <c r="B439" s="1"/>
      <c r="C439" s="1"/>
    </row>
    <row r="440" spans="1:3" x14ac:dyDescent="0.25">
      <c r="A440" s="1"/>
      <c r="B440" s="1"/>
      <c r="C440" s="1"/>
    </row>
    <row r="441" spans="1:3" x14ac:dyDescent="0.25">
      <c r="A441" s="1"/>
      <c r="B441" s="1"/>
      <c r="C441" s="1"/>
    </row>
    <row r="442" spans="1:3" x14ac:dyDescent="0.25">
      <c r="A442" s="1"/>
      <c r="B442" s="1"/>
      <c r="C442" s="1"/>
    </row>
    <row r="443" spans="1:3" x14ac:dyDescent="0.25">
      <c r="A443" s="1"/>
      <c r="B443" s="1"/>
      <c r="C443" s="1"/>
    </row>
    <row r="444" spans="1:3" x14ac:dyDescent="0.25">
      <c r="A444" s="1"/>
      <c r="B444" s="1"/>
      <c r="C444" s="1"/>
    </row>
    <row r="445" spans="1:3" x14ac:dyDescent="0.25">
      <c r="A445" s="1"/>
      <c r="B445" s="1"/>
      <c r="C445" s="1"/>
    </row>
    <row r="446" spans="1:3" x14ac:dyDescent="0.25">
      <c r="A446" s="1"/>
      <c r="B446" s="1"/>
      <c r="C446" s="1"/>
    </row>
    <row r="447" spans="1:3" x14ac:dyDescent="0.25">
      <c r="A447" s="1"/>
      <c r="B447" s="1"/>
      <c r="C447" s="1"/>
    </row>
    <row r="448" spans="1:3" x14ac:dyDescent="0.25">
      <c r="A448" s="1"/>
      <c r="B448" s="1"/>
      <c r="C448" s="1"/>
    </row>
    <row r="449" spans="1:3" x14ac:dyDescent="0.25">
      <c r="A449" s="1"/>
      <c r="B449" s="1"/>
      <c r="C449" s="1"/>
    </row>
    <row r="450" spans="1:3" x14ac:dyDescent="0.25">
      <c r="A450" s="1"/>
      <c r="B450" s="1"/>
      <c r="C450" s="1"/>
    </row>
    <row r="451" spans="1:3" x14ac:dyDescent="0.25">
      <c r="A451" s="1"/>
      <c r="B451" s="1"/>
      <c r="C451" s="1"/>
    </row>
    <row r="452" spans="1:3" x14ac:dyDescent="0.25">
      <c r="A452" s="1"/>
      <c r="B452" s="1"/>
      <c r="C452" s="1"/>
    </row>
    <row r="453" spans="1:3" x14ac:dyDescent="0.25">
      <c r="A453" s="1"/>
      <c r="B453" s="1"/>
      <c r="C453" s="1"/>
    </row>
    <row r="454" spans="1:3" x14ac:dyDescent="0.25">
      <c r="A454" s="1"/>
      <c r="B454" s="1"/>
      <c r="C454" s="1"/>
    </row>
    <row r="455" spans="1:3" x14ac:dyDescent="0.25">
      <c r="A455" s="1"/>
      <c r="B455" s="1"/>
      <c r="C455" s="1"/>
    </row>
    <row r="456" spans="1:3" x14ac:dyDescent="0.25">
      <c r="A456" s="1"/>
      <c r="B456" s="1"/>
      <c r="C456" s="1"/>
    </row>
    <row r="457" spans="1:3" x14ac:dyDescent="0.25">
      <c r="A457" s="1"/>
      <c r="B457" s="1"/>
      <c r="C457" s="1"/>
    </row>
    <row r="458" spans="1:3" x14ac:dyDescent="0.25">
      <c r="A458" s="1"/>
      <c r="B458" s="1"/>
      <c r="C458" s="1"/>
    </row>
    <row r="459" spans="1:3" x14ac:dyDescent="0.25">
      <c r="A459" s="1"/>
      <c r="B459" s="1"/>
      <c r="C459" s="1"/>
    </row>
    <row r="460" spans="1:3" x14ac:dyDescent="0.25">
      <c r="A460" s="1"/>
      <c r="B460" s="1"/>
      <c r="C460" s="1"/>
    </row>
    <row r="461" spans="1:3" x14ac:dyDescent="0.25">
      <c r="A461" s="1"/>
      <c r="B461" s="1"/>
      <c r="C461" s="1"/>
    </row>
    <row r="462" spans="1:3" x14ac:dyDescent="0.25">
      <c r="A462" s="1"/>
      <c r="B462" s="1"/>
      <c r="C462" s="1"/>
    </row>
    <row r="463" spans="1:3" x14ac:dyDescent="0.25">
      <c r="A463" s="1"/>
      <c r="B463" s="1"/>
      <c r="C463" s="1"/>
    </row>
    <row r="464" spans="1:3" x14ac:dyDescent="0.25">
      <c r="A464" s="1"/>
      <c r="B464" s="1"/>
      <c r="C464" s="1"/>
    </row>
    <row r="465" spans="1:3" x14ac:dyDescent="0.25">
      <c r="A465" s="1"/>
      <c r="B465" s="1"/>
      <c r="C465" s="1"/>
    </row>
    <row r="466" spans="1:3" x14ac:dyDescent="0.25">
      <c r="A466" s="1"/>
      <c r="B466" s="1"/>
      <c r="C466" s="1"/>
    </row>
    <row r="467" spans="1:3" x14ac:dyDescent="0.25">
      <c r="A467" s="1"/>
      <c r="B467" s="1"/>
      <c r="C467" s="1"/>
    </row>
    <row r="468" spans="1:3" x14ac:dyDescent="0.25">
      <c r="A468" s="1"/>
      <c r="B468" s="1"/>
      <c r="C468" s="1"/>
    </row>
    <row r="469" spans="1:3" x14ac:dyDescent="0.25">
      <c r="A469" s="1"/>
      <c r="B469" s="1"/>
      <c r="C469" s="1"/>
    </row>
    <row r="470" spans="1:3" x14ac:dyDescent="0.25">
      <c r="A470" s="1"/>
      <c r="B470" s="1"/>
      <c r="C470" s="1"/>
    </row>
    <row r="471" spans="1:3" x14ac:dyDescent="0.25">
      <c r="A471" s="1"/>
      <c r="B471" s="1"/>
      <c r="C471" s="1"/>
    </row>
    <row r="472" spans="1:3" x14ac:dyDescent="0.25">
      <c r="A472" s="1"/>
      <c r="B472" s="1"/>
      <c r="C472" s="1"/>
    </row>
    <row r="473" spans="1:3" x14ac:dyDescent="0.25">
      <c r="A473" s="1"/>
      <c r="B473" s="1"/>
      <c r="C473" s="1"/>
    </row>
    <row r="474" spans="1:3" x14ac:dyDescent="0.25">
      <c r="A474" s="1"/>
      <c r="B474" s="1"/>
      <c r="C474" s="1"/>
    </row>
    <row r="475" spans="1:3" x14ac:dyDescent="0.25">
      <c r="A475" s="1"/>
      <c r="B475" s="1"/>
      <c r="C475" s="1"/>
    </row>
    <row r="476" spans="1:3" x14ac:dyDescent="0.25">
      <c r="A476" s="1"/>
      <c r="B476" s="1"/>
      <c r="C476" s="1"/>
    </row>
    <row r="477" spans="1:3" x14ac:dyDescent="0.25">
      <c r="A477" s="1"/>
      <c r="B477" s="1"/>
      <c r="C477" s="1"/>
    </row>
    <row r="478" spans="1:3" x14ac:dyDescent="0.25">
      <c r="A478" s="1"/>
      <c r="B478" s="1"/>
      <c r="C478" s="1"/>
    </row>
    <row r="479" spans="1:3" x14ac:dyDescent="0.25">
      <c r="A479" s="1"/>
      <c r="B479" s="1"/>
      <c r="C479" s="1"/>
    </row>
    <row r="480" spans="1:3" x14ac:dyDescent="0.25">
      <c r="A480" s="1"/>
      <c r="B480" s="1"/>
      <c r="C480" s="1"/>
    </row>
    <row r="481" spans="1:3" x14ac:dyDescent="0.25">
      <c r="A481" s="1"/>
      <c r="B481" s="1"/>
      <c r="C481" s="1"/>
    </row>
    <row r="482" spans="1:3" x14ac:dyDescent="0.25">
      <c r="A482" s="1"/>
      <c r="B482" s="1"/>
      <c r="C482" s="1"/>
    </row>
    <row r="483" spans="1:3" x14ac:dyDescent="0.25">
      <c r="A483" s="1"/>
      <c r="B483" s="1"/>
      <c r="C483" s="1"/>
    </row>
    <row r="484" spans="1:3" x14ac:dyDescent="0.25">
      <c r="A484" s="1"/>
      <c r="B484" s="1"/>
      <c r="C484" s="1"/>
    </row>
    <row r="485" spans="1:3" x14ac:dyDescent="0.25">
      <c r="A485" s="1"/>
      <c r="B485" s="1"/>
      <c r="C485" s="1"/>
    </row>
    <row r="486" spans="1:3" x14ac:dyDescent="0.25">
      <c r="A486" s="1"/>
      <c r="B486" s="1"/>
      <c r="C486" s="1"/>
    </row>
    <row r="487" spans="1:3" x14ac:dyDescent="0.25">
      <c r="A487" s="1"/>
      <c r="B487" s="1"/>
      <c r="C487" s="1"/>
    </row>
    <row r="488" spans="1:3" x14ac:dyDescent="0.25">
      <c r="A488" s="1"/>
      <c r="B488" s="1"/>
      <c r="C488" s="1"/>
    </row>
    <row r="489" spans="1:3" x14ac:dyDescent="0.25">
      <c r="A489" s="1"/>
      <c r="B489" s="1"/>
      <c r="C489" s="1"/>
    </row>
    <row r="490" spans="1:3" x14ac:dyDescent="0.25">
      <c r="A490" s="1"/>
      <c r="B490" s="1"/>
      <c r="C490" s="1"/>
    </row>
    <row r="491" spans="1:3" x14ac:dyDescent="0.25">
      <c r="A491" s="1"/>
      <c r="B491" s="1"/>
      <c r="C491" s="1"/>
    </row>
    <row r="492" spans="1:3" x14ac:dyDescent="0.25">
      <c r="A492" s="1"/>
      <c r="B492" s="1"/>
      <c r="C492" s="1"/>
    </row>
    <row r="493" spans="1:3" x14ac:dyDescent="0.25">
      <c r="A493" s="1"/>
      <c r="B493" s="1"/>
      <c r="C493" s="1"/>
    </row>
    <row r="494" spans="1:3" x14ac:dyDescent="0.25">
      <c r="A494" s="1"/>
      <c r="B494" s="1"/>
      <c r="C494" s="1"/>
    </row>
    <row r="495" spans="1:3" x14ac:dyDescent="0.25">
      <c r="A495" s="1"/>
      <c r="B495" s="1"/>
      <c r="C495" s="1"/>
    </row>
    <row r="496" spans="1:3" x14ac:dyDescent="0.25">
      <c r="A496" s="1"/>
      <c r="B496" s="1"/>
      <c r="C496" s="1"/>
    </row>
    <row r="497" spans="1:3" x14ac:dyDescent="0.25">
      <c r="A497" s="1"/>
      <c r="B497" s="1"/>
      <c r="C497" s="1"/>
    </row>
    <row r="498" spans="1:3" x14ac:dyDescent="0.25">
      <c r="A498" s="1"/>
      <c r="B498" s="1"/>
      <c r="C498" s="1"/>
    </row>
    <row r="499" spans="1:3" x14ac:dyDescent="0.25">
      <c r="A499" s="1"/>
      <c r="B499" s="1"/>
      <c r="C499" s="1"/>
    </row>
    <row r="500" spans="1:3" x14ac:dyDescent="0.25">
      <c r="A500" s="1"/>
      <c r="B500" s="1"/>
      <c r="C500" s="1"/>
    </row>
    <row r="501" spans="1:3" x14ac:dyDescent="0.25">
      <c r="A501" s="1"/>
      <c r="B501" s="1"/>
      <c r="C501" s="1"/>
    </row>
    <row r="502" spans="1:3" x14ac:dyDescent="0.25">
      <c r="A502" s="1"/>
      <c r="B502" s="1"/>
      <c r="C502" s="1"/>
    </row>
    <row r="503" spans="1:3" x14ac:dyDescent="0.25">
      <c r="A503" s="1"/>
      <c r="B503" s="1"/>
      <c r="C503" s="1"/>
    </row>
    <row r="504" spans="1:3" x14ac:dyDescent="0.25">
      <c r="A504" s="1"/>
      <c r="B504" s="1"/>
      <c r="C504" s="1"/>
    </row>
    <row r="505" spans="1:3" x14ac:dyDescent="0.25">
      <c r="A505" s="1"/>
      <c r="B505" s="1"/>
      <c r="C505" s="1"/>
    </row>
    <row r="506" spans="1:3" x14ac:dyDescent="0.25">
      <c r="A506" s="1"/>
      <c r="B506" s="1"/>
      <c r="C506" s="1"/>
    </row>
    <row r="507" spans="1:3" x14ac:dyDescent="0.25">
      <c r="A507" s="1"/>
      <c r="B507" s="1"/>
      <c r="C507" s="1"/>
    </row>
    <row r="508" spans="1:3" x14ac:dyDescent="0.25">
      <c r="A508" s="1"/>
      <c r="B508" s="1"/>
      <c r="C508" s="1"/>
    </row>
    <row r="509" spans="1:3" x14ac:dyDescent="0.25">
      <c r="A509" s="1"/>
      <c r="B509" s="1"/>
      <c r="C509" s="1"/>
    </row>
    <row r="510" spans="1:3" x14ac:dyDescent="0.25">
      <c r="A510" s="1"/>
      <c r="B510" s="1"/>
      <c r="C510" s="1"/>
    </row>
    <row r="511" spans="1:3" x14ac:dyDescent="0.25">
      <c r="A511" s="1"/>
      <c r="B511" s="1"/>
      <c r="C511" s="1"/>
    </row>
    <row r="512" spans="1:3" x14ac:dyDescent="0.25">
      <c r="A512" s="1"/>
      <c r="B512" s="1"/>
      <c r="C512" s="1"/>
    </row>
    <row r="513" spans="1:3" x14ac:dyDescent="0.25">
      <c r="A513" s="1"/>
      <c r="B513" s="1"/>
      <c r="C513" s="1"/>
    </row>
    <row r="514" spans="1:3" x14ac:dyDescent="0.25">
      <c r="A514" s="1"/>
      <c r="B514" s="1"/>
      <c r="C514" s="1"/>
    </row>
    <row r="515" spans="1:3" x14ac:dyDescent="0.25">
      <c r="A515" s="1"/>
      <c r="B515" s="1"/>
      <c r="C515" s="1"/>
    </row>
    <row r="516" spans="1:3" x14ac:dyDescent="0.25">
      <c r="A516" s="1"/>
      <c r="B516" s="1"/>
      <c r="C516" s="1"/>
    </row>
    <row r="517" spans="1:3" x14ac:dyDescent="0.25">
      <c r="A517" s="1"/>
      <c r="B517" s="1"/>
      <c r="C517" s="1"/>
    </row>
    <row r="518" spans="1:3" x14ac:dyDescent="0.25">
      <c r="A518" s="1"/>
      <c r="B518" s="1"/>
      <c r="C518" s="1"/>
    </row>
    <row r="519" spans="1:3" x14ac:dyDescent="0.25">
      <c r="A519" s="1"/>
      <c r="B519" s="1"/>
      <c r="C519" s="1"/>
    </row>
    <row r="520" spans="1:3" x14ac:dyDescent="0.25">
      <c r="A520" s="1"/>
      <c r="B520" s="1"/>
      <c r="C520" s="1"/>
    </row>
    <row r="521" spans="1:3" x14ac:dyDescent="0.25">
      <c r="A521" s="1"/>
      <c r="B521" s="1"/>
      <c r="C521" s="1"/>
    </row>
    <row r="522" spans="1:3" x14ac:dyDescent="0.25">
      <c r="A522" s="1"/>
      <c r="B522" s="1"/>
      <c r="C522" s="1"/>
    </row>
    <row r="523" spans="1:3" x14ac:dyDescent="0.25">
      <c r="A523" s="1"/>
      <c r="B523" s="1"/>
      <c r="C523" s="1"/>
    </row>
    <row r="524" spans="1:3" x14ac:dyDescent="0.25">
      <c r="A524" s="1"/>
      <c r="B524" s="1"/>
      <c r="C524" s="1"/>
    </row>
    <row r="525" spans="1:3" x14ac:dyDescent="0.25">
      <c r="A525" s="1"/>
      <c r="B525" s="1"/>
      <c r="C525" s="1"/>
    </row>
    <row r="526" spans="1:3" x14ac:dyDescent="0.25">
      <c r="A526" s="1"/>
      <c r="B526" s="1"/>
      <c r="C526" s="1"/>
    </row>
    <row r="527" spans="1:3" x14ac:dyDescent="0.25">
      <c r="A527" s="1"/>
      <c r="B527" s="1"/>
      <c r="C527" s="1"/>
    </row>
    <row r="528" spans="1:3" x14ac:dyDescent="0.25">
      <c r="A528" s="1"/>
      <c r="B528" s="1"/>
      <c r="C528" s="1"/>
    </row>
    <row r="529" spans="1:3" x14ac:dyDescent="0.25">
      <c r="A529" s="1"/>
      <c r="B529" s="1"/>
      <c r="C529" s="1"/>
    </row>
    <row r="530" spans="1:3" x14ac:dyDescent="0.25">
      <c r="A530" s="1"/>
      <c r="B530" s="1"/>
      <c r="C530" s="1"/>
    </row>
    <row r="531" spans="1:3" x14ac:dyDescent="0.25">
      <c r="A531" s="1"/>
      <c r="B531" s="1"/>
      <c r="C531" s="1"/>
    </row>
    <row r="532" spans="1:3" x14ac:dyDescent="0.25">
      <c r="A532" s="1"/>
      <c r="B532" s="1"/>
      <c r="C532" s="1"/>
    </row>
    <row r="533" spans="1:3" x14ac:dyDescent="0.25">
      <c r="A533" s="1"/>
      <c r="B533" s="1"/>
      <c r="C533" s="1"/>
    </row>
    <row r="534" spans="1:3" x14ac:dyDescent="0.25">
      <c r="A534" s="1"/>
      <c r="B534" s="1"/>
      <c r="C534" s="1"/>
    </row>
    <row r="535" spans="1:3" x14ac:dyDescent="0.25">
      <c r="A535" s="1"/>
      <c r="B535" s="1"/>
      <c r="C535" s="1"/>
    </row>
    <row r="536" spans="1:3" x14ac:dyDescent="0.25">
      <c r="A536" s="1"/>
      <c r="B536" s="1"/>
      <c r="C536" s="1"/>
    </row>
    <row r="537" spans="1:3" x14ac:dyDescent="0.25">
      <c r="A537" s="1"/>
      <c r="B537" s="1"/>
      <c r="C537" s="1"/>
    </row>
    <row r="538" spans="1:3" x14ac:dyDescent="0.25">
      <c r="A538" s="1"/>
      <c r="B538" s="1"/>
      <c r="C538" s="1"/>
    </row>
    <row r="539" spans="1:3" x14ac:dyDescent="0.25">
      <c r="A539" s="1"/>
      <c r="B539" s="1"/>
      <c r="C539" s="1"/>
    </row>
    <row r="540" spans="1:3" x14ac:dyDescent="0.25">
      <c r="A540" s="1"/>
      <c r="B540" s="1"/>
      <c r="C540" s="1"/>
    </row>
    <row r="541" spans="1:3" x14ac:dyDescent="0.25">
      <c r="A541" s="1"/>
      <c r="B541" s="1"/>
      <c r="C541" s="1"/>
    </row>
    <row r="542" spans="1:3" x14ac:dyDescent="0.25">
      <c r="A542" s="1"/>
      <c r="B542" s="1"/>
      <c r="C542" s="1"/>
    </row>
    <row r="543" spans="1:3" x14ac:dyDescent="0.25">
      <c r="A543" s="1"/>
      <c r="B543" s="1"/>
      <c r="C543" s="1"/>
    </row>
    <row r="544" spans="1:3" x14ac:dyDescent="0.25">
      <c r="A544" s="1"/>
      <c r="B544" s="1"/>
      <c r="C544" s="1"/>
    </row>
    <row r="545" spans="1:3" x14ac:dyDescent="0.25">
      <c r="A545" s="1"/>
      <c r="B545" s="1"/>
      <c r="C545" s="1"/>
    </row>
    <row r="546" spans="1:3" x14ac:dyDescent="0.25">
      <c r="A546" s="1"/>
      <c r="B546" s="1"/>
      <c r="C546" s="1"/>
    </row>
    <row r="547" spans="1:3" x14ac:dyDescent="0.25">
      <c r="A547" s="1"/>
      <c r="B547" s="1"/>
      <c r="C547" s="1"/>
    </row>
    <row r="548" spans="1:3" x14ac:dyDescent="0.25">
      <c r="A548" s="1"/>
      <c r="B548" s="1"/>
      <c r="C548" s="1"/>
    </row>
    <row r="549" spans="1:3" x14ac:dyDescent="0.25">
      <c r="A549" s="1"/>
      <c r="B549" s="1"/>
      <c r="C549" s="1"/>
    </row>
    <row r="550" spans="1:3" x14ac:dyDescent="0.25">
      <c r="A550" s="1"/>
      <c r="B550" s="1"/>
      <c r="C550" s="1"/>
    </row>
    <row r="551" spans="1:3" x14ac:dyDescent="0.25">
      <c r="A551" s="1"/>
      <c r="B551" s="1"/>
      <c r="C551" s="1"/>
    </row>
    <row r="552" spans="1:3" x14ac:dyDescent="0.25">
      <c r="A552" s="1"/>
      <c r="B552" s="1"/>
      <c r="C552" s="1"/>
    </row>
    <row r="553" spans="1:3" x14ac:dyDescent="0.25">
      <c r="A553" s="1"/>
      <c r="B553" s="1"/>
      <c r="C553" s="1"/>
    </row>
    <row r="554" spans="1:3" x14ac:dyDescent="0.25">
      <c r="A554" s="1"/>
      <c r="B554" s="1"/>
      <c r="C554" s="1"/>
    </row>
    <row r="555" spans="1:3" x14ac:dyDescent="0.25">
      <c r="A555" s="1"/>
      <c r="B555" s="1"/>
      <c r="C555" s="1"/>
    </row>
    <row r="556" spans="1:3" x14ac:dyDescent="0.25">
      <c r="A556" s="1"/>
      <c r="B556" s="1"/>
      <c r="C556" s="1"/>
    </row>
    <row r="557" spans="1:3" x14ac:dyDescent="0.25">
      <c r="A557" s="1"/>
      <c r="B557" s="1"/>
      <c r="C557" s="1"/>
    </row>
    <row r="558" spans="1:3" x14ac:dyDescent="0.25">
      <c r="A558" s="1"/>
      <c r="B558" s="1"/>
      <c r="C558" s="1"/>
    </row>
    <row r="559" spans="1:3" x14ac:dyDescent="0.25">
      <c r="A559" s="1"/>
      <c r="B559" s="1"/>
      <c r="C559" s="1"/>
    </row>
    <row r="560" spans="1:3" x14ac:dyDescent="0.25">
      <c r="A560" s="1"/>
      <c r="B560" s="1"/>
      <c r="C560" s="1"/>
    </row>
    <row r="561" spans="1:3" x14ac:dyDescent="0.25">
      <c r="A561" s="1"/>
      <c r="B561" s="1"/>
      <c r="C561" s="1"/>
    </row>
    <row r="562" spans="1:3" x14ac:dyDescent="0.25">
      <c r="A562" s="1"/>
      <c r="B562" s="1"/>
      <c r="C562" s="1"/>
    </row>
    <row r="563" spans="1:3" x14ac:dyDescent="0.25">
      <c r="A563" s="1"/>
      <c r="B563" s="1"/>
      <c r="C563" s="1"/>
    </row>
    <row r="564" spans="1:3" x14ac:dyDescent="0.25">
      <c r="A564" s="1"/>
      <c r="B564" s="1"/>
      <c r="C564" s="1"/>
    </row>
    <row r="565" spans="1:3" x14ac:dyDescent="0.25">
      <c r="A565" s="1"/>
      <c r="B565" s="1"/>
      <c r="C565" s="1"/>
    </row>
    <row r="566" spans="1:3" x14ac:dyDescent="0.25">
      <c r="A566" s="1"/>
      <c r="B566" s="1"/>
      <c r="C566" s="1"/>
    </row>
    <row r="567" spans="1:3" x14ac:dyDescent="0.25">
      <c r="A567" s="1"/>
      <c r="B567" s="1"/>
      <c r="C567" s="1"/>
    </row>
    <row r="568" spans="1:3" x14ac:dyDescent="0.25">
      <c r="A568" s="1"/>
      <c r="B568" s="1"/>
      <c r="C568" s="1"/>
    </row>
    <row r="569" spans="1:3" x14ac:dyDescent="0.25">
      <c r="A569" s="1"/>
      <c r="B569" s="1"/>
      <c r="C569" s="1"/>
    </row>
    <row r="570" spans="1:3" x14ac:dyDescent="0.25">
      <c r="A570" s="1"/>
      <c r="B570" s="1"/>
      <c r="C570" s="1"/>
    </row>
    <row r="571" spans="1:3" x14ac:dyDescent="0.25">
      <c r="A571" s="1"/>
      <c r="B571" s="1"/>
      <c r="C571" s="1"/>
    </row>
    <row r="572" spans="1:3" x14ac:dyDescent="0.25">
      <c r="A572" s="1"/>
      <c r="B572" s="1"/>
      <c r="C572" s="1"/>
    </row>
    <row r="573" spans="1:3" x14ac:dyDescent="0.25">
      <c r="A573" s="1"/>
      <c r="B573" s="1"/>
      <c r="C573" s="1"/>
    </row>
    <row r="574" spans="1:3" x14ac:dyDescent="0.25">
      <c r="A574" s="1"/>
      <c r="B574" s="1"/>
      <c r="C574" s="1"/>
    </row>
    <row r="575" spans="1:3" x14ac:dyDescent="0.25">
      <c r="A575" s="1"/>
      <c r="B575" s="1"/>
      <c r="C575" s="1"/>
    </row>
    <row r="576" spans="1:3" x14ac:dyDescent="0.25">
      <c r="A576" s="1"/>
      <c r="B576" s="1"/>
      <c r="C576" s="1"/>
    </row>
    <row r="577" spans="1:3" x14ac:dyDescent="0.25">
      <c r="A577" s="1"/>
      <c r="B577" s="1"/>
      <c r="C577" s="1"/>
    </row>
    <row r="578" spans="1:3" x14ac:dyDescent="0.25">
      <c r="A578" s="1"/>
      <c r="B578" s="1"/>
      <c r="C578" s="1"/>
    </row>
    <row r="579" spans="1:3" x14ac:dyDescent="0.25">
      <c r="A579" s="1"/>
      <c r="B579" s="1"/>
      <c r="C579" s="1"/>
    </row>
    <row r="580" spans="1:3" x14ac:dyDescent="0.25">
      <c r="A580" s="1"/>
      <c r="B580" s="1"/>
      <c r="C580" s="1"/>
    </row>
    <row r="581" spans="1:3" x14ac:dyDescent="0.25">
      <c r="A581" s="1"/>
      <c r="B581" s="1"/>
      <c r="C581" s="1"/>
    </row>
    <row r="582" spans="1:3" x14ac:dyDescent="0.25">
      <c r="A582" s="1"/>
      <c r="B582" s="1"/>
      <c r="C582" s="1"/>
    </row>
    <row r="583" spans="1:3" x14ac:dyDescent="0.25">
      <c r="A583" s="1"/>
      <c r="B583" s="1"/>
      <c r="C583" s="1"/>
    </row>
    <row r="584" spans="1:3" x14ac:dyDescent="0.25">
      <c r="A584" s="1"/>
      <c r="B584" s="1"/>
      <c r="C584" s="1"/>
    </row>
    <row r="585" spans="1:3" x14ac:dyDescent="0.25">
      <c r="A585" s="1"/>
      <c r="B585" s="1"/>
      <c r="C585" s="1"/>
    </row>
    <row r="586" spans="1:3" x14ac:dyDescent="0.25">
      <c r="A586" s="1"/>
      <c r="B586" s="1"/>
      <c r="C586" s="1"/>
    </row>
    <row r="587" spans="1:3" x14ac:dyDescent="0.25">
      <c r="A587" s="1"/>
      <c r="B587" s="1"/>
      <c r="C587" s="1"/>
    </row>
    <row r="588" spans="1:3" x14ac:dyDescent="0.25">
      <c r="A588" s="1"/>
      <c r="B588" s="1"/>
      <c r="C588" s="1"/>
    </row>
    <row r="589" spans="1:3" x14ac:dyDescent="0.25">
      <c r="A589" s="1"/>
      <c r="B589" s="1"/>
      <c r="C589" s="1"/>
    </row>
    <row r="590" spans="1:3" x14ac:dyDescent="0.25">
      <c r="A590" s="1"/>
      <c r="B590" s="1"/>
      <c r="C590" s="1"/>
    </row>
    <row r="591" spans="1:3" x14ac:dyDescent="0.25">
      <c r="A591" s="1"/>
      <c r="B591" s="1"/>
      <c r="C591" s="1"/>
    </row>
    <row r="592" spans="1:3" x14ac:dyDescent="0.25">
      <c r="A592" s="1"/>
      <c r="B592" s="1"/>
      <c r="C592" s="1"/>
    </row>
    <row r="593" spans="1:3" x14ac:dyDescent="0.25">
      <c r="A593" s="1"/>
      <c r="B593" s="1"/>
      <c r="C59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7CFE2-5341-4557-90B3-0BDA9C8259E8}">
  <dimension ref="A1:AX126"/>
  <sheetViews>
    <sheetView tabSelected="1" workbookViewId="0">
      <selection activeCell="B4" sqref="B4"/>
    </sheetView>
  </sheetViews>
  <sheetFormatPr defaultRowHeight="15" x14ac:dyDescent="0.25"/>
  <cols>
    <col min="1" max="1" width="10.5703125" bestFit="1" customWidth="1"/>
    <col min="2" max="50" width="9.28515625" bestFit="1" customWidth="1"/>
  </cols>
  <sheetData>
    <row r="1" spans="1:50" x14ac:dyDescent="0.2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2" t="s">
        <v>27</v>
      </c>
      <c r="AA1" s="2" t="s">
        <v>28</v>
      </c>
      <c r="AB1" s="2" t="s">
        <v>29</v>
      </c>
      <c r="AC1" s="2" t="s">
        <v>30</v>
      </c>
      <c r="AD1" s="2" t="s">
        <v>31</v>
      </c>
      <c r="AE1" s="2" t="s">
        <v>32</v>
      </c>
      <c r="AF1" s="2" t="s">
        <v>33</v>
      </c>
      <c r="AG1" s="2" t="s">
        <v>34</v>
      </c>
      <c r="AH1" s="2" t="s">
        <v>35</v>
      </c>
      <c r="AI1" s="2" t="s">
        <v>36</v>
      </c>
      <c r="AJ1" s="2" t="s">
        <v>37</v>
      </c>
      <c r="AK1" s="2" t="s">
        <v>38</v>
      </c>
      <c r="AL1" s="2" t="s">
        <v>39</v>
      </c>
      <c r="AM1" s="2" t="s">
        <v>40</v>
      </c>
      <c r="AN1" s="2" t="s">
        <v>41</v>
      </c>
      <c r="AO1" s="2" t="s">
        <v>42</v>
      </c>
      <c r="AP1" s="2" t="s">
        <v>43</v>
      </c>
      <c r="AQ1" s="2" t="s">
        <v>44</v>
      </c>
      <c r="AR1" s="2" t="s">
        <v>45</v>
      </c>
      <c r="AS1" s="2" t="s">
        <v>46</v>
      </c>
      <c r="AT1" s="2" t="s">
        <v>47</v>
      </c>
      <c r="AU1" s="2" t="s">
        <v>48</v>
      </c>
      <c r="AV1" s="2" t="s">
        <v>49</v>
      </c>
      <c r="AW1" s="2" t="s">
        <v>50</v>
      </c>
      <c r="AX1" s="2" t="s">
        <v>51</v>
      </c>
    </row>
    <row r="2" spans="1:50" x14ac:dyDescent="0.25">
      <c r="A2" s="1">
        <v>42062</v>
      </c>
      <c r="B2" s="2">
        <v>0</v>
      </c>
      <c r="C2" s="2">
        <v>0</v>
      </c>
      <c r="D2" s="2">
        <v>0</v>
      </c>
      <c r="E2" s="2">
        <v>6.34</v>
      </c>
      <c r="F2" s="2">
        <v>0</v>
      </c>
      <c r="G2" s="2">
        <v>0</v>
      </c>
      <c r="H2" s="2">
        <v>6.2439999999999998</v>
      </c>
      <c r="I2" s="2">
        <v>0</v>
      </c>
      <c r="J2" s="2">
        <v>6.3324999999999996</v>
      </c>
      <c r="K2" s="2">
        <v>0</v>
      </c>
      <c r="L2" s="2">
        <v>0</v>
      </c>
      <c r="M2" s="2">
        <v>0</v>
      </c>
      <c r="N2" s="2">
        <v>0</v>
      </c>
      <c r="O2" s="2">
        <v>6.2336</v>
      </c>
      <c r="P2" s="2">
        <v>0</v>
      </c>
      <c r="Q2" s="2">
        <v>0</v>
      </c>
      <c r="R2" s="2">
        <v>0</v>
      </c>
      <c r="S2" s="2">
        <v>6.2232000000000003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6.2340999999999998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6.2153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</row>
    <row r="3" spans="1:50" x14ac:dyDescent="0.25">
      <c r="A3" s="1">
        <v>42094</v>
      </c>
      <c r="B3" s="2">
        <v>0</v>
      </c>
      <c r="C3" s="2">
        <v>0</v>
      </c>
      <c r="D3" s="2">
        <v>0</v>
      </c>
      <c r="E3" s="2">
        <v>6.5685000000000002</v>
      </c>
      <c r="F3" s="2">
        <v>0</v>
      </c>
      <c r="G3" s="2">
        <v>0</v>
      </c>
      <c r="H3" s="2">
        <v>6.4931999999999999</v>
      </c>
      <c r="I3" s="2">
        <v>0</v>
      </c>
      <c r="J3" s="2">
        <v>6.4702999999999999</v>
      </c>
      <c r="K3" s="2">
        <v>0</v>
      </c>
      <c r="L3" s="2">
        <v>0</v>
      </c>
      <c r="M3" s="2">
        <v>0</v>
      </c>
      <c r="N3" s="2">
        <v>0</v>
      </c>
      <c r="O3" s="2">
        <v>6.59</v>
      </c>
      <c r="P3" s="2">
        <v>0</v>
      </c>
      <c r="Q3" s="2">
        <v>0</v>
      </c>
      <c r="R3" s="2">
        <v>0</v>
      </c>
      <c r="S3" s="2">
        <v>6.6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6.4733000000000001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6.5438999999999998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</row>
    <row r="4" spans="1:50" x14ac:dyDescent="0.25">
      <c r="A4" s="1">
        <v>42124</v>
      </c>
      <c r="B4" s="2">
        <v>0</v>
      </c>
      <c r="C4" s="2">
        <v>0</v>
      </c>
      <c r="D4" s="2">
        <v>0</v>
      </c>
      <c r="E4" s="2">
        <v>6.2043999999999997</v>
      </c>
      <c r="F4" s="2">
        <v>0</v>
      </c>
      <c r="G4" s="2">
        <v>0</v>
      </c>
      <c r="H4" s="2">
        <v>6.1955999999999998</v>
      </c>
      <c r="I4" s="2">
        <v>0</v>
      </c>
      <c r="J4" s="2">
        <v>6.1055999999999999</v>
      </c>
      <c r="K4" s="2">
        <v>0</v>
      </c>
      <c r="L4" s="2">
        <v>0</v>
      </c>
      <c r="M4" s="2">
        <v>0</v>
      </c>
      <c r="N4" s="2">
        <v>0</v>
      </c>
      <c r="O4" s="2">
        <v>6.1052999999999997</v>
      </c>
      <c r="P4" s="2">
        <v>0</v>
      </c>
      <c r="Q4" s="2">
        <v>0</v>
      </c>
      <c r="R4" s="2">
        <v>0</v>
      </c>
      <c r="S4" s="2">
        <v>6.0951000000000004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6.1790000000000003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6.1997999999999998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</row>
    <row r="5" spans="1:50" x14ac:dyDescent="0.25">
      <c r="A5" s="1">
        <v>42153</v>
      </c>
      <c r="B5" s="2">
        <v>0</v>
      </c>
      <c r="C5" s="2">
        <v>0</v>
      </c>
      <c r="D5" s="2">
        <v>0</v>
      </c>
      <c r="E5" s="2">
        <v>6.0153999999999996</v>
      </c>
      <c r="F5" s="2">
        <v>0</v>
      </c>
      <c r="G5" s="2">
        <v>0</v>
      </c>
      <c r="H5" s="2">
        <v>5.9288999999999996</v>
      </c>
      <c r="I5" s="2">
        <v>0</v>
      </c>
      <c r="J5" s="2">
        <v>6.8940000000000001</v>
      </c>
      <c r="K5" s="2">
        <v>0</v>
      </c>
      <c r="L5" s="2">
        <v>0</v>
      </c>
      <c r="M5" s="2">
        <v>0</v>
      </c>
      <c r="N5" s="2">
        <v>0</v>
      </c>
      <c r="O5" s="2">
        <v>5.9587000000000003</v>
      </c>
      <c r="P5" s="2">
        <v>0</v>
      </c>
      <c r="Q5" s="2">
        <v>0</v>
      </c>
      <c r="R5" s="2">
        <v>0</v>
      </c>
      <c r="S5" s="2">
        <v>5.9739000000000004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5.9690000000000003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5.9272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</row>
    <row r="6" spans="1:50" x14ac:dyDescent="0.25">
      <c r="A6" s="1">
        <v>42185</v>
      </c>
      <c r="B6" s="2">
        <v>0</v>
      </c>
      <c r="C6" s="2">
        <v>0</v>
      </c>
      <c r="D6" s="2">
        <v>0</v>
      </c>
      <c r="E6" s="2">
        <v>6.2244999999999999</v>
      </c>
      <c r="F6" s="2">
        <v>0</v>
      </c>
      <c r="G6" s="2">
        <v>0</v>
      </c>
      <c r="H6" s="2">
        <v>6.1256000000000004</v>
      </c>
      <c r="I6" s="2">
        <v>0</v>
      </c>
      <c r="J6" s="2">
        <v>6.2134999999999998</v>
      </c>
      <c r="K6" s="2">
        <v>0</v>
      </c>
      <c r="L6" s="2">
        <v>0</v>
      </c>
      <c r="M6" s="2">
        <v>0</v>
      </c>
      <c r="N6" s="2">
        <v>0</v>
      </c>
      <c r="O6" s="2">
        <v>6.1954000000000002</v>
      </c>
      <c r="P6" s="2">
        <v>0</v>
      </c>
      <c r="Q6" s="2">
        <v>0</v>
      </c>
      <c r="R6" s="2">
        <v>0</v>
      </c>
      <c r="S6" s="2">
        <v>6.165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6.1458000000000004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6.7432999999999996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</row>
    <row r="7" spans="1:50" x14ac:dyDescent="0.25">
      <c r="A7" s="1">
        <v>42216</v>
      </c>
      <c r="B7" s="2">
        <v>0</v>
      </c>
      <c r="C7" s="2">
        <v>0</v>
      </c>
      <c r="D7" s="2">
        <v>0</v>
      </c>
      <c r="E7" s="2">
        <v>6.6151999999999997</v>
      </c>
      <c r="F7" s="2">
        <v>0</v>
      </c>
      <c r="G7" s="2">
        <v>0</v>
      </c>
      <c r="H7" s="2">
        <v>6.5260999999999996</v>
      </c>
      <c r="I7" s="2">
        <v>0</v>
      </c>
      <c r="J7" s="2">
        <v>6.5943000000000005</v>
      </c>
      <c r="K7" s="2">
        <v>0</v>
      </c>
      <c r="L7" s="2">
        <v>0</v>
      </c>
      <c r="M7" s="2">
        <v>0</v>
      </c>
      <c r="N7" s="2">
        <v>0</v>
      </c>
      <c r="O7" s="2">
        <v>6.5458999999999996</v>
      </c>
      <c r="P7" s="2">
        <v>0</v>
      </c>
      <c r="Q7" s="2">
        <v>0</v>
      </c>
      <c r="R7" s="2">
        <v>0</v>
      </c>
      <c r="S7" s="2">
        <v>6.5130999999999997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6.5362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6.4492000000000003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</row>
    <row r="8" spans="1:50" x14ac:dyDescent="0.25">
      <c r="A8" s="1">
        <v>42247</v>
      </c>
      <c r="B8" s="2">
        <v>0</v>
      </c>
      <c r="C8" s="2">
        <v>0</v>
      </c>
      <c r="D8" s="2">
        <v>0</v>
      </c>
      <c r="E8" s="2">
        <v>7.2461000000000002</v>
      </c>
      <c r="F8" s="2">
        <v>0</v>
      </c>
      <c r="G8" s="2">
        <v>0</v>
      </c>
      <c r="H8" s="2">
        <v>7.1119000000000003</v>
      </c>
      <c r="I8" s="2">
        <v>0</v>
      </c>
      <c r="J8" s="2">
        <v>7.2256</v>
      </c>
      <c r="K8" s="2">
        <v>0</v>
      </c>
      <c r="L8" s="2">
        <v>0</v>
      </c>
      <c r="M8" s="2">
        <v>0</v>
      </c>
      <c r="N8" s="2">
        <v>0</v>
      </c>
      <c r="O8" s="2">
        <v>7.1467000000000001</v>
      </c>
      <c r="P8" s="2">
        <v>0</v>
      </c>
      <c r="Q8" s="2">
        <v>0</v>
      </c>
      <c r="R8" s="2">
        <v>0</v>
      </c>
      <c r="S8" s="2">
        <v>7.1231999999999998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7.1135999999999999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6.9495000000000005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</row>
    <row r="9" spans="1:50" x14ac:dyDescent="0.25">
      <c r="A9" s="1">
        <v>42277</v>
      </c>
      <c r="B9" s="2">
        <v>0</v>
      </c>
      <c r="C9" s="2">
        <v>0</v>
      </c>
      <c r="D9" s="2">
        <v>0</v>
      </c>
      <c r="E9" s="2">
        <v>7.4646999999999997</v>
      </c>
      <c r="F9" s="2">
        <v>0</v>
      </c>
      <c r="G9" s="2">
        <v>0</v>
      </c>
      <c r="H9" s="2">
        <v>7.4457000000000004</v>
      </c>
      <c r="I9" s="2">
        <v>0</v>
      </c>
      <c r="J9" s="2">
        <v>7.4939999999999998</v>
      </c>
      <c r="K9" s="2">
        <v>0</v>
      </c>
      <c r="L9" s="2">
        <v>0</v>
      </c>
      <c r="M9" s="2">
        <v>0</v>
      </c>
      <c r="N9" s="2">
        <v>0</v>
      </c>
      <c r="O9" s="2">
        <v>7.4088000000000003</v>
      </c>
      <c r="P9" s="2">
        <v>0</v>
      </c>
      <c r="Q9" s="2">
        <v>0</v>
      </c>
      <c r="R9" s="2">
        <v>0</v>
      </c>
      <c r="S9" s="2">
        <v>7.4032999999999998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7.3856999999999999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7.4610000000000003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</row>
    <row r="10" spans="1:50" x14ac:dyDescent="0.25">
      <c r="A10" s="1">
        <v>42307</v>
      </c>
      <c r="B10" s="2">
        <v>0</v>
      </c>
      <c r="C10" s="2">
        <v>0</v>
      </c>
      <c r="D10" s="2">
        <v>0</v>
      </c>
      <c r="E10" s="2">
        <v>7.2934999999999999</v>
      </c>
      <c r="F10" s="2">
        <v>0</v>
      </c>
      <c r="G10" s="2">
        <v>0</v>
      </c>
      <c r="H10" s="2">
        <v>7.2114000000000003</v>
      </c>
      <c r="I10" s="2">
        <v>0</v>
      </c>
      <c r="J10" s="2">
        <v>7.2626999999999997</v>
      </c>
      <c r="K10" s="2">
        <v>0</v>
      </c>
      <c r="L10" s="2">
        <v>0</v>
      </c>
      <c r="M10" s="2">
        <v>0</v>
      </c>
      <c r="N10" s="2">
        <v>0</v>
      </c>
      <c r="O10" s="2">
        <v>7.2645</v>
      </c>
      <c r="P10" s="2">
        <v>0</v>
      </c>
      <c r="Q10" s="2">
        <v>0</v>
      </c>
      <c r="R10" s="2">
        <v>0</v>
      </c>
      <c r="S10" s="2">
        <v>7.2618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7.1448999999999998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6.8879999999999999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</row>
    <row r="11" spans="1:50" x14ac:dyDescent="0.25">
      <c r="A11" s="1">
        <v>42338</v>
      </c>
      <c r="B11" s="2">
        <v>0</v>
      </c>
      <c r="C11" s="2">
        <v>0</v>
      </c>
      <c r="D11" s="2">
        <v>0</v>
      </c>
      <c r="E11" s="2">
        <v>7.2765000000000004</v>
      </c>
      <c r="F11" s="2">
        <v>0</v>
      </c>
      <c r="G11" s="2">
        <v>0</v>
      </c>
      <c r="H11" s="2">
        <v>7.1744000000000003</v>
      </c>
      <c r="I11" s="2">
        <v>0</v>
      </c>
      <c r="J11" s="2">
        <v>7.2641999999999998</v>
      </c>
      <c r="K11" s="2">
        <v>0</v>
      </c>
      <c r="L11" s="2">
        <v>0</v>
      </c>
      <c r="M11" s="2">
        <v>0</v>
      </c>
      <c r="N11" s="2">
        <v>0</v>
      </c>
      <c r="O11" s="2">
        <v>7.2342000000000004</v>
      </c>
      <c r="P11" s="2">
        <v>0</v>
      </c>
      <c r="Q11" s="2">
        <v>0</v>
      </c>
      <c r="R11" s="2">
        <v>0</v>
      </c>
      <c r="S11" s="2">
        <v>7.2140000000000004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7.1013000000000002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6.7915000000000001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</row>
    <row r="12" spans="1:50" x14ac:dyDescent="0.25">
      <c r="A12" s="1">
        <v>42369</v>
      </c>
      <c r="B12" s="2">
        <v>0</v>
      </c>
      <c r="C12" s="2">
        <v>0</v>
      </c>
      <c r="D12" s="2">
        <v>0</v>
      </c>
      <c r="E12" s="2">
        <v>7.45</v>
      </c>
      <c r="F12" s="2">
        <v>0</v>
      </c>
      <c r="G12" s="2">
        <v>0</v>
      </c>
      <c r="H12" s="2">
        <v>7.2893999999999997</v>
      </c>
      <c r="I12" s="2">
        <v>0</v>
      </c>
      <c r="J12" s="2">
        <v>7.3525</v>
      </c>
      <c r="K12" s="2">
        <v>0</v>
      </c>
      <c r="L12" s="2">
        <v>0</v>
      </c>
      <c r="M12" s="2">
        <v>0</v>
      </c>
      <c r="N12" s="2">
        <v>0</v>
      </c>
      <c r="O12" s="2">
        <v>7.45</v>
      </c>
      <c r="P12" s="2">
        <v>0</v>
      </c>
      <c r="Q12" s="2">
        <v>0</v>
      </c>
      <c r="R12" s="2">
        <v>0</v>
      </c>
      <c r="S12" s="2">
        <v>7.3209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7.3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7.0118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</row>
    <row r="13" spans="1:50" x14ac:dyDescent="0.25">
      <c r="A13" s="1">
        <v>42398</v>
      </c>
      <c r="B13" s="2">
        <v>0</v>
      </c>
      <c r="C13" s="2">
        <v>0</v>
      </c>
      <c r="D13" s="2">
        <v>16.228000000000002</v>
      </c>
      <c r="E13" s="2">
        <v>7.4466000000000001</v>
      </c>
      <c r="F13" s="2">
        <v>0</v>
      </c>
      <c r="G13" s="2">
        <v>0</v>
      </c>
      <c r="H13" s="2">
        <v>7.3764000000000003</v>
      </c>
      <c r="I13" s="2">
        <v>0</v>
      </c>
      <c r="J13" s="2">
        <v>7.2638999999999996</v>
      </c>
      <c r="K13" s="2">
        <v>0</v>
      </c>
      <c r="L13" s="2">
        <v>7.4245000000000001</v>
      </c>
      <c r="M13" s="2">
        <v>0</v>
      </c>
      <c r="N13" s="2">
        <v>0</v>
      </c>
      <c r="O13" s="2">
        <v>7.4020999999999999</v>
      </c>
      <c r="P13" s="2">
        <v>0</v>
      </c>
      <c r="Q13" s="2">
        <v>0</v>
      </c>
      <c r="R13" s="2">
        <v>0</v>
      </c>
      <c r="S13" s="2">
        <v>7.4042000000000003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7.3657000000000004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7.5114999999999998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</row>
    <row r="14" spans="1:50" x14ac:dyDescent="0.25">
      <c r="A14" s="1">
        <v>42429</v>
      </c>
      <c r="B14" s="2">
        <v>0</v>
      </c>
      <c r="C14" s="2">
        <v>0</v>
      </c>
      <c r="D14" s="2">
        <v>16.069400000000002</v>
      </c>
      <c r="E14" s="2">
        <v>7.3376000000000001</v>
      </c>
      <c r="F14" s="2">
        <v>0</v>
      </c>
      <c r="G14" s="2">
        <v>0</v>
      </c>
      <c r="H14" s="2">
        <v>7.3559999999999999</v>
      </c>
      <c r="I14" s="2">
        <v>0</v>
      </c>
      <c r="J14" s="2">
        <v>7.1604999999999999</v>
      </c>
      <c r="K14" s="2">
        <v>0</v>
      </c>
      <c r="L14" s="2">
        <v>6.9599000000000002</v>
      </c>
      <c r="M14" s="2">
        <v>0</v>
      </c>
      <c r="N14" s="2">
        <v>0</v>
      </c>
      <c r="O14" s="2">
        <v>7.3829000000000002</v>
      </c>
      <c r="P14" s="2">
        <v>0</v>
      </c>
      <c r="Q14" s="2">
        <v>0</v>
      </c>
      <c r="R14" s="2">
        <v>0</v>
      </c>
      <c r="S14" s="2">
        <v>7.2934000000000001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7.3360000000000003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7.3457999999999997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</row>
    <row r="15" spans="1:50" x14ac:dyDescent="0.25">
      <c r="A15" s="1">
        <v>42460</v>
      </c>
      <c r="B15" s="2">
        <v>0</v>
      </c>
      <c r="C15" s="2">
        <v>0</v>
      </c>
      <c r="D15" s="2">
        <v>13.7475</v>
      </c>
      <c r="E15" s="2">
        <v>6.4193999999999996</v>
      </c>
      <c r="F15" s="2">
        <v>0</v>
      </c>
      <c r="G15" s="2">
        <v>0</v>
      </c>
      <c r="H15" s="2">
        <v>6.4721000000000002</v>
      </c>
      <c r="I15" s="2">
        <v>0</v>
      </c>
      <c r="J15" s="2">
        <v>6.38</v>
      </c>
      <c r="K15" s="2">
        <v>0</v>
      </c>
      <c r="L15" s="2">
        <v>6.4821999999999997</v>
      </c>
      <c r="M15" s="2">
        <v>0</v>
      </c>
      <c r="N15" s="2">
        <v>0</v>
      </c>
      <c r="O15" s="2">
        <v>6.4945000000000004</v>
      </c>
      <c r="P15" s="2">
        <v>0</v>
      </c>
      <c r="Q15" s="2">
        <v>0</v>
      </c>
      <c r="R15" s="2">
        <v>0</v>
      </c>
      <c r="S15" s="2">
        <v>6.3982999999999999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6.4390999999999998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6.0380000000000003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</row>
    <row r="16" spans="1:50" x14ac:dyDescent="0.25">
      <c r="A16" s="1">
        <v>42489</v>
      </c>
      <c r="B16" s="2">
        <v>0</v>
      </c>
      <c r="C16" s="2">
        <v>0</v>
      </c>
      <c r="D16" s="2">
        <v>12.4716</v>
      </c>
      <c r="E16" s="2">
        <v>6.0872999999999999</v>
      </c>
      <c r="F16" s="2">
        <v>0</v>
      </c>
      <c r="G16" s="2">
        <v>0</v>
      </c>
      <c r="H16" s="2">
        <v>6.0586000000000002</v>
      </c>
      <c r="I16" s="2">
        <v>0</v>
      </c>
      <c r="J16" s="2">
        <v>6.0810000000000004</v>
      </c>
      <c r="K16" s="2">
        <v>0</v>
      </c>
      <c r="L16" s="2">
        <v>6.0891999999999999</v>
      </c>
      <c r="M16" s="2">
        <v>0</v>
      </c>
      <c r="N16" s="2">
        <v>0</v>
      </c>
      <c r="O16" s="2">
        <v>6.1227999999999998</v>
      </c>
      <c r="P16" s="2">
        <v>0</v>
      </c>
      <c r="Q16" s="2">
        <v>0</v>
      </c>
      <c r="R16" s="2">
        <v>0</v>
      </c>
      <c r="S16" s="2">
        <v>6.0335999999999999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6.0564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6.0419999999999998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</row>
    <row r="17" spans="1:50" x14ac:dyDescent="0.25">
      <c r="A17" s="1">
        <v>42521</v>
      </c>
      <c r="B17" s="2">
        <v>0</v>
      </c>
      <c r="C17" s="2">
        <v>0</v>
      </c>
      <c r="D17" s="2">
        <v>12.9992</v>
      </c>
      <c r="E17" s="2">
        <v>6.2401</v>
      </c>
      <c r="F17" s="2">
        <v>0</v>
      </c>
      <c r="G17" s="2">
        <v>0</v>
      </c>
      <c r="H17" s="2">
        <v>6.2915000000000001</v>
      </c>
      <c r="I17" s="2">
        <v>0</v>
      </c>
      <c r="J17" s="2">
        <v>6.1852</v>
      </c>
      <c r="K17" s="2">
        <v>0</v>
      </c>
      <c r="L17" s="2">
        <v>6.1841999999999997</v>
      </c>
      <c r="M17" s="2">
        <v>0</v>
      </c>
      <c r="N17" s="2">
        <v>0</v>
      </c>
      <c r="O17" s="2">
        <v>6.3289999999999997</v>
      </c>
      <c r="P17" s="2">
        <v>0</v>
      </c>
      <c r="Q17" s="2">
        <v>0</v>
      </c>
      <c r="R17" s="2">
        <v>0</v>
      </c>
      <c r="S17" s="2">
        <v>6.2050000000000001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6.2858000000000001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6.0655999999999999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</row>
    <row r="18" spans="1:50" x14ac:dyDescent="0.25">
      <c r="A18" s="1">
        <v>42551</v>
      </c>
      <c r="B18" s="2">
        <v>0</v>
      </c>
      <c r="C18" s="2">
        <v>0</v>
      </c>
      <c r="D18" s="2">
        <v>13.045400000000001</v>
      </c>
      <c r="E18" s="2">
        <v>6.0827</v>
      </c>
      <c r="F18" s="2">
        <v>0</v>
      </c>
      <c r="G18" s="2">
        <v>0</v>
      </c>
      <c r="H18" s="2">
        <v>6.0683999999999996</v>
      </c>
      <c r="I18" s="2">
        <v>0</v>
      </c>
      <c r="J18" s="2">
        <v>6.0185000000000004</v>
      </c>
      <c r="K18" s="2">
        <v>0</v>
      </c>
      <c r="L18" s="2">
        <v>6.21</v>
      </c>
      <c r="M18" s="2">
        <v>0</v>
      </c>
      <c r="N18" s="2">
        <v>0</v>
      </c>
      <c r="O18" s="2">
        <v>6.1468999999999996</v>
      </c>
      <c r="P18" s="2">
        <v>0</v>
      </c>
      <c r="Q18" s="2">
        <v>0</v>
      </c>
      <c r="R18" s="2">
        <v>0</v>
      </c>
      <c r="S18" s="2">
        <v>6.0724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6.05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</row>
    <row r="19" spans="1:50" x14ac:dyDescent="0.25">
      <c r="A19" s="1">
        <v>42580</v>
      </c>
      <c r="B19" s="2">
        <v>0</v>
      </c>
      <c r="C19" s="2">
        <v>0</v>
      </c>
      <c r="D19" s="2">
        <v>11.815799999999999</v>
      </c>
      <c r="E19" s="2">
        <v>5.9030000000000005</v>
      </c>
      <c r="F19" s="2">
        <v>0</v>
      </c>
      <c r="G19" s="2">
        <v>0</v>
      </c>
      <c r="H19" s="2">
        <v>5.8204000000000002</v>
      </c>
      <c r="I19" s="2">
        <v>0</v>
      </c>
      <c r="J19" s="2">
        <v>5.8408999999999995</v>
      </c>
      <c r="K19" s="2">
        <v>0</v>
      </c>
      <c r="L19" s="2">
        <v>6.0034000000000001</v>
      </c>
      <c r="M19" s="2">
        <v>0</v>
      </c>
      <c r="N19" s="2">
        <v>0</v>
      </c>
      <c r="O19" s="2">
        <v>5.8897000000000004</v>
      </c>
      <c r="P19" s="2">
        <v>0</v>
      </c>
      <c r="Q19" s="2">
        <v>0</v>
      </c>
      <c r="R19" s="2">
        <v>0</v>
      </c>
      <c r="S19" s="2">
        <v>5.8141999999999996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5.8114999999999997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5.7767999999999997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</row>
    <row r="20" spans="1:50" x14ac:dyDescent="0.25">
      <c r="A20" s="1">
        <v>42613</v>
      </c>
      <c r="B20" s="2">
        <v>0</v>
      </c>
      <c r="C20" s="2">
        <v>0</v>
      </c>
      <c r="D20" s="2">
        <v>12.071999999999999</v>
      </c>
      <c r="E20" s="2">
        <v>5.8765999999999998</v>
      </c>
      <c r="F20" s="2">
        <v>0</v>
      </c>
      <c r="G20" s="2">
        <v>0</v>
      </c>
      <c r="H20" s="2">
        <v>5.8830999999999998</v>
      </c>
      <c r="I20" s="2">
        <v>0</v>
      </c>
      <c r="J20" s="2">
        <v>5.7854000000000001</v>
      </c>
      <c r="K20" s="2">
        <v>0</v>
      </c>
      <c r="L20" s="2">
        <v>5.9482999999999997</v>
      </c>
      <c r="M20" s="2">
        <v>0</v>
      </c>
      <c r="N20" s="2">
        <v>0</v>
      </c>
      <c r="O20" s="2">
        <v>5.9213000000000005</v>
      </c>
      <c r="P20" s="2">
        <v>0</v>
      </c>
      <c r="Q20" s="2">
        <v>0</v>
      </c>
      <c r="R20" s="2">
        <v>0</v>
      </c>
      <c r="S20" s="2">
        <v>5.8166000000000002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5.8765999999999998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5.8129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</row>
    <row r="21" spans="1:50" x14ac:dyDescent="0.25">
      <c r="A21" s="1">
        <v>42643</v>
      </c>
      <c r="B21" s="2">
        <v>0</v>
      </c>
      <c r="C21" s="2">
        <v>0</v>
      </c>
      <c r="D21" s="2">
        <v>11.590299999999999</v>
      </c>
      <c r="E21" s="2">
        <v>5.7969999999999997</v>
      </c>
      <c r="F21" s="2">
        <v>0</v>
      </c>
      <c r="G21" s="2">
        <v>0</v>
      </c>
      <c r="H21" s="2">
        <v>5.7598000000000003</v>
      </c>
      <c r="I21" s="2">
        <v>0</v>
      </c>
      <c r="J21" s="2">
        <v>5.7843999999999998</v>
      </c>
      <c r="K21" s="2">
        <v>0</v>
      </c>
      <c r="L21" s="2">
        <v>5.8791000000000002</v>
      </c>
      <c r="M21" s="2">
        <v>0</v>
      </c>
      <c r="N21" s="2">
        <v>0</v>
      </c>
      <c r="O21" s="2">
        <v>5.8212000000000002</v>
      </c>
      <c r="P21" s="2">
        <v>0</v>
      </c>
      <c r="Q21" s="2">
        <v>0</v>
      </c>
      <c r="R21" s="2">
        <v>0</v>
      </c>
      <c r="S21" s="2">
        <v>5.7910000000000004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5.7538999999999998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</row>
    <row r="22" spans="1:50" x14ac:dyDescent="0.25">
      <c r="A22" s="1">
        <v>42674</v>
      </c>
      <c r="B22" s="2">
        <v>0</v>
      </c>
      <c r="C22" s="2">
        <v>0</v>
      </c>
      <c r="D22" s="2">
        <v>11.3992</v>
      </c>
      <c r="E22" s="2">
        <v>5.8085000000000004</v>
      </c>
      <c r="F22" s="2">
        <v>0</v>
      </c>
      <c r="G22" s="2">
        <v>0</v>
      </c>
      <c r="H22" s="2">
        <v>5.7240000000000002</v>
      </c>
      <c r="I22" s="2">
        <v>0</v>
      </c>
      <c r="J22" s="2">
        <v>5.7773000000000003</v>
      </c>
      <c r="K22" s="2">
        <v>0</v>
      </c>
      <c r="L22" s="2">
        <v>5.899</v>
      </c>
      <c r="M22" s="2">
        <v>0</v>
      </c>
      <c r="N22" s="2">
        <v>0</v>
      </c>
      <c r="O22" s="2">
        <v>5.7797999999999998</v>
      </c>
      <c r="P22" s="2">
        <v>0</v>
      </c>
      <c r="Q22" s="2">
        <v>0</v>
      </c>
      <c r="R22" s="2">
        <v>0</v>
      </c>
      <c r="S22" s="2">
        <v>5.7712000000000003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5.7290000000000001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6.04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</row>
    <row r="23" spans="1:50" x14ac:dyDescent="0.25">
      <c r="A23" s="1">
        <v>42704</v>
      </c>
      <c r="B23" s="2">
        <v>0</v>
      </c>
      <c r="C23" s="2">
        <v>0</v>
      </c>
      <c r="D23" s="2">
        <v>11.8238</v>
      </c>
      <c r="E23" s="2">
        <v>6.0922999999999998</v>
      </c>
      <c r="F23" s="2">
        <v>0</v>
      </c>
      <c r="G23" s="2">
        <v>0</v>
      </c>
      <c r="H23" s="2">
        <v>6.0526999999999997</v>
      </c>
      <c r="I23" s="2">
        <v>0</v>
      </c>
      <c r="J23" s="2">
        <v>6.0227000000000004</v>
      </c>
      <c r="K23" s="2">
        <v>0</v>
      </c>
      <c r="L23" s="2">
        <v>6.0868000000000002</v>
      </c>
      <c r="M23" s="2">
        <v>0</v>
      </c>
      <c r="N23" s="2">
        <v>0</v>
      </c>
      <c r="O23" s="2">
        <v>6.0993000000000004</v>
      </c>
      <c r="P23" s="2">
        <v>0</v>
      </c>
      <c r="Q23" s="2">
        <v>0</v>
      </c>
      <c r="R23" s="2">
        <v>0</v>
      </c>
      <c r="S23" s="2">
        <v>6.0167999999999999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6.0369000000000002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6.3205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</row>
    <row r="24" spans="1:50" x14ac:dyDescent="0.25">
      <c r="A24" s="1">
        <v>42734</v>
      </c>
      <c r="B24" s="2">
        <v>0</v>
      </c>
      <c r="C24" s="2">
        <v>0</v>
      </c>
      <c r="D24" s="2">
        <v>11.425700000000001</v>
      </c>
      <c r="E24" s="2">
        <v>5.7910000000000004</v>
      </c>
      <c r="F24" s="2">
        <v>0</v>
      </c>
      <c r="G24" s="2">
        <v>0</v>
      </c>
      <c r="H24" s="2">
        <v>5.7489999999999997</v>
      </c>
      <c r="I24" s="2">
        <v>0</v>
      </c>
      <c r="J24" s="2">
        <v>5.75</v>
      </c>
      <c r="K24" s="2">
        <v>0</v>
      </c>
      <c r="L24" s="2">
        <v>5.9263000000000003</v>
      </c>
      <c r="M24" s="2">
        <v>0</v>
      </c>
      <c r="N24" s="2">
        <v>0</v>
      </c>
      <c r="O24" s="2">
        <v>5.8040000000000003</v>
      </c>
      <c r="P24" s="2">
        <v>0</v>
      </c>
      <c r="Q24" s="2">
        <v>0</v>
      </c>
      <c r="R24" s="2">
        <v>0</v>
      </c>
      <c r="S24" s="2">
        <v>5.6993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5.7089999999999996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6.5716000000000001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</row>
    <row r="25" spans="1:50" x14ac:dyDescent="0.25">
      <c r="A25" s="1">
        <v>42766</v>
      </c>
      <c r="B25" s="2">
        <v>0</v>
      </c>
      <c r="C25" s="2">
        <v>0</v>
      </c>
      <c r="D25" s="2">
        <v>10.9101</v>
      </c>
      <c r="E25" s="2">
        <v>5.6345000000000001</v>
      </c>
      <c r="F25" s="2">
        <v>0</v>
      </c>
      <c r="G25" s="2">
        <v>0</v>
      </c>
      <c r="H25" s="2">
        <v>5.5968999999999998</v>
      </c>
      <c r="I25" s="2">
        <v>0</v>
      </c>
      <c r="J25" s="2">
        <v>5.6257000000000001</v>
      </c>
      <c r="K25" s="2">
        <v>0</v>
      </c>
      <c r="L25" s="2">
        <v>5.7481999999999998</v>
      </c>
      <c r="M25" s="2">
        <v>0</v>
      </c>
      <c r="N25" s="2">
        <v>0</v>
      </c>
      <c r="O25" s="2">
        <v>5.6530000000000005</v>
      </c>
      <c r="P25" s="2">
        <v>0</v>
      </c>
      <c r="Q25" s="2">
        <v>0</v>
      </c>
      <c r="R25" s="2">
        <v>0</v>
      </c>
      <c r="S25" s="2">
        <v>5.5877999999999997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5.5600000000000005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6.2930999999999999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</row>
    <row r="26" spans="1:50" x14ac:dyDescent="0.25">
      <c r="A26" s="1">
        <v>42794</v>
      </c>
      <c r="B26" s="2">
        <v>0</v>
      </c>
      <c r="C26" s="2">
        <v>0</v>
      </c>
      <c r="D26" s="2">
        <v>10.269500000000001</v>
      </c>
      <c r="E26" s="2">
        <v>5.1966000000000001</v>
      </c>
      <c r="F26" s="2">
        <v>0</v>
      </c>
      <c r="G26" s="2">
        <v>0</v>
      </c>
      <c r="H26" s="2">
        <v>5.1783000000000001</v>
      </c>
      <c r="I26" s="2">
        <v>0</v>
      </c>
      <c r="J26" s="2">
        <v>5.1566000000000001</v>
      </c>
      <c r="K26" s="2">
        <v>0</v>
      </c>
      <c r="L26" s="2">
        <v>5.32</v>
      </c>
      <c r="M26" s="2">
        <v>0</v>
      </c>
      <c r="N26" s="2">
        <v>0</v>
      </c>
      <c r="O26" s="2">
        <v>5.2423000000000002</v>
      </c>
      <c r="P26" s="2">
        <v>0</v>
      </c>
      <c r="Q26" s="2">
        <v>0</v>
      </c>
      <c r="R26" s="2">
        <v>0</v>
      </c>
      <c r="S26" s="2">
        <v>5.1754999999999995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5.1467999999999998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6.0407999999999999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</row>
    <row r="27" spans="1:50" x14ac:dyDescent="0.25">
      <c r="A27" s="1">
        <v>42825</v>
      </c>
      <c r="B27" s="2">
        <v>0</v>
      </c>
      <c r="C27" s="2">
        <v>0</v>
      </c>
      <c r="D27" s="2">
        <v>10.049799999999999</v>
      </c>
      <c r="E27" s="2">
        <v>5.2192999999999996</v>
      </c>
      <c r="F27" s="2">
        <v>0</v>
      </c>
      <c r="G27" s="2">
        <v>0</v>
      </c>
      <c r="H27" s="2">
        <v>5.2285000000000004</v>
      </c>
      <c r="I27" s="2">
        <v>0</v>
      </c>
      <c r="J27" s="2">
        <v>5.1683000000000003</v>
      </c>
      <c r="K27" s="2">
        <v>0</v>
      </c>
      <c r="L27" s="2">
        <v>5.2754000000000003</v>
      </c>
      <c r="M27" s="2">
        <v>0</v>
      </c>
      <c r="N27" s="2">
        <v>0</v>
      </c>
      <c r="O27" s="2">
        <v>5.2626999999999997</v>
      </c>
      <c r="P27" s="2">
        <v>0</v>
      </c>
      <c r="Q27" s="2">
        <v>0</v>
      </c>
      <c r="R27" s="2">
        <v>0</v>
      </c>
      <c r="S27" s="2">
        <v>5.17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5.1725000000000003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5.8963999999999999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</row>
    <row r="28" spans="1:50" x14ac:dyDescent="0.25">
      <c r="A28" s="1">
        <v>42853</v>
      </c>
      <c r="B28" s="2">
        <v>0</v>
      </c>
      <c r="C28" s="2">
        <v>0</v>
      </c>
      <c r="D28" s="2">
        <v>10.284599999999999</v>
      </c>
      <c r="E28" s="2">
        <v>5.4021999999999997</v>
      </c>
      <c r="F28" s="2">
        <v>0</v>
      </c>
      <c r="G28" s="2">
        <v>0</v>
      </c>
      <c r="H28" s="2">
        <v>5.3411</v>
      </c>
      <c r="I28" s="2">
        <v>0</v>
      </c>
      <c r="J28" s="2">
        <v>5.3704000000000001</v>
      </c>
      <c r="K28" s="2">
        <v>0</v>
      </c>
      <c r="L28" s="2">
        <v>5.3856000000000002</v>
      </c>
      <c r="M28" s="2">
        <v>0</v>
      </c>
      <c r="N28" s="2">
        <v>0</v>
      </c>
      <c r="O28" s="2">
        <v>5.4234</v>
      </c>
      <c r="P28" s="2">
        <v>0</v>
      </c>
      <c r="Q28" s="2">
        <v>0</v>
      </c>
      <c r="R28" s="2">
        <v>0</v>
      </c>
      <c r="S28" s="2">
        <v>5.3163999999999998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5.3079999999999998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</row>
    <row r="29" spans="1:50" x14ac:dyDescent="0.25">
      <c r="A29" s="1">
        <v>42886</v>
      </c>
      <c r="B29" s="2">
        <v>0</v>
      </c>
      <c r="C29" s="2">
        <v>0</v>
      </c>
      <c r="D29" s="2">
        <v>10.7097</v>
      </c>
      <c r="E29" s="2">
        <v>5.5911999999999997</v>
      </c>
      <c r="F29" s="2">
        <v>0</v>
      </c>
      <c r="G29" s="2">
        <v>0</v>
      </c>
      <c r="H29" s="2">
        <v>5.6013999999999999</v>
      </c>
      <c r="I29" s="2">
        <v>0</v>
      </c>
      <c r="J29" s="2">
        <v>5.5864000000000003</v>
      </c>
      <c r="K29" s="2">
        <v>0</v>
      </c>
      <c r="L29" s="2">
        <v>5.6257999999999999</v>
      </c>
      <c r="M29" s="2">
        <v>0</v>
      </c>
      <c r="N29" s="2">
        <v>0</v>
      </c>
      <c r="O29" s="2">
        <v>5.6370000000000005</v>
      </c>
      <c r="P29" s="2">
        <v>0</v>
      </c>
      <c r="Q29" s="2">
        <v>0</v>
      </c>
      <c r="R29" s="2">
        <v>0</v>
      </c>
      <c r="S29" s="2">
        <v>5.5725999999999996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5.5713999999999997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7.2225000000000001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</row>
    <row r="30" spans="1:50" x14ac:dyDescent="0.25">
      <c r="A30" s="1">
        <v>42916</v>
      </c>
      <c r="B30" s="2">
        <v>0</v>
      </c>
      <c r="C30" s="2">
        <v>0</v>
      </c>
      <c r="D30" s="2">
        <v>11.4428</v>
      </c>
      <c r="E30" s="2">
        <v>5.6287000000000003</v>
      </c>
      <c r="F30" s="2">
        <v>0</v>
      </c>
      <c r="G30" s="2">
        <v>0</v>
      </c>
      <c r="H30" s="2">
        <v>5.6536</v>
      </c>
      <c r="I30" s="2">
        <v>0</v>
      </c>
      <c r="J30" s="2">
        <v>5.6059999999999999</v>
      </c>
      <c r="K30" s="2">
        <v>0</v>
      </c>
      <c r="L30" s="2">
        <v>5.6440000000000001</v>
      </c>
      <c r="M30" s="2">
        <v>0</v>
      </c>
      <c r="N30" s="2">
        <v>0</v>
      </c>
      <c r="O30" s="2">
        <v>5.7031999999999998</v>
      </c>
      <c r="P30" s="2">
        <v>0</v>
      </c>
      <c r="Q30" s="2">
        <v>0</v>
      </c>
      <c r="R30" s="2">
        <v>0</v>
      </c>
      <c r="S30" s="2">
        <v>5.5955000000000004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5.6189999999999998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7.2851999999999997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</row>
    <row r="31" spans="1:50" x14ac:dyDescent="0.25">
      <c r="A31" s="1">
        <v>42947</v>
      </c>
      <c r="B31" s="2">
        <v>0</v>
      </c>
      <c r="C31" s="2">
        <v>0</v>
      </c>
      <c r="D31" s="2">
        <v>9.9751999999999992</v>
      </c>
      <c r="E31" s="2">
        <v>5.2434000000000003</v>
      </c>
      <c r="F31" s="2">
        <v>0</v>
      </c>
      <c r="G31" s="2">
        <v>0</v>
      </c>
      <c r="H31" s="2">
        <v>5.3312999999999997</v>
      </c>
      <c r="I31" s="2">
        <v>0</v>
      </c>
      <c r="J31" s="2">
        <v>5.2</v>
      </c>
      <c r="K31" s="2">
        <v>0</v>
      </c>
      <c r="L31" s="2">
        <v>5.0831</v>
      </c>
      <c r="M31" s="2">
        <v>0</v>
      </c>
      <c r="N31" s="2">
        <v>0</v>
      </c>
      <c r="O31" s="2">
        <v>5.3480999999999996</v>
      </c>
      <c r="P31" s="2">
        <v>0</v>
      </c>
      <c r="Q31" s="2">
        <v>0</v>
      </c>
      <c r="R31" s="2">
        <v>0</v>
      </c>
      <c r="S31" s="2">
        <v>5.2462999999999997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5.2846000000000002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</row>
    <row r="32" spans="1:50" x14ac:dyDescent="0.25">
      <c r="A32" s="1">
        <v>42978</v>
      </c>
      <c r="B32" s="2">
        <v>0</v>
      </c>
      <c r="C32" s="2">
        <v>0</v>
      </c>
      <c r="D32" s="2">
        <v>9.9756</v>
      </c>
      <c r="E32" s="2">
        <v>5.1635999999999997</v>
      </c>
      <c r="F32" s="2">
        <v>0</v>
      </c>
      <c r="G32" s="2">
        <v>0</v>
      </c>
      <c r="H32" s="2">
        <v>5.2941000000000003</v>
      </c>
      <c r="I32" s="2">
        <v>0</v>
      </c>
      <c r="J32" s="2">
        <v>5.1128999999999998</v>
      </c>
      <c r="K32" s="2">
        <v>0</v>
      </c>
      <c r="L32" s="2">
        <v>4.9401000000000002</v>
      </c>
      <c r="M32" s="2">
        <v>0</v>
      </c>
      <c r="N32" s="2">
        <v>0</v>
      </c>
      <c r="O32" s="2">
        <v>5.3324999999999996</v>
      </c>
      <c r="P32" s="2">
        <v>0</v>
      </c>
      <c r="Q32" s="2">
        <v>0</v>
      </c>
      <c r="R32" s="2">
        <v>0</v>
      </c>
      <c r="S32" s="2">
        <v>5.2083000000000004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5.2690999999999999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6.3063000000000002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</row>
    <row r="33" spans="1:50" x14ac:dyDescent="0.25">
      <c r="A33" s="1">
        <v>43007</v>
      </c>
      <c r="B33" s="2">
        <v>0</v>
      </c>
      <c r="C33" s="2">
        <v>0</v>
      </c>
      <c r="D33" s="2">
        <v>9.6889000000000003</v>
      </c>
      <c r="E33" s="2">
        <v>5.0076999999999998</v>
      </c>
      <c r="F33" s="2">
        <v>0</v>
      </c>
      <c r="G33" s="2">
        <v>0</v>
      </c>
      <c r="H33" s="2">
        <v>5.1242999999999999</v>
      </c>
      <c r="I33" s="2">
        <v>0</v>
      </c>
      <c r="J33" s="2">
        <v>4.9462000000000002</v>
      </c>
      <c r="K33" s="2">
        <v>0</v>
      </c>
      <c r="L33" s="2">
        <v>4.7865000000000002</v>
      </c>
      <c r="M33" s="2">
        <v>0</v>
      </c>
      <c r="N33" s="2">
        <v>0</v>
      </c>
      <c r="O33" s="2">
        <v>5.1375000000000002</v>
      </c>
      <c r="P33" s="2">
        <v>0</v>
      </c>
      <c r="Q33" s="2">
        <v>0</v>
      </c>
      <c r="R33" s="2">
        <v>0</v>
      </c>
      <c r="S33" s="2">
        <v>5.0381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5.0899000000000001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</row>
    <row r="34" spans="1:50" x14ac:dyDescent="0.25">
      <c r="A34" s="1">
        <v>43039</v>
      </c>
      <c r="B34" s="2">
        <v>0</v>
      </c>
      <c r="C34" s="2">
        <v>0</v>
      </c>
      <c r="D34" s="2">
        <v>9.8747000000000007</v>
      </c>
      <c r="E34" s="2">
        <v>5.1703000000000001</v>
      </c>
      <c r="F34" s="2">
        <v>0</v>
      </c>
      <c r="G34" s="2">
        <v>0</v>
      </c>
      <c r="H34" s="2">
        <v>5.2892999999999999</v>
      </c>
      <c r="I34" s="2">
        <v>0</v>
      </c>
      <c r="J34" s="2">
        <v>5.1074000000000002</v>
      </c>
      <c r="K34" s="2">
        <v>0</v>
      </c>
      <c r="L34" s="2">
        <v>4.9627999999999997</v>
      </c>
      <c r="M34" s="2">
        <v>0</v>
      </c>
      <c r="N34" s="2">
        <v>0</v>
      </c>
      <c r="O34" s="2">
        <v>5.3003</v>
      </c>
      <c r="P34" s="2">
        <v>0</v>
      </c>
      <c r="Q34" s="2">
        <v>0</v>
      </c>
      <c r="R34" s="2">
        <v>0</v>
      </c>
      <c r="S34" s="2">
        <v>5.2020999999999997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5.2446000000000002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</row>
    <row r="35" spans="1:50" x14ac:dyDescent="0.25">
      <c r="A35" s="1">
        <v>43069</v>
      </c>
      <c r="B35" s="2">
        <v>0</v>
      </c>
      <c r="C35" s="2">
        <v>0</v>
      </c>
      <c r="D35" s="2">
        <v>10.3864</v>
      </c>
      <c r="E35" s="2">
        <v>5.3935000000000004</v>
      </c>
      <c r="F35" s="2">
        <v>0</v>
      </c>
      <c r="G35" s="2">
        <v>0</v>
      </c>
      <c r="H35" s="2">
        <v>5.4611000000000001</v>
      </c>
      <c r="I35" s="2">
        <v>0</v>
      </c>
      <c r="J35" s="2">
        <v>5.2954999999999997</v>
      </c>
      <c r="K35" s="2">
        <v>0</v>
      </c>
      <c r="L35" s="2">
        <v>5.1467000000000001</v>
      </c>
      <c r="M35" s="2">
        <v>0</v>
      </c>
      <c r="N35" s="2">
        <v>0</v>
      </c>
      <c r="O35" s="2">
        <v>5.4718999999999998</v>
      </c>
      <c r="P35" s="2">
        <v>0</v>
      </c>
      <c r="Q35" s="2">
        <v>0</v>
      </c>
      <c r="R35" s="2">
        <v>0</v>
      </c>
      <c r="S35" s="2">
        <v>5.4261999999999997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5.4420000000000002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</row>
    <row r="36" spans="1:50" x14ac:dyDescent="0.25">
      <c r="A36" s="1">
        <v>43098</v>
      </c>
      <c r="B36" s="2">
        <v>0</v>
      </c>
      <c r="C36" s="2">
        <v>0</v>
      </c>
      <c r="D36" s="2">
        <v>10.208</v>
      </c>
      <c r="E36" s="2">
        <v>5.3796999999999997</v>
      </c>
      <c r="F36" s="2">
        <v>0</v>
      </c>
      <c r="G36" s="2">
        <v>0</v>
      </c>
      <c r="H36" s="2">
        <v>5.4626999999999999</v>
      </c>
      <c r="I36" s="2">
        <v>0</v>
      </c>
      <c r="J36" s="2">
        <v>5.2915000000000001</v>
      </c>
      <c r="K36" s="2">
        <v>0</v>
      </c>
      <c r="L36" s="2">
        <v>5.0830000000000002</v>
      </c>
      <c r="M36" s="2">
        <v>0</v>
      </c>
      <c r="N36" s="2">
        <v>0</v>
      </c>
      <c r="O36" s="2">
        <v>5.4747000000000003</v>
      </c>
      <c r="P36" s="2">
        <v>0</v>
      </c>
      <c r="Q36" s="2">
        <v>0</v>
      </c>
      <c r="R36" s="2">
        <v>0</v>
      </c>
      <c r="S36" s="2">
        <v>5.4039000000000001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5.4435000000000002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</row>
    <row r="37" spans="1:50" x14ac:dyDescent="0.25">
      <c r="A37" s="1">
        <v>43131</v>
      </c>
      <c r="B37" s="2">
        <v>0</v>
      </c>
      <c r="C37" s="2">
        <v>0</v>
      </c>
      <c r="D37" s="2">
        <v>9.7365999999999993</v>
      </c>
      <c r="E37" s="2">
        <v>4.9958</v>
      </c>
      <c r="F37" s="2">
        <v>9.9086999999999996</v>
      </c>
      <c r="G37" s="2">
        <v>0</v>
      </c>
      <c r="H37" s="2">
        <v>5.1220999999999997</v>
      </c>
      <c r="I37" s="2">
        <v>0</v>
      </c>
      <c r="J37" s="2">
        <v>4.8792999999999997</v>
      </c>
      <c r="K37" s="2">
        <v>4.7652999999999999</v>
      </c>
      <c r="L37" s="2">
        <v>4.6543000000000001</v>
      </c>
      <c r="M37" s="2">
        <v>0</v>
      </c>
      <c r="N37" s="2">
        <v>0</v>
      </c>
      <c r="O37" s="2">
        <v>5.1295999999999999</v>
      </c>
      <c r="P37" s="2">
        <v>0</v>
      </c>
      <c r="Q37" s="2">
        <v>0</v>
      </c>
      <c r="R37" s="2">
        <v>0</v>
      </c>
      <c r="S37" s="2">
        <v>5.0228999999999999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5.1081000000000003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</row>
    <row r="38" spans="1:50" x14ac:dyDescent="0.25">
      <c r="A38" s="1">
        <v>43159</v>
      </c>
      <c r="B38" s="2">
        <v>0</v>
      </c>
      <c r="C38" s="2">
        <v>0</v>
      </c>
      <c r="D38" s="2">
        <v>9.5687999999999995</v>
      </c>
      <c r="E38" s="2">
        <v>5.0266000000000002</v>
      </c>
      <c r="F38" s="2">
        <v>9.7374000000000009</v>
      </c>
      <c r="G38" s="2">
        <v>0</v>
      </c>
      <c r="H38" s="2">
        <v>5.0975000000000001</v>
      </c>
      <c r="I38" s="2">
        <v>0</v>
      </c>
      <c r="J38" s="2">
        <v>4.9058999999999999</v>
      </c>
      <c r="K38" s="2">
        <v>4.8552999999999997</v>
      </c>
      <c r="L38" s="2">
        <v>4.7346000000000004</v>
      </c>
      <c r="M38" s="2">
        <v>0</v>
      </c>
      <c r="N38" s="2">
        <v>0</v>
      </c>
      <c r="O38" s="2">
        <v>5.1022999999999996</v>
      </c>
      <c r="P38" s="2">
        <v>0</v>
      </c>
      <c r="Q38" s="2">
        <v>0</v>
      </c>
      <c r="R38" s="2">
        <v>0</v>
      </c>
      <c r="S38" s="2">
        <v>5.0307000000000004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5.1128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</row>
    <row r="39" spans="1:50" x14ac:dyDescent="0.25">
      <c r="A39" s="1">
        <v>43189</v>
      </c>
      <c r="B39" s="2">
        <v>0</v>
      </c>
      <c r="C39" s="2">
        <v>0</v>
      </c>
      <c r="D39" s="2">
        <v>9.4745000000000008</v>
      </c>
      <c r="E39" s="2">
        <v>5.0561999999999996</v>
      </c>
      <c r="F39" s="2">
        <v>9.6429000000000009</v>
      </c>
      <c r="G39" s="2">
        <v>0</v>
      </c>
      <c r="H39" s="2">
        <v>5.1849999999999996</v>
      </c>
      <c r="I39" s="2">
        <v>0</v>
      </c>
      <c r="J39" s="2">
        <v>4.9111000000000002</v>
      </c>
      <c r="K39" s="2">
        <v>4.8164999999999996</v>
      </c>
      <c r="L39" s="2">
        <v>4.5796999999999999</v>
      </c>
      <c r="M39" s="2">
        <v>0</v>
      </c>
      <c r="N39" s="2">
        <v>0</v>
      </c>
      <c r="O39" s="2">
        <v>5.1877000000000004</v>
      </c>
      <c r="P39" s="2">
        <v>0</v>
      </c>
      <c r="Q39" s="2">
        <v>0</v>
      </c>
      <c r="R39" s="2">
        <v>0</v>
      </c>
      <c r="S39" s="2">
        <v>5.0925000000000002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5.1955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</row>
    <row r="40" spans="1:50" x14ac:dyDescent="0.25">
      <c r="A40" s="1">
        <v>43220</v>
      </c>
      <c r="B40" s="2">
        <v>0</v>
      </c>
      <c r="C40" s="2">
        <v>0</v>
      </c>
      <c r="D40" s="2">
        <v>9.6470000000000002</v>
      </c>
      <c r="E40" s="2">
        <v>5.1717000000000004</v>
      </c>
      <c r="F40" s="2">
        <v>9.8126999999999995</v>
      </c>
      <c r="G40" s="2">
        <v>0</v>
      </c>
      <c r="H40" s="2">
        <v>5.2876000000000003</v>
      </c>
      <c r="I40" s="2">
        <v>0</v>
      </c>
      <c r="J40" s="2">
        <v>5.0067000000000004</v>
      </c>
      <c r="K40" s="2">
        <v>4.9001000000000001</v>
      </c>
      <c r="L40" s="2">
        <v>4.6848999999999998</v>
      </c>
      <c r="M40" s="2">
        <v>0</v>
      </c>
      <c r="N40" s="2">
        <v>0</v>
      </c>
      <c r="O40" s="2">
        <v>5.2897999999999996</v>
      </c>
      <c r="P40" s="2">
        <v>0</v>
      </c>
      <c r="Q40" s="2">
        <v>0</v>
      </c>
      <c r="R40" s="2">
        <v>0</v>
      </c>
      <c r="S40" s="2">
        <v>5.2001999999999997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5.2976999999999999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</row>
    <row r="41" spans="1:50" x14ac:dyDescent="0.25">
      <c r="A41" s="1">
        <v>43251</v>
      </c>
      <c r="B41" s="2">
        <v>0</v>
      </c>
      <c r="C41" s="2">
        <v>0</v>
      </c>
      <c r="D41" s="2">
        <v>11.3162</v>
      </c>
      <c r="E41" s="2">
        <v>5.6494999999999997</v>
      </c>
      <c r="F41" s="2">
        <v>11.468999999999999</v>
      </c>
      <c r="G41" s="2">
        <v>0</v>
      </c>
      <c r="H41" s="2">
        <v>5.7187999999999999</v>
      </c>
      <c r="I41" s="2">
        <v>0</v>
      </c>
      <c r="J41" s="2">
        <v>5.5537000000000001</v>
      </c>
      <c r="K41" s="2">
        <v>5.5197000000000003</v>
      </c>
      <c r="L41" s="2">
        <v>5.3982999999999999</v>
      </c>
      <c r="M41" s="2">
        <v>0</v>
      </c>
      <c r="N41" s="2">
        <v>0</v>
      </c>
      <c r="O41" s="2">
        <v>5.7496999999999998</v>
      </c>
      <c r="P41" s="2">
        <v>0</v>
      </c>
      <c r="Q41" s="2">
        <v>0</v>
      </c>
      <c r="R41" s="2">
        <v>0</v>
      </c>
      <c r="S41" s="2">
        <v>5.6754999999999995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5.7282999999999999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</row>
    <row r="42" spans="1:50" x14ac:dyDescent="0.25">
      <c r="A42" s="1">
        <v>43280</v>
      </c>
      <c r="B42" s="2">
        <v>0</v>
      </c>
      <c r="C42" s="2">
        <v>0</v>
      </c>
      <c r="D42" s="2">
        <v>11.731199999999999</v>
      </c>
      <c r="E42" s="2">
        <v>5.8768000000000002</v>
      </c>
      <c r="F42" s="2">
        <v>11.855499999999999</v>
      </c>
      <c r="G42" s="2">
        <v>0</v>
      </c>
      <c r="H42" s="2">
        <v>5.9594000000000005</v>
      </c>
      <c r="I42" s="2">
        <v>0</v>
      </c>
      <c r="J42" s="2">
        <v>5.8571</v>
      </c>
      <c r="K42" s="2">
        <v>5.7911999999999999</v>
      </c>
      <c r="L42" s="2">
        <v>5.7312000000000003</v>
      </c>
      <c r="M42" s="2">
        <v>0</v>
      </c>
      <c r="N42" s="2">
        <v>0</v>
      </c>
      <c r="O42" s="2">
        <v>5.9572000000000003</v>
      </c>
      <c r="P42" s="2">
        <v>0</v>
      </c>
      <c r="Q42" s="2">
        <v>0</v>
      </c>
      <c r="R42" s="2">
        <v>0</v>
      </c>
      <c r="S42" s="2">
        <v>5.9112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5.9638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</row>
    <row r="43" spans="1:50" x14ac:dyDescent="0.25">
      <c r="A43" s="1">
        <v>43312</v>
      </c>
      <c r="B43" s="2">
        <v>0</v>
      </c>
      <c r="C43" s="2">
        <v>0</v>
      </c>
      <c r="D43" s="2">
        <v>11.0875</v>
      </c>
      <c r="E43" s="2">
        <v>5.6966999999999999</v>
      </c>
      <c r="F43" s="2">
        <v>11.190300000000001</v>
      </c>
      <c r="G43" s="2">
        <v>0</v>
      </c>
      <c r="H43" s="2">
        <v>5.7576000000000001</v>
      </c>
      <c r="I43" s="2">
        <v>0</v>
      </c>
      <c r="J43" s="2">
        <v>5.6741000000000001</v>
      </c>
      <c r="K43" s="2">
        <v>5.585</v>
      </c>
      <c r="L43" s="2">
        <v>5.5384000000000002</v>
      </c>
      <c r="M43" s="2">
        <v>0</v>
      </c>
      <c r="N43" s="2">
        <v>0</v>
      </c>
      <c r="O43" s="2">
        <v>5.7575000000000003</v>
      </c>
      <c r="P43" s="2">
        <v>0</v>
      </c>
      <c r="Q43" s="2">
        <v>0</v>
      </c>
      <c r="R43" s="2">
        <v>0</v>
      </c>
      <c r="S43" s="2">
        <v>5.6982999999999997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5.7550999999999997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</row>
    <row r="44" spans="1:50" x14ac:dyDescent="0.25">
      <c r="A44" s="1">
        <v>43343</v>
      </c>
      <c r="B44" s="2">
        <v>0</v>
      </c>
      <c r="C44" s="2">
        <v>0</v>
      </c>
      <c r="D44" s="2">
        <v>12.1326</v>
      </c>
      <c r="E44" s="2">
        <v>5.7672999999999996</v>
      </c>
      <c r="F44" s="2">
        <v>12.2051</v>
      </c>
      <c r="G44" s="2">
        <v>0</v>
      </c>
      <c r="H44" s="2">
        <v>5.8719000000000001</v>
      </c>
      <c r="I44" s="2">
        <v>0</v>
      </c>
      <c r="J44" s="2">
        <v>5.7506000000000004</v>
      </c>
      <c r="K44" s="2">
        <v>5.6715999999999998</v>
      </c>
      <c r="L44" s="2">
        <v>5.6332000000000004</v>
      </c>
      <c r="M44" s="2">
        <v>0</v>
      </c>
      <c r="N44" s="2">
        <v>0</v>
      </c>
      <c r="O44" s="2">
        <v>5.8689999999999998</v>
      </c>
      <c r="P44" s="2">
        <v>0</v>
      </c>
      <c r="Q44" s="2">
        <v>0</v>
      </c>
      <c r="R44" s="2">
        <v>0</v>
      </c>
      <c r="S44" s="2">
        <v>5.7835999999999999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5.8722000000000003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</row>
    <row r="45" spans="1:50" x14ac:dyDescent="0.25">
      <c r="A45" s="1">
        <v>43371</v>
      </c>
      <c r="B45" s="2">
        <v>0</v>
      </c>
      <c r="C45" s="2">
        <v>0</v>
      </c>
      <c r="D45" s="2">
        <v>11.661</v>
      </c>
      <c r="E45" s="2">
        <v>5.9424999999999999</v>
      </c>
      <c r="F45" s="2">
        <v>11.8005</v>
      </c>
      <c r="G45" s="2">
        <v>0</v>
      </c>
      <c r="H45" s="2">
        <v>5.9866999999999999</v>
      </c>
      <c r="I45" s="2">
        <v>0</v>
      </c>
      <c r="J45" s="2">
        <v>5.9203999999999999</v>
      </c>
      <c r="K45" s="2">
        <v>5.9016000000000002</v>
      </c>
      <c r="L45" s="2">
        <v>5.8631000000000002</v>
      </c>
      <c r="M45" s="2">
        <v>0</v>
      </c>
      <c r="N45" s="2">
        <v>0</v>
      </c>
      <c r="O45" s="2">
        <v>5.9867999999999997</v>
      </c>
      <c r="P45" s="2">
        <v>0</v>
      </c>
      <c r="Q45" s="2">
        <v>0</v>
      </c>
      <c r="R45" s="2">
        <v>0</v>
      </c>
      <c r="S45" s="2">
        <v>5.9542999999999999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5.9820000000000002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</row>
    <row r="46" spans="1:50" x14ac:dyDescent="0.25">
      <c r="A46" s="1">
        <v>43404</v>
      </c>
      <c r="B46" s="2">
        <v>0</v>
      </c>
      <c r="C46" s="2">
        <v>0</v>
      </c>
      <c r="D46" s="2">
        <v>10.049899999999999</v>
      </c>
      <c r="E46" s="2">
        <v>5.1233000000000004</v>
      </c>
      <c r="F46" s="2">
        <v>10.2301</v>
      </c>
      <c r="G46" s="2">
        <v>0</v>
      </c>
      <c r="H46" s="2">
        <v>5.21</v>
      </c>
      <c r="I46" s="2">
        <v>0</v>
      </c>
      <c r="J46" s="2">
        <v>4.9694000000000003</v>
      </c>
      <c r="K46" s="2">
        <v>4.8536000000000001</v>
      </c>
      <c r="L46" s="2">
        <v>4.7988999999999997</v>
      </c>
      <c r="M46" s="2">
        <v>0</v>
      </c>
      <c r="N46" s="2">
        <v>0</v>
      </c>
      <c r="O46" s="2">
        <v>5.2328000000000001</v>
      </c>
      <c r="P46" s="2">
        <v>0</v>
      </c>
      <c r="Q46" s="2">
        <v>0</v>
      </c>
      <c r="R46" s="2">
        <v>0</v>
      </c>
      <c r="S46" s="2">
        <v>5.1710000000000003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5.2062999999999997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</row>
    <row r="47" spans="1:50" x14ac:dyDescent="0.25">
      <c r="A47" s="1">
        <v>43434</v>
      </c>
      <c r="B47" s="2">
        <v>0</v>
      </c>
      <c r="C47" s="2">
        <v>0</v>
      </c>
      <c r="D47" s="2">
        <v>9.7577999999999996</v>
      </c>
      <c r="E47" s="2">
        <v>5.0655000000000001</v>
      </c>
      <c r="F47" s="2">
        <v>9.8961000000000006</v>
      </c>
      <c r="G47" s="2">
        <v>0</v>
      </c>
      <c r="H47" s="2">
        <v>5.0997000000000003</v>
      </c>
      <c r="I47" s="2">
        <v>0</v>
      </c>
      <c r="J47" s="2">
        <v>4.9432999999999998</v>
      </c>
      <c r="K47" s="2">
        <v>4.8601999999999999</v>
      </c>
      <c r="L47" s="2">
        <v>4.8320999999999996</v>
      </c>
      <c r="M47" s="2">
        <v>0</v>
      </c>
      <c r="N47" s="2">
        <v>0</v>
      </c>
      <c r="O47" s="2">
        <v>5.1284999999999998</v>
      </c>
      <c r="P47" s="2">
        <v>0</v>
      </c>
      <c r="Q47" s="2">
        <v>0</v>
      </c>
      <c r="R47" s="2">
        <v>0</v>
      </c>
      <c r="S47" s="2">
        <v>5.0810000000000004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5.0964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5.2367999999999997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</row>
    <row r="48" spans="1:50" x14ac:dyDescent="0.25">
      <c r="A48" s="1">
        <v>43465</v>
      </c>
      <c r="B48" s="2">
        <v>0</v>
      </c>
      <c r="C48" s="2">
        <v>0</v>
      </c>
      <c r="D48" s="2">
        <v>9.1752000000000002</v>
      </c>
      <c r="E48" s="2">
        <v>4.8956999999999997</v>
      </c>
      <c r="F48" s="2">
        <v>9.2276000000000007</v>
      </c>
      <c r="G48" s="2">
        <v>0</v>
      </c>
      <c r="H48" s="2">
        <v>4.9716000000000005</v>
      </c>
      <c r="I48" s="2">
        <v>0</v>
      </c>
      <c r="J48" s="2">
        <v>4.7620000000000005</v>
      </c>
      <c r="K48" s="2">
        <v>4.6708999999999996</v>
      </c>
      <c r="L48" s="2">
        <v>4.5705999999999998</v>
      </c>
      <c r="M48" s="2">
        <v>0</v>
      </c>
      <c r="N48" s="2">
        <v>0</v>
      </c>
      <c r="O48" s="2">
        <v>4.9719999999999995</v>
      </c>
      <c r="P48" s="2">
        <v>0</v>
      </c>
      <c r="Q48" s="2">
        <v>0</v>
      </c>
      <c r="R48" s="2">
        <v>0</v>
      </c>
      <c r="S48" s="2">
        <v>4.9160000000000004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4.9470999999999998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</row>
    <row r="49" spans="1:50" x14ac:dyDescent="0.25">
      <c r="A49" s="1">
        <v>43496</v>
      </c>
      <c r="B49" s="2">
        <v>0</v>
      </c>
      <c r="C49" s="2">
        <v>0</v>
      </c>
      <c r="D49" s="2">
        <v>8.7608999999999995</v>
      </c>
      <c r="E49" s="2">
        <v>4.3917000000000002</v>
      </c>
      <c r="F49" s="2">
        <v>8.8702000000000005</v>
      </c>
      <c r="G49" s="2">
        <v>0</v>
      </c>
      <c r="H49" s="2">
        <v>4.4745999999999997</v>
      </c>
      <c r="I49" s="2">
        <v>0</v>
      </c>
      <c r="J49" s="2">
        <v>4.2415000000000003</v>
      </c>
      <c r="K49" s="2">
        <v>4.2134999999999998</v>
      </c>
      <c r="L49" s="2">
        <v>4.1420000000000003</v>
      </c>
      <c r="M49" s="2">
        <v>0</v>
      </c>
      <c r="N49" s="2">
        <v>0</v>
      </c>
      <c r="O49" s="2">
        <v>4.4960000000000004</v>
      </c>
      <c r="P49" s="2">
        <v>0</v>
      </c>
      <c r="Q49" s="2">
        <v>0</v>
      </c>
      <c r="R49" s="2">
        <v>0</v>
      </c>
      <c r="S49" s="2">
        <v>4.3940999999999999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4.4568000000000003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</row>
    <row r="50" spans="1:50" x14ac:dyDescent="0.25">
      <c r="A50" s="1">
        <v>43524</v>
      </c>
      <c r="B50" s="2">
        <v>0</v>
      </c>
      <c r="C50" s="2">
        <v>0</v>
      </c>
      <c r="D50" s="2">
        <v>8.9068000000000005</v>
      </c>
      <c r="E50" s="2">
        <v>4.3720999999999997</v>
      </c>
      <c r="F50" s="2">
        <v>9.0046999999999997</v>
      </c>
      <c r="G50" s="2">
        <v>0</v>
      </c>
      <c r="H50" s="2">
        <v>4.4899000000000004</v>
      </c>
      <c r="I50" s="2">
        <v>0</v>
      </c>
      <c r="J50" s="2">
        <v>4.2385000000000002</v>
      </c>
      <c r="K50" s="2">
        <v>4.2347000000000001</v>
      </c>
      <c r="L50" s="2">
        <v>4.1345000000000001</v>
      </c>
      <c r="M50" s="2">
        <v>0</v>
      </c>
      <c r="N50" s="2">
        <v>0</v>
      </c>
      <c r="O50" s="2">
        <v>4.5114000000000001</v>
      </c>
      <c r="P50" s="2">
        <v>0</v>
      </c>
      <c r="Q50" s="2">
        <v>0</v>
      </c>
      <c r="R50" s="2">
        <v>0</v>
      </c>
      <c r="S50" s="2">
        <v>4.3834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4.4734999999999996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3.8853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</row>
    <row r="51" spans="1:50" x14ac:dyDescent="0.25">
      <c r="A51" s="1">
        <v>43553</v>
      </c>
      <c r="B51" s="2">
        <v>0</v>
      </c>
      <c r="C51" s="2">
        <v>0</v>
      </c>
      <c r="D51" s="2">
        <v>8.8884000000000007</v>
      </c>
      <c r="E51" s="2">
        <v>4.3977000000000004</v>
      </c>
      <c r="F51" s="2">
        <v>8.9695999999999998</v>
      </c>
      <c r="G51" s="2">
        <v>0</v>
      </c>
      <c r="H51" s="2">
        <v>4.5308999999999999</v>
      </c>
      <c r="I51" s="2">
        <v>0</v>
      </c>
      <c r="J51" s="2">
        <v>4.2614999999999998</v>
      </c>
      <c r="K51" s="2">
        <v>4.2316000000000003</v>
      </c>
      <c r="L51" s="2">
        <v>4.1311999999999998</v>
      </c>
      <c r="M51" s="2">
        <v>0</v>
      </c>
      <c r="N51" s="2">
        <v>0</v>
      </c>
      <c r="O51" s="2">
        <v>4.5396999999999998</v>
      </c>
      <c r="P51" s="2">
        <v>0</v>
      </c>
      <c r="Q51" s="2">
        <v>0</v>
      </c>
      <c r="R51" s="2">
        <v>0</v>
      </c>
      <c r="S51" s="2">
        <v>4.3921999999999999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4.5240999999999998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3.8997000000000002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</row>
    <row r="52" spans="1:50" x14ac:dyDescent="0.25">
      <c r="A52" s="1">
        <v>43585</v>
      </c>
      <c r="B52" s="2">
        <v>0</v>
      </c>
      <c r="C52" s="2">
        <v>0</v>
      </c>
      <c r="D52" s="2">
        <v>8.8539999999999992</v>
      </c>
      <c r="E52" s="2">
        <v>4.3667999999999996</v>
      </c>
      <c r="F52" s="2">
        <v>8.9581999999999997</v>
      </c>
      <c r="G52" s="2">
        <v>0</v>
      </c>
      <c r="H52" s="2">
        <v>4.4706999999999999</v>
      </c>
      <c r="I52" s="2">
        <v>0</v>
      </c>
      <c r="J52" s="2">
        <v>4.2417999999999996</v>
      </c>
      <c r="K52" s="2">
        <v>4.2210999999999999</v>
      </c>
      <c r="L52" s="2">
        <v>4.1464999999999996</v>
      </c>
      <c r="M52" s="2">
        <v>0</v>
      </c>
      <c r="N52" s="2">
        <v>0</v>
      </c>
      <c r="O52" s="2">
        <v>4.4709000000000003</v>
      </c>
      <c r="P52" s="2">
        <v>0</v>
      </c>
      <c r="Q52" s="2">
        <v>0</v>
      </c>
      <c r="R52" s="2">
        <v>0</v>
      </c>
      <c r="S52" s="2">
        <v>4.3681000000000001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4.4615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3.9173999999999998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</row>
    <row r="53" spans="1:50" x14ac:dyDescent="0.25">
      <c r="A53" s="1">
        <v>43616</v>
      </c>
      <c r="B53" s="2">
        <v>0</v>
      </c>
      <c r="C53" s="2">
        <v>0</v>
      </c>
      <c r="D53" s="2">
        <v>8.3175000000000008</v>
      </c>
      <c r="E53" s="2">
        <v>3.9374000000000002</v>
      </c>
      <c r="F53" s="2">
        <v>8.4682999999999993</v>
      </c>
      <c r="G53" s="2">
        <v>0</v>
      </c>
      <c r="H53" s="2">
        <v>4.1349</v>
      </c>
      <c r="I53" s="2">
        <v>0</v>
      </c>
      <c r="J53" s="2">
        <v>3.8188</v>
      </c>
      <c r="K53" s="2">
        <v>3.8303000000000003</v>
      </c>
      <c r="L53" s="2">
        <v>3.7414000000000001</v>
      </c>
      <c r="M53" s="2">
        <v>0</v>
      </c>
      <c r="N53" s="2">
        <v>0</v>
      </c>
      <c r="O53" s="2">
        <v>4.1395999999999997</v>
      </c>
      <c r="P53" s="2">
        <v>0</v>
      </c>
      <c r="Q53" s="2">
        <v>0</v>
      </c>
      <c r="R53" s="2">
        <v>0</v>
      </c>
      <c r="S53" s="2">
        <v>3.9851000000000001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4.1254999999999997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3.6442000000000001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</row>
    <row r="54" spans="1:50" x14ac:dyDescent="0.25">
      <c r="A54" s="1">
        <v>43644</v>
      </c>
      <c r="B54" s="2">
        <v>0</v>
      </c>
      <c r="C54" s="2">
        <v>0</v>
      </c>
      <c r="D54" s="2">
        <v>8.1071000000000009</v>
      </c>
      <c r="E54" s="2">
        <v>3.5488</v>
      </c>
      <c r="F54" s="2">
        <v>8.1478999999999999</v>
      </c>
      <c r="G54" s="2">
        <v>0</v>
      </c>
      <c r="H54" s="2">
        <v>3.7782999999999998</v>
      </c>
      <c r="I54" s="2">
        <v>0</v>
      </c>
      <c r="J54" s="2">
        <v>3.415</v>
      </c>
      <c r="K54" s="2">
        <v>3.3902000000000001</v>
      </c>
      <c r="L54" s="2">
        <v>3.2052999999999998</v>
      </c>
      <c r="M54" s="2">
        <v>0</v>
      </c>
      <c r="N54" s="2">
        <v>0</v>
      </c>
      <c r="O54" s="2">
        <v>3.7833000000000001</v>
      </c>
      <c r="P54" s="2">
        <v>0</v>
      </c>
      <c r="Q54" s="2">
        <v>0</v>
      </c>
      <c r="R54" s="2">
        <v>0</v>
      </c>
      <c r="S54" s="2">
        <v>3.6263999999999998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3.7686000000000002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3.5045000000000002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</row>
    <row r="55" spans="1:50" x14ac:dyDescent="0.25">
      <c r="A55" s="1">
        <v>43677</v>
      </c>
      <c r="B55" s="2">
        <v>0</v>
      </c>
      <c r="C55" s="2">
        <v>0</v>
      </c>
      <c r="D55" s="2">
        <v>7.0824999999999996</v>
      </c>
      <c r="E55" s="2">
        <v>3.5388000000000002</v>
      </c>
      <c r="F55" s="2">
        <v>7.2417999999999996</v>
      </c>
      <c r="G55" s="2">
        <v>0</v>
      </c>
      <c r="H55" s="2">
        <v>3.6890999999999998</v>
      </c>
      <c r="I55" s="2">
        <v>0</v>
      </c>
      <c r="J55" s="2">
        <v>3.3559999999999999</v>
      </c>
      <c r="K55" s="2">
        <v>3.3113999999999999</v>
      </c>
      <c r="L55" s="2">
        <v>3.1139000000000001</v>
      </c>
      <c r="M55" s="2">
        <v>0</v>
      </c>
      <c r="N55" s="2">
        <v>0</v>
      </c>
      <c r="O55" s="2">
        <v>3.6890000000000001</v>
      </c>
      <c r="P55" s="2">
        <v>0</v>
      </c>
      <c r="Q55" s="2">
        <v>0</v>
      </c>
      <c r="R55" s="2">
        <v>0</v>
      </c>
      <c r="S55" s="2">
        <v>3.5516999999999999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3.6787000000000001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2.9706000000000001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</row>
    <row r="56" spans="1:50" x14ac:dyDescent="0.25">
      <c r="A56" s="1">
        <v>43707</v>
      </c>
      <c r="B56" s="2">
        <v>0</v>
      </c>
      <c r="C56" s="2">
        <v>0</v>
      </c>
      <c r="D56" s="2">
        <v>7.2313000000000001</v>
      </c>
      <c r="E56" s="2">
        <v>3.5973999999999999</v>
      </c>
      <c r="F56" s="2">
        <v>7.4222999999999999</v>
      </c>
      <c r="G56" s="2">
        <v>0</v>
      </c>
      <c r="H56" s="2">
        <v>3.7869999999999999</v>
      </c>
      <c r="I56" s="2">
        <v>0</v>
      </c>
      <c r="J56" s="2">
        <v>3.3852000000000002</v>
      </c>
      <c r="K56" s="2">
        <v>3.3572000000000002</v>
      </c>
      <c r="L56" s="2">
        <v>3.1935000000000002</v>
      </c>
      <c r="M56" s="2">
        <v>0</v>
      </c>
      <c r="N56" s="2">
        <v>0</v>
      </c>
      <c r="O56" s="2">
        <v>3.8031999999999999</v>
      </c>
      <c r="P56" s="2">
        <v>0</v>
      </c>
      <c r="Q56" s="2">
        <v>0</v>
      </c>
      <c r="R56" s="2">
        <v>0</v>
      </c>
      <c r="S56" s="2">
        <v>3.6715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3.7805999999999997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2.9260999999999999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</row>
    <row r="57" spans="1:50" x14ac:dyDescent="0.25">
      <c r="A57" s="1">
        <v>43738</v>
      </c>
      <c r="B57" s="2">
        <v>0</v>
      </c>
      <c r="C57" s="2">
        <v>0</v>
      </c>
      <c r="D57" s="2">
        <v>6.8149999999999995</v>
      </c>
      <c r="E57" s="2">
        <v>3.3081999999999998</v>
      </c>
      <c r="F57" s="2">
        <v>7.0361000000000002</v>
      </c>
      <c r="G57" s="2">
        <v>0</v>
      </c>
      <c r="H57" s="2">
        <v>3.5571000000000002</v>
      </c>
      <c r="I57" s="2">
        <v>0</v>
      </c>
      <c r="J57" s="2">
        <v>3.0632999999999999</v>
      </c>
      <c r="K57" s="2">
        <v>2.9946999999999999</v>
      </c>
      <c r="L57" s="2">
        <v>2.7902</v>
      </c>
      <c r="M57" s="2">
        <v>0</v>
      </c>
      <c r="N57" s="2">
        <v>0</v>
      </c>
      <c r="O57" s="2">
        <v>3.5560999999999998</v>
      </c>
      <c r="P57" s="2">
        <v>0</v>
      </c>
      <c r="Q57" s="2">
        <v>0</v>
      </c>
      <c r="R57" s="2">
        <v>0</v>
      </c>
      <c r="S57" s="2">
        <v>3.4344000000000001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3.5472000000000001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2.6560000000000001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</row>
    <row r="58" spans="1:50" x14ac:dyDescent="0.25">
      <c r="A58" s="1">
        <v>43769</v>
      </c>
      <c r="B58" s="2">
        <v>0</v>
      </c>
      <c r="C58" s="2">
        <v>0</v>
      </c>
      <c r="D58" s="2">
        <v>6.2393000000000001</v>
      </c>
      <c r="E58" s="2">
        <v>2.8702999999999999</v>
      </c>
      <c r="F58" s="2">
        <v>6.4611000000000001</v>
      </c>
      <c r="G58" s="2">
        <v>0</v>
      </c>
      <c r="H58" s="2">
        <v>3.2652000000000001</v>
      </c>
      <c r="I58" s="2">
        <v>0</v>
      </c>
      <c r="J58" s="2">
        <v>2.6898</v>
      </c>
      <c r="K58" s="2">
        <v>2.5920000000000001</v>
      </c>
      <c r="L58" s="2">
        <v>2.3694000000000002</v>
      </c>
      <c r="M58" s="2">
        <v>0</v>
      </c>
      <c r="N58" s="2">
        <v>0</v>
      </c>
      <c r="O58" s="2">
        <v>3.2717000000000001</v>
      </c>
      <c r="P58" s="2">
        <v>0</v>
      </c>
      <c r="Q58" s="2">
        <v>0</v>
      </c>
      <c r="R58" s="2">
        <v>0</v>
      </c>
      <c r="S58" s="2">
        <v>3.1364000000000001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3.2553000000000001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2.3077000000000001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</row>
    <row r="59" spans="1:50" x14ac:dyDescent="0.25">
      <c r="A59" s="1">
        <v>43798</v>
      </c>
      <c r="B59" s="2">
        <v>0</v>
      </c>
      <c r="C59" s="2">
        <v>0</v>
      </c>
      <c r="D59" s="2">
        <v>6.7394999999999996</v>
      </c>
      <c r="E59" s="2">
        <v>3.2480000000000002</v>
      </c>
      <c r="F59" s="2">
        <v>6.9135</v>
      </c>
      <c r="G59" s="2">
        <v>0</v>
      </c>
      <c r="H59" s="2">
        <v>3.6031</v>
      </c>
      <c r="I59" s="2">
        <v>0</v>
      </c>
      <c r="J59" s="2">
        <v>3.0701000000000001</v>
      </c>
      <c r="K59" s="2">
        <v>2.9496000000000002</v>
      </c>
      <c r="L59" s="2">
        <v>2.7419000000000002</v>
      </c>
      <c r="M59" s="2">
        <v>0</v>
      </c>
      <c r="N59" s="2">
        <v>0</v>
      </c>
      <c r="O59" s="2">
        <v>3.6019999999999999</v>
      </c>
      <c r="P59" s="2">
        <v>0</v>
      </c>
      <c r="Q59" s="2">
        <v>0</v>
      </c>
      <c r="R59" s="2">
        <v>0</v>
      </c>
      <c r="S59" s="2">
        <v>3.4683999999999999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3.5926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2.7014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</row>
    <row r="60" spans="1:50" x14ac:dyDescent="0.25">
      <c r="A60" s="1">
        <v>43830</v>
      </c>
      <c r="B60" s="2">
        <v>0</v>
      </c>
      <c r="C60" s="2">
        <v>0</v>
      </c>
      <c r="D60" s="2">
        <v>6.6652000000000005</v>
      </c>
      <c r="E60" s="2">
        <v>3.2412999999999998</v>
      </c>
      <c r="F60" s="2">
        <v>6.7813999999999997</v>
      </c>
      <c r="G60" s="2">
        <v>0</v>
      </c>
      <c r="H60" s="2">
        <v>3.4693000000000001</v>
      </c>
      <c r="I60" s="2">
        <v>0</v>
      </c>
      <c r="J60" s="2">
        <v>3.0687000000000002</v>
      </c>
      <c r="K60" s="2">
        <v>2.8719999999999999</v>
      </c>
      <c r="L60" s="2">
        <v>2.6661000000000001</v>
      </c>
      <c r="M60" s="2">
        <v>0</v>
      </c>
      <c r="N60" s="2">
        <v>0</v>
      </c>
      <c r="O60" s="2">
        <v>3.4763000000000002</v>
      </c>
      <c r="P60" s="2">
        <v>0</v>
      </c>
      <c r="Q60" s="2">
        <v>0</v>
      </c>
      <c r="R60" s="2">
        <v>0</v>
      </c>
      <c r="S60" s="2">
        <v>3.3956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3.4630000000000001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3.1164999999999998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</row>
    <row r="61" spans="1:50" x14ac:dyDescent="0.25">
      <c r="A61" s="1">
        <v>43861</v>
      </c>
      <c r="B61" s="2">
        <v>0</v>
      </c>
      <c r="C61" s="2">
        <v>6.8571999999999997</v>
      </c>
      <c r="D61" s="2">
        <v>6.4748000000000001</v>
      </c>
      <c r="E61" s="2">
        <v>3.2631999999999999</v>
      </c>
      <c r="F61" s="2">
        <v>6.6906999999999996</v>
      </c>
      <c r="G61" s="2">
        <v>0</v>
      </c>
      <c r="H61" s="2">
        <v>3.5699000000000001</v>
      </c>
      <c r="I61" s="2">
        <v>0</v>
      </c>
      <c r="J61" s="2">
        <v>3.0478999999999998</v>
      </c>
      <c r="K61" s="2">
        <v>2.8365999999999998</v>
      </c>
      <c r="L61" s="2">
        <v>2.6644999999999999</v>
      </c>
      <c r="M61" s="2">
        <v>0</v>
      </c>
      <c r="N61" s="2">
        <v>0</v>
      </c>
      <c r="O61" s="2">
        <v>3.5579000000000001</v>
      </c>
      <c r="P61" s="2">
        <v>0</v>
      </c>
      <c r="Q61" s="2">
        <v>0</v>
      </c>
      <c r="R61" s="2">
        <v>0</v>
      </c>
      <c r="S61" s="2">
        <v>3.4750000000000001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3.5728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2.6320000000000001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</row>
    <row r="62" spans="1:50" x14ac:dyDescent="0.25">
      <c r="A62" s="1">
        <v>43889</v>
      </c>
      <c r="B62" s="2">
        <v>0</v>
      </c>
      <c r="C62" s="2">
        <v>6.9531999999999998</v>
      </c>
      <c r="D62" s="2">
        <v>6.5052000000000003</v>
      </c>
      <c r="E62" s="2">
        <v>3.23</v>
      </c>
      <c r="F62" s="2">
        <v>6.7633999999999999</v>
      </c>
      <c r="G62" s="2">
        <v>0</v>
      </c>
      <c r="H62" s="2">
        <v>3.5880999999999998</v>
      </c>
      <c r="I62" s="2">
        <v>0</v>
      </c>
      <c r="J62" s="2">
        <v>3.0066000000000002</v>
      </c>
      <c r="K62" s="2">
        <v>2.7927999999999997</v>
      </c>
      <c r="L62" s="2">
        <v>2.5634999999999999</v>
      </c>
      <c r="M62" s="2">
        <v>0</v>
      </c>
      <c r="N62" s="2">
        <v>0</v>
      </c>
      <c r="O62" s="2">
        <v>3.5822000000000003</v>
      </c>
      <c r="P62" s="2">
        <v>0</v>
      </c>
      <c r="Q62" s="2">
        <v>0</v>
      </c>
      <c r="R62" s="2">
        <v>0</v>
      </c>
      <c r="S62" s="2">
        <v>3.4596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3.5972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2.5822000000000003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</row>
    <row r="63" spans="1:50" x14ac:dyDescent="0.25">
      <c r="A63" s="1">
        <v>43921</v>
      </c>
      <c r="B63" s="2">
        <v>0</v>
      </c>
      <c r="C63" s="2">
        <v>7.9050000000000002</v>
      </c>
      <c r="D63" s="2">
        <v>7.3422999999999998</v>
      </c>
      <c r="E63" s="2">
        <v>4.3170999999999999</v>
      </c>
      <c r="F63" s="2">
        <v>7.6858000000000004</v>
      </c>
      <c r="G63" s="2">
        <v>0</v>
      </c>
      <c r="H63" s="2">
        <v>4.5664999999999996</v>
      </c>
      <c r="I63" s="2">
        <v>0</v>
      </c>
      <c r="J63" s="2">
        <v>3.9849000000000001</v>
      </c>
      <c r="K63" s="2">
        <v>3.6968999999999999</v>
      </c>
      <c r="L63" s="2">
        <v>3.5301</v>
      </c>
      <c r="M63" s="2">
        <v>0</v>
      </c>
      <c r="N63" s="2">
        <v>0</v>
      </c>
      <c r="O63" s="2">
        <v>4.5468999999999999</v>
      </c>
      <c r="P63" s="2">
        <v>0</v>
      </c>
      <c r="Q63" s="2">
        <v>0</v>
      </c>
      <c r="R63" s="2">
        <v>0</v>
      </c>
      <c r="S63" s="2">
        <v>4.4070999999999998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4.5588999999999995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3.5114999999999998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</row>
    <row r="64" spans="1:50" x14ac:dyDescent="0.25">
      <c r="A64" s="1">
        <v>43951</v>
      </c>
      <c r="B64" s="2">
        <v>0</v>
      </c>
      <c r="C64" s="2">
        <v>7.7731000000000003</v>
      </c>
      <c r="D64" s="2">
        <v>7.1228999999999996</v>
      </c>
      <c r="E64" s="2">
        <v>4.1124999999999998</v>
      </c>
      <c r="F64" s="2">
        <v>7.5242000000000004</v>
      </c>
      <c r="G64" s="2">
        <v>0</v>
      </c>
      <c r="H64" s="2">
        <v>4.4157999999999999</v>
      </c>
      <c r="I64" s="2">
        <v>0</v>
      </c>
      <c r="J64" s="2">
        <v>3.8033999999999999</v>
      </c>
      <c r="K64" s="2">
        <v>3.5945999999999998</v>
      </c>
      <c r="L64" s="2">
        <v>3.3235000000000001</v>
      </c>
      <c r="M64" s="2">
        <v>0</v>
      </c>
      <c r="N64" s="2">
        <v>0</v>
      </c>
      <c r="O64" s="2">
        <v>4.4160000000000004</v>
      </c>
      <c r="P64" s="2">
        <v>0</v>
      </c>
      <c r="Q64" s="2">
        <v>0</v>
      </c>
      <c r="R64" s="2">
        <v>0</v>
      </c>
      <c r="S64" s="2">
        <v>4.3297999999999996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4.415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3.3996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</row>
    <row r="65" spans="1:50" x14ac:dyDescent="0.25">
      <c r="A65" s="1">
        <v>43980</v>
      </c>
      <c r="B65" s="2">
        <v>0</v>
      </c>
      <c r="C65" s="2">
        <v>7.226</v>
      </c>
      <c r="D65" s="2">
        <v>6.5728999999999997</v>
      </c>
      <c r="E65" s="2">
        <v>3.9858000000000002</v>
      </c>
      <c r="F65" s="2">
        <v>6.9462999999999999</v>
      </c>
      <c r="G65" s="2">
        <v>0</v>
      </c>
      <c r="H65" s="2">
        <v>4.3996000000000004</v>
      </c>
      <c r="I65" s="2">
        <v>0</v>
      </c>
      <c r="J65" s="2">
        <v>3.5592000000000001</v>
      </c>
      <c r="K65" s="2">
        <v>3.1749000000000001</v>
      </c>
      <c r="L65" s="2">
        <v>2.6753</v>
      </c>
      <c r="M65" s="2">
        <v>0</v>
      </c>
      <c r="N65" s="2">
        <v>0</v>
      </c>
      <c r="O65" s="2">
        <v>4.3629999999999995</v>
      </c>
      <c r="P65" s="2">
        <v>0</v>
      </c>
      <c r="Q65" s="2">
        <v>0</v>
      </c>
      <c r="R65" s="2">
        <v>0</v>
      </c>
      <c r="S65" s="2">
        <v>4.21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4.4017999999999997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3.0621999999999998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</row>
    <row r="66" spans="1:50" x14ac:dyDescent="0.25">
      <c r="A66" s="1">
        <v>44012</v>
      </c>
      <c r="B66" s="2">
        <v>0</v>
      </c>
      <c r="C66" s="2">
        <v>7.5796000000000001</v>
      </c>
      <c r="D66" s="2">
        <v>7.1764000000000001</v>
      </c>
      <c r="E66" s="2">
        <v>3.7519</v>
      </c>
      <c r="F66" s="2">
        <v>7.4231999999999996</v>
      </c>
      <c r="G66" s="2">
        <v>0</v>
      </c>
      <c r="H66" s="2">
        <v>4.2005999999999997</v>
      </c>
      <c r="I66" s="2">
        <v>0</v>
      </c>
      <c r="J66" s="2">
        <v>3.2164999999999999</v>
      </c>
      <c r="K66" s="2">
        <v>2.8727999999999998</v>
      </c>
      <c r="L66" s="2">
        <v>2.4384000000000001</v>
      </c>
      <c r="M66" s="2">
        <v>0</v>
      </c>
      <c r="N66" s="2">
        <v>0</v>
      </c>
      <c r="O66" s="2">
        <v>4.1920999999999999</v>
      </c>
      <c r="P66" s="2">
        <v>0</v>
      </c>
      <c r="Q66" s="2">
        <v>0</v>
      </c>
      <c r="R66" s="2">
        <v>0</v>
      </c>
      <c r="S66" s="2">
        <v>4.0472999999999999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4.2069999999999999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3.1339999999999999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</row>
    <row r="67" spans="1:50" x14ac:dyDescent="0.25">
      <c r="A67" s="1">
        <v>44043</v>
      </c>
      <c r="B67" s="2">
        <v>0</v>
      </c>
      <c r="C67" s="2">
        <v>6.5616000000000003</v>
      </c>
      <c r="D67" s="2">
        <v>5.8718000000000004</v>
      </c>
      <c r="E67" s="2">
        <v>3.1558000000000002</v>
      </c>
      <c r="F67" s="2">
        <v>6.2622</v>
      </c>
      <c r="G67" s="2">
        <v>0</v>
      </c>
      <c r="H67" s="2">
        <v>3.7002000000000002</v>
      </c>
      <c r="I67" s="2">
        <v>0</v>
      </c>
      <c r="J67" s="2">
        <v>2.7504</v>
      </c>
      <c r="K67" s="2">
        <v>2.3997999999999999</v>
      </c>
      <c r="L67" s="2">
        <v>1.9533</v>
      </c>
      <c r="M67" s="2">
        <v>0</v>
      </c>
      <c r="N67" s="2">
        <v>0</v>
      </c>
      <c r="O67" s="2">
        <v>3.6867000000000001</v>
      </c>
      <c r="P67" s="2">
        <v>0</v>
      </c>
      <c r="Q67" s="2">
        <v>0</v>
      </c>
      <c r="R67" s="2">
        <v>0</v>
      </c>
      <c r="S67" s="2">
        <v>3.4845000000000002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3.7061000000000002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2.3858999999999999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</row>
    <row r="68" spans="1:50" x14ac:dyDescent="0.25">
      <c r="A68" s="1">
        <v>44074</v>
      </c>
      <c r="B68" s="2">
        <v>0</v>
      </c>
      <c r="C68" s="2">
        <v>7.1703999999999999</v>
      </c>
      <c r="D68" s="2">
        <v>6.5594000000000001</v>
      </c>
      <c r="E68" s="2">
        <v>3.5002</v>
      </c>
      <c r="F68" s="2">
        <v>6.8995999999999995</v>
      </c>
      <c r="G68" s="2">
        <v>0</v>
      </c>
      <c r="H68" s="2">
        <v>4.0343999999999998</v>
      </c>
      <c r="I68" s="2">
        <v>0</v>
      </c>
      <c r="J68" s="2">
        <v>3.0731999999999999</v>
      </c>
      <c r="K68" s="2">
        <v>2.7382</v>
      </c>
      <c r="L68" s="2">
        <v>2.3142</v>
      </c>
      <c r="M68" s="2">
        <v>0</v>
      </c>
      <c r="N68" s="2">
        <v>0</v>
      </c>
      <c r="O68" s="2">
        <v>4.0183999999999997</v>
      </c>
      <c r="P68" s="2">
        <v>0</v>
      </c>
      <c r="Q68" s="2">
        <v>0</v>
      </c>
      <c r="R68" s="2">
        <v>0</v>
      </c>
      <c r="S68" s="2">
        <v>3.7987000000000002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4.0560999999999998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2.4588999999999999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</row>
    <row r="69" spans="1:50" x14ac:dyDescent="0.25">
      <c r="A69" s="1">
        <v>44104</v>
      </c>
      <c r="B69" s="2">
        <v>0</v>
      </c>
      <c r="C69" s="2">
        <v>7.6818999999999997</v>
      </c>
      <c r="D69" s="2">
        <v>7.1182999999999996</v>
      </c>
      <c r="E69" s="2">
        <v>3.8431999999999999</v>
      </c>
      <c r="F69" s="2">
        <v>7.3832000000000004</v>
      </c>
      <c r="G69" s="2">
        <v>0</v>
      </c>
      <c r="H69" s="2">
        <v>4.3067000000000002</v>
      </c>
      <c r="I69" s="2">
        <v>0</v>
      </c>
      <c r="J69" s="2">
        <v>3.4291999999999998</v>
      </c>
      <c r="K69" s="2">
        <v>3.0510000000000002</v>
      </c>
      <c r="L69" s="2">
        <v>2.6315</v>
      </c>
      <c r="M69" s="2">
        <v>0</v>
      </c>
      <c r="N69" s="2">
        <v>0</v>
      </c>
      <c r="O69" s="2">
        <v>4.2949000000000002</v>
      </c>
      <c r="P69" s="2">
        <v>0</v>
      </c>
      <c r="Q69" s="2">
        <v>0</v>
      </c>
      <c r="R69" s="2">
        <v>0</v>
      </c>
      <c r="S69" s="2">
        <v>4.1224999999999996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4.3250000000000002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3.4382000000000001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</row>
    <row r="70" spans="1:50" x14ac:dyDescent="0.25">
      <c r="A70" s="1">
        <v>44134</v>
      </c>
      <c r="B70" s="2">
        <v>0</v>
      </c>
      <c r="C70" s="2">
        <v>7.8692000000000002</v>
      </c>
      <c r="D70" s="2">
        <v>7.2923</v>
      </c>
      <c r="E70" s="2">
        <v>3.9337999999999997</v>
      </c>
      <c r="F70" s="2">
        <v>7.5747</v>
      </c>
      <c r="G70" s="2">
        <v>0</v>
      </c>
      <c r="H70" s="2">
        <v>4.3375000000000004</v>
      </c>
      <c r="I70" s="2">
        <v>0</v>
      </c>
      <c r="J70" s="2">
        <v>3.5331000000000001</v>
      </c>
      <c r="K70" s="2">
        <v>3.2684000000000002</v>
      </c>
      <c r="L70" s="2">
        <v>2.9003999999999999</v>
      </c>
      <c r="M70" s="2">
        <v>0</v>
      </c>
      <c r="N70" s="2">
        <v>0</v>
      </c>
      <c r="O70" s="2">
        <v>4.3306000000000004</v>
      </c>
      <c r="P70" s="2">
        <v>0</v>
      </c>
      <c r="Q70" s="2">
        <v>0</v>
      </c>
      <c r="R70" s="2">
        <v>0</v>
      </c>
      <c r="S70" s="2">
        <v>4.1490999999999998</v>
      </c>
      <c r="T70" s="2">
        <v>0</v>
      </c>
      <c r="U70" s="2">
        <v>0.1953</v>
      </c>
      <c r="V70" s="2">
        <v>0</v>
      </c>
      <c r="W70" s="2">
        <v>0</v>
      </c>
      <c r="X70" s="2">
        <v>0.30509999999999998</v>
      </c>
      <c r="Y70" s="2">
        <v>0</v>
      </c>
      <c r="Z70" s="2">
        <v>0.34360000000000002</v>
      </c>
      <c r="AA70" s="2">
        <v>0</v>
      </c>
      <c r="AB70" s="2">
        <v>4.3469999999999995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0.3427</v>
      </c>
      <c r="AP70" s="2">
        <v>2.9839000000000002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</row>
    <row r="71" spans="1:50" x14ac:dyDescent="0.25">
      <c r="A71" s="1">
        <v>44165</v>
      </c>
      <c r="B71" s="2">
        <v>0</v>
      </c>
      <c r="C71" s="2">
        <v>7.9794</v>
      </c>
      <c r="D71" s="2">
        <v>7.3121</v>
      </c>
      <c r="E71" s="2">
        <v>3.7873000000000001</v>
      </c>
      <c r="F71" s="2">
        <v>7.6128</v>
      </c>
      <c r="G71" s="2">
        <v>0</v>
      </c>
      <c r="H71" s="2">
        <v>4.2317</v>
      </c>
      <c r="I71" s="2">
        <v>0</v>
      </c>
      <c r="J71" s="2">
        <v>3.3517999999999999</v>
      </c>
      <c r="K71" s="2">
        <v>3.1069</v>
      </c>
      <c r="L71" s="2">
        <v>2.7595000000000001</v>
      </c>
      <c r="M71" s="2">
        <v>0</v>
      </c>
      <c r="N71" s="2">
        <v>0</v>
      </c>
      <c r="O71" s="2">
        <v>4.2205000000000004</v>
      </c>
      <c r="P71" s="2">
        <v>0</v>
      </c>
      <c r="Q71" s="2">
        <v>0</v>
      </c>
      <c r="R71" s="2">
        <v>0</v>
      </c>
      <c r="S71" s="2">
        <v>4.0749000000000004</v>
      </c>
      <c r="T71" s="2">
        <v>0</v>
      </c>
      <c r="U71" s="2">
        <v>0.22409999999999999</v>
      </c>
      <c r="V71" s="2">
        <v>0</v>
      </c>
      <c r="W71" s="2">
        <v>0</v>
      </c>
      <c r="X71" s="2">
        <v>0.34649999999999997</v>
      </c>
      <c r="Y71" s="2">
        <v>0</v>
      </c>
      <c r="Z71" s="2">
        <v>0.36349999999999999</v>
      </c>
      <c r="AA71" s="2">
        <v>0</v>
      </c>
      <c r="AB71" s="2">
        <v>4.2294999999999998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0.35510000000000003</v>
      </c>
      <c r="AP71" s="2">
        <v>3.3460000000000001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</row>
    <row r="72" spans="1:50" x14ac:dyDescent="0.25">
      <c r="A72" s="1">
        <v>44196</v>
      </c>
      <c r="B72" s="2">
        <v>0</v>
      </c>
      <c r="C72" s="2">
        <v>6.9024000000000001</v>
      </c>
      <c r="D72" s="2">
        <v>6.2100999999999997</v>
      </c>
      <c r="E72" s="2">
        <v>3.2092000000000001</v>
      </c>
      <c r="F72" s="2">
        <v>6.5890000000000004</v>
      </c>
      <c r="G72" s="2">
        <v>0</v>
      </c>
      <c r="H72" s="2">
        <v>3.7970999999999999</v>
      </c>
      <c r="I72" s="2">
        <v>0</v>
      </c>
      <c r="J72" s="2">
        <v>2.8167999999999997</v>
      </c>
      <c r="K72" s="2">
        <v>2.5712999999999999</v>
      </c>
      <c r="L72" s="2">
        <v>2.2328000000000001</v>
      </c>
      <c r="M72" s="2">
        <v>0</v>
      </c>
      <c r="N72" s="2">
        <v>0</v>
      </c>
      <c r="O72" s="2">
        <v>3.7980999999999998</v>
      </c>
      <c r="P72" s="2">
        <v>0</v>
      </c>
      <c r="Q72" s="2">
        <v>0</v>
      </c>
      <c r="R72" s="2">
        <v>0</v>
      </c>
      <c r="S72" s="2">
        <v>3.5823</v>
      </c>
      <c r="T72" s="2">
        <v>0</v>
      </c>
      <c r="U72" s="2">
        <v>0.1399</v>
      </c>
      <c r="V72" s="2">
        <v>0</v>
      </c>
      <c r="W72" s="2">
        <v>0</v>
      </c>
      <c r="X72" s="2">
        <v>0.26619999999999999</v>
      </c>
      <c r="Y72" s="2">
        <v>0</v>
      </c>
      <c r="Z72" s="2">
        <v>0.33560000000000001</v>
      </c>
      <c r="AA72" s="2">
        <v>0</v>
      </c>
      <c r="AB72" s="2">
        <v>3.7972000000000001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0.27310000000000001</v>
      </c>
      <c r="AP72" s="2">
        <v>3.8209999999999997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</row>
    <row r="73" spans="1:50" x14ac:dyDescent="0.25">
      <c r="A73" s="1">
        <v>44225</v>
      </c>
      <c r="B73" s="2">
        <v>0</v>
      </c>
      <c r="C73" s="2">
        <v>7.5956999999999999</v>
      </c>
      <c r="D73" s="2">
        <v>6.8368000000000002</v>
      </c>
      <c r="E73" s="2">
        <v>3.4100999999999999</v>
      </c>
      <c r="F73" s="2">
        <v>7.282</v>
      </c>
      <c r="G73" s="2">
        <v>0</v>
      </c>
      <c r="H73" s="2">
        <v>4.0145</v>
      </c>
      <c r="I73" s="2">
        <v>0</v>
      </c>
      <c r="J73" s="2">
        <v>3.1549</v>
      </c>
      <c r="K73" s="2">
        <v>2.9741</v>
      </c>
      <c r="L73" s="2">
        <v>2.5935000000000001</v>
      </c>
      <c r="M73" s="2">
        <v>0</v>
      </c>
      <c r="N73" s="2">
        <v>0</v>
      </c>
      <c r="O73" s="2">
        <v>3.9823</v>
      </c>
      <c r="P73" s="2">
        <v>0</v>
      </c>
      <c r="Q73" s="2">
        <v>0</v>
      </c>
      <c r="R73" s="2">
        <v>0</v>
      </c>
      <c r="S73" s="2">
        <v>3.7624</v>
      </c>
      <c r="T73" s="2">
        <v>0</v>
      </c>
      <c r="U73" s="2">
        <v>0.13550000000000001</v>
      </c>
      <c r="V73" s="2">
        <v>0</v>
      </c>
      <c r="W73" s="2">
        <v>0</v>
      </c>
      <c r="X73" s="2">
        <v>0.20469999999999999</v>
      </c>
      <c r="Y73" s="2">
        <v>0</v>
      </c>
      <c r="Z73" s="2">
        <v>0.3075</v>
      </c>
      <c r="AA73" s="2">
        <v>0</v>
      </c>
      <c r="AB73" s="2">
        <v>4.0601000000000003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0.20419999999999999</v>
      </c>
      <c r="AP73" s="2">
        <v>3.0785999999999998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</row>
    <row r="74" spans="1:50" x14ac:dyDescent="0.25">
      <c r="A74" s="1">
        <v>44253</v>
      </c>
      <c r="B74" s="2">
        <v>0</v>
      </c>
      <c r="C74" s="2">
        <v>8.4994999999999994</v>
      </c>
      <c r="D74" s="2">
        <v>7.8832000000000004</v>
      </c>
      <c r="E74" s="2">
        <v>3.7556000000000003</v>
      </c>
      <c r="F74" s="2">
        <v>8.2177000000000007</v>
      </c>
      <c r="G74" s="2">
        <v>0</v>
      </c>
      <c r="H74" s="2">
        <v>4.2199</v>
      </c>
      <c r="I74" s="2">
        <v>0</v>
      </c>
      <c r="J74" s="2">
        <v>3.5634999999999999</v>
      </c>
      <c r="K74" s="2">
        <v>3.4243000000000001</v>
      </c>
      <c r="L74" s="2">
        <v>3.1038999999999999</v>
      </c>
      <c r="M74" s="2">
        <v>0</v>
      </c>
      <c r="N74" s="2">
        <v>0</v>
      </c>
      <c r="O74" s="2">
        <v>4.1692</v>
      </c>
      <c r="P74" s="2">
        <v>0</v>
      </c>
      <c r="Q74" s="2">
        <v>0</v>
      </c>
      <c r="R74" s="2">
        <v>0</v>
      </c>
      <c r="S74" s="2">
        <v>4.0034000000000001</v>
      </c>
      <c r="T74" s="2">
        <v>0</v>
      </c>
      <c r="U74" s="2">
        <v>0.20749999999999999</v>
      </c>
      <c r="V74" s="2">
        <v>0</v>
      </c>
      <c r="W74" s="2">
        <v>0</v>
      </c>
      <c r="X74" s="2">
        <v>0.25419999999999998</v>
      </c>
      <c r="Y74" s="2">
        <v>0</v>
      </c>
      <c r="Z74" s="2">
        <v>0.3347</v>
      </c>
      <c r="AA74" s="2">
        <v>0</v>
      </c>
      <c r="AB74" s="2">
        <v>4.25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0.25840000000000002</v>
      </c>
      <c r="AP74" s="2">
        <v>3.0436000000000001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</row>
    <row r="75" spans="1:50" x14ac:dyDescent="0.25">
      <c r="A75" s="1">
        <v>44286</v>
      </c>
      <c r="B75" s="2">
        <v>0</v>
      </c>
      <c r="C75" s="2">
        <v>9.3079000000000001</v>
      </c>
      <c r="D75" s="2">
        <v>8.7874999999999996</v>
      </c>
      <c r="E75" s="2">
        <v>3.988</v>
      </c>
      <c r="F75" s="2">
        <v>9.1301000000000005</v>
      </c>
      <c r="G75" s="2">
        <v>0</v>
      </c>
      <c r="H75" s="2">
        <v>4.4242999999999997</v>
      </c>
      <c r="I75" s="2">
        <v>0</v>
      </c>
      <c r="J75" s="2">
        <v>3.9348999999999998</v>
      </c>
      <c r="K75" s="2">
        <v>3.8296999999999999</v>
      </c>
      <c r="L75" s="2">
        <v>3.4839000000000002</v>
      </c>
      <c r="M75" s="2">
        <v>0</v>
      </c>
      <c r="N75" s="2">
        <v>0</v>
      </c>
      <c r="O75" s="2">
        <v>4.3635000000000002</v>
      </c>
      <c r="P75" s="2">
        <v>0</v>
      </c>
      <c r="Q75" s="2">
        <v>0</v>
      </c>
      <c r="R75" s="2">
        <v>0</v>
      </c>
      <c r="S75" s="2">
        <v>4.2198000000000002</v>
      </c>
      <c r="T75" s="2">
        <v>0</v>
      </c>
      <c r="U75" s="2">
        <v>0.2298</v>
      </c>
      <c r="V75" s="2">
        <v>0</v>
      </c>
      <c r="W75" s="2">
        <v>0</v>
      </c>
      <c r="X75" s="2">
        <v>0.26769999999999999</v>
      </c>
      <c r="Y75" s="2">
        <v>0</v>
      </c>
      <c r="Z75" s="2">
        <v>0.3206</v>
      </c>
      <c r="AA75" s="2">
        <v>0</v>
      </c>
      <c r="AB75" s="2">
        <v>4.4444999999999997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0.27179999999999999</v>
      </c>
      <c r="AP75" s="2">
        <v>3.7942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</row>
    <row r="76" spans="1:50" x14ac:dyDescent="0.25">
      <c r="A76" s="1">
        <v>44316</v>
      </c>
      <c r="B76" s="2">
        <v>0</v>
      </c>
      <c r="C76" s="2">
        <v>9.1187000000000005</v>
      </c>
      <c r="D76" s="2">
        <v>8.5164000000000009</v>
      </c>
      <c r="E76" s="2">
        <v>4.0282</v>
      </c>
      <c r="F76" s="2">
        <v>8.9215999999999998</v>
      </c>
      <c r="G76" s="2">
        <v>0</v>
      </c>
      <c r="H76" s="2">
        <v>4.4817999999999998</v>
      </c>
      <c r="I76" s="2">
        <v>0</v>
      </c>
      <c r="J76" s="2">
        <v>3.9811000000000001</v>
      </c>
      <c r="K76" s="2">
        <v>3.7774999999999999</v>
      </c>
      <c r="L76" s="2">
        <v>3.3651</v>
      </c>
      <c r="M76" s="2">
        <v>0</v>
      </c>
      <c r="N76" s="2">
        <v>0</v>
      </c>
      <c r="O76" s="2">
        <v>4.4009999999999998</v>
      </c>
      <c r="P76" s="2">
        <v>0</v>
      </c>
      <c r="Q76" s="2">
        <v>0</v>
      </c>
      <c r="R76" s="2">
        <v>0</v>
      </c>
      <c r="S76" s="2">
        <v>4.2507999999999999</v>
      </c>
      <c r="T76" s="2">
        <v>0</v>
      </c>
      <c r="U76" s="2">
        <v>0.32219999999999999</v>
      </c>
      <c r="V76" s="2">
        <v>0</v>
      </c>
      <c r="W76" s="2">
        <v>0</v>
      </c>
      <c r="X76" s="2">
        <v>0.32679999999999998</v>
      </c>
      <c r="Y76" s="2">
        <v>0</v>
      </c>
      <c r="Z76" s="2">
        <v>0.34360000000000002</v>
      </c>
      <c r="AA76" s="2">
        <v>0</v>
      </c>
      <c r="AB76" s="2">
        <v>4.4976000000000003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0.3281</v>
      </c>
      <c r="AP76" s="2">
        <v>3.8885000000000001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</row>
    <row r="77" spans="1:50" x14ac:dyDescent="0.25">
      <c r="A77" s="1">
        <v>44347</v>
      </c>
      <c r="B77" s="2">
        <v>0</v>
      </c>
      <c r="C77" s="2">
        <v>9.1275999999999993</v>
      </c>
      <c r="D77" s="2">
        <v>8.5053000000000001</v>
      </c>
      <c r="E77" s="2">
        <v>4.0945999999999998</v>
      </c>
      <c r="F77" s="2">
        <v>8.8899000000000008</v>
      </c>
      <c r="G77" s="2">
        <v>0</v>
      </c>
      <c r="H77" s="2">
        <v>4.3874000000000004</v>
      </c>
      <c r="I77" s="2">
        <v>0</v>
      </c>
      <c r="J77" s="2">
        <v>3.984</v>
      </c>
      <c r="K77" s="2">
        <v>3.7808999999999999</v>
      </c>
      <c r="L77" s="2">
        <v>3.4024000000000001</v>
      </c>
      <c r="M77" s="2">
        <v>0</v>
      </c>
      <c r="N77" s="2">
        <v>0</v>
      </c>
      <c r="O77" s="2">
        <v>4.3286999999999995</v>
      </c>
      <c r="P77" s="2">
        <v>0</v>
      </c>
      <c r="Q77" s="2">
        <v>0</v>
      </c>
      <c r="R77" s="2">
        <v>0</v>
      </c>
      <c r="S77" s="2">
        <v>4.2252999999999998</v>
      </c>
      <c r="T77" s="2">
        <v>0</v>
      </c>
      <c r="U77" s="2">
        <v>0.2702</v>
      </c>
      <c r="V77" s="2">
        <v>0</v>
      </c>
      <c r="W77" s="2">
        <v>0</v>
      </c>
      <c r="X77" s="2">
        <v>0.29039999999999999</v>
      </c>
      <c r="Y77" s="2">
        <v>0</v>
      </c>
      <c r="Z77" s="2">
        <v>0.316</v>
      </c>
      <c r="AA77" s="2">
        <v>0</v>
      </c>
      <c r="AB77" s="2">
        <v>4.4368999999999996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0.29089999999999999</v>
      </c>
      <c r="AP77" s="2">
        <v>3.5468000000000002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</row>
    <row r="78" spans="1:50" x14ac:dyDescent="0.25">
      <c r="A78" s="1">
        <v>44377</v>
      </c>
      <c r="B78" s="2">
        <v>0</v>
      </c>
      <c r="C78" s="2">
        <v>9.9154999999999998</v>
      </c>
      <c r="D78" s="2">
        <v>9.7182999999999993</v>
      </c>
      <c r="E78" s="2">
        <v>4.0871000000000004</v>
      </c>
      <c r="F78" s="2">
        <v>9.7248999999999999</v>
      </c>
      <c r="G78" s="2">
        <v>0</v>
      </c>
      <c r="H78" s="2">
        <v>4.3840000000000003</v>
      </c>
      <c r="I78" s="2">
        <v>0</v>
      </c>
      <c r="J78" s="2">
        <v>4.0343999999999998</v>
      </c>
      <c r="K78" s="2">
        <v>3.9127000000000001</v>
      </c>
      <c r="L78" s="2">
        <v>3.6962999999999999</v>
      </c>
      <c r="M78" s="2">
        <v>0</v>
      </c>
      <c r="N78" s="2">
        <v>0</v>
      </c>
      <c r="O78" s="2">
        <v>4.3609</v>
      </c>
      <c r="P78" s="2">
        <v>0</v>
      </c>
      <c r="Q78" s="2">
        <v>0</v>
      </c>
      <c r="R78" s="2">
        <v>0</v>
      </c>
      <c r="S78" s="2">
        <v>4.2645999999999997</v>
      </c>
      <c r="T78" s="2">
        <v>0</v>
      </c>
      <c r="U78" s="2">
        <v>0.26050000000000001</v>
      </c>
      <c r="V78" s="2">
        <v>0</v>
      </c>
      <c r="W78" s="2">
        <v>0</v>
      </c>
      <c r="X78" s="2">
        <v>0.27379999999999999</v>
      </c>
      <c r="Y78" s="2">
        <v>0</v>
      </c>
      <c r="Z78" s="2">
        <v>0.29980000000000001</v>
      </c>
      <c r="AA78" s="2">
        <v>0</v>
      </c>
      <c r="AB78" s="2">
        <v>4.4292999999999996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0.28029999999999999</v>
      </c>
      <c r="AP78" s="2">
        <v>3.9710999999999999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</row>
    <row r="79" spans="1:50" x14ac:dyDescent="0.25">
      <c r="A79" s="1">
        <v>44407</v>
      </c>
      <c r="B79" s="2">
        <v>0</v>
      </c>
      <c r="C79" s="2">
        <v>9.5905000000000005</v>
      </c>
      <c r="D79" s="2">
        <v>9.1173000000000002</v>
      </c>
      <c r="E79" s="2">
        <v>4.3230000000000004</v>
      </c>
      <c r="F79" s="2">
        <v>9.3126999999999995</v>
      </c>
      <c r="G79" s="2">
        <v>0</v>
      </c>
      <c r="H79" s="2">
        <v>4.5015999999999998</v>
      </c>
      <c r="I79" s="2">
        <v>0</v>
      </c>
      <c r="J79" s="2">
        <v>4.2720000000000002</v>
      </c>
      <c r="K79" s="2">
        <v>4.2156000000000002</v>
      </c>
      <c r="L79" s="2">
        <v>4.0288000000000004</v>
      </c>
      <c r="M79" s="2">
        <v>0</v>
      </c>
      <c r="N79" s="2">
        <v>0</v>
      </c>
      <c r="O79" s="2">
        <v>4.4818999999999996</v>
      </c>
      <c r="P79" s="2">
        <v>0</v>
      </c>
      <c r="Q79" s="2">
        <v>0</v>
      </c>
      <c r="R79" s="2">
        <v>0</v>
      </c>
      <c r="S79" s="2">
        <v>4.4467999999999996</v>
      </c>
      <c r="T79" s="2">
        <v>0</v>
      </c>
      <c r="U79" s="2">
        <v>0.22409999999999999</v>
      </c>
      <c r="V79" s="2">
        <v>0</v>
      </c>
      <c r="W79" s="2">
        <v>0</v>
      </c>
      <c r="X79" s="2">
        <v>0.24110000000000001</v>
      </c>
      <c r="Y79" s="2">
        <v>0</v>
      </c>
      <c r="Z79" s="2">
        <v>0.2656</v>
      </c>
      <c r="AA79" s="2">
        <v>0</v>
      </c>
      <c r="AB79" s="2">
        <v>4.5503</v>
      </c>
      <c r="AC79" s="2">
        <v>0</v>
      </c>
      <c r="AD79" s="2">
        <v>0</v>
      </c>
      <c r="AE79" s="2">
        <v>0.31209999999999999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0.2402</v>
      </c>
      <c r="AP79" s="2">
        <v>3.5467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</row>
    <row r="80" spans="1:50" x14ac:dyDescent="0.25">
      <c r="A80" s="1">
        <v>44439</v>
      </c>
      <c r="B80" s="2">
        <v>0</v>
      </c>
      <c r="C80" s="2">
        <v>10.5349</v>
      </c>
      <c r="D80" s="2">
        <v>10.0488</v>
      </c>
      <c r="E80" s="2">
        <v>4.6238999999999999</v>
      </c>
      <c r="F80" s="2">
        <v>10.2385</v>
      </c>
      <c r="G80" s="2">
        <v>0</v>
      </c>
      <c r="H80" s="2">
        <v>4.8121999999999998</v>
      </c>
      <c r="I80" s="2">
        <v>0</v>
      </c>
      <c r="J80" s="2">
        <v>4.5808999999999997</v>
      </c>
      <c r="K80" s="2">
        <v>4.5181000000000004</v>
      </c>
      <c r="L80" s="2">
        <v>4.3864999999999998</v>
      </c>
      <c r="M80" s="2">
        <v>0</v>
      </c>
      <c r="N80" s="2">
        <v>0</v>
      </c>
      <c r="O80" s="2">
        <v>4.8027999999999995</v>
      </c>
      <c r="P80" s="2">
        <v>0</v>
      </c>
      <c r="Q80" s="2">
        <v>0</v>
      </c>
      <c r="R80" s="2">
        <v>0</v>
      </c>
      <c r="S80" s="2">
        <v>4.7686000000000002</v>
      </c>
      <c r="T80" s="2">
        <v>0</v>
      </c>
      <c r="U80" s="2">
        <v>0.21390000000000001</v>
      </c>
      <c r="V80" s="2">
        <v>0</v>
      </c>
      <c r="W80" s="2">
        <v>0</v>
      </c>
      <c r="X80" s="2">
        <v>0.2339</v>
      </c>
      <c r="Y80" s="2">
        <v>0</v>
      </c>
      <c r="Z80" s="2">
        <v>0.29749999999999999</v>
      </c>
      <c r="AA80" s="2">
        <v>0</v>
      </c>
      <c r="AB80" s="2">
        <v>4.8357000000000001</v>
      </c>
      <c r="AC80" s="2">
        <v>0</v>
      </c>
      <c r="AD80" s="2">
        <v>0</v>
      </c>
      <c r="AE80" s="2">
        <v>0.3145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0.2364</v>
      </c>
      <c r="AP80" s="2">
        <v>4.1562999999999999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</row>
    <row r="81" spans="1:50" x14ac:dyDescent="0.25">
      <c r="A81" s="1">
        <v>44469</v>
      </c>
      <c r="B81" s="2">
        <v>0</v>
      </c>
      <c r="C81" s="2">
        <v>11.151199999999999</v>
      </c>
      <c r="D81" s="2">
        <v>10.674900000000001</v>
      </c>
      <c r="E81" s="2">
        <v>4.9263000000000003</v>
      </c>
      <c r="F81" s="2">
        <v>10.936999999999999</v>
      </c>
      <c r="G81" s="2">
        <v>0</v>
      </c>
      <c r="H81" s="2">
        <v>5.0407000000000002</v>
      </c>
      <c r="I81" s="2">
        <v>0</v>
      </c>
      <c r="J81" s="2">
        <v>4.8769</v>
      </c>
      <c r="K81" s="2">
        <v>4.798</v>
      </c>
      <c r="L81" s="2">
        <v>4.6378000000000004</v>
      </c>
      <c r="M81" s="2">
        <v>0</v>
      </c>
      <c r="N81" s="2">
        <v>0</v>
      </c>
      <c r="O81" s="2">
        <v>5.0235000000000003</v>
      </c>
      <c r="P81" s="2">
        <v>0</v>
      </c>
      <c r="Q81" s="2">
        <v>0</v>
      </c>
      <c r="R81" s="2">
        <v>0</v>
      </c>
      <c r="S81" s="2">
        <v>5.0122999999999998</v>
      </c>
      <c r="T81" s="2">
        <v>0</v>
      </c>
      <c r="U81" s="2">
        <v>0.19839999999999999</v>
      </c>
      <c r="V81" s="2">
        <v>0</v>
      </c>
      <c r="W81" s="2">
        <v>0</v>
      </c>
      <c r="X81" s="2">
        <v>0.22869999999999999</v>
      </c>
      <c r="Y81" s="2">
        <v>0</v>
      </c>
      <c r="Z81" s="2">
        <v>0.28000000000000003</v>
      </c>
      <c r="AA81" s="2">
        <v>0</v>
      </c>
      <c r="AB81" s="2">
        <v>5.0688000000000004</v>
      </c>
      <c r="AC81" s="2">
        <v>0</v>
      </c>
      <c r="AD81" s="2">
        <v>0</v>
      </c>
      <c r="AE81" s="2">
        <v>0.3145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0.2296</v>
      </c>
      <c r="AP81" s="2">
        <v>4.07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</row>
    <row r="82" spans="1:50" x14ac:dyDescent="0.25">
      <c r="A82" s="1">
        <v>44498</v>
      </c>
      <c r="B82" s="2">
        <v>0</v>
      </c>
      <c r="C82" s="2">
        <v>12.2164</v>
      </c>
      <c r="D82" s="2">
        <v>12.148899999999999</v>
      </c>
      <c r="E82" s="2">
        <v>5.4716000000000005</v>
      </c>
      <c r="F82" s="2">
        <v>12.184100000000001</v>
      </c>
      <c r="G82" s="2">
        <v>0</v>
      </c>
      <c r="H82" s="2">
        <v>5.5004999999999997</v>
      </c>
      <c r="I82" s="2">
        <v>0</v>
      </c>
      <c r="J82" s="2">
        <v>5.4577</v>
      </c>
      <c r="K82" s="2">
        <v>5.4469000000000003</v>
      </c>
      <c r="L82" s="2">
        <v>5.4408000000000003</v>
      </c>
      <c r="M82" s="2">
        <v>0</v>
      </c>
      <c r="N82" s="2">
        <v>0</v>
      </c>
      <c r="O82" s="2">
        <v>5.4950000000000001</v>
      </c>
      <c r="P82" s="2">
        <v>0</v>
      </c>
      <c r="Q82" s="2">
        <v>0</v>
      </c>
      <c r="R82" s="2">
        <v>0</v>
      </c>
      <c r="S82" s="2">
        <v>5.4786000000000001</v>
      </c>
      <c r="T82" s="2">
        <v>0</v>
      </c>
      <c r="U82" s="2">
        <v>0.16320000000000001</v>
      </c>
      <c r="V82" s="2">
        <v>0</v>
      </c>
      <c r="W82" s="2">
        <v>0</v>
      </c>
      <c r="X82" s="2">
        <v>0.20910000000000001</v>
      </c>
      <c r="Y82" s="2">
        <v>0</v>
      </c>
      <c r="Z82" s="2">
        <v>0.25919999999999999</v>
      </c>
      <c r="AA82" s="2">
        <v>0</v>
      </c>
      <c r="AB82" s="2">
        <v>5.5118</v>
      </c>
      <c r="AC82" s="2">
        <v>0</v>
      </c>
      <c r="AD82" s="2">
        <v>0</v>
      </c>
      <c r="AE82" s="2">
        <v>0.27950000000000003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0.2137</v>
      </c>
      <c r="AP82" s="2">
        <v>4.4542000000000002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</row>
    <row r="83" spans="1:50" x14ac:dyDescent="0.25">
      <c r="A83" s="1">
        <v>44530</v>
      </c>
      <c r="B83" s="2">
        <v>0</v>
      </c>
      <c r="C83" s="2">
        <v>11.3971</v>
      </c>
      <c r="D83" s="2">
        <v>11.3927</v>
      </c>
      <c r="E83" s="2">
        <v>5.1353</v>
      </c>
      <c r="F83" s="2">
        <v>11.3985</v>
      </c>
      <c r="G83" s="2">
        <v>0</v>
      </c>
      <c r="H83" s="2">
        <v>5.2964000000000002</v>
      </c>
      <c r="I83" s="2">
        <v>0</v>
      </c>
      <c r="J83" s="2">
        <v>5.1136999999999997</v>
      </c>
      <c r="K83" s="2">
        <v>5.0884999999999998</v>
      </c>
      <c r="L83" s="2">
        <v>5.04</v>
      </c>
      <c r="M83" s="2">
        <v>0</v>
      </c>
      <c r="N83" s="2">
        <v>0</v>
      </c>
      <c r="O83" s="2">
        <v>5.2683</v>
      </c>
      <c r="P83" s="2">
        <v>0</v>
      </c>
      <c r="Q83" s="2">
        <v>0</v>
      </c>
      <c r="R83" s="2">
        <v>0</v>
      </c>
      <c r="S83" s="2">
        <v>5.2068000000000003</v>
      </c>
      <c r="T83" s="2">
        <v>0</v>
      </c>
      <c r="U83" s="2">
        <v>0.15670000000000001</v>
      </c>
      <c r="V83" s="2">
        <v>0</v>
      </c>
      <c r="W83" s="2">
        <v>0</v>
      </c>
      <c r="X83" s="2">
        <v>0.19259999999999999</v>
      </c>
      <c r="Y83" s="2">
        <v>0</v>
      </c>
      <c r="Z83" s="2">
        <v>0.24310000000000001</v>
      </c>
      <c r="AA83" s="2">
        <v>0</v>
      </c>
      <c r="AB83" s="2">
        <v>5.3010999999999999</v>
      </c>
      <c r="AC83" s="2">
        <v>0</v>
      </c>
      <c r="AD83" s="2">
        <v>0</v>
      </c>
      <c r="AE83" s="2">
        <v>0.2717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0.2021</v>
      </c>
      <c r="AP83" s="2">
        <v>4.6733000000000002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</row>
    <row r="84" spans="1:50" x14ac:dyDescent="0.25">
      <c r="A84" s="1">
        <v>44561</v>
      </c>
      <c r="B84" s="2">
        <v>0</v>
      </c>
      <c r="C84" s="2">
        <v>12.411</v>
      </c>
      <c r="D84" s="2">
        <v>12.8703</v>
      </c>
      <c r="E84" s="2">
        <v>5.1569000000000003</v>
      </c>
      <c r="F84" s="2">
        <v>12.583600000000001</v>
      </c>
      <c r="G84" s="2">
        <v>0</v>
      </c>
      <c r="H84" s="2">
        <v>5.3184000000000005</v>
      </c>
      <c r="I84" s="2">
        <v>0</v>
      </c>
      <c r="J84" s="2">
        <v>5.1311</v>
      </c>
      <c r="K84" s="2">
        <v>5.1071</v>
      </c>
      <c r="L84" s="2">
        <v>5.0606999999999998</v>
      </c>
      <c r="M84" s="2">
        <v>0</v>
      </c>
      <c r="N84" s="2">
        <v>0</v>
      </c>
      <c r="O84" s="2">
        <v>5.2892000000000001</v>
      </c>
      <c r="P84" s="2">
        <v>0</v>
      </c>
      <c r="Q84" s="2">
        <v>0</v>
      </c>
      <c r="R84" s="2">
        <v>0</v>
      </c>
      <c r="S84" s="2">
        <v>5.2309000000000001</v>
      </c>
      <c r="T84" s="2">
        <v>0</v>
      </c>
      <c r="U84" s="2">
        <v>0.16320000000000001</v>
      </c>
      <c r="V84" s="2">
        <v>0</v>
      </c>
      <c r="W84" s="2">
        <v>0</v>
      </c>
      <c r="X84" s="2">
        <v>0.1991</v>
      </c>
      <c r="Y84" s="2">
        <v>0</v>
      </c>
      <c r="Z84" s="2">
        <v>0.24890000000000001</v>
      </c>
      <c r="AA84" s="2">
        <v>0</v>
      </c>
      <c r="AB84" s="2">
        <v>5.3266</v>
      </c>
      <c r="AC84" s="2">
        <v>0</v>
      </c>
      <c r="AD84" s="2">
        <v>0</v>
      </c>
      <c r="AE84" s="2">
        <v>0.27500000000000002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0.2082</v>
      </c>
      <c r="AP84" s="2">
        <v>6.4490999999999996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</row>
    <row r="85" spans="1:50" x14ac:dyDescent="0.25">
      <c r="A85" s="1">
        <v>44592</v>
      </c>
      <c r="B85" s="2">
        <v>0</v>
      </c>
      <c r="C85" s="2">
        <v>11.3444</v>
      </c>
      <c r="D85" s="2">
        <v>11.192299999999999</v>
      </c>
      <c r="E85" s="2">
        <v>5.6201999999999996</v>
      </c>
      <c r="F85" s="2">
        <v>11.4108</v>
      </c>
      <c r="G85" s="2">
        <v>11.422700000000001</v>
      </c>
      <c r="H85" s="2">
        <v>5.6858000000000004</v>
      </c>
      <c r="I85" s="2">
        <v>0</v>
      </c>
      <c r="J85" s="2">
        <v>5.5161999999999995</v>
      </c>
      <c r="K85" s="2">
        <v>5.4782000000000002</v>
      </c>
      <c r="L85" s="2">
        <v>5.3914</v>
      </c>
      <c r="M85" s="2">
        <v>5.7119</v>
      </c>
      <c r="N85" s="2">
        <v>5.5677000000000003</v>
      </c>
      <c r="O85" s="2">
        <v>5.6905999999999999</v>
      </c>
      <c r="P85" s="2">
        <v>0</v>
      </c>
      <c r="Q85" s="2">
        <v>0</v>
      </c>
      <c r="R85" s="2">
        <v>5.4596</v>
      </c>
      <c r="S85" s="2">
        <v>5.6515000000000004</v>
      </c>
      <c r="T85" s="2">
        <v>0</v>
      </c>
      <c r="U85" s="2">
        <v>0.12690000000000001</v>
      </c>
      <c r="V85" s="2">
        <v>0</v>
      </c>
      <c r="W85" s="2">
        <v>0</v>
      </c>
      <c r="X85" s="2">
        <v>0.16400000000000001</v>
      </c>
      <c r="Y85" s="2">
        <v>0</v>
      </c>
      <c r="Z85" s="2">
        <v>0.21310000000000001</v>
      </c>
      <c r="AA85" s="2">
        <v>0</v>
      </c>
      <c r="AB85" s="2">
        <v>5.6660000000000004</v>
      </c>
      <c r="AC85" s="2">
        <v>0</v>
      </c>
      <c r="AD85" s="2">
        <v>0</v>
      </c>
      <c r="AE85" s="2">
        <v>0.22500000000000001</v>
      </c>
      <c r="AF85" s="2">
        <v>0</v>
      </c>
      <c r="AG85" s="2">
        <v>0</v>
      </c>
      <c r="AH85" s="2">
        <v>0</v>
      </c>
      <c r="AI85" s="2">
        <v>0.24349999999999999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0.17269999999999999</v>
      </c>
      <c r="AP85" s="2">
        <v>4.8062000000000005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</row>
    <row r="86" spans="1:50" x14ac:dyDescent="0.25">
      <c r="A86" s="1">
        <v>44620</v>
      </c>
      <c r="B86" s="2">
        <v>0</v>
      </c>
      <c r="C86" s="2">
        <v>11.56</v>
      </c>
      <c r="D86" s="2">
        <v>11.2858</v>
      </c>
      <c r="E86" s="2">
        <v>5.7492999999999999</v>
      </c>
      <c r="F86" s="2">
        <v>11.542899999999999</v>
      </c>
      <c r="G86" s="2">
        <v>11.690899999999999</v>
      </c>
      <c r="H86" s="2">
        <v>5.7610999999999999</v>
      </c>
      <c r="I86" s="2">
        <v>0</v>
      </c>
      <c r="J86" s="2">
        <v>5.6955</v>
      </c>
      <c r="K86" s="2">
        <v>5.6360999999999999</v>
      </c>
      <c r="L86" s="2">
        <v>5.5182000000000002</v>
      </c>
      <c r="M86" s="2">
        <v>5.7518000000000002</v>
      </c>
      <c r="N86" s="2">
        <v>5.7404999999999999</v>
      </c>
      <c r="O86" s="2">
        <v>5.7672999999999996</v>
      </c>
      <c r="P86" s="2">
        <v>0</v>
      </c>
      <c r="Q86" s="2">
        <v>0</v>
      </c>
      <c r="R86" s="2">
        <v>5.5602</v>
      </c>
      <c r="S86" s="2">
        <v>5.7659000000000002</v>
      </c>
      <c r="T86" s="2">
        <v>0</v>
      </c>
      <c r="U86" s="2">
        <v>8.3500000000000005E-2</v>
      </c>
      <c r="V86" s="2">
        <v>0</v>
      </c>
      <c r="W86" s="2">
        <v>0</v>
      </c>
      <c r="X86" s="2">
        <v>0.11119999999999999</v>
      </c>
      <c r="Y86" s="2">
        <v>0</v>
      </c>
      <c r="Z86" s="2">
        <v>0.1404</v>
      </c>
      <c r="AA86" s="2">
        <v>0</v>
      </c>
      <c r="AB86" s="2">
        <v>5.7519999999999998</v>
      </c>
      <c r="AC86" s="2">
        <v>0</v>
      </c>
      <c r="AD86" s="2">
        <v>0</v>
      </c>
      <c r="AE86" s="2">
        <v>0.13930000000000001</v>
      </c>
      <c r="AF86" s="2">
        <v>0</v>
      </c>
      <c r="AG86" s="2">
        <v>0</v>
      </c>
      <c r="AH86" s="2">
        <v>0</v>
      </c>
      <c r="AI86" s="2">
        <v>0.13980000000000001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0.11550000000000001</v>
      </c>
      <c r="AP86" s="2">
        <v>4.3642000000000003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</row>
    <row r="87" spans="1:50" x14ac:dyDescent="0.25">
      <c r="A87" s="1">
        <v>44651</v>
      </c>
      <c r="B87" s="2">
        <v>0</v>
      </c>
      <c r="C87" s="2">
        <v>11.626300000000001</v>
      </c>
      <c r="D87" s="2">
        <v>11.3818</v>
      </c>
      <c r="E87" s="2">
        <v>5.4836999999999998</v>
      </c>
      <c r="F87" s="2">
        <v>11.4801</v>
      </c>
      <c r="G87" s="2">
        <v>11.6639</v>
      </c>
      <c r="H87" s="2">
        <v>5.6474000000000002</v>
      </c>
      <c r="I87" s="2">
        <v>0</v>
      </c>
      <c r="J87" s="2">
        <v>5.3975</v>
      </c>
      <c r="K87" s="2">
        <v>5.3343999999999996</v>
      </c>
      <c r="L87" s="2">
        <v>5.2050000000000001</v>
      </c>
      <c r="M87" s="2">
        <v>5.6371000000000002</v>
      </c>
      <c r="N87" s="2">
        <v>5.4635999999999996</v>
      </c>
      <c r="O87" s="2">
        <v>5.6388999999999996</v>
      </c>
      <c r="P87" s="2">
        <v>0</v>
      </c>
      <c r="Q87" s="2">
        <v>0</v>
      </c>
      <c r="R87" s="2">
        <v>5.2523999999999997</v>
      </c>
      <c r="S87" s="2">
        <v>5.5338000000000003</v>
      </c>
      <c r="T87" s="2">
        <v>0</v>
      </c>
      <c r="U87" s="2">
        <v>6.4600000000000005E-2</v>
      </c>
      <c r="V87" s="2">
        <v>0</v>
      </c>
      <c r="W87" s="2">
        <v>0</v>
      </c>
      <c r="X87" s="2">
        <v>9.1999999999999998E-2</v>
      </c>
      <c r="Y87" s="2">
        <v>0</v>
      </c>
      <c r="Z87" s="2">
        <v>0.15870000000000001</v>
      </c>
      <c r="AA87" s="2">
        <v>0</v>
      </c>
      <c r="AB87" s="2">
        <v>5.6401000000000003</v>
      </c>
      <c r="AC87" s="2">
        <v>0</v>
      </c>
      <c r="AD87" s="2">
        <v>0</v>
      </c>
      <c r="AE87" s="2">
        <v>0.16539999999999999</v>
      </c>
      <c r="AF87" s="2">
        <v>0</v>
      </c>
      <c r="AG87" s="2">
        <v>0</v>
      </c>
      <c r="AH87" s="2">
        <v>0</v>
      </c>
      <c r="AI87" s="2">
        <v>0.16450000000000001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9.5500000000000002E-2</v>
      </c>
      <c r="AP87" s="2">
        <v>4.2916999999999996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</row>
    <row r="88" spans="1:50" x14ac:dyDescent="0.25">
      <c r="A88" s="1">
        <v>44680</v>
      </c>
      <c r="B88" s="2">
        <v>0</v>
      </c>
      <c r="C88" s="2">
        <v>12.248900000000001</v>
      </c>
      <c r="D88" s="2">
        <v>12.0776</v>
      </c>
      <c r="E88" s="2">
        <v>5.6420000000000003</v>
      </c>
      <c r="F88" s="2">
        <v>12.1662</v>
      </c>
      <c r="G88" s="2">
        <v>12.292899999999999</v>
      </c>
      <c r="H88" s="2">
        <v>5.8118999999999996</v>
      </c>
      <c r="I88" s="2">
        <v>0</v>
      </c>
      <c r="J88" s="2">
        <v>5.5331999999999999</v>
      </c>
      <c r="K88" s="2">
        <v>5.5068999999999999</v>
      </c>
      <c r="L88" s="2">
        <v>5.4314999999999998</v>
      </c>
      <c r="M88" s="2">
        <v>5.8262</v>
      </c>
      <c r="N88" s="2">
        <v>5.6005000000000003</v>
      </c>
      <c r="O88" s="2">
        <v>5.7907000000000002</v>
      </c>
      <c r="P88" s="2">
        <v>0</v>
      </c>
      <c r="Q88" s="2">
        <v>0</v>
      </c>
      <c r="R88" s="2">
        <v>5.5004999999999997</v>
      </c>
      <c r="S88" s="2">
        <v>5.6890000000000001</v>
      </c>
      <c r="T88" s="2">
        <v>0</v>
      </c>
      <c r="U88" s="2">
        <v>0.1406</v>
      </c>
      <c r="V88" s="2">
        <v>0</v>
      </c>
      <c r="W88" s="2">
        <v>0</v>
      </c>
      <c r="X88" s="2">
        <v>0.15310000000000001</v>
      </c>
      <c r="Y88" s="2">
        <v>0</v>
      </c>
      <c r="Z88" s="2">
        <v>0.18459999999999999</v>
      </c>
      <c r="AA88" s="2">
        <v>0</v>
      </c>
      <c r="AB88" s="2">
        <v>5.8125</v>
      </c>
      <c r="AC88" s="2">
        <v>0</v>
      </c>
      <c r="AD88" s="2">
        <v>0.19789999999999999</v>
      </c>
      <c r="AE88" s="2">
        <v>0.19159999999999999</v>
      </c>
      <c r="AF88" s="2">
        <v>0</v>
      </c>
      <c r="AG88" s="2">
        <v>0</v>
      </c>
      <c r="AH88" s="2">
        <v>0</v>
      </c>
      <c r="AI88" s="2">
        <v>0.1898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0.1578</v>
      </c>
      <c r="AP88" s="2">
        <v>4.4081999999999999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</row>
    <row r="89" spans="1:50" x14ac:dyDescent="0.25">
      <c r="A89" s="1">
        <v>44712</v>
      </c>
      <c r="B89" s="2">
        <v>0</v>
      </c>
      <c r="C89" s="2">
        <v>12.567500000000001</v>
      </c>
      <c r="D89" s="2">
        <v>12.441800000000001</v>
      </c>
      <c r="E89" s="2">
        <v>5.6997999999999998</v>
      </c>
      <c r="F89" s="2">
        <v>12.515000000000001</v>
      </c>
      <c r="G89" s="2">
        <v>12.6014</v>
      </c>
      <c r="H89" s="2">
        <v>5.8258999999999999</v>
      </c>
      <c r="I89" s="2">
        <v>0</v>
      </c>
      <c r="J89" s="2">
        <v>5.5918000000000001</v>
      </c>
      <c r="K89" s="2">
        <v>5.5820999999999996</v>
      </c>
      <c r="L89" s="2">
        <v>5.5679999999999996</v>
      </c>
      <c r="M89" s="2">
        <v>5.8669000000000002</v>
      </c>
      <c r="N89" s="2">
        <v>5.6721000000000004</v>
      </c>
      <c r="O89" s="2">
        <v>5.8079000000000001</v>
      </c>
      <c r="P89" s="2">
        <v>0</v>
      </c>
      <c r="Q89" s="2">
        <v>0</v>
      </c>
      <c r="R89" s="2">
        <v>5.5759999999999996</v>
      </c>
      <c r="S89" s="2">
        <v>5.7180999999999997</v>
      </c>
      <c r="T89" s="2">
        <v>0</v>
      </c>
      <c r="U89" s="2">
        <v>0.126</v>
      </c>
      <c r="V89" s="2">
        <v>0</v>
      </c>
      <c r="W89" s="2">
        <v>0</v>
      </c>
      <c r="X89" s="2">
        <v>0.1424</v>
      </c>
      <c r="Y89" s="2">
        <v>0</v>
      </c>
      <c r="Z89" s="2">
        <v>0.16389999999999999</v>
      </c>
      <c r="AA89" s="2">
        <v>0</v>
      </c>
      <c r="AB89" s="2">
        <v>5.8379000000000003</v>
      </c>
      <c r="AC89" s="2">
        <v>0</v>
      </c>
      <c r="AD89" s="2">
        <v>0.16850000000000001</v>
      </c>
      <c r="AE89" s="2">
        <v>0.1663</v>
      </c>
      <c r="AF89" s="2">
        <v>0</v>
      </c>
      <c r="AG89" s="2">
        <v>0</v>
      </c>
      <c r="AH89" s="2">
        <v>0</v>
      </c>
      <c r="AI89" s="2">
        <v>0.1656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0.14399999999999999</v>
      </c>
      <c r="AP89" s="2">
        <v>4.4391999999999996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</row>
    <row r="90" spans="1:50" x14ac:dyDescent="0.25">
      <c r="A90" s="1">
        <v>44742</v>
      </c>
      <c r="B90" s="2">
        <v>0</v>
      </c>
      <c r="C90" s="2">
        <v>14.255599999999999</v>
      </c>
      <c r="D90" s="2">
        <v>14.5992</v>
      </c>
      <c r="E90" s="2">
        <v>5.8924000000000003</v>
      </c>
      <c r="F90" s="2">
        <v>14.3893</v>
      </c>
      <c r="G90" s="2">
        <v>14.1843</v>
      </c>
      <c r="H90" s="2">
        <v>6.0430000000000001</v>
      </c>
      <c r="I90" s="2">
        <v>0</v>
      </c>
      <c r="J90" s="2">
        <v>5.7553000000000001</v>
      </c>
      <c r="K90" s="2">
        <v>5.7526000000000002</v>
      </c>
      <c r="L90" s="2">
        <v>5.7500999999999998</v>
      </c>
      <c r="M90" s="2">
        <v>6.0568</v>
      </c>
      <c r="N90" s="2">
        <v>5.8133999999999997</v>
      </c>
      <c r="O90" s="2">
        <v>6.0233999999999996</v>
      </c>
      <c r="P90" s="2">
        <v>0</v>
      </c>
      <c r="Q90" s="2">
        <v>0</v>
      </c>
      <c r="R90" s="2">
        <v>5.7561</v>
      </c>
      <c r="S90" s="2">
        <v>5.9371</v>
      </c>
      <c r="T90" s="2">
        <v>0</v>
      </c>
      <c r="U90" s="2">
        <v>0.106</v>
      </c>
      <c r="V90" s="2">
        <v>0</v>
      </c>
      <c r="W90" s="2">
        <v>0</v>
      </c>
      <c r="X90" s="2">
        <v>0.1234</v>
      </c>
      <c r="Y90" s="2">
        <v>0</v>
      </c>
      <c r="Z90" s="2">
        <v>0.14960000000000001</v>
      </c>
      <c r="AA90" s="2">
        <v>0</v>
      </c>
      <c r="AB90" s="2">
        <v>6.0434999999999999</v>
      </c>
      <c r="AC90" s="2">
        <v>0</v>
      </c>
      <c r="AD90" s="2">
        <v>0.16189999999999999</v>
      </c>
      <c r="AE90" s="2">
        <v>0.15160000000000001</v>
      </c>
      <c r="AF90" s="2">
        <v>0</v>
      </c>
      <c r="AG90" s="2">
        <v>0</v>
      </c>
      <c r="AH90" s="2">
        <v>0</v>
      </c>
      <c r="AI90" s="2">
        <v>0.1525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0.12559999999999999</v>
      </c>
      <c r="AP90" s="2">
        <v>5.0033000000000003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</row>
    <row r="91" spans="1:50" x14ac:dyDescent="0.25">
      <c r="A91" s="1">
        <v>44771</v>
      </c>
      <c r="B91" s="2">
        <v>0</v>
      </c>
      <c r="C91" s="2">
        <v>12.928800000000001</v>
      </c>
      <c r="D91" s="2">
        <v>12.775399999999999</v>
      </c>
      <c r="E91" s="2">
        <v>6.1955</v>
      </c>
      <c r="F91" s="2">
        <v>12.8986</v>
      </c>
      <c r="G91" s="2">
        <v>12.929</v>
      </c>
      <c r="H91" s="2">
        <v>6.2572000000000001</v>
      </c>
      <c r="I91" s="2">
        <v>12.732200000000001</v>
      </c>
      <c r="J91" s="2">
        <v>6.0388999999999999</v>
      </c>
      <c r="K91" s="2">
        <v>6.0270999999999999</v>
      </c>
      <c r="L91" s="2">
        <v>6.0025000000000004</v>
      </c>
      <c r="M91" s="2">
        <v>6.2689000000000004</v>
      </c>
      <c r="N91" s="2">
        <v>6.1241000000000003</v>
      </c>
      <c r="O91" s="2">
        <v>6.2508999999999997</v>
      </c>
      <c r="P91" s="2">
        <v>0</v>
      </c>
      <c r="Q91" s="2">
        <v>0</v>
      </c>
      <c r="R91" s="2">
        <v>6.016</v>
      </c>
      <c r="S91" s="2">
        <v>6.2146999999999997</v>
      </c>
      <c r="T91" s="2">
        <v>0</v>
      </c>
      <c r="U91" s="2">
        <v>9.5000000000000001E-2</v>
      </c>
      <c r="V91" s="2">
        <v>0</v>
      </c>
      <c r="W91" s="2">
        <v>0</v>
      </c>
      <c r="X91" s="2">
        <v>0.1186</v>
      </c>
      <c r="Y91" s="2">
        <v>0</v>
      </c>
      <c r="Z91" s="2">
        <v>0.15479999999999999</v>
      </c>
      <c r="AA91" s="2">
        <v>0</v>
      </c>
      <c r="AB91" s="2">
        <v>6.2607999999999997</v>
      </c>
      <c r="AC91" s="2">
        <v>0</v>
      </c>
      <c r="AD91" s="2">
        <v>0.16139999999999999</v>
      </c>
      <c r="AE91" s="2">
        <v>0.15770000000000001</v>
      </c>
      <c r="AF91" s="2">
        <v>0</v>
      </c>
      <c r="AG91" s="2">
        <v>0</v>
      </c>
      <c r="AH91" s="2">
        <v>0</v>
      </c>
      <c r="AI91" s="2">
        <v>0.1585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0.12239999999999999</v>
      </c>
      <c r="AP91" s="2">
        <v>4.3922999999999996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</row>
    <row r="92" spans="1:50" x14ac:dyDescent="0.25">
      <c r="A92" s="1">
        <v>44804</v>
      </c>
      <c r="B92" s="2">
        <v>0</v>
      </c>
      <c r="C92" s="2">
        <v>12.194900000000001</v>
      </c>
      <c r="D92" s="2">
        <v>11.9604</v>
      </c>
      <c r="E92" s="2">
        <v>5.9401000000000002</v>
      </c>
      <c r="F92" s="2">
        <v>12.129899999999999</v>
      </c>
      <c r="G92" s="2">
        <v>12.2326</v>
      </c>
      <c r="H92" s="2">
        <v>5.9916999999999998</v>
      </c>
      <c r="I92" s="2">
        <v>11.9604</v>
      </c>
      <c r="J92" s="2">
        <v>5.8444000000000003</v>
      </c>
      <c r="K92" s="2">
        <v>5.8266999999999998</v>
      </c>
      <c r="L92" s="2">
        <v>5.9104999999999999</v>
      </c>
      <c r="M92" s="2">
        <v>5.9960000000000004</v>
      </c>
      <c r="N92" s="2">
        <v>5.9164000000000003</v>
      </c>
      <c r="O92" s="2">
        <v>5.9916</v>
      </c>
      <c r="P92" s="2">
        <v>0</v>
      </c>
      <c r="Q92" s="2">
        <v>0</v>
      </c>
      <c r="R92" s="2">
        <v>5.8719999999999999</v>
      </c>
      <c r="S92" s="2">
        <v>5.9297000000000004</v>
      </c>
      <c r="T92" s="2">
        <v>0</v>
      </c>
      <c r="U92" s="2">
        <v>8.5300000000000001E-2</v>
      </c>
      <c r="V92" s="2">
        <v>0</v>
      </c>
      <c r="W92" s="2">
        <v>0</v>
      </c>
      <c r="X92" s="2">
        <v>0.1108</v>
      </c>
      <c r="Y92" s="2">
        <v>0</v>
      </c>
      <c r="Z92" s="2">
        <v>0.1605</v>
      </c>
      <c r="AA92" s="2">
        <v>0</v>
      </c>
      <c r="AB92" s="2">
        <v>5.9916</v>
      </c>
      <c r="AC92" s="2">
        <v>0</v>
      </c>
      <c r="AD92" s="2">
        <v>0.1673</v>
      </c>
      <c r="AE92" s="2">
        <v>0.16250000000000001</v>
      </c>
      <c r="AF92" s="2">
        <v>0</v>
      </c>
      <c r="AG92" s="2">
        <v>0</v>
      </c>
      <c r="AH92" s="2">
        <v>0</v>
      </c>
      <c r="AI92" s="2">
        <v>0.16339999999999999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0.11219999999999999</v>
      </c>
      <c r="AP92" s="2">
        <v>4.5331000000000001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</row>
    <row r="93" spans="1:50" x14ac:dyDescent="0.25">
      <c r="A93" s="1">
        <v>44834</v>
      </c>
      <c r="B93" s="2">
        <v>0</v>
      </c>
      <c r="C93" s="2">
        <v>11.9986</v>
      </c>
      <c r="D93" s="2">
        <v>11.769500000000001</v>
      </c>
      <c r="E93" s="2">
        <v>5.7207999999999997</v>
      </c>
      <c r="F93" s="2">
        <v>11.932399999999999</v>
      </c>
      <c r="G93" s="2">
        <v>12.0372</v>
      </c>
      <c r="H93" s="2">
        <v>5.7590000000000003</v>
      </c>
      <c r="I93" s="2">
        <v>11.6486</v>
      </c>
      <c r="J93" s="2">
        <v>5.6700999999999997</v>
      </c>
      <c r="K93" s="2">
        <v>5.7243000000000004</v>
      </c>
      <c r="L93" s="2">
        <v>5.7881999999999998</v>
      </c>
      <c r="M93" s="2">
        <v>5.7600999999999996</v>
      </c>
      <c r="N93" s="2">
        <v>5.7257999999999996</v>
      </c>
      <c r="O93" s="2">
        <v>5.7625000000000002</v>
      </c>
      <c r="P93" s="2">
        <v>0</v>
      </c>
      <c r="Q93" s="2">
        <v>0</v>
      </c>
      <c r="R93" s="2">
        <v>5.7877000000000001</v>
      </c>
      <c r="S93" s="2">
        <v>5.6993999999999998</v>
      </c>
      <c r="T93" s="2">
        <v>0</v>
      </c>
      <c r="U93" s="2">
        <v>6.6100000000000006E-2</v>
      </c>
      <c r="V93" s="2">
        <v>0</v>
      </c>
      <c r="W93" s="2">
        <v>0</v>
      </c>
      <c r="X93" s="2">
        <v>0.1017</v>
      </c>
      <c r="Y93" s="2">
        <v>0</v>
      </c>
      <c r="Z93" s="2">
        <v>0.14749999999999999</v>
      </c>
      <c r="AA93" s="2">
        <v>0</v>
      </c>
      <c r="AB93" s="2">
        <v>5.7534999999999998</v>
      </c>
      <c r="AC93" s="2">
        <v>0</v>
      </c>
      <c r="AD93" s="2">
        <v>0.1661</v>
      </c>
      <c r="AE93" s="2">
        <v>0.15579999999999999</v>
      </c>
      <c r="AF93" s="2">
        <v>0</v>
      </c>
      <c r="AG93" s="2">
        <v>0</v>
      </c>
      <c r="AH93" s="2">
        <v>0</v>
      </c>
      <c r="AI93" s="2">
        <v>0.15590000000000001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0.1037</v>
      </c>
      <c r="AP93" s="2">
        <v>4.4116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</row>
    <row r="94" spans="1:50" x14ac:dyDescent="0.25">
      <c r="A94" s="1">
        <v>44865</v>
      </c>
      <c r="B94" s="2">
        <v>0</v>
      </c>
      <c r="C94" s="2">
        <v>11.819599999999999</v>
      </c>
      <c r="D94" s="2">
        <v>11.6302</v>
      </c>
      <c r="E94" s="2">
        <v>5.6963999999999997</v>
      </c>
      <c r="F94" s="2">
        <v>11.783799999999999</v>
      </c>
      <c r="G94" s="2">
        <v>11.835599999999999</v>
      </c>
      <c r="H94" s="2">
        <v>5.7736000000000001</v>
      </c>
      <c r="I94" s="2">
        <v>11.700900000000001</v>
      </c>
      <c r="J94" s="2">
        <v>5.5702999999999996</v>
      </c>
      <c r="K94" s="2">
        <v>5.5621</v>
      </c>
      <c r="L94" s="2">
        <v>5.4043000000000001</v>
      </c>
      <c r="M94" s="2">
        <v>5.7831999999999999</v>
      </c>
      <c r="N94" s="2">
        <v>5.6832000000000003</v>
      </c>
      <c r="O94" s="2">
        <v>5.7686000000000002</v>
      </c>
      <c r="P94" s="2">
        <v>0</v>
      </c>
      <c r="Q94" s="2">
        <v>0</v>
      </c>
      <c r="R94" s="2">
        <v>5.5298999999999996</v>
      </c>
      <c r="S94" s="2">
        <v>5.6536999999999997</v>
      </c>
      <c r="T94" s="2">
        <v>0</v>
      </c>
      <c r="U94" s="2">
        <v>4.6800000000000001E-2</v>
      </c>
      <c r="V94" s="2">
        <v>0</v>
      </c>
      <c r="W94" s="2">
        <v>0</v>
      </c>
      <c r="X94" s="2">
        <v>8.2100000000000006E-2</v>
      </c>
      <c r="Y94" s="2">
        <v>0</v>
      </c>
      <c r="Z94" s="2">
        <v>0.1313</v>
      </c>
      <c r="AA94" s="2">
        <v>0</v>
      </c>
      <c r="AB94" s="2">
        <v>5.7727000000000004</v>
      </c>
      <c r="AC94" s="2">
        <v>0</v>
      </c>
      <c r="AD94" s="2">
        <v>0.15140000000000001</v>
      </c>
      <c r="AE94" s="2">
        <v>0.1371</v>
      </c>
      <c r="AF94" s="2">
        <v>0</v>
      </c>
      <c r="AG94" s="2">
        <v>0</v>
      </c>
      <c r="AH94" s="2">
        <v>0.16639999999999999</v>
      </c>
      <c r="AI94" s="2">
        <v>0.13950000000000001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8.3000000000000004E-2</v>
      </c>
      <c r="AP94" s="2">
        <v>4.6963999999999997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</row>
    <row r="95" spans="1:50" x14ac:dyDescent="0.25">
      <c r="A95" s="1">
        <v>44895</v>
      </c>
      <c r="B95" s="2">
        <v>0</v>
      </c>
      <c r="C95" s="2">
        <v>12.7448</v>
      </c>
      <c r="D95" s="2">
        <v>12.743600000000001</v>
      </c>
      <c r="E95" s="2">
        <v>5.9424000000000001</v>
      </c>
      <c r="F95" s="2">
        <v>12.7766</v>
      </c>
      <c r="G95" s="2">
        <v>12.7394</v>
      </c>
      <c r="H95" s="2">
        <v>5.9733999999999998</v>
      </c>
      <c r="I95" s="2">
        <v>12.863799999999999</v>
      </c>
      <c r="J95" s="2">
        <v>5.8883999999999999</v>
      </c>
      <c r="K95" s="2">
        <v>5.9322999999999997</v>
      </c>
      <c r="L95" s="2">
        <v>6.0250000000000004</v>
      </c>
      <c r="M95" s="2">
        <v>5.9660000000000002</v>
      </c>
      <c r="N95" s="2">
        <v>5.9585999999999997</v>
      </c>
      <c r="O95" s="2">
        <v>5.9741</v>
      </c>
      <c r="P95" s="2">
        <v>0</v>
      </c>
      <c r="Q95" s="2">
        <v>0</v>
      </c>
      <c r="R95" s="2">
        <v>5.9908999999999999</v>
      </c>
      <c r="S95" s="2">
        <v>5.8986999999999998</v>
      </c>
      <c r="T95" s="2">
        <v>0</v>
      </c>
      <c r="U95" s="2">
        <v>4.8300000000000003E-2</v>
      </c>
      <c r="V95" s="2">
        <v>0</v>
      </c>
      <c r="W95" s="2">
        <v>0</v>
      </c>
      <c r="X95" s="2">
        <v>8.3699999999999997E-2</v>
      </c>
      <c r="Y95" s="2">
        <v>0</v>
      </c>
      <c r="Z95" s="2">
        <v>0.1404</v>
      </c>
      <c r="AA95" s="2">
        <v>0</v>
      </c>
      <c r="AB95" s="2">
        <v>5.97</v>
      </c>
      <c r="AC95" s="2">
        <v>0</v>
      </c>
      <c r="AD95" s="2">
        <v>0.1565</v>
      </c>
      <c r="AE95" s="2">
        <v>0.14330000000000001</v>
      </c>
      <c r="AF95" s="2">
        <v>0</v>
      </c>
      <c r="AG95" s="2">
        <v>0</v>
      </c>
      <c r="AH95" s="2">
        <v>0.1706</v>
      </c>
      <c r="AI95" s="2">
        <v>0.14449999999999999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8.6400000000000005E-2</v>
      </c>
      <c r="AP95" s="2">
        <v>5.3741000000000003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</row>
    <row r="96" spans="1:50" x14ac:dyDescent="0.25">
      <c r="A96" s="1">
        <v>44925</v>
      </c>
      <c r="B96" s="2">
        <v>0</v>
      </c>
      <c r="C96" s="2">
        <v>12.8484</v>
      </c>
      <c r="D96" s="2">
        <v>13.2766</v>
      </c>
      <c r="E96" s="2">
        <v>5.7164000000000001</v>
      </c>
      <c r="F96" s="2">
        <v>13.0017</v>
      </c>
      <c r="G96" s="2">
        <v>12.754200000000001</v>
      </c>
      <c r="H96" s="2">
        <v>5.7545000000000002</v>
      </c>
      <c r="I96" s="2">
        <v>11.4565</v>
      </c>
      <c r="J96" s="2">
        <v>5.6492000000000004</v>
      </c>
      <c r="K96" s="2">
        <v>5.6905000000000001</v>
      </c>
      <c r="L96" s="2">
        <v>5.7351999999999999</v>
      </c>
      <c r="M96" s="2">
        <v>5.7572000000000001</v>
      </c>
      <c r="N96" s="2">
        <v>5.7142999999999997</v>
      </c>
      <c r="O96" s="2">
        <v>5.7534999999999998</v>
      </c>
      <c r="P96" s="2">
        <v>0</v>
      </c>
      <c r="Q96" s="2">
        <v>0</v>
      </c>
      <c r="R96" s="2">
        <v>5.7412000000000001</v>
      </c>
      <c r="S96" s="2">
        <v>5.6925999999999997</v>
      </c>
      <c r="T96" s="2">
        <v>0</v>
      </c>
      <c r="U96" s="2">
        <v>6.5799999999999997E-2</v>
      </c>
      <c r="V96" s="2">
        <v>0</v>
      </c>
      <c r="W96" s="2">
        <v>0</v>
      </c>
      <c r="X96" s="2">
        <v>0.1033</v>
      </c>
      <c r="Y96" s="2">
        <v>0</v>
      </c>
      <c r="Z96" s="2">
        <v>0.14779999999999999</v>
      </c>
      <c r="AA96" s="2">
        <v>0</v>
      </c>
      <c r="AB96" s="2">
        <v>5.7536000000000005</v>
      </c>
      <c r="AC96" s="2">
        <v>0</v>
      </c>
      <c r="AD96" s="2">
        <v>0.1666</v>
      </c>
      <c r="AE96" s="2">
        <v>0.1565</v>
      </c>
      <c r="AF96" s="2">
        <v>0</v>
      </c>
      <c r="AG96" s="2">
        <v>0</v>
      </c>
      <c r="AH96" s="2">
        <v>0.1759</v>
      </c>
      <c r="AI96" s="2">
        <v>0.15890000000000001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0.1056</v>
      </c>
      <c r="AP96" s="2">
        <v>5.2550999999999997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</row>
    <row r="97" spans="1:50" x14ac:dyDescent="0.25">
      <c r="A97" s="1">
        <v>44957</v>
      </c>
      <c r="B97" s="2">
        <v>0</v>
      </c>
      <c r="C97" s="2">
        <v>13.040800000000001</v>
      </c>
      <c r="D97" s="2">
        <v>12.791700000000001</v>
      </c>
      <c r="E97" s="2">
        <v>6.3978000000000002</v>
      </c>
      <c r="F97" s="2">
        <v>12.9933</v>
      </c>
      <c r="G97" s="2">
        <v>13.084199999999999</v>
      </c>
      <c r="H97" s="2">
        <v>6.4644000000000004</v>
      </c>
      <c r="I97" s="2">
        <v>12.831300000000001</v>
      </c>
      <c r="J97" s="2">
        <v>6.2118000000000002</v>
      </c>
      <c r="K97" s="2">
        <v>6.2462999999999997</v>
      </c>
      <c r="L97" s="2">
        <v>6.165</v>
      </c>
      <c r="M97" s="2">
        <v>6.4566999999999997</v>
      </c>
      <c r="N97" s="2">
        <v>6.3017000000000003</v>
      </c>
      <c r="O97" s="2">
        <v>6.4653999999999998</v>
      </c>
      <c r="P97" s="2">
        <v>12.927</v>
      </c>
      <c r="Q97" s="2">
        <v>0</v>
      </c>
      <c r="R97" s="2">
        <v>6.1340000000000003</v>
      </c>
      <c r="S97" s="2">
        <v>6.4526000000000003</v>
      </c>
      <c r="T97" s="2">
        <v>0</v>
      </c>
      <c r="U97" s="2">
        <v>3.0800000000000001E-2</v>
      </c>
      <c r="V97" s="2">
        <v>0</v>
      </c>
      <c r="W97" s="2">
        <v>0</v>
      </c>
      <c r="X97" s="2">
        <v>8.3000000000000004E-2</v>
      </c>
      <c r="Y97" s="2">
        <v>0</v>
      </c>
      <c r="Z97" s="2">
        <v>0.14460000000000001</v>
      </c>
      <c r="AA97" s="2">
        <v>0</v>
      </c>
      <c r="AB97" s="2">
        <v>6.4554</v>
      </c>
      <c r="AC97" s="2">
        <v>0</v>
      </c>
      <c r="AD97" s="2">
        <v>0.16489999999999999</v>
      </c>
      <c r="AE97" s="2">
        <v>0.15060000000000001</v>
      </c>
      <c r="AF97" s="2">
        <v>0</v>
      </c>
      <c r="AG97" s="2">
        <v>6.3606999999999996</v>
      </c>
      <c r="AH97" s="2">
        <v>0.16919999999999999</v>
      </c>
      <c r="AI97" s="2">
        <v>0.16070000000000001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8.4900000000000003E-2</v>
      </c>
      <c r="AP97" s="2">
        <v>5.9614000000000003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</row>
    <row r="98" spans="1:50" x14ac:dyDescent="0.25">
      <c r="A98" s="1">
        <v>44985</v>
      </c>
      <c r="B98" s="2">
        <v>0</v>
      </c>
      <c r="C98" s="2">
        <v>13.2872</v>
      </c>
      <c r="D98" s="2">
        <v>12.9094</v>
      </c>
      <c r="E98" s="2">
        <v>6.3659999999999997</v>
      </c>
      <c r="F98" s="2">
        <v>13.234299999999999</v>
      </c>
      <c r="G98" s="2">
        <v>13.3316</v>
      </c>
      <c r="H98" s="2">
        <v>6.4603000000000002</v>
      </c>
      <c r="I98" s="2">
        <v>12.826599999999999</v>
      </c>
      <c r="J98" s="2">
        <v>6.1463999999999999</v>
      </c>
      <c r="K98" s="2">
        <v>6.1368</v>
      </c>
      <c r="L98" s="2">
        <v>5.8852000000000002</v>
      </c>
      <c r="M98" s="2">
        <v>6.4486999999999997</v>
      </c>
      <c r="N98" s="2">
        <v>6.2685000000000004</v>
      </c>
      <c r="O98" s="2">
        <v>6.4587000000000003</v>
      </c>
      <c r="P98" s="2">
        <v>12.9771</v>
      </c>
      <c r="Q98" s="2">
        <v>0</v>
      </c>
      <c r="R98" s="2">
        <v>5.9161999999999999</v>
      </c>
      <c r="S98" s="2">
        <v>6.4268000000000001</v>
      </c>
      <c r="T98" s="2">
        <v>0</v>
      </c>
      <c r="U98" s="2">
        <v>1.84E-2</v>
      </c>
      <c r="V98" s="2">
        <v>0</v>
      </c>
      <c r="W98" s="2">
        <v>0</v>
      </c>
      <c r="X98" s="2">
        <v>7.1900000000000006E-2</v>
      </c>
      <c r="Y98" s="2">
        <v>0</v>
      </c>
      <c r="Z98" s="2">
        <v>0.1191</v>
      </c>
      <c r="AA98" s="2">
        <v>0</v>
      </c>
      <c r="AB98" s="2">
        <v>6.4478999999999997</v>
      </c>
      <c r="AC98" s="2">
        <v>0</v>
      </c>
      <c r="AD98" s="2">
        <v>0.1527</v>
      </c>
      <c r="AE98" s="2">
        <v>0.13150000000000001</v>
      </c>
      <c r="AF98" s="2">
        <v>0</v>
      </c>
      <c r="AG98" s="2">
        <v>6.3193000000000001</v>
      </c>
      <c r="AH98" s="2">
        <v>0.16719999999999999</v>
      </c>
      <c r="AI98" s="2">
        <v>0.14879999999999999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7.6399999999999996E-2</v>
      </c>
      <c r="AP98" s="2">
        <v>5.9798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</row>
    <row r="99" spans="1:50" x14ac:dyDescent="0.25">
      <c r="A99" s="1">
        <v>45016</v>
      </c>
      <c r="B99" s="2">
        <v>0</v>
      </c>
      <c r="C99" s="2">
        <v>12.672499999999999</v>
      </c>
      <c r="D99" s="2">
        <v>12.1327</v>
      </c>
      <c r="E99" s="2">
        <v>6.1261999999999999</v>
      </c>
      <c r="F99" s="2">
        <v>12.556000000000001</v>
      </c>
      <c r="G99" s="2">
        <v>12.801</v>
      </c>
      <c r="H99" s="2">
        <v>6.2488999999999999</v>
      </c>
      <c r="I99" s="2">
        <v>12.0098</v>
      </c>
      <c r="J99" s="2">
        <v>5.9226000000000001</v>
      </c>
      <c r="K99" s="2">
        <v>5.9104000000000001</v>
      </c>
      <c r="L99" s="2">
        <v>5.7268999999999997</v>
      </c>
      <c r="M99" s="2">
        <v>6.2005999999999997</v>
      </c>
      <c r="N99" s="2">
        <v>6.0340999999999996</v>
      </c>
      <c r="O99" s="2">
        <v>6.2493999999999996</v>
      </c>
      <c r="P99" s="2">
        <v>12.145899999999999</v>
      </c>
      <c r="Q99" s="2">
        <v>0</v>
      </c>
      <c r="R99" s="2">
        <v>5.7195999999999998</v>
      </c>
      <c r="S99" s="2">
        <v>6.1829000000000001</v>
      </c>
      <c r="T99" s="2">
        <v>0</v>
      </c>
      <c r="U99" s="2">
        <v>0</v>
      </c>
      <c r="V99" s="2">
        <v>0</v>
      </c>
      <c r="W99" s="2">
        <v>0</v>
      </c>
      <c r="X99" s="2">
        <v>8.0299999999999996E-2</v>
      </c>
      <c r="Y99" s="2">
        <v>0</v>
      </c>
      <c r="Z99" s="2">
        <v>0.1406</v>
      </c>
      <c r="AA99" s="2">
        <v>0</v>
      </c>
      <c r="AB99" s="2">
        <v>6.2239000000000004</v>
      </c>
      <c r="AC99" s="2">
        <v>0</v>
      </c>
      <c r="AD99" s="2">
        <v>0.1575</v>
      </c>
      <c r="AE99" s="2">
        <v>0.14810000000000001</v>
      </c>
      <c r="AF99" s="2">
        <v>0</v>
      </c>
      <c r="AG99" s="2">
        <v>6.0959000000000003</v>
      </c>
      <c r="AH99" s="2">
        <v>0.1741</v>
      </c>
      <c r="AI99" s="2">
        <v>0.15640000000000001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9.0399999999999994E-2</v>
      </c>
      <c r="AP99" s="2">
        <v>5.8925999999999998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</row>
    <row r="100" spans="1:50" x14ac:dyDescent="0.25">
      <c r="A100" s="1">
        <v>45044</v>
      </c>
      <c r="B100" s="2">
        <v>0</v>
      </c>
      <c r="C100" s="2">
        <v>12.2597</v>
      </c>
      <c r="D100" s="2">
        <v>11.848000000000001</v>
      </c>
      <c r="E100" s="2">
        <v>5.9562999999999997</v>
      </c>
      <c r="F100" s="2">
        <v>12.1777</v>
      </c>
      <c r="G100" s="2">
        <v>12.3499</v>
      </c>
      <c r="H100" s="2">
        <v>6.0137</v>
      </c>
      <c r="I100" s="2">
        <v>11.8565</v>
      </c>
      <c r="J100" s="2">
        <v>5.7595999999999998</v>
      </c>
      <c r="K100" s="2">
        <v>5.7361000000000004</v>
      </c>
      <c r="L100" s="2">
        <v>5.6169000000000002</v>
      </c>
      <c r="M100" s="2">
        <v>5.9904999999999999</v>
      </c>
      <c r="N100" s="2">
        <v>5.8821000000000003</v>
      </c>
      <c r="O100" s="2">
        <v>6.0128000000000004</v>
      </c>
      <c r="P100" s="2">
        <v>11.9412</v>
      </c>
      <c r="Q100" s="2">
        <v>0</v>
      </c>
      <c r="R100" s="2">
        <v>5.6025999999999998</v>
      </c>
      <c r="S100" s="2">
        <v>5.9816000000000003</v>
      </c>
      <c r="T100" s="2">
        <v>0</v>
      </c>
      <c r="U100" s="2">
        <v>2.0799999999999999E-2</v>
      </c>
      <c r="V100" s="2">
        <v>0</v>
      </c>
      <c r="W100" s="2">
        <v>0</v>
      </c>
      <c r="X100" s="2">
        <v>0.10539999999999999</v>
      </c>
      <c r="Y100" s="2">
        <v>0</v>
      </c>
      <c r="Z100" s="2">
        <v>0.15390000000000001</v>
      </c>
      <c r="AA100" s="2">
        <v>0</v>
      </c>
      <c r="AB100" s="2">
        <v>6.0038</v>
      </c>
      <c r="AC100" s="2">
        <v>0</v>
      </c>
      <c r="AD100" s="2">
        <v>0.18379999999999999</v>
      </c>
      <c r="AE100" s="2">
        <v>0.17050000000000001</v>
      </c>
      <c r="AF100" s="2">
        <v>0</v>
      </c>
      <c r="AG100" s="2">
        <v>5.9535999999999998</v>
      </c>
      <c r="AH100" s="2">
        <v>0.2104</v>
      </c>
      <c r="AI100" s="2">
        <v>0.17899999999999999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0.10589999999999999</v>
      </c>
      <c r="AP100" s="2">
        <v>5.9771999999999998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</row>
    <row r="101" spans="1:50" x14ac:dyDescent="0.25">
      <c r="A101" s="1">
        <v>45077</v>
      </c>
      <c r="B101" s="2">
        <v>0</v>
      </c>
      <c r="C101" s="2">
        <v>11.426399999999999</v>
      </c>
      <c r="D101" s="2">
        <v>10.946899999999999</v>
      </c>
      <c r="E101" s="2">
        <v>5.5461</v>
      </c>
      <c r="F101" s="2">
        <v>11.3003</v>
      </c>
      <c r="G101" s="2">
        <v>11.5427</v>
      </c>
      <c r="H101" s="2">
        <v>5.7219999999999995</v>
      </c>
      <c r="I101" s="2">
        <v>10.960599999999999</v>
      </c>
      <c r="J101" s="2">
        <v>5.4421999999999997</v>
      </c>
      <c r="K101" s="2">
        <v>5.4878</v>
      </c>
      <c r="L101" s="2">
        <v>5.5987</v>
      </c>
      <c r="M101" s="2">
        <v>5.7218999999999998</v>
      </c>
      <c r="N101" s="2">
        <v>5.5019999999999998</v>
      </c>
      <c r="O101" s="2">
        <v>5.7271000000000001</v>
      </c>
      <c r="P101" s="2">
        <v>11.017799999999999</v>
      </c>
      <c r="Q101" s="2">
        <v>0</v>
      </c>
      <c r="R101" s="2">
        <v>5.4478999999999997</v>
      </c>
      <c r="S101" s="2">
        <v>5.6702000000000004</v>
      </c>
      <c r="T101" s="2">
        <v>0</v>
      </c>
      <c r="U101" s="2">
        <v>9.4000000000000004E-3</v>
      </c>
      <c r="V101" s="2">
        <v>0</v>
      </c>
      <c r="W101" s="2">
        <v>0</v>
      </c>
      <c r="X101" s="2">
        <v>5.9799999999999999E-2</v>
      </c>
      <c r="Y101" s="2">
        <v>0</v>
      </c>
      <c r="Z101" s="2">
        <v>0.12690000000000001</v>
      </c>
      <c r="AA101" s="2">
        <v>0</v>
      </c>
      <c r="AB101" s="2">
        <v>5.7183000000000002</v>
      </c>
      <c r="AC101" s="2">
        <v>0</v>
      </c>
      <c r="AD101" s="2">
        <v>0.15529999999999999</v>
      </c>
      <c r="AE101" s="2">
        <v>0.1414</v>
      </c>
      <c r="AF101" s="2">
        <v>0</v>
      </c>
      <c r="AG101" s="2">
        <v>5.5757000000000003</v>
      </c>
      <c r="AH101" s="2">
        <v>0.1729</v>
      </c>
      <c r="AI101" s="2">
        <v>0.1552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6.6500000000000004E-2</v>
      </c>
      <c r="AP101" s="2">
        <v>6.5641999999999996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</row>
    <row r="102" spans="1:50" x14ac:dyDescent="0.25">
      <c r="A102" s="1">
        <v>45107</v>
      </c>
      <c r="B102" s="2">
        <v>0</v>
      </c>
      <c r="C102" s="2">
        <v>11.6599</v>
      </c>
      <c r="D102" s="2">
        <v>12.0421</v>
      </c>
      <c r="E102" s="2">
        <v>5.2313000000000001</v>
      </c>
      <c r="F102" s="2">
        <v>11.85</v>
      </c>
      <c r="G102" s="2">
        <v>11.591799999999999</v>
      </c>
      <c r="H102" s="2">
        <v>5.4579000000000004</v>
      </c>
      <c r="I102" s="2">
        <v>10.188700000000001</v>
      </c>
      <c r="J102" s="2">
        <v>5.1296999999999997</v>
      </c>
      <c r="K102" s="2">
        <v>5.2084999999999999</v>
      </c>
      <c r="L102" s="2">
        <v>5.4057000000000004</v>
      </c>
      <c r="M102" s="2">
        <v>5.4490999999999996</v>
      </c>
      <c r="N102" s="2">
        <v>5.1768000000000001</v>
      </c>
      <c r="O102" s="2">
        <v>5.4554999999999998</v>
      </c>
      <c r="P102" s="2">
        <v>10.2133</v>
      </c>
      <c r="Q102" s="2">
        <v>0</v>
      </c>
      <c r="R102" s="2">
        <v>5.2958999999999996</v>
      </c>
      <c r="S102" s="2">
        <v>5.3687000000000005</v>
      </c>
      <c r="T102" s="2">
        <v>0</v>
      </c>
      <c r="U102" s="2">
        <v>-1.1599999999999999E-2</v>
      </c>
      <c r="V102" s="2">
        <v>0</v>
      </c>
      <c r="W102" s="2">
        <v>0</v>
      </c>
      <c r="X102" s="2">
        <v>4.5600000000000002E-2</v>
      </c>
      <c r="Y102" s="2">
        <v>0</v>
      </c>
      <c r="Z102" s="2">
        <v>0.11119999999999999</v>
      </c>
      <c r="AA102" s="2">
        <v>0</v>
      </c>
      <c r="AB102" s="2">
        <v>5.4512999999999998</v>
      </c>
      <c r="AC102" s="2">
        <v>0</v>
      </c>
      <c r="AD102" s="2">
        <v>0.13539999999999999</v>
      </c>
      <c r="AE102" s="2">
        <v>0.12130000000000001</v>
      </c>
      <c r="AF102" s="2">
        <v>0</v>
      </c>
      <c r="AG102" s="2">
        <v>5.2404999999999999</v>
      </c>
      <c r="AH102" s="2">
        <v>0.14910000000000001</v>
      </c>
      <c r="AI102" s="2">
        <v>0.1336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6.2399999999999997E-2</v>
      </c>
      <c r="AP102" s="2">
        <v>7.2897999999999996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</row>
    <row r="103" spans="1:50" x14ac:dyDescent="0.25">
      <c r="A103" s="1">
        <v>45138</v>
      </c>
      <c r="B103" s="2">
        <v>0</v>
      </c>
      <c r="C103" s="2">
        <v>10.7371</v>
      </c>
      <c r="D103" s="2">
        <v>10.242599999999999</v>
      </c>
      <c r="E103" s="2">
        <v>5.2352999999999996</v>
      </c>
      <c r="F103" s="2">
        <v>10.5905</v>
      </c>
      <c r="G103" s="2">
        <v>10.845599999999999</v>
      </c>
      <c r="H103" s="2">
        <v>5.4379</v>
      </c>
      <c r="I103" s="2">
        <v>10.146100000000001</v>
      </c>
      <c r="J103" s="2">
        <v>5.0732999999999997</v>
      </c>
      <c r="K103" s="2">
        <v>5.1120999999999999</v>
      </c>
      <c r="L103" s="2">
        <v>5.2146999999999997</v>
      </c>
      <c r="M103" s="2">
        <v>5.4271000000000003</v>
      </c>
      <c r="N103" s="2">
        <v>5.1816000000000004</v>
      </c>
      <c r="O103" s="2">
        <v>5.4039000000000001</v>
      </c>
      <c r="P103" s="2">
        <v>10.191000000000001</v>
      </c>
      <c r="Q103" s="2">
        <v>0</v>
      </c>
      <c r="R103" s="2">
        <v>5.1692</v>
      </c>
      <c r="S103" s="2">
        <v>5.3395999999999999</v>
      </c>
      <c r="T103" s="2">
        <v>10.227600000000001</v>
      </c>
      <c r="U103" s="2">
        <v>-3.8E-3</v>
      </c>
      <c r="V103" s="2">
        <v>0</v>
      </c>
      <c r="W103" s="2">
        <v>0</v>
      </c>
      <c r="X103" s="2">
        <v>5.5599999999999997E-2</v>
      </c>
      <c r="Y103" s="2">
        <v>0</v>
      </c>
      <c r="Z103" s="2">
        <v>0.1135</v>
      </c>
      <c r="AA103" s="2">
        <v>10.434100000000001</v>
      </c>
      <c r="AB103" s="2">
        <v>5.4249000000000001</v>
      </c>
      <c r="AC103" s="2">
        <v>0</v>
      </c>
      <c r="AD103" s="2">
        <v>0.13789999999999999</v>
      </c>
      <c r="AE103" s="2">
        <v>0.12540000000000001</v>
      </c>
      <c r="AF103" s="2">
        <v>0</v>
      </c>
      <c r="AG103" s="2">
        <v>5.2450999999999999</v>
      </c>
      <c r="AH103" s="2">
        <v>0.15490000000000001</v>
      </c>
      <c r="AI103" s="2">
        <v>0.13389999999999999</v>
      </c>
      <c r="AJ103" s="2">
        <v>0</v>
      </c>
      <c r="AK103" s="2">
        <v>0</v>
      </c>
      <c r="AL103" s="2">
        <v>0.1613</v>
      </c>
      <c r="AM103" s="2">
        <v>0</v>
      </c>
      <c r="AN103" s="2">
        <v>0</v>
      </c>
      <c r="AO103" s="2">
        <v>7.2499999999999995E-2</v>
      </c>
      <c r="AP103" s="2">
        <v>5.8213999999999997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</row>
    <row r="104" spans="1:50" x14ac:dyDescent="0.25">
      <c r="A104" s="1">
        <v>45169</v>
      </c>
      <c r="B104" s="2">
        <v>0</v>
      </c>
      <c r="C104" s="2">
        <v>11.036</v>
      </c>
      <c r="D104" s="2">
        <v>10.4297</v>
      </c>
      <c r="E104" s="2">
        <v>5.3983999999999996</v>
      </c>
      <c r="F104" s="2">
        <v>10.866300000000001</v>
      </c>
      <c r="G104" s="2">
        <v>11.144399999999999</v>
      </c>
      <c r="H104" s="2">
        <v>5.6333000000000002</v>
      </c>
      <c r="I104" s="2">
        <v>10.215299999999999</v>
      </c>
      <c r="J104" s="2">
        <v>5.2363999999999997</v>
      </c>
      <c r="K104" s="2">
        <v>5.2682000000000002</v>
      </c>
      <c r="L104" s="2">
        <v>5.2081</v>
      </c>
      <c r="M104" s="2">
        <v>5.6242999999999999</v>
      </c>
      <c r="N104" s="2">
        <v>5.3319999999999999</v>
      </c>
      <c r="O104" s="2">
        <v>5.5933999999999999</v>
      </c>
      <c r="P104" s="2">
        <v>10.3316</v>
      </c>
      <c r="Q104" s="2">
        <v>0</v>
      </c>
      <c r="R104" s="2">
        <v>5.2507000000000001</v>
      </c>
      <c r="S104" s="2">
        <v>5.4897</v>
      </c>
      <c r="T104" s="2">
        <v>10.2403</v>
      </c>
      <c r="U104" s="2">
        <v>-1.9099999999999999E-2</v>
      </c>
      <c r="V104" s="2">
        <v>0</v>
      </c>
      <c r="W104" s="2">
        <v>0</v>
      </c>
      <c r="X104" s="2">
        <v>2.2100000000000002E-2</v>
      </c>
      <c r="Y104" s="2">
        <v>0</v>
      </c>
      <c r="Z104" s="2">
        <v>9.7500000000000003E-2</v>
      </c>
      <c r="AA104" s="2">
        <v>10.6279</v>
      </c>
      <c r="AB104" s="2">
        <v>5.6257999999999999</v>
      </c>
      <c r="AC104" s="2">
        <v>0</v>
      </c>
      <c r="AD104" s="2">
        <v>0.13619999999999999</v>
      </c>
      <c r="AE104" s="2">
        <v>0.1143</v>
      </c>
      <c r="AF104" s="2">
        <v>0</v>
      </c>
      <c r="AG104" s="2">
        <v>5.3822000000000001</v>
      </c>
      <c r="AH104" s="2">
        <v>0.14699999999999999</v>
      </c>
      <c r="AI104" s="2">
        <v>0.13159999999999999</v>
      </c>
      <c r="AJ104" s="2">
        <v>0</v>
      </c>
      <c r="AK104" s="2">
        <v>0</v>
      </c>
      <c r="AL104" s="2">
        <v>0.15670000000000001</v>
      </c>
      <c r="AM104" s="2">
        <v>0</v>
      </c>
      <c r="AN104" s="2">
        <v>0</v>
      </c>
      <c r="AO104" s="2">
        <v>5.0900000000000001E-2</v>
      </c>
      <c r="AP104" s="2">
        <v>5.5655999999999999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</row>
    <row r="105" spans="1:50" x14ac:dyDescent="0.25">
      <c r="A105" s="1">
        <v>45198</v>
      </c>
      <c r="B105" s="2">
        <v>0</v>
      </c>
      <c r="C105" s="2">
        <v>11.539300000000001</v>
      </c>
      <c r="D105" s="2">
        <v>10.8782</v>
      </c>
      <c r="E105" s="2">
        <v>5.6845999999999997</v>
      </c>
      <c r="F105" s="2">
        <v>11.319100000000001</v>
      </c>
      <c r="G105" s="2">
        <v>11.6609</v>
      </c>
      <c r="H105" s="2">
        <v>5.8506</v>
      </c>
      <c r="I105" s="2">
        <v>10.6065</v>
      </c>
      <c r="J105" s="2">
        <v>5.5834999999999999</v>
      </c>
      <c r="K105" s="2">
        <v>5.6109999999999998</v>
      </c>
      <c r="L105" s="2">
        <v>5.5811999999999999</v>
      </c>
      <c r="M105" s="2">
        <v>5.8751999999999995</v>
      </c>
      <c r="N105" s="2">
        <v>5.6029999999999998</v>
      </c>
      <c r="O105" s="2">
        <v>5.8215000000000003</v>
      </c>
      <c r="P105" s="2">
        <v>10.755700000000001</v>
      </c>
      <c r="Q105" s="2">
        <v>0</v>
      </c>
      <c r="R105" s="2">
        <v>5.5868000000000002</v>
      </c>
      <c r="S105" s="2">
        <v>5.7739000000000003</v>
      </c>
      <c r="T105" s="2">
        <v>10.615</v>
      </c>
      <c r="U105" s="2">
        <v>-2.1399999999999999E-2</v>
      </c>
      <c r="V105" s="2">
        <v>0</v>
      </c>
      <c r="W105" s="2">
        <v>0</v>
      </c>
      <c r="X105" s="2">
        <v>8.8999999999999999E-3</v>
      </c>
      <c r="Y105" s="2">
        <v>0</v>
      </c>
      <c r="Z105" s="2">
        <v>8.72E-2</v>
      </c>
      <c r="AA105" s="2">
        <v>11.0421</v>
      </c>
      <c r="AB105" s="2">
        <v>5.8602999999999996</v>
      </c>
      <c r="AC105" s="2">
        <v>0</v>
      </c>
      <c r="AD105" s="2">
        <v>0.1333</v>
      </c>
      <c r="AE105" s="2">
        <v>0.1091</v>
      </c>
      <c r="AF105" s="2">
        <v>0</v>
      </c>
      <c r="AG105" s="2">
        <v>5.6859000000000002</v>
      </c>
      <c r="AH105" s="2">
        <v>0.1381</v>
      </c>
      <c r="AI105" s="2">
        <v>0.123</v>
      </c>
      <c r="AJ105" s="2">
        <v>0</v>
      </c>
      <c r="AK105" s="2">
        <v>0</v>
      </c>
      <c r="AL105" s="2">
        <v>0.1512</v>
      </c>
      <c r="AM105" s="2">
        <v>0</v>
      </c>
      <c r="AN105" s="2">
        <v>0</v>
      </c>
      <c r="AO105" s="2">
        <v>4.58E-2</v>
      </c>
      <c r="AP105" s="2">
        <v>5.4515000000000002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</row>
    <row r="106" spans="1:50" x14ac:dyDescent="0.25">
      <c r="A106" s="1">
        <v>45230</v>
      </c>
      <c r="B106" s="2">
        <v>0</v>
      </c>
      <c r="C106" s="2">
        <v>11.7666</v>
      </c>
      <c r="D106" s="2">
        <v>11.2441</v>
      </c>
      <c r="E106" s="2">
        <v>5.8693</v>
      </c>
      <c r="F106" s="2">
        <v>11.594799999999999</v>
      </c>
      <c r="G106" s="2">
        <v>11.8218</v>
      </c>
      <c r="H106" s="2">
        <v>6.0053000000000001</v>
      </c>
      <c r="I106" s="2">
        <v>11.0854</v>
      </c>
      <c r="J106" s="2">
        <v>5.8682999999999996</v>
      </c>
      <c r="K106" s="2">
        <v>5.97</v>
      </c>
      <c r="L106" s="2">
        <v>6.1520999999999999</v>
      </c>
      <c r="M106" s="2">
        <v>6.0071000000000003</v>
      </c>
      <c r="N106" s="2">
        <v>5.8687000000000005</v>
      </c>
      <c r="O106" s="2">
        <v>5.95</v>
      </c>
      <c r="P106" s="2">
        <v>11.218400000000001</v>
      </c>
      <c r="Q106" s="2">
        <v>0</v>
      </c>
      <c r="R106" s="2">
        <v>6.1661999999999999</v>
      </c>
      <c r="S106" s="2">
        <v>5.9390000000000001</v>
      </c>
      <c r="T106" s="2">
        <v>11.0611</v>
      </c>
      <c r="U106" s="2">
        <v>-2.1600000000000001E-2</v>
      </c>
      <c r="V106" s="2">
        <v>0</v>
      </c>
      <c r="W106" s="2">
        <v>0</v>
      </c>
      <c r="X106" s="2">
        <v>1.03E-2</v>
      </c>
      <c r="Y106" s="2">
        <v>0</v>
      </c>
      <c r="Z106" s="2">
        <v>0.10150000000000001</v>
      </c>
      <c r="AA106" s="2">
        <v>11.425000000000001</v>
      </c>
      <c r="AB106" s="2">
        <v>5.9992999999999999</v>
      </c>
      <c r="AC106" s="2">
        <v>0</v>
      </c>
      <c r="AD106" s="2">
        <v>0.1515</v>
      </c>
      <c r="AE106" s="2">
        <v>0.1273</v>
      </c>
      <c r="AF106" s="2">
        <v>0</v>
      </c>
      <c r="AG106" s="2">
        <v>5.8995999999999995</v>
      </c>
      <c r="AH106" s="2">
        <v>0.15670000000000001</v>
      </c>
      <c r="AI106" s="2">
        <v>0.13439999999999999</v>
      </c>
      <c r="AJ106" s="2">
        <v>0</v>
      </c>
      <c r="AK106" s="2">
        <v>0</v>
      </c>
      <c r="AL106" s="2">
        <v>0.1653</v>
      </c>
      <c r="AM106" s="2">
        <v>0</v>
      </c>
      <c r="AN106" s="2">
        <v>0</v>
      </c>
      <c r="AO106" s="2">
        <v>5.5800000000000002E-2</v>
      </c>
      <c r="AP106" s="2">
        <v>5.7263000000000002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</row>
    <row r="107" spans="1:50" x14ac:dyDescent="0.25">
      <c r="A107" s="1">
        <v>45260</v>
      </c>
      <c r="B107" s="2">
        <v>0</v>
      </c>
      <c r="C107" s="2">
        <v>10.745900000000001</v>
      </c>
      <c r="D107" s="2">
        <v>10.123699999999999</v>
      </c>
      <c r="E107" s="2">
        <v>5.6172000000000004</v>
      </c>
      <c r="F107" s="2">
        <v>10.54</v>
      </c>
      <c r="G107" s="2">
        <v>10.8436</v>
      </c>
      <c r="H107" s="2">
        <v>5.7550999999999997</v>
      </c>
      <c r="I107" s="2">
        <v>10.0067</v>
      </c>
      <c r="J107" s="2">
        <v>5.4870999999999999</v>
      </c>
      <c r="K107" s="2">
        <v>5.5062999999999995</v>
      </c>
      <c r="L107" s="2">
        <v>5.4893000000000001</v>
      </c>
      <c r="M107" s="2">
        <v>5.7501999999999995</v>
      </c>
      <c r="N107" s="2">
        <v>5.5644999999999998</v>
      </c>
      <c r="O107" s="2">
        <v>5.7141999999999999</v>
      </c>
      <c r="P107" s="2">
        <v>10.0822</v>
      </c>
      <c r="Q107" s="2">
        <v>0</v>
      </c>
      <c r="R107" s="2">
        <v>5.5379000000000005</v>
      </c>
      <c r="S107" s="2">
        <v>5.6967999999999996</v>
      </c>
      <c r="T107" s="2">
        <v>10.0755</v>
      </c>
      <c r="U107" s="2">
        <v>-3.3E-3</v>
      </c>
      <c r="V107" s="2">
        <v>0</v>
      </c>
      <c r="W107" s="2">
        <v>0</v>
      </c>
      <c r="X107" s="2">
        <v>2.4199999999999999E-2</v>
      </c>
      <c r="Y107" s="2">
        <v>0</v>
      </c>
      <c r="Z107" s="2">
        <v>0.1095</v>
      </c>
      <c r="AA107" s="2">
        <v>10.3078</v>
      </c>
      <c r="AB107" s="2">
        <v>5.7500999999999998</v>
      </c>
      <c r="AC107" s="2">
        <v>0</v>
      </c>
      <c r="AD107" s="2">
        <v>0.14799999999999999</v>
      </c>
      <c r="AE107" s="2">
        <v>0.12820000000000001</v>
      </c>
      <c r="AF107" s="2">
        <v>0</v>
      </c>
      <c r="AG107" s="2">
        <v>5.6204999999999998</v>
      </c>
      <c r="AH107" s="2">
        <v>0.15870000000000001</v>
      </c>
      <c r="AI107" s="2">
        <v>0.13450000000000001</v>
      </c>
      <c r="AJ107" s="2">
        <v>0</v>
      </c>
      <c r="AK107" s="2">
        <v>0</v>
      </c>
      <c r="AL107" s="2">
        <v>0.16420000000000001</v>
      </c>
      <c r="AM107" s="2">
        <v>0</v>
      </c>
      <c r="AN107" s="2">
        <v>0</v>
      </c>
      <c r="AO107" s="2">
        <v>6.7699999999999996E-2</v>
      </c>
      <c r="AP107" s="2">
        <v>5.6844999999999999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</row>
    <row r="108" spans="1:50" x14ac:dyDescent="0.25">
      <c r="A108" s="1">
        <v>45289</v>
      </c>
      <c r="B108" s="2">
        <v>0</v>
      </c>
      <c r="C108" s="2">
        <v>11.3764</v>
      </c>
      <c r="D108" s="2">
        <v>11.879099999999999</v>
      </c>
      <c r="E108" s="2">
        <v>5.3364000000000003</v>
      </c>
      <c r="F108" s="2">
        <v>11.482900000000001</v>
      </c>
      <c r="G108" s="2">
        <v>11.275499999999999</v>
      </c>
      <c r="H108" s="2">
        <v>5.4710999999999999</v>
      </c>
      <c r="I108" s="2">
        <v>9.64</v>
      </c>
      <c r="J108" s="2">
        <v>5.2118000000000002</v>
      </c>
      <c r="K108" s="2">
        <v>5.2088999999999999</v>
      </c>
      <c r="L108" s="2">
        <v>5.1787999999999998</v>
      </c>
      <c r="M108" s="2">
        <v>5.4877000000000002</v>
      </c>
      <c r="N108" s="2">
        <v>5.3152999999999997</v>
      </c>
      <c r="O108" s="2">
        <v>5.4745999999999997</v>
      </c>
      <c r="P108" s="2">
        <v>9.7243999999999993</v>
      </c>
      <c r="Q108" s="2">
        <v>0</v>
      </c>
      <c r="R108" s="2">
        <v>5.2481999999999998</v>
      </c>
      <c r="S108" s="2">
        <v>5.3791000000000002</v>
      </c>
      <c r="T108" s="2">
        <v>9.6884999999999994</v>
      </c>
      <c r="U108" s="2">
        <v>-5.5999999999999999E-3</v>
      </c>
      <c r="V108" s="2">
        <v>0</v>
      </c>
      <c r="W108" s="2">
        <v>0</v>
      </c>
      <c r="X108" s="2">
        <v>2.3800000000000002E-2</v>
      </c>
      <c r="Y108" s="2">
        <v>0</v>
      </c>
      <c r="Z108" s="2">
        <v>0.1084</v>
      </c>
      <c r="AA108" s="2">
        <v>9.9215999999999998</v>
      </c>
      <c r="AB108" s="2">
        <v>5.4711999999999996</v>
      </c>
      <c r="AC108" s="2">
        <v>0</v>
      </c>
      <c r="AD108" s="2">
        <v>0.14019999999999999</v>
      </c>
      <c r="AE108" s="2">
        <v>0.12039999999999999</v>
      </c>
      <c r="AF108" s="2">
        <v>0</v>
      </c>
      <c r="AG108" s="2">
        <v>5.3220000000000001</v>
      </c>
      <c r="AH108" s="2">
        <v>0.15329999999999999</v>
      </c>
      <c r="AI108" s="2">
        <v>0.12870000000000001</v>
      </c>
      <c r="AJ108" s="2">
        <v>0</v>
      </c>
      <c r="AK108" s="2">
        <v>0</v>
      </c>
      <c r="AL108" s="2">
        <v>0.16059999999999999</v>
      </c>
      <c r="AM108" s="2">
        <v>0</v>
      </c>
      <c r="AN108" s="2">
        <v>0</v>
      </c>
      <c r="AO108" s="2">
        <v>5.8500000000000003E-2</v>
      </c>
      <c r="AP108" s="2">
        <v>6.4120999999999997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</row>
    <row r="109" spans="1:50" x14ac:dyDescent="0.25">
      <c r="A109" s="1">
        <v>45322</v>
      </c>
      <c r="B109" s="2">
        <v>10.6471</v>
      </c>
      <c r="C109" s="2">
        <v>10.5296</v>
      </c>
      <c r="D109" s="2">
        <v>9.8527000000000005</v>
      </c>
      <c r="E109" s="2">
        <v>5.6131000000000002</v>
      </c>
      <c r="F109" s="2">
        <v>10.2681</v>
      </c>
      <c r="G109" s="2">
        <v>10.5769</v>
      </c>
      <c r="H109" s="2">
        <v>5.6974</v>
      </c>
      <c r="I109" s="2">
        <v>9.6763999999999992</v>
      </c>
      <c r="J109" s="2">
        <v>5.4725000000000001</v>
      </c>
      <c r="K109" s="2">
        <v>5.4485999999999999</v>
      </c>
      <c r="L109" s="2">
        <v>5.3436000000000003</v>
      </c>
      <c r="M109" s="2">
        <v>5.7168000000000001</v>
      </c>
      <c r="N109" s="2">
        <v>5.5990000000000002</v>
      </c>
      <c r="O109" s="2">
        <v>5.6942000000000004</v>
      </c>
      <c r="P109" s="2">
        <v>9.7843999999999998</v>
      </c>
      <c r="Q109" s="2">
        <v>9.7454000000000001</v>
      </c>
      <c r="R109" s="2">
        <v>5.3960999999999997</v>
      </c>
      <c r="S109" s="2">
        <v>5.6409000000000002</v>
      </c>
      <c r="T109" s="2">
        <v>9.6957000000000004</v>
      </c>
      <c r="U109" s="2">
        <v>-1.2999999999999999E-3</v>
      </c>
      <c r="V109" s="2">
        <v>0</v>
      </c>
      <c r="W109" s="2">
        <v>5.5098000000000003</v>
      </c>
      <c r="X109" s="2">
        <v>1.72E-2</v>
      </c>
      <c r="Y109" s="2">
        <v>10.542199999999999</v>
      </c>
      <c r="Z109" s="2">
        <v>0.1012</v>
      </c>
      <c r="AA109" s="2">
        <v>10.0197</v>
      </c>
      <c r="AB109" s="2">
        <v>5.6873000000000005</v>
      </c>
      <c r="AC109" s="2">
        <v>0</v>
      </c>
      <c r="AD109" s="2">
        <v>0.13420000000000001</v>
      </c>
      <c r="AE109" s="2">
        <v>0.1133</v>
      </c>
      <c r="AF109" s="2">
        <v>0</v>
      </c>
      <c r="AG109" s="2">
        <v>5.5793999999999997</v>
      </c>
      <c r="AH109" s="2">
        <v>0.15060000000000001</v>
      </c>
      <c r="AI109" s="2">
        <v>0.12280000000000001</v>
      </c>
      <c r="AJ109" s="2">
        <v>0</v>
      </c>
      <c r="AK109" s="2">
        <v>10.180999999999999</v>
      </c>
      <c r="AL109" s="2">
        <v>0.16569999999999999</v>
      </c>
      <c r="AM109" s="2">
        <v>0.1759</v>
      </c>
      <c r="AN109" s="2">
        <v>0</v>
      </c>
      <c r="AO109" s="2">
        <v>4.7E-2</v>
      </c>
      <c r="AP109" s="2">
        <v>5.4782999999999999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</row>
    <row r="110" spans="1:50" x14ac:dyDescent="0.25">
      <c r="A110" s="1">
        <v>45351</v>
      </c>
      <c r="B110" s="2">
        <v>10.8497</v>
      </c>
      <c r="C110" s="2">
        <v>10.6999</v>
      </c>
      <c r="D110" s="2">
        <v>10.0312</v>
      </c>
      <c r="E110" s="2">
        <v>5.6627999999999998</v>
      </c>
      <c r="F110" s="2">
        <v>10.456899999999999</v>
      </c>
      <c r="G110" s="2">
        <v>10.763500000000001</v>
      </c>
      <c r="H110" s="2">
        <v>5.7419000000000002</v>
      </c>
      <c r="I110" s="2">
        <v>9.8131000000000004</v>
      </c>
      <c r="J110" s="2">
        <v>5.5397999999999996</v>
      </c>
      <c r="K110" s="2">
        <v>5.5306999999999995</v>
      </c>
      <c r="L110" s="2">
        <v>5.6121999999999996</v>
      </c>
      <c r="M110" s="2">
        <v>5.7728999999999999</v>
      </c>
      <c r="N110" s="2">
        <v>5.6314000000000002</v>
      </c>
      <c r="O110" s="2">
        <v>5.7393000000000001</v>
      </c>
      <c r="P110" s="2">
        <v>9.9446999999999992</v>
      </c>
      <c r="Q110" s="2">
        <v>9.8889999999999993</v>
      </c>
      <c r="R110" s="2">
        <v>5.5328999999999997</v>
      </c>
      <c r="S110" s="2">
        <v>5.6825000000000001</v>
      </c>
      <c r="T110" s="2">
        <v>9.8153000000000006</v>
      </c>
      <c r="U110" s="2">
        <v>-1.2800000000000001E-2</v>
      </c>
      <c r="V110" s="2">
        <v>0</v>
      </c>
      <c r="W110" s="2">
        <v>5.5731000000000002</v>
      </c>
      <c r="X110" s="2">
        <v>1.3299999999999999E-2</v>
      </c>
      <c r="Y110" s="2">
        <v>10.726599999999999</v>
      </c>
      <c r="Z110" s="2">
        <v>9.1399999999999995E-2</v>
      </c>
      <c r="AA110" s="2">
        <v>10.187799999999999</v>
      </c>
      <c r="AB110" s="2">
        <v>5.7325999999999997</v>
      </c>
      <c r="AC110" s="2">
        <v>0</v>
      </c>
      <c r="AD110" s="2">
        <v>0.13150000000000001</v>
      </c>
      <c r="AE110" s="2">
        <v>0.112</v>
      </c>
      <c r="AF110" s="2">
        <v>0</v>
      </c>
      <c r="AG110" s="2">
        <v>5.6258999999999997</v>
      </c>
      <c r="AH110" s="2">
        <v>0.152</v>
      </c>
      <c r="AI110" s="2">
        <v>0.1206</v>
      </c>
      <c r="AJ110" s="2">
        <v>0</v>
      </c>
      <c r="AK110" s="2">
        <v>10.347099999999999</v>
      </c>
      <c r="AL110" s="2">
        <v>0.1643</v>
      </c>
      <c r="AM110" s="2">
        <v>0.1741</v>
      </c>
      <c r="AN110" s="2">
        <v>0</v>
      </c>
      <c r="AO110" s="2">
        <v>3.8199999999999998E-2</v>
      </c>
      <c r="AP110" s="2">
        <v>5.4859999999999998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</row>
    <row r="111" spans="1:50" x14ac:dyDescent="0.25">
      <c r="A111" s="1">
        <v>45380</v>
      </c>
      <c r="B111" s="2">
        <v>11.07</v>
      </c>
      <c r="C111" s="2">
        <v>10.9305</v>
      </c>
      <c r="D111" s="2">
        <v>10.168699999999999</v>
      </c>
      <c r="E111" s="2">
        <v>5.8457999999999997</v>
      </c>
      <c r="F111" s="2">
        <v>10.658300000000001</v>
      </c>
      <c r="G111" s="2">
        <v>10.966900000000001</v>
      </c>
      <c r="H111" s="2">
        <v>5.8834</v>
      </c>
      <c r="I111" s="2">
        <v>9.9383999999999997</v>
      </c>
      <c r="J111" s="2">
        <v>5.7371999999999996</v>
      </c>
      <c r="K111" s="2">
        <v>5.7237999999999998</v>
      </c>
      <c r="L111" s="2">
        <v>5.6756000000000002</v>
      </c>
      <c r="M111" s="2">
        <v>5.8890000000000002</v>
      </c>
      <c r="N111" s="2">
        <v>5.8211000000000004</v>
      </c>
      <c r="O111" s="2">
        <v>5.8902000000000001</v>
      </c>
      <c r="P111" s="2">
        <v>10.093500000000001</v>
      </c>
      <c r="Q111" s="2">
        <v>10.0334</v>
      </c>
      <c r="R111" s="2">
        <v>5.6790000000000003</v>
      </c>
      <c r="S111" s="2">
        <v>5.8578999999999999</v>
      </c>
      <c r="T111" s="2">
        <v>9.8968000000000007</v>
      </c>
      <c r="U111" s="2">
        <v>-6.3E-3</v>
      </c>
      <c r="V111" s="2">
        <v>0</v>
      </c>
      <c r="W111" s="2">
        <v>5.7560000000000002</v>
      </c>
      <c r="X111" s="2">
        <v>1.6299999999999999E-2</v>
      </c>
      <c r="Y111" s="2">
        <v>10.9763</v>
      </c>
      <c r="Z111" s="2">
        <v>8.8999999999999996E-2</v>
      </c>
      <c r="AA111" s="2">
        <v>10.386200000000001</v>
      </c>
      <c r="AB111" s="2">
        <v>5.8734999999999999</v>
      </c>
      <c r="AC111" s="2">
        <v>0</v>
      </c>
      <c r="AD111" s="2">
        <v>0.122</v>
      </c>
      <c r="AE111" s="2">
        <v>0.1057</v>
      </c>
      <c r="AF111" s="2">
        <v>0</v>
      </c>
      <c r="AG111" s="2">
        <v>5.8193000000000001</v>
      </c>
      <c r="AH111" s="2">
        <v>0.13880000000000001</v>
      </c>
      <c r="AI111" s="2">
        <v>0.11169999999999999</v>
      </c>
      <c r="AJ111" s="2">
        <v>0</v>
      </c>
      <c r="AK111" s="2">
        <v>10.562899999999999</v>
      </c>
      <c r="AL111" s="2">
        <v>0.1525</v>
      </c>
      <c r="AM111" s="2">
        <v>0.1729</v>
      </c>
      <c r="AN111" s="2">
        <v>0</v>
      </c>
      <c r="AO111" s="2">
        <v>3.4599999999999999E-2</v>
      </c>
      <c r="AP111" s="2">
        <v>5.6048999999999998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</row>
    <row r="112" spans="1:50" x14ac:dyDescent="0.25">
      <c r="A112" s="1">
        <v>45412</v>
      </c>
      <c r="B112" s="2">
        <v>11.8383</v>
      </c>
      <c r="C112" s="2">
        <v>11.7506</v>
      </c>
      <c r="D112" s="2">
        <v>10.915900000000001</v>
      </c>
      <c r="E112" s="2">
        <v>6.2809999999999997</v>
      </c>
      <c r="F112" s="2">
        <v>11.456200000000001</v>
      </c>
      <c r="G112" s="2">
        <v>11.792</v>
      </c>
      <c r="H112" s="2">
        <v>6.2305000000000001</v>
      </c>
      <c r="I112" s="2">
        <v>10.6418</v>
      </c>
      <c r="J112" s="2">
        <v>6.2278000000000002</v>
      </c>
      <c r="K112" s="2">
        <v>6.2727000000000004</v>
      </c>
      <c r="L112" s="2">
        <v>6.2392000000000003</v>
      </c>
      <c r="M112" s="2">
        <v>6.2191000000000001</v>
      </c>
      <c r="N112" s="2">
        <v>6.2904999999999998</v>
      </c>
      <c r="O112" s="2">
        <v>6.2205000000000004</v>
      </c>
      <c r="P112" s="2">
        <v>10.8649</v>
      </c>
      <c r="Q112" s="2">
        <v>10.7547</v>
      </c>
      <c r="R112" s="2">
        <v>6.2446999999999999</v>
      </c>
      <c r="S112" s="2">
        <v>6.2046000000000001</v>
      </c>
      <c r="T112" s="2">
        <v>10.520099999999999</v>
      </c>
      <c r="U112" s="2">
        <v>-1.14E-2</v>
      </c>
      <c r="V112" s="2">
        <v>0</v>
      </c>
      <c r="W112" s="2">
        <v>6.2656000000000001</v>
      </c>
      <c r="X112" s="2">
        <v>1.38E-2</v>
      </c>
      <c r="Y112" s="2">
        <v>11.767300000000001</v>
      </c>
      <c r="Z112" s="2">
        <v>7.9699999999999993E-2</v>
      </c>
      <c r="AA112" s="2">
        <v>11.1882</v>
      </c>
      <c r="AB112" s="2">
        <v>6.2115999999999998</v>
      </c>
      <c r="AC112" s="2">
        <v>0</v>
      </c>
      <c r="AD112" s="2">
        <v>0.12089999999999999</v>
      </c>
      <c r="AE112" s="2">
        <v>0.10290000000000001</v>
      </c>
      <c r="AF112" s="2">
        <v>0</v>
      </c>
      <c r="AG112" s="2">
        <v>6.2903000000000002</v>
      </c>
      <c r="AH112" s="2">
        <v>0.13750000000000001</v>
      </c>
      <c r="AI112" s="2">
        <v>0.10970000000000001</v>
      </c>
      <c r="AJ112" s="2">
        <v>0</v>
      </c>
      <c r="AK112" s="2">
        <v>11.358000000000001</v>
      </c>
      <c r="AL112" s="2">
        <v>0.14949999999999999</v>
      </c>
      <c r="AM112" s="2">
        <v>0.16900000000000001</v>
      </c>
      <c r="AN112" s="2">
        <v>0</v>
      </c>
      <c r="AO112" s="2">
        <v>3.1199999999999999E-2</v>
      </c>
      <c r="AP112" s="2">
        <v>6.0342000000000002</v>
      </c>
      <c r="AQ112" s="2">
        <v>0</v>
      </c>
      <c r="AR112" s="2">
        <v>0</v>
      </c>
      <c r="AS112" s="2">
        <v>0</v>
      </c>
      <c r="AT112" s="2">
        <v>0.17580000000000001</v>
      </c>
      <c r="AU112" s="2">
        <v>0</v>
      </c>
      <c r="AV112" s="2">
        <v>0</v>
      </c>
      <c r="AW112" s="2">
        <v>0</v>
      </c>
      <c r="AX112" s="2">
        <v>0</v>
      </c>
    </row>
    <row r="113" spans="1:50" x14ac:dyDescent="0.25">
      <c r="A113" s="1">
        <v>45443</v>
      </c>
      <c r="B113" s="2">
        <v>11.858700000000001</v>
      </c>
      <c r="C113" s="2">
        <v>11.805199999999999</v>
      </c>
      <c r="D113" s="2">
        <v>11.061299999999999</v>
      </c>
      <c r="E113" s="2">
        <v>6.1763000000000003</v>
      </c>
      <c r="F113" s="2">
        <v>11.541</v>
      </c>
      <c r="G113" s="2">
        <v>11.807700000000001</v>
      </c>
      <c r="H113" s="2">
        <v>6.1742999999999997</v>
      </c>
      <c r="I113" s="2">
        <v>10.7882</v>
      </c>
      <c r="J113" s="2">
        <v>6.1252000000000004</v>
      </c>
      <c r="K113" s="2">
        <v>6.2051999999999996</v>
      </c>
      <c r="L113" s="2">
        <v>6.1719999999999997</v>
      </c>
      <c r="M113" s="2">
        <v>6.1780999999999997</v>
      </c>
      <c r="N113" s="2">
        <v>6.1661999999999999</v>
      </c>
      <c r="O113" s="2">
        <v>6.1634000000000002</v>
      </c>
      <c r="P113" s="2">
        <v>11.025399999999999</v>
      </c>
      <c r="Q113" s="2">
        <v>10.9175</v>
      </c>
      <c r="R113" s="2">
        <v>6.1814999999999998</v>
      </c>
      <c r="S113" s="2">
        <v>6.1348000000000003</v>
      </c>
      <c r="T113" s="2">
        <v>10.683199999999999</v>
      </c>
      <c r="U113" s="2">
        <v>-1.7299999999999999E-2</v>
      </c>
      <c r="V113" s="2">
        <v>0</v>
      </c>
      <c r="W113" s="2">
        <v>6.1802999999999999</v>
      </c>
      <c r="X113" s="2">
        <v>1.3899999999999999E-2</v>
      </c>
      <c r="Y113" s="2">
        <v>11.883900000000001</v>
      </c>
      <c r="Z113" s="2">
        <v>8.3299999999999999E-2</v>
      </c>
      <c r="AA113" s="2">
        <v>11.344099999999999</v>
      </c>
      <c r="AB113" s="2">
        <v>6.1585999999999999</v>
      </c>
      <c r="AC113" s="2">
        <v>0</v>
      </c>
      <c r="AD113" s="2">
        <v>0.1246</v>
      </c>
      <c r="AE113" s="2">
        <v>0.1019</v>
      </c>
      <c r="AF113" s="2">
        <v>0</v>
      </c>
      <c r="AG113" s="2">
        <v>6.1656000000000004</v>
      </c>
      <c r="AH113" s="2">
        <v>0.14399999999999999</v>
      </c>
      <c r="AI113" s="2">
        <v>0.114</v>
      </c>
      <c r="AJ113" s="2">
        <v>0</v>
      </c>
      <c r="AK113" s="2">
        <v>11.525399999999999</v>
      </c>
      <c r="AL113" s="2">
        <v>0.15290000000000001</v>
      </c>
      <c r="AM113" s="2">
        <v>0.1676</v>
      </c>
      <c r="AN113" s="2">
        <v>0</v>
      </c>
      <c r="AO113" s="2">
        <v>2.76E-2</v>
      </c>
      <c r="AP113" s="2">
        <v>6.0506000000000002</v>
      </c>
      <c r="AQ113" s="2">
        <v>0</v>
      </c>
      <c r="AR113" s="2">
        <v>0</v>
      </c>
      <c r="AS113" s="2">
        <v>0</v>
      </c>
      <c r="AT113" s="2">
        <v>0.18110000000000001</v>
      </c>
      <c r="AU113" s="2">
        <v>0</v>
      </c>
      <c r="AV113" s="2">
        <v>0</v>
      </c>
      <c r="AW113" s="2">
        <v>0</v>
      </c>
      <c r="AX113" s="2">
        <v>0</v>
      </c>
    </row>
    <row r="114" spans="1:50" x14ac:dyDescent="0.25">
      <c r="A114" s="1">
        <v>45471</v>
      </c>
      <c r="B114" s="2">
        <v>13.2941</v>
      </c>
      <c r="C114" s="2">
        <v>13.7178</v>
      </c>
      <c r="D114" s="2">
        <v>14.503399999999999</v>
      </c>
      <c r="E114" s="2">
        <v>6.5061</v>
      </c>
      <c r="F114" s="2">
        <v>13.889799999999999</v>
      </c>
      <c r="G114" s="2">
        <v>13.4679</v>
      </c>
      <c r="H114" s="2">
        <v>6.4988999999999999</v>
      </c>
      <c r="I114" s="2">
        <v>11.513299999999999</v>
      </c>
      <c r="J114" s="2">
        <v>6.4530000000000003</v>
      </c>
      <c r="K114" s="2">
        <v>6.5396000000000001</v>
      </c>
      <c r="L114" s="2">
        <v>6.5201000000000002</v>
      </c>
      <c r="M114" s="2">
        <v>6.4955999999999996</v>
      </c>
      <c r="N114" s="2">
        <v>6.5197000000000003</v>
      </c>
      <c r="O114" s="2">
        <v>6.4905999999999997</v>
      </c>
      <c r="P114" s="2">
        <v>11.790100000000001</v>
      </c>
      <c r="Q114" s="2">
        <v>11.668900000000001</v>
      </c>
      <c r="R114" s="2">
        <v>6.5321999999999996</v>
      </c>
      <c r="S114" s="2">
        <v>6.4337</v>
      </c>
      <c r="T114" s="2">
        <v>11.356999999999999</v>
      </c>
      <c r="U114" s="2">
        <v>-3.8300000000000001E-2</v>
      </c>
      <c r="V114" s="2">
        <v>0</v>
      </c>
      <c r="W114" s="2">
        <v>6.4978999999999996</v>
      </c>
      <c r="X114" s="2">
        <v>-2.5000000000000001E-3</v>
      </c>
      <c r="Y114" s="2">
        <v>12.5047</v>
      </c>
      <c r="Z114" s="2">
        <v>6.4500000000000002E-2</v>
      </c>
      <c r="AA114" s="2">
        <v>12.093</v>
      </c>
      <c r="AB114" s="2">
        <v>6.4705000000000004</v>
      </c>
      <c r="AC114" s="2">
        <v>0</v>
      </c>
      <c r="AD114" s="2">
        <v>0.1268</v>
      </c>
      <c r="AE114" s="2">
        <v>0.1038</v>
      </c>
      <c r="AF114" s="2">
        <v>0</v>
      </c>
      <c r="AG114" s="2">
        <v>6.5129000000000001</v>
      </c>
      <c r="AH114" s="2">
        <v>0.14729999999999999</v>
      </c>
      <c r="AI114" s="2">
        <v>0.11609999999999999</v>
      </c>
      <c r="AJ114" s="2">
        <v>0</v>
      </c>
      <c r="AK114" s="2">
        <v>12.218999999999999</v>
      </c>
      <c r="AL114" s="2">
        <v>0.1552</v>
      </c>
      <c r="AM114" s="2">
        <v>0.16789999999999999</v>
      </c>
      <c r="AN114" s="2">
        <v>0</v>
      </c>
      <c r="AO114" s="2">
        <v>1.4200000000000001E-2</v>
      </c>
      <c r="AP114" s="2">
        <v>7.1569000000000003</v>
      </c>
      <c r="AQ114" s="2">
        <v>0</v>
      </c>
      <c r="AR114" s="2">
        <v>0</v>
      </c>
      <c r="AS114" s="2">
        <v>0</v>
      </c>
      <c r="AT114" s="2">
        <v>0.17449999999999999</v>
      </c>
      <c r="AU114" s="2">
        <v>0</v>
      </c>
      <c r="AV114" s="2">
        <v>0</v>
      </c>
      <c r="AW114" s="2">
        <v>0</v>
      </c>
      <c r="AX114" s="2">
        <v>0</v>
      </c>
    </row>
    <row r="115" spans="1:50" x14ac:dyDescent="0.25">
      <c r="A115" s="1">
        <v>45504</v>
      </c>
      <c r="B115" s="2">
        <v>11.9107</v>
      </c>
      <c r="C115" s="2">
        <v>12.007300000000001</v>
      </c>
      <c r="D115" s="2">
        <v>11.756</v>
      </c>
      <c r="E115" s="2">
        <v>6.1980000000000004</v>
      </c>
      <c r="F115" s="2">
        <v>11.9193</v>
      </c>
      <c r="G115" s="2">
        <v>11.9224</v>
      </c>
      <c r="H115" s="2">
        <v>6.2777000000000003</v>
      </c>
      <c r="I115" s="2">
        <v>11.574300000000001</v>
      </c>
      <c r="J115" s="2">
        <v>6.2530999999999999</v>
      </c>
      <c r="K115" s="2">
        <v>6.4675000000000002</v>
      </c>
      <c r="L115" s="2">
        <v>6.5872999999999999</v>
      </c>
      <c r="M115" s="2">
        <v>6.2553000000000001</v>
      </c>
      <c r="N115" s="2">
        <v>6.2443999999999997</v>
      </c>
      <c r="O115" s="2">
        <v>6.2725999999999997</v>
      </c>
      <c r="P115" s="2">
        <v>11.787599999999999</v>
      </c>
      <c r="Q115" s="2">
        <v>11.7075</v>
      </c>
      <c r="R115" s="2">
        <v>6.4978999999999996</v>
      </c>
      <c r="S115" s="2">
        <v>6.1467999999999998</v>
      </c>
      <c r="T115" s="2">
        <v>11.4466</v>
      </c>
      <c r="U115" s="2">
        <v>-3.9600000000000003E-2</v>
      </c>
      <c r="V115" s="2">
        <v>0</v>
      </c>
      <c r="W115" s="2">
        <v>6.3574999999999999</v>
      </c>
      <c r="X115" s="2">
        <v>-7.3000000000000001E-3</v>
      </c>
      <c r="Y115" s="2">
        <v>12.1518</v>
      </c>
      <c r="Z115" s="2">
        <v>6.3100000000000003E-2</v>
      </c>
      <c r="AA115" s="2">
        <v>11.9267</v>
      </c>
      <c r="AB115" s="2">
        <v>6.2378</v>
      </c>
      <c r="AC115" s="2">
        <v>0</v>
      </c>
      <c r="AD115" s="2">
        <v>0.1211</v>
      </c>
      <c r="AE115" s="2">
        <v>9.5500000000000002E-2</v>
      </c>
      <c r="AF115" s="2">
        <v>0</v>
      </c>
      <c r="AG115" s="2">
        <v>6.2348999999999997</v>
      </c>
      <c r="AH115" s="2">
        <v>0.1396</v>
      </c>
      <c r="AI115" s="2">
        <v>0.1057</v>
      </c>
      <c r="AJ115" s="2">
        <v>0</v>
      </c>
      <c r="AK115" s="2">
        <v>11.986800000000001</v>
      </c>
      <c r="AL115" s="2">
        <v>0.14849999999999999</v>
      </c>
      <c r="AM115" s="2">
        <v>0.15590000000000001</v>
      </c>
      <c r="AN115" s="2">
        <v>12.054</v>
      </c>
      <c r="AO115" s="2">
        <v>2.8E-3</v>
      </c>
      <c r="AP115" s="2">
        <v>6.0864000000000003</v>
      </c>
      <c r="AQ115" s="2">
        <v>11.8474</v>
      </c>
      <c r="AR115" s="2">
        <v>0.16420000000000001</v>
      </c>
      <c r="AS115" s="2">
        <v>0</v>
      </c>
      <c r="AT115" s="2">
        <v>0.16089999999999999</v>
      </c>
      <c r="AU115" s="2">
        <v>0</v>
      </c>
      <c r="AV115" s="2">
        <v>0</v>
      </c>
      <c r="AW115" s="2">
        <v>0</v>
      </c>
      <c r="AX115" s="2">
        <v>0</v>
      </c>
    </row>
    <row r="116" spans="1:50" x14ac:dyDescent="0.25">
      <c r="A116" s="1">
        <v>45534</v>
      </c>
      <c r="B116" s="2">
        <v>12.1173</v>
      </c>
      <c r="C116" s="2">
        <v>12.1724</v>
      </c>
      <c r="D116" s="2">
        <v>11.932600000000001</v>
      </c>
      <c r="E116" s="2">
        <v>6.2379999999999995</v>
      </c>
      <c r="F116" s="2">
        <v>12.13</v>
      </c>
      <c r="G116" s="2">
        <v>12.1191</v>
      </c>
      <c r="H116" s="2">
        <v>6.2523</v>
      </c>
      <c r="I116" s="2">
        <v>11.7834</v>
      </c>
      <c r="J116" s="2">
        <v>6.2569999999999997</v>
      </c>
      <c r="K116" s="2">
        <v>6.4843000000000002</v>
      </c>
      <c r="L116" s="2">
        <v>6.6815999999999995</v>
      </c>
      <c r="M116" s="2">
        <v>6.2562999999999995</v>
      </c>
      <c r="N116" s="2">
        <v>6.2590000000000003</v>
      </c>
      <c r="O116" s="2">
        <v>6.2409999999999997</v>
      </c>
      <c r="P116" s="2">
        <v>11.9148</v>
      </c>
      <c r="Q116" s="2">
        <v>11.857799999999999</v>
      </c>
      <c r="R116" s="2">
        <v>6.5270000000000001</v>
      </c>
      <c r="S116" s="2">
        <v>6.1311</v>
      </c>
      <c r="T116" s="2">
        <v>11.699300000000001</v>
      </c>
      <c r="U116" s="2">
        <v>-6.3799999999999996E-2</v>
      </c>
      <c r="V116" s="2">
        <v>0</v>
      </c>
      <c r="W116" s="2">
        <v>6.3945999999999996</v>
      </c>
      <c r="X116" s="2">
        <v>-2.2700000000000001E-2</v>
      </c>
      <c r="Y116" s="2">
        <v>12.2446</v>
      </c>
      <c r="Z116" s="2">
        <v>4.4999999999999998E-2</v>
      </c>
      <c r="AA116" s="2">
        <v>11.9994</v>
      </c>
      <c r="AB116" s="2">
        <v>6.2375999999999996</v>
      </c>
      <c r="AC116" s="2">
        <v>0</v>
      </c>
      <c r="AD116" s="2">
        <v>0.1179</v>
      </c>
      <c r="AE116" s="2">
        <v>7.2900000000000006E-2</v>
      </c>
      <c r="AF116" s="2">
        <v>0</v>
      </c>
      <c r="AG116" s="2">
        <v>6.2466999999999997</v>
      </c>
      <c r="AH116" s="2">
        <v>0.1386</v>
      </c>
      <c r="AI116" s="2">
        <v>9.8400000000000001E-2</v>
      </c>
      <c r="AJ116" s="2">
        <v>0</v>
      </c>
      <c r="AK116" s="2">
        <v>12.0601</v>
      </c>
      <c r="AL116" s="2">
        <v>0.14949999999999999</v>
      </c>
      <c r="AM116" s="2">
        <v>0.1525</v>
      </c>
      <c r="AN116" s="2">
        <v>12.143800000000001</v>
      </c>
      <c r="AO116" s="2">
        <v>-1.32E-2</v>
      </c>
      <c r="AP116" s="2">
        <v>5.9386000000000001</v>
      </c>
      <c r="AQ116" s="2">
        <v>11.935700000000001</v>
      </c>
      <c r="AR116" s="2">
        <v>0.16200000000000001</v>
      </c>
      <c r="AS116" s="2">
        <v>0</v>
      </c>
      <c r="AT116" s="2">
        <v>0.15659999999999999</v>
      </c>
      <c r="AU116" s="2">
        <v>0</v>
      </c>
      <c r="AV116" s="2">
        <v>0</v>
      </c>
      <c r="AW116" s="2">
        <v>0</v>
      </c>
      <c r="AX116" s="2">
        <v>0</v>
      </c>
    </row>
    <row r="117" spans="1:50" x14ac:dyDescent="0.25">
      <c r="A117" s="1">
        <v>45565</v>
      </c>
      <c r="B117" s="2">
        <v>12.3698</v>
      </c>
      <c r="C117" s="2">
        <v>12.5001</v>
      </c>
      <c r="D117" s="2">
        <v>12.3353</v>
      </c>
      <c r="E117" s="2">
        <v>6.4916999999999998</v>
      </c>
      <c r="F117" s="2">
        <v>12.4046</v>
      </c>
      <c r="G117" s="2">
        <v>12.347899999999999</v>
      </c>
      <c r="H117" s="2">
        <v>6.4535</v>
      </c>
      <c r="I117" s="2">
        <v>12.2683</v>
      </c>
      <c r="J117" s="2">
        <v>6.5163000000000002</v>
      </c>
      <c r="K117" s="2">
        <v>6.7286000000000001</v>
      </c>
      <c r="L117" s="2">
        <v>6.806</v>
      </c>
      <c r="M117" s="2">
        <v>6.4367000000000001</v>
      </c>
      <c r="N117" s="2">
        <v>6.5236000000000001</v>
      </c>
      <c r="O117" s="2">
        <v>6.4335000000000004</v>
      </c>
      <c r="P117" s="2">
        <v>12.414999999999999</v>
      </c>
      <c r="Q117" s="2">
        <v>12.3598</v>
      </c>
      <c r="R117" s="2">
        <v>6.6965000000000003</v>
      </c>
      <c r="S117" s="2">
        <v>6.4142999999999999</v>
      </c>
      <c r="T117" s="2">
        <v>12.089399999999999</v>
      </c>
      <c r="U117" s="2">
        <v>-4.6399999999999997E-2</v>
      </c>
      <c r="V117" s="2">
        <v>0</v>
      </c>
      <c r="W117" s="2">
        <v>6.6189</v>
      </c>
      <c r="X117" s="2">
        <v>-1.54E-2</v>
      </c>
      <c r="Y117" s="2">
        <v>12.579800000000001</v>
      </c>
      <c r="Z117" s="2">
        <v>4.3400000000000001E-2</v>
      </c>
      <c r="AA117" s="2">
        <v>12.408200000000001</v>
      </c>
      <c r="AB117" s="2">
        <v>6.4314999999999998</v>
      </c>
      <c r="AC117" s="2">
        <v>0</v>
      </c>
      <c r="AD117" s="2">
        <v>0.107</v>
      </c>
      <c r="AE117" s="2">
        <v>6.13E-2</v>
      </c>
      <c r="AF117" s="2">
        <v>0</v>
      </c>
      <c r="AG117" s="2">
        <v>6.5190000000000001</v>
      </c>
      <c r="AH117" s="2">
        <v>0.12989999999999999</v>
      </c>
      <c r="AI117" s="2">
        <v>8.4199999999999997E-2</v>
      </c>
      <c r="AJ117" s="2">
        <v>0</v>
      </c>
      <c r="AK117" s="2">
        <v>12.4466</v>
      </c>
      <c r="AL117" s="2">
        <v>0.1366</v>
      </c>
      <c r="AM117" s="2">
        <v>0.1416</v>
      </c>
      <c r="AN117" s="2">
        <v>12.5124</v>
      </c>
      <c r="AO117" s="2">
        <v>-9.1000000000000004E-3</v>
      </c>
      <c r="AP117" s="2">
        <v>6.1215000000000002</v>
      </c>
      <c r="AQ117" s="2">
        <v>12.4238</v>
      </c>
      <c r="AR117" s="2">
        <v>0.14499999999999999</v>
      </c>
      <c r="AS117" s="2">
        <v>0</v>
      </c>
      <c r="AT117" s="2">
        <v>0.1449</v>
      </c>
      <c r="AU117" s="2">
        <v>0</v>
      </c>
      <c r="AV117" s="2">
        <v>0</v>
      </c>
      <c r="AW117" s="2">
        <v>0</v>
      </c>
      <c r="AX117" s="2">
        <v>0</v>
      </c>
    </row>
    <row r="118" spans="1:50" x14ac:dyDescent="0.25">
      <c r="A118" s="1">
        <v>45596</v>
      </c>
      <c r="B118" s="2">
        <v>12.7667</v>
      </c>
      <c r="C118" s="2">
        <v>12.962199999999999</v>
      </c>
      <c r="D118" s="2">
        <v>12.940300000000001</v>
      </c>
      <c r="E118" s="2">
        <v>6.7780000000000005</v>
      </c>
      <c r="F118" s="2">
        <v>12.9765</v>
      </c>
      <c r="G118" s="2">
        <v>12.8169</v>
      </c>
      <c r="H118" s="2">
        <v>6.7313999999999998</v>
      </c>
      <c r="I118" s="2">
        <v>12.725</v>
      </c>
      <c r="J118" s="2">
        <v>6.8524000000000003</v>
      </c>
      <c r="K118" s="2">
        <v>6.9629000000000003</v>
      </c>
      <c r="L118" s="2">
        <v>6.9408000000000003</v>
      </c>
      <c r="M118" s="2">
        <v>6.6928000000000001</v>
      </c>
      <c r="N118" s="2">
        <v>6.8436000000000003</v>
      </c>
      <c r="O118" s="2">
        <v>6.7752999999999997</v>
      </c>
      <c r="P118" s="2">
        <v>12.928699999999999</v>
      </c>
      <c r="Q118" s="2">
        <v>12.8698</v>
      </c>
      <c r="R118" s="2">
        <v>6.8882000000000003</v>
      </c>
      <c r="S118" s="2">
        <v>6.7022000000000004</v>
      </c>
      <c r="T118" s="2">
        <v>12.496600000000001</v>
      </c>
      <c r="U118" s="2">
        <v>-5.0799999999999998E-2</v>
      </c>
      <c r="V118" s="2">
        <v>0</v>
      </c>
      <c r="W118" s="2">
        <v>6.9035000000000002</v>
      </c>
      <c r="X118" s="2">
        <v>-2.92E-2</v>
      </c>
      <c r="Y118" s="2">
        <v>13.060600000000001</v>
      </c>
      <c r="Z118" s="2">
        <v>3.6799999999999999E-2</v>
      </c>
      <c r="AA118" s="2">
        <v>12.976800000000001</v>
      </c>
      <c r="AB118" s="2">
        <v>6.7122000000000002</v>
      </c>
      <c r="AC118" s="2">
        <v>0</v>
      </c>
      <c r="AD118" s="2">
        <v>9.7500000000000003E-2</v>
      </c>
      <c r="AE118" s="2">
        <v>5.2400000000000002E-2</v>
      </c>
      <c r="AF118" s="2">
        <v>0</v>
      </c>
      <c r="AG118" s="2">
        <v>6.8292000000000002</v>
      </c>
      <c r="AH118" s="2">
        <v>0.11509999999999999</v>
      </c>
      <c r="AI118" s="2">
        <v>7.2400000000000006E-2</v>
      </c>
      <c r="AJ118" s="2">
        <v>0</v>
      </c>
      <c r="AK118" s="2">
        <v>13.0129</v>
      </c>
      <c r="AL118" s="2">
        <v>0.1179</v>
      </c>
      <c r="AM118" s="2">
        <v>0.12330000000000001</v>
      </c>
      <c r="AN118" s="2">
        <v>13.0517</v>
      </c>
      <c r="AO118" s="2">
        <v>-1.9400000000000001E-2</v>
      </c>
      <c r="AP118" s="2">
        <v>6.4314</v>
      </c>
      <c r="AQ118" s="2">
        <v>12.9598</v>
      </c>
      <c r="AR118" s="2">
        <v>0.1235</v>
      </c>
      <c r="AS118" s="2">
        <v>0</v>
      </c>
      <c r="AT118" s="2">
        <v>0.1234</v>
      </c>
      <c r="AU118" s="2">
        <v>0</v>
      </c>
      <c r="AV118" s="2">
        <v>0</v>
      </c>
      <c r="AW118" s="2">
        <v>0.12479999999999999</v>
      </c>
      <c r="AX118" s="2">
        <v>0</v>
      </c>
    </row>
    <row r="119" spans="1:50" x14ac:dyDescent="0.25">
      <c r="A119" s="1">
        <v>45625</v>
      </c>
      <c r="B119" s="2">
        <v>13.4542</v>
      </c>
      <c r="C119" s="2">
        <v>13.7136</v>
      </c>
      <c r="D119" s="2">
        <v>13.9971</v>
      </c>
      <c r="E119" s="2">
        <v>6.9508999999999999</v>
      </c>
      <c r="F119" s="2">
        <v>13.830400000000001</v>
      </c>
      <c r="G119" s="2">
        <v>13.553100000000001</v>
      </c>
      <c r="H119" s="2">
        <v>6.8164999999999996</v>
      </c>
      <c r="I119" s="2">
        <v>13.8371</v>
      </c>
      <c r="J119" s="2">
        <v>7.1151</v>
      </c>
      <c r="K119" s="2">
        <v>7.2792000000000003</v>
      </c>
      <c r="L119" s="2">
        <v>7.2819000000000003</v>
      </c>
      <c r="M119" s="2">
        <v>6.8212000000000002</v>
      </c>
      <c r="N119" s="2">
        <v>7.0632999999999999</v>
      </c>
      <c r="O119" s="2">
        <v>6.8270999999999997</v>
      </c>
      <c r="P119" s="2">
        <v>14.056800000000001</v>
      </c>
      <c r="Q119" s="2">
        <v>14.007899999999999</v>
      </c>
      <c r="R119" s="2">
        <v>7.2573999999999996</v>
      </c>
      <c r="S119" s="2">
        <v>6.8253000000000004</v>
      </c>
      <c r="T119" s="2">
        <v>13.546200000000001</v>
      </c>
      <c r="U119" s="2">
        <v>-7.5600000000000001E-2</v>
      </c>
      <c r="V119" s="2">
        <v>0</v>
      </c>
      <c r="W119" s="2">
        <v>7.1582999999999997</v>
      </c>
      <c r="X119" s="2">
        <v>-3.5799999999999998E-2</v>
      </c>
      <c r="Y119" s="2">
        <v>13.791</v>
      </c>
      <c r="Z119" s="2">
        <v>1.7899999999999999E-2</v>
      </c>
      <c r="AA119" s="2">
        <v>13.9978</v>
      </c>
      <c r="AB119" s="2">
        <v>6.8106999999999998</v>
      </c>
      <c r="AC119" s="2">
        <v>0</v>
      </c>
      <c r="AD119" s="2">
        <v>8.3799999999999999E-2</v>
      </c>
      <c r="AE119" s="2">
        <v>2.8400000000000002E-2</v>
      </c>
      <c r="AF119" s="2">
        <v>0</v>
      </c>
      <c r="AG119" s="2">
        <v>7.0583999999999998</v>
      </c>
      <c r="AH119" s="2">
        <v>0.1022</v>
      </c>
      <c r="AI119" s="2">
        <v>5.7700000000000001E-2</v>
      </c>
      <c r="AJ119" s="2">
        <v>0</v>
      </c>
      <c r="AK119" s="2">
        <v>13.9495</v>
      </c>
      <c r="AL119" s="2">
        <v>0.11260000000000001</v>
      </c>
      <c r="AM119" s="2">
        <v>0.11459999999999999</v>
      </c>
      <c r="AN119" s="2">
        <v>13.919599999999999</v>
      </c>
      <c r="AO119" s="2">
        <v>-2.4E-2</v>
      </c>
      <c r="AP119" s="2">
        <v>6.4903000000000004</v>
      </c>
      <c r="AQ119" s="2">
        <v>14.0326</v>
      </c>
      <c r="AR119" s="2">
        <v>0.11509999999999999</v>
      </c>
      <c r="AS119" s="2">
        <v>0</v>
      </c>
      <c r="AT119" s="2">
        <v>0.115</v>
      </c>
      <c r="AU119" s="2">
        <v>0</v>
      </c>
      <c r="AV119" s="2">
        <v>0</v>
      </c>
      <c r="AW119" s="2">
        <v>0.1164</v>
      </c>
      <c r="AX119" s="2">
        <v>0</v>
      </c>
    </row>
    <row r="120" spans="1:50" x14ac:dyDescent="0.25">
      <c r="A120" s="1">
        <v>45657</v>
      </c>
      <c r="B120" s="2">
        <v>15.2066</v>
      </c>
      <c r="C120" s="2">
        <v>15.677</v>
      </c>
      <c r="D120" s="2">
        <v>15.9434</v>
      </c>
      <c r="E120" s="2">
        <v>7.6462000000000003</v>
      </c>
      <c r="F120" s="2">
        <v>15.914199999999999</v>
      </c>
      <c r="G120" s="2">
        <v>15.4186</v>
      </c>
      <c r="H120" s="2">
        <v>7.4546000000000001</v>
      </c>
      <c r="I120" s="2">
        <v>15.4481</v>
      </c>
      <c r="J120" s="2">
        <v>7.75</v>
      </c>
      <c r="K120" s="2">
        <v>8.1166</v>
      </c>
      <c r="L120" s="2">
        <v>8.0043000000000006</v>
      </c>
      <c r="M120" s="2">
        <v>7.4330999999999996</v>
      </c>
      <c r="N120" s="2">
        <v>7.7335000000000003</v>
      </c>
      <c r="O120" s="2">
        <v>7.3997999999999999</v>
      </c>
      <c r="P120" s="2">
        <v>15.938599999999999</v>
      </c>
      <c r="Q120" s="2">
        <v>15.7784</v>
      </c>
      <c r="R120" s="2">
        <v>8.0335999999999999</v>
      </c>
      <c r="S120" s="2">
        <v>7.3118999999999996</v>
      </c>
      <c r="T120" s="2">
        <v>14.9315</v>
      </c>
      <c r="U120" s="2">
        <v>3.1300000000000001E-2</v>
      </c>
      <c r="V120" s="2">
        <v>0</v>
      </c>
      <c r="W120" s="2">
        <v>7.8870000000000005</v>
      </c>
      <c r="X120" s="2">
        <v>3.5700000000000003E-2</v>
      </c>
      <c r="Y120" s="2">
        <v>15.7498</v>
      </c>
      <c r="Z120" s="2">
        <v>7.1800000000000003E-2</v>
      </c>
      <c r="AA120" s="2">
        <v>15.9762</v>
      </c>
      <c r="AB120" s="2">
        <v>7.4368999999999996</v>
      </c>
      <c r="AC120" s="2">
        <v>0</v>
      </c>
      <c r="AD120" s="2">
        <v>0.11219999999999999</v>
      </c>
      <c r="AE120" s="2">
        <v>8.2199999999999995E-2</v>
      </c>
      <c r="AF120" s="2">
        <v>0</v>
      </c>
      <c r="AG120" s="2">
        <v>7.7127999999999997</v>
      </c>
      <c r="AH120" s="2">
        <v>0.13919999999999999</v>
      </c>
      <c r="AI120" s="2">
        <v>9.9599999999999994E-2</v>
      </c>
      <c r="AJ120" s="2">
        <v>0</v>
      </c>
      <c r="AK120" s="2">
        <v>15.928599999999999</v>
      </c>
      <c r="AL120" s="2">
        <v>0.1424</v>
      </c>
      <c r="AM120" s="2">
        <v>0.14099999999999999</v>
      </c>
      <c r="AN120" s="2">
        <v>15.8888</v>
      </c>
      <c r="AO120" s="2">
        <v>3.6700000000000003E-2</v>
      </c>
      <c r="AP120" s="2">
        <v>6.7524999999999995</v>
      </c>
      <c r="AQ120" s="2">
        <v>15.9643</v>
      </c>
      <c r="AR120" s="2">
        <v>0.13900000000000001</v>
      </c>
      <c r="AS120" s="2">
        <v>0</v>
      </c>
      <c r="AT120" s="2">
        <v>0.14199999999999999</v>
      </c>
      <c r="AU120" s="2">
        <v>0</v>
      </c>
      <c r="AV120" s="2">
        <v>0</v>
      </c>
      <c r="AW120" s="2">
        <v>0.13550000000000001</v>
      </c>
      <c r="AX120" s="2">
        <v>0</v>
      </c>
    </row>
    <row r="121" spans="1:50" x14ac:dyDescent="0.25">
      <c r="A121" s="1">
        <v>45688</v>
      </c>
      <c r="B121" s="2">
        <v>14.758800000000001</v>
      </c>
      <c r="C121" s="2">
        <v>14.837999999999999</v>
      </c>
      <c r="D121" s="2">
        <v>14.8828</v>
      </c>
      <c r="E121" s="2">
        <v>7.673</v>
      </c>
      <c r="F121" s="2">
        <v>14.802300000000001</v>
      </c>
      <c r="G121" s="2">
        <v>14.715999999999999</v>
      </c>
      <c r="H121" s="2">
        <v>7.5206</v>
      </c>
      <c r="I121" s="2">
        <v>14.791499999999999</v>
      </c>
      <c r="J121" s="2">
        <v>7.6848000000000001</v>
      </c>
      <c r="K121" s="2">
        <v>7.5788000000000002</v>
      </c>
      <c r="L121" s="2">
        <v>7.6093999999999999</v>
      </c>
      <c r="M121" s="2">
        <v>7.4922000000000004</v>
      </c>
      <c r="N121" s="2">
        <v>7.7724000000000002</v>
      </c>
      <c r="O121" s="2">
        <v>7.5372000000000003</v>
      </c>
      <c r="P121" s="2">
        <v>15.051</v>
      </c>
      <c r="Q121" s="2">
        <v>14.991899999999999</v>
      </c>
      <c r="R121" s="2">
        <v>7.4036</v>
      </c>
      <c r="S121" s="2">
        <v>7.4641999999999999</v>
      </c>
      <c r="T121" s="2">
        <v>14.4528</v>
      </c>
      <c r="U121" s="2">
        <v>-8.8700000000000001E-2</v>
      </c>
      <c r="V121" s="2">
        <v>14.9506</v>
      </c>
      <c r="W121" s="2">
        <v>7.5521000000000003</v>
      </c>
      <c r="X121" s="2">
        <v>-4.6899999999999997E-2</v>
      </c>
      <c r="Y121" s="2">
        <v>14.805</v>
      </c>
      <c r="Z121" s="2">
        <v>1.5599999999999999E-2</v>
      </c>
      <c r="AA121" s="2">
        <v>14.896699999999999</v>
      </c>
      <c r="AB121" s="2">
        <v>7.4690000000000003</v>
      </c>
      <c r="AC121" s="2">
        <v>14.8194</v>
      </c>
      <c r="AD121" s="2">
        <v>6.6299999999999998E-2</v>
      </c>
      <c r="AE121" s="2">
        <v>3.0300000000000001E-2</v>
      </c>
      <c r="AF121" s="2">
        <v>14.8123</v>
      </c>
      <c r="AG121" s="2">
        <v>7.7081999999999997</v>
      </c>
      <c r="AH121" s="2">
        <v>9.2799999999999994E-2</v>
      </c>
      <c r="AI121" s="2">
        <v>4.3700000000000003E-2</v>
      </c>
      <c r="AJ121" s="2">
        <v>0</v>
      </c>
      <c r="AK121" s="2">
        <v>14.82</v>
      </c>
      <c r="AL121" s="2">
        <v>0.10580000000000001</v>
      </c>
      <c r="AM121" s="2">
        <v>0.108</v>
      </c>
      <c r="AN121" s="2">
        <v>14.7751</v>
      </c>
      <c r="AO121" s="2">
        <v>-3.0700000000000002E-2</v>
      </c>
      <c r="AP121" s="2">
        <v>6.734</v>
      </c>
      <c r="AQ121" s="2">
        <v>14.9815</v>
      </c>
      <c r="AR121" s="2">
        <v>0.1081</v>
      </c>
      <c r="AS121" s="2">
        <v>0</v>
      </c>
      <c r="AT121" s="2">
        <v>0.10829999999999999</v>
      </c>
      <c r="AU121" s="2">
        <v>0.10589999999999999</v>
      </c>
      <c r="AV121" s="2">
        <v>0</v>
      </c>
      <c r="AW121" s="2">
        <v>0.1084</v>
      </c>
      <c r="AX121" s="2">
        <v>0</v>
      </c>
    </row>
    <row r="122" spans="1:50" x14ac:dyDescent="0.25">
      <c r="A122" s="1">
        <v>45716</v>
      </c>
      <c r="B122" s="2">
        <v>15.2826</v>
      </c>
      <c r="C122" s="2">
        <v>15.349399999999999</v>
      </c>
      <c r="D122" s="2">
        <v>14.9948</v>
      </c>
      <c r="E122" s="2">
        <v>7.8307000000000002</v>
      </c>
      <c r="F122" s="2">
        <v>15.1587</v>
      </c>
      <c r="G122" s="2">
        <v>15.2667</v>
      </c>
      <c r="H122" s="2">
        <v>7.5533999999999999</v>
      </c>
      <c r="I122" s="2">
        <v>14.843999999999999</v>
      </c>
      <c r="J122" s="2">
        <v>7.8745000000000003</v>
      </c>
      <c r="K122" s="2">
        <v>7.7923</v>
      </c>
      <c r="L122" s="2">
        <v>8.0550999999999995</v>
      </c>
      <c r="M122" s="2">
        <v>7.5103</v>
      </c>
      <c r="N122" s="2">
        <v>7.9036999999999997</v>
      </c>
      <c r="O122" s="2">
        <v>7.6478999999999999</v>
      </c>
      <c r="P122" s="2">
        <v>15.042999999999999</v>
      </c>
      <c r="Q122" s="2">
        <v>14.992000000000001</v>
      </c>
      <c r="R122" s="2">
        <v>7.7153</v>
      </c>
      <c r="S122" s="2">
        <v>7.6402999999999999</v>
      </c>
      <c r="T122" s="2">
        <v>14.5847</v>
      </c>
      <c r="U122" s="2">
        <v>-0.10589999999999999</v>
      </c>
      <c r="V122" s="2">
        <v>15.029</v>
      </c>
      <c r="W122" s="2">
        <v>7.7789000000000001</v>
      </c>
      <c r="X122" s="2">
        <v>-4.9599999999999998E-2</v>
      </c>
      <c r="Y122" s="2">
        <v>15.229699999999999</v>
      </c>
      <c r="Z122" s="2">
        <v>1.5100000000000001E-2</v>
      </c>
      <c r="AA122" s="2">
        <v>15.011900000000001</v>
      </c>
      <c r="AB122" s="2">
        <v>7.5053000000000001</v>
      </c>
      <c r="AC122" s="2">
        <v>15.1418</v>
      </c>
      <c r="AD122" s="2">
        <v>6.2E-2</v>
      </c>
      <c r="AE122" s="2">
        <v>2.7699999999999999E-2</v>
      </c>
      <c r="AF122" s="2">
        <v>15.287000000000001</v>
      </c>
      <c r="AG122" s="2">
        <v>7.8545999999999996</v>
      </c>
      <c r="AH122" s="2">
        <v>8.7800000000000003E-2</v>
      </c>
      <c r="AI122" s="2">
        <v>3.73E-2</v>
      </c>
      <c r="AJ122" s="2">
        <v>0</v>
      </c>
      <c r="AK122" s="2">
        <v>15.0025</v>
      </c>
      <c r="AL122" s="2">
        <v>0.1056</v>
      </c>
      <c r="AM122" s="2">
        <v>0.1094</v>
      </c>
      <c r="AN122" s="2">
        <v>15.032999999999999</v>
      </c>
      <c r="AO122" s="2">
        <v>-3.2599999999999997E-2</v>
      </c>
      <c r="AP122" s="2">
        <v>6.8571999999999997</v>
      </c>
      <c r="AQ122" s="2">
        <v>15.003399999999999</v>
      </c>
      <c r="AR122" s="2">
        <v>0.1104</v>
      </c>
      <c r="AS122" s="2">
        <v>0</v>
      </c>
      <c r="AT122" s="2">
        <v>0.1104</v>
      </c>
      <c r="AU122" s="2">
        <v>0.1094</v>
      </c>
      <c r="AV122" s="2">
        <v>0</v>
      </c>
      <c r="AW122" s="2">
        <v>0.1101</v>
      </c>
      <c r="AX122" s="2">
        <v>0</v>
      </c>
    </row>
    <row r="123" spans="1:50" x14ac:dyDescent="0.25">
      <c r="A123" s="1">
        <v>45747</v>
      </c>
      <c r="B123" s="2">
        <v>15.0616</v>
      </c>
      <c r="C123" s="2">
        <v>15.039300000000001</v>
      </c>
      <c r="D123" s="2">
        <v>14.875999999999999</v>
      </c>
      <c r="E123" s="2">
        <v>7.5956999999999999</v>
      </c>
      <c r="F123" s="2">
        <v>14.8337</v>
      </c>
      <c r="G123" s="2">
        <v>15.004099999999999</v>
      </c>
      <c r="H123" s="2">
        <v>7.3886000000000003</v>
      </c>
      <c r="I123" s="2">
        <v>14.865</v>
      </c>
      <c r="J123" s="2">
        <v>7.8644999999999996</v>
      </c>
      <c r="K123" s="2">
        <v>8.0719999999999992</v>
      </c>
      <c r="L123" s="2">
        <v>9.1369000000000007</v>
      </c>
      <c r="M123" s="2">
        <v>7.3883999999999999</v>
      </c>
      <c r="N123" s="2">
        <v>7.7968000000000002</v>
      </c>
      <c r="O123" s="2">
        <v>7.4795999999999996</v>
      </c>
      <c r="P123" s="2">
        <v>15.020899999999999</v>
      </c>
      <c r="Q123" s="2">
        <v>14.9693</v>
      </c>
      <c r="R123" s="2">
        <v>8.2903000000000002</v>
      </c>
      <c r="S123" s="2">
        <v>7.5176999999999996</v>
      </c>
      <c r="T123" s="2">
        <v>14.5837</v>
      </c>
      <c r="U123" s="2">
        <v>-0.12470000000000001</v>
      </c>
      <c r="V123" s="2">
        <v>14.8626</v>
      </c>
      <c r="W123" s="2">
        <v>7.9584000000000001</v>
      </c>
      <c r="X123" s="2">
        <v>-5.6500000000000002E-2</v>
      </c>
      <c r="Y123" s="2">
        <v>14.881499999999999</v>
      </c>
      <c r="Z123" s="2">
        <v>1.3299999999999999E-2</v>
      </c>
      <c r="AA123" s="2">
        <v>14.8101</v>
      </c>
      <c r="AB123" s="2">
        <v>7.3742000000000001</v>
      </c>
      <c r="AC123" s="2">
        <v>14.811</v>
      </c>
      <c r="AD123" s="2">
        <v>6.3200000000000006E-2</v>
      </c>
      <c r="AE123" s="2">
        <v>2.76E-2</v>
      </c>
      <c r="AF123" s="2">
        <v>14.9894</v>
      </c>
      <c r="AG123" s="2">
        <v>7.694</v>
      </c>
      <c r="AH123" s="2">
        <v>8.8999999999999996E-2</v>
      </c>
      <c r="AI123" s="2">
        <v>4.0599999999999997E-2</v>
      </c>
      <c r="AJ123" s="2">
        <v>0</v>
      </c>
      <c r="AK123" s="2">
        <v>14.706200000000001</v>
      </c>
      <c r="AL123" s="2">
        <v>0.10340000000000001</v>
      </c>
      <c r="AM123" s="2">
        <v>0.10929999999999999</v>
      </c>
      <c r="AN123" s="2">
        <v>14.706200000000001</v>
      </c>
      <c r="AO123" s="2">
        <v>-3.6700000000000003E-2</v>
      </c>
      <c r="AP123" s="2">
        <v>6.6989000000000001</v>
      </c>
      <c r="AQ123" s="2">
        <v>14.916499999999999</v>
      </c>
      <c r="AR123" s="2">
        <v>0.10730000000000001</v>
      </c>
      <c r="AS123" s="2">
        <v>0</v>
      </c>
      <c r="AT123" s="2">
        <v>0.11</v>
      </c>
      <c r="AU123" s="2">
        <v>9.9599999999999994E-2</v>
      </c>
      <c r="AV123" s="2">
        <v>0</v>
      </c>
      <c r="AW123" s="2">
        <v>0.106</v>
      </c>
      <c r="AX123" s="2">
        <v>0</v>
      </c>
    </row>
    <row r="124" spans="1:50" x14ac:dyDescent="0.25">
      <c r="A124" s="1">
        <v>45777</v>
      </c>
      <c r="B124" s="2">
        <v>14.071899999999999</v>
      </c>
      <c r="C124" s="2">
        <v>13.9932</v>
      </c>
      <c r="D124" s="2">
        <v>13.82</v>
      </c>
      <c r="E124" s="2">
        <v>7.4553000000000003</v>
      </c>
      <c r="F124" s="2">
        <v>13.6355</v>
      </c>
      <c r="G124" s="2">
        <v>13.9506</v>
      </c>
      <c r="H124" s="2">
        <v>7.2851999999999997</v>
      </c>
      <c r="I124" s="2">
        <v>14.5404</v>
      </c>
      <c r="J124" s="2">
        <v>7.4419000000000004</v>
      </c>
      <c r="K124" s="2">
        <v>7.5598000000000001</v>
      </c>
      <c r="L124" s="2">
        <v>9.0086999999999993</v>
      </c>
      <c r="M124" s="2">
        <v>7.3160999999999996</v>
      </c>
      <c r="N124" s="2">
        <v>7.4650999999999996</v>
      </c>
      <c r="O124" s="2">
        <v>7.3772000000000002</v>
      </c>
      <c r="P124" s="2">
        <v>14.2874</v>
      </c>
      <c r="Q124" s="2">
        <v>14.459</v>
      </c>
      <c r="R124" s="2">
        <v>7.9722999999999997</v>
      </c>
      <c r="S124" s="2">
        <v>7.3620000000000001</v>
      </c>
      <c r="T124" s="2">
        <v>14.4533</v>
      </c>
      <c r="U124" s="2">
        <v>-0.14779999999999999</v>
      </c>
      <c r="V124" s="2">
        <v>13.752000000000001</v>
      </c>
      <c r="W124" s="2">
        <v>7.4447000000000001</v>
      </c>
      <c r="X124" s="2">
        <v>-5.7500000000000002E-2</v>
      </c>
      <c r="Y124" s="2">
        <v>13.756</v>
      </c>
      <c r="Z124" s="2">
        <v>2.29E-2</v>
      </c>
      <c r="AA124" s="2">
        <v>13.6106</v>
      </c>
      <c r="AB124" s="2">
        <v>7.2903000000000002</v>
      </c>
      <c r="AC124" s="2">
        <v>13.6142</v>
      </c>
      <c r="AD124" s="2">
        <v>7.1300000000000002E-2</v>
      </c>
      <c r="AE124" s="2">
        <v>3.7600000000000001E-2</v>
      </c>
      <c r="AF124" s="2">
        <v>13.949400000000001</v>
      </c>
      <c r="AG124" s="2">
        <v>7.4649999999999999</v>
      </c>
      <c r="AH124" s="2">
        <v>9.5000000000000001E-2</v>
      </c>
      <c r="AI124" s="2">
        <v>5.1299999999999998E-2</v>
      </c>
      <c r="AJ124" s="2">
        <v>0</v>
      </c>
      <c r="AK124" s="2">
        <v>13.450699999999999</v>
      </c>
      <c r="AL124" s="2">
        <v>0.1043</v>
      </c>
      <c r="AM124" s="2">
        <v>0.11210000000000001</v>
      </c>
      <c r="AN124" s="2">
        <v>13.460699999999999</v>
      </c>
      <c r="AO124" s="2">
        <v>-3.3799999999999997E-2</v>
      </c>
      <c r="AP124" s="2">
        <v>7.2470999999999997</v>
      </c>
      <c r="AQ124" s="2">
        <v>14.006399999999999</v>
      </c>
      <c r="AR124" s="2">
        <v>0.10780000000000001</v>
      </c>
      <c r="AS124" s="2">
        <v>0.10580000000000001</v>
      </c>
      <c r="AT124" s="2">
        <v>0.11310000000000001</v>
      </c>
      <c r="AU124" s="2">
        <v>0.10639999999999999</v>
      </c>
      <c r="AV124" s="2">
        <v>0</v>
      </c>
      <c r="AW124" s="2">
        <v>0.1057</v>
      </c>
      <c r="AX124" s="2">
        <v>0</v>
      </c>
    </row>
    <row r="125" spans="1:50" x14ac:dyDescent="0.25">
      <c r="A125" s="1">
        <v>45807</v>
      </c>
      <c r="B125" s="2">
        <v>13.984</v>
      </c>
      <c r="C125" s="2">
        <v>13.9322</v>
      </c>
      <c r="D125" s="2">
        <v>14.061500000000001</v>
      </c>
      <c r="E125" s="2">
        <v>7.2686999999999999</v>
      </c>
      <c r="F125" s="2">
        <v>13.712999999999999</v>
      </c>
      <c r="G125" s="2">
        <v>13.8896</v>
      </c>
      <c r="H125" s="2">
        <v>7.1045999999999996</v>
      </c>
      <c r="I125" s="2">
        <v>14.641500000000001</v>
      </c>
      <c r="J125" s="2">
        <v>7.4996999999999998</v>
      </c>
      <c r="K125" s="2">
        <v>7.7816999999999998</v>
      </c>
      <c r="L125" s="2">
        <v>9.3114000000000008</v>
      </c>
      <c r="M125" s="2">
        <v>7.1127000000000002</v>
      </c>
      <c r="N125" s="2">
        <v>7.431</v>
      </c>
      <c r="O125" s="2">
        <v>7.1646999999999998</v>
      </c>
      <c r="P125" s="2">
        <v>14.5212</v>
      </c>
      <c r="Q125" s="2">
        <v>14.6142</v>
      </c>
      <c r="R125" s="2">
        <v>8.3155000000000001</v>
      </c>
      <c r="S125" s="2">
        <v>7.1558000000000002</v>
      </c>
      <c r="T125" s="2">
        <v>14.5001</v>
      </c>
      <c r="U125" s="2">
        <v>-0.1963</v>
      </c>
      <c r="V125" s="2">
        <v>13.9801</v>
      </c>
      <c r="W125" s="2">
        <v>7.5411000000000001</v>
      </c>
      <c r="X125" s="2">
        <v>-5.96E-2</v>
      </c>
      <c r="Y125" s="2">
        <v>13.762599999999999</v>
      </c>
      <c r="Z125" s="2">
        <v>1.01E-2</v>
      </c>
      <c r="AA125" s="2">
        <v>13.833299999999999</v>
      </c>
      <c r="AB125" s="2">
        <v>7.0929000000000002</v>
      </c>
      <c r="AC125" s="2">
        <v>13.682</v>
      </c>
      <c r="AD125" s="2">
        <v>6.1600000000000002E-2</v>
      </c>
      <c r="AE125" s="2">
        <v>2.5000000000000001E-2</v>
      </c>
      <c r="AF125" s="2">
        <v>13.8874</v>
      </c>
      <c r="AG125" s="2">
        <v>7.367</v>
      </c>
      <c r="AH125" s="2">
        <v>8.3799999999999999E-2</v>
      </c>
      <c r="AI125" s="2">
        <v>4.1200000000000001E-2</v>
      </c>
      <c r="AJ125" s="2">
        <v>0</v>
      </c>
      <c r="AK125" s="2">
        <v>13.607099999999999</v>
      </c>
      <c r="AL125" s="2">
        <v>9.9000000000000005E-2</v>
      </c>
      <c r="AM125" s="2">
        <v>0.1094</v>
      </c>
      <c r="AN125" s="2">
        <v>13.563000000000001</v>
      </c>
      <c r="AO125" s="2">
        <v>-3.3000000000000002E-2</v>
      </c>
      <c r="AP125" s="2">
        <v>7.3098000000000001</v>
      </c>
      <c r="AQ125" s="2">
        <v>14.289</v>
      </c>
      <c r="AR125" s="2">
        <v>0.1081</v>
      </c>
      <c r="AS125" s="2">
        <v>0.1013</v>
      </c>
      <c r="AT125" s="2">
        <v>0.1094</v>
      </c>
      <c r="AU125" s="2">
        <v>0.1002</v>
      </c>
      <c r="AV125" s="2">
        <v>0</v>
      </c>
      <c r="AW125" s="2">
        <v>0.1016</v>
      </c>
      <c r="AX125" s="2">
        <v>0</v>
      </c>
    </row>
    <row r="126" spans="1:50" x14ac:dyDescent="0.25">
      <c r="A126" s="1">
        <v>45838</v>
      </c>
      <c r="B126" s="2">
        <v>14.694900000000001</v>
      </c>
      <c r="C126" s="2">
        <v>14.955299999999999</v>
      </c>
      <c r="D126" s="2">
        <v>18.272300000000001</v>
      </c>
      <c r="E126" s="2">
        <v>7.1774000000000004</v>
      </c>
      <c r="F126" s="2">
        <v>15.272600000000001</v>
      </c>
      <c r="G126" s="2">
        <v>14.708399999999999</v>
      </c>
      <c r="H126" s="2">
        <v>6.9554</v>
      </c>
      <c r="I126" s="2">
        <v>14.7163</v>
      </c>
      <c r="J126" s="2">
        <v>7.4901999999999997</v>
      </c>
      <c r="K126" s="2">
        <v>7.8949999999999996</v>
      </c>
      <c r="L126" s="2">
        <v>9.7811000000000003</v>
      </c>
      <c r="M126" s="2">
        <v>6.9641000000000002</v>
      </c>
      <c r="N126" s="2">
        <v>7.3829000000000002</v>
      </c>
      <c r="O126" s="2">
        <v>7.0316000000000001</v>
      </c>
      <c r="P126" s="2">
        <v>14.6036</v>
      </c>
      <c r="Q126" s="2">
        <v>14.699400000000001</v>
      </c>
      <c r="R126" s="2">
        <v>8.7142999999999997</v>
      </c>
      <c r="S126" s="2">
        <v>7.0392000000000001</v>
      </c>
      <c r="T126" s="2">
        <v>14.551600000000001</v>
      </c>
      <c r="U126" s="2">
        <v>-0.29289999999999999</v>
      </c>
      <c r="V126" s="2">
        <v>13.8246</v>
      </c>
      <c r="W126" s="2">
        <v>7.5670000000000002</v>
      </c>
      <c r="X126" s="2">
        <v>-7.8200000000000006E-2</v>
      </c>
      <c r="Y126" s="2">
        <v>13.2056</v>
      </c>
      <c r="Z126" s="2">
        <v>2.0999999999999999E-3</v>
      </c>
      <c r="AA126" s="2">
        <v>13.578099999999999</v>
      </c>
      <c r="AB126" s="2">
        <v>6.9446000000000003</v>
      </c>
      <c r="AC126" s="2">
        <v>13.1402</v>
      </c>
      <c r="AD126" s="2">
        <v>5.67E-2</v>
      </c>
      <c r="AE126" s="2">
        <v>2.06E-2</v>
      </c>
      <c r="AF126" s="2">
        <v>13.381</v>
      </c>
      <c r="AG126" s="2">
        <v>7.2919</v>
      </c>
      <c r="AH126" s="2">
        <v>8.3400000000000002E-2</v>
      </c>
      <c r="AI126" s="2">
        <v>3.1600000000000003E-2</v>
      </c>
      <c r="AJ126" s="2">
        <v>0</v>
      </c>
      <c r="AK126" s="2">
        <v>13.2348</v>
      </c>
      <c r="AL126" s="2">
        <v>9.8500000000000004E-2</v>
      </c>
      <c r="AM126" s="2">
        <v>0.1096</v>
      </c>
      <c r="AN126" s="2">
        <v>13.085900000000001</v>
      </c>
      <c r="AO126" s="2">
        <v>-4.3099999999999999E-2</v>
      </c>
      <c r="AP126" s="2">
        <v>8.5276999999999994</v>
      </c>
      <c r="AQ126" s="2">
        <v>14.339399999999999</v>
      </c>
      <c r="AR126" s="2">
        <v>0.108</v>
      </c>
      <c r="AS126" s="2">
        <v>9.2100000000000001E-2</v>
      </c>
      <c r="AT126" s="2">
        <v>0.1104</v>
      </c>
      <c r="AU126" s="2">
        <v>9.5299999999999996E-2</v>
      </c>
      <c r="AV126" s="2">
        <v>0</v>
      </c>
      <c r="AW126" s="2">
        <v>9.7299999999999998E-2</v>
      </c>
      <c r="AX12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hp</vt:lpstr>
      <vt:lpstr>ya</vt:lpstr>
      <vt:lpstr>hp_values_only</vt:lpstr>
      <vt:lpstr>ya_value_only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Siqueira, Thiago</dc:creator>
  <cp:lastModifiedBy>Siqueira, Thiago</cp:lastModifiedBy>
  <dcterms:created xsi:type="dcterms:W3CDTF">2015-06-05T18:17:20Z</dcterms:created>
  <dcterms:modified xsi:type="dcterms:W3CDTF">2025-07-05T22:31:07Z</dcterms:modified>
</cp:coreProperties>
</file>