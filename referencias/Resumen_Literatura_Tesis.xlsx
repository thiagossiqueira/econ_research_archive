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bloomberglp-my.sharepoint.com/personal/tsiqueira4_bloomberg_com/Documents/Desktop/master_thesis_economics/referencias/"/>
    </mc:Choice>
  </mc:AlternateContent>
  <xr:revisionPtr revIDLastSave="241" documentId="8_{04CC4BA9-2285-4C30-AE5E-F9E7B63E1997}" xr6:coauthVersionLast="47" xr6:coauthVersionMax="47" xr10:uidLastSave="{A7CCB9A8-CB71-483A-8207-C85E10D99EC0}"/>
  <bookViews>
    <workbookView xWindow="-120" yWindow="-120" windowWidth="29040" windowHeight="15840" xr2:uid="{00000000-000D-0000-FFFF-FFFF00000000}"/>
  </bookViews>
  <sheets>
    <sheet name="Inde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1" l="1"/>
  <c r="A4" i="1"/>
  <c r="A5" i="1" s="1"/>
  <c r="A6" i="1" s="1"/>
  <c r="A7" i="1" s="1"/>
  <c r="A8" i="1" s="1"/>
  <c r="A9" i="1" s="1"/>
  <c r="A10" i="1" s="1"/>
  <c r="A18" i="1" s="1"/>
</calcChain>
</file>

<file path=xl/sharedStrings.xml><?xml version="1.0" encoding="utf-8"?>
<sst xmlns="http://schemas.openxmlformats.org/spreadsheetml/2006/main" count="138" uniqueCount="118">
  <si>
    <t>Título del Artículo</t>
  </si>
  <si>
    <t>Pregunta de investigación / Hipótesis</t>
  </si>
  <si>
    <t>Tipo de estrategia de investigación</t>
  </si>
  <si>
    <t>Tipo de datos / información utilizada</t>
  </si>
  <si>
    <t>Formas de recolección de la información</t>
  </si>
  <si>
    <t>Técnicas de análisis</t>
  </si>
  <si>
    <t>Risk spillovers between global corporations and Latin American sovereigns: global factors matter</t>
  </si>
  <si>
    <t>Corporate Credit Spreads and the Sovereign Ceiling in Latin America</t>
  </si>
  <si>
    <t>Determinants of sovereign CDS spreads: Evidence from Brazil</t>
  </si>
  <si>
    <t>Modelling sovereign credit spreads with international macro-factors: The case of Brazil 1998–2009</t>
  </si>
  <si>
    <t>Global Factors and Emerging Market Spreads</t>
  </si>
  <si>
    <t>¿Existen efectos de derrame de riesgo entre grandes corporaciones globales y soberanos latinoamericanos, y cómo influyen los factores globales?</t>
  </si>
  <si>
    <t>¿Existe un 'techo soberano' que limite los spreads corporativos en América Latina?</t>
  </si>
  <si>
    <t>¿Cuáles son los determinantes económicos del spread de CDS soberano en Brasil?</t>
  </si>
  <si>
    <t>¿Qué factores internacionales explican el spread soberano de Brasil?</t>
  </si>
  <si>
    <t>¿Qué peso tienen los factores globales frente a los locales en los spreads de mercados emergentes?</t>
  </si>
  <si>
    <t>Cuantitativo</t>
  </si>
  <si>
    <t>Series de CDS de corporaciones globales y soberanos latinoamericanos</t>
  </si>
  <si>
    <t>Spreads de bonos corporativos y soberanos en AL</t>
  </si>
  <si>
    <t>CDS spreads, datos macroeconómicos de Brasil</t>
  </si>
  <si>
    <t>Datos macroeconómicos y spreads soberanos</t>
  </si>
  <si>
    <t>Spreads soberanos de varios países emergentes</t>
  </si>
  <si>
    <t>Bases de datos financieras (Bloomberg, Datastream)</t>
  </si>
  <si>
    <t>Bases de datos financieras (EMBI, emisiones primarias)</t>
  </si>
  <si>
    <t>Fuentes estadísticas nacionales e internacionales</t>
  </si>
  <si>
    <t>Series de tiempo macroeconómicas y financieras</t>
  </si>
  <si>
    <t>Bases de datos financieras globales</t>
  </si>
  <si>
    <t>Modelos VAR, análisis de redes, spillover index</t>
  </si>
  <si>
    <t>Panel econométrico, regresión</t>
  </si>
  <si>
    <t>Regresión múltiple, análisis de correlación</t>
  </si>
  <si>
    <t>VAR estructural con filtro de Kalman</t>
  </si>
  <si>
    <t>VECM, análisis de componentes principales</t>
  </si>
  <si>
    <t>Autores</t>
  </si>
  <si>
    <t>Ideal para medir</t>
  </si>
  <si>
    <t>Corto Plazo</t>
  </si>
  <si>
    <t>Corto y Largo Plazo</t>
  </si>
  <si>
    <t>How Important Is Sovereign Risk in Determining Corporate Default Premia?</t>
  </si>
  <si>
    <t>¿En qué medida el riesgo soberano incide en los diferenciales de default de deuda corporativa?</t>
  </si>
  <si>
    <t>Datos de spreads de bonos corporativos y soberanos, ratings, y variables macroeconómicas</t>
  </si>
  <si>
    <t>Bases de datos financieras internacionales (Bloomberg, Moody’s, etc.)</t>
  </si>
  <si>
    <t>Modelos de regresión multivariada, análisis panel, control de efectos fijos</t>
  </si>
  <si>
    <t>id</t>
  </si>
  <si>
    <t>Google Books</t>
  </si>
  <si>
    <t>https://play.google.com/books/reader?id=Pge6OAAAAEAJ&amp;pg=GBS.PA0</t>
  </si>
  <si>
    <t>https://play.google.com/books/reader?id=HIWeOAAAAEAJ&amp;pg=GBS.PA0</t>
  </si>
  <si>
    <t>https://play.google.com/books/reader?id=eomeOAAAAEAJ&amp;pg=GBS.PA0</t>
  </si>
  <si>
    <t>https://play.google.com/books/reader?id=ONa0OAAAAEAJ&amp;pg=GBS.PA0</t>
  </si>
  <si>
    <t>https://play.google.com/books/reader?id=N9a0OAAAAEAJ&amp;pg=GBS.PA0</t>
  </si>
  <si>
    <t>https://play.google.com/books/reader?id=rd6UOAAAAEAJ&amp;pg=GBS.PA0</t>
  </si>
  <si>
    <t>The Microstructure of the Brazilian Market for Corporate Bonds</t>
  </si>
  <si>
    <t>https://play.google.com/books/reader?id=jeI-OQAAAEAJ&amp;pg=GBS.PA0</t>
  </si>
  <si>
    <t>Data da Recomendação</t>
  </si>
  <si>
    <t>Latin American Economic Outlook 2024 / Capitulo: Mercado de Capitales</t>
  </si>
  <si>
    <t>https://play.google.com/books/reader?id=NOk-OQAAAEAJ&amp;pg=GBS.PA0</t>
  </si>
  <si>
    <t>Gómez-González, J. E., Uribe, J. M., &amp; Valencia, O. M. (2022). Risk spillovers between global corporations and Latin American sovereigns: Global factors matter. Applied Economics, 55(13), 1477–1496. https://doi.org/10.1080/00036846.2022.2097193</t>
  </si>
  <si>
    <t>González‐Rozada, M., &amp; Levy Yeyati, E. (2008). Global factors and emerging market spreads. The Economic Journal, 118(533), 1917–1936. https://doi.org/10.1111/j.1468-0297.2008.02196.x</t>
  </si>
  <si>
    <t>Grandes, M., &amp; Peter, M. (2005). How important is sovereign risk in determining corporate default premia? The case of South Africa (IMF Working Paper No. 05/217). International Monetary Fund. https://www.imf.org/en/Publications/WP/Issues/2016/12/31/How-Important-Is-Sovereign-Risk-in-Determining-Corporate-Default-Premia-The-Case-of-South-18634</t>
  </si>
  <si>
    <t>Grandes, M., Panigo, D. T., &amp; Pasquini, R. A. (2017). Corporate credit spreads and the sovereign ceiling in Latin America. Emerging Markets Finance and Trade, 53(5), 1217–1240. https://doi.org/10.1080/1540496X.2016.1174853</t>
  </si>
  <si>
    <t>Liu, Z., &amp; Spencer, P. (2013). Modelling sovereign credit spreads with international macro-factors: The case of Brazil 1998–2009. Journal of Banking &amp; Finance, 37(2), 241–256. https://doi.org/10.1016/j.jbankfin.2012.08.012</t>
  </si>
  <si>
    <t>Silva, E. O., &amp; Paulo, W. L. (2015). Determinants of sovereign CDS spreads: Evidence from Brazil. International Business Research, 8(7), 102–112. https://pdfs.semanticscholar.org/1558/e90ca70eec0d1e1208ed07261f14ea76dee8.pdf</t>
  </si>
  <si>
    <t>OECD, ECLAC, CAF, &amp; European Commission. (2024). Mercado de capitales [Capital Markets] (Chapter 3). In Latin American Economic Outlook 2024: Financing Sustainable Development (pp. 119–174). OECD Publishing. https://doi.org/10.1787/c437947f-en</t>
  </si>
  <si>
    <t>Carvalho, A. G. de, &amp; Marques, F. T. (2020). The microstructure of the Brazilian market for corporate bonds. Revista Brasileira de Gestão de Negócios, 22(Special Issue), 482–500. https://doi.org/10.7819/rbgn.v22i0.4061</t>
  </si>
  <si>
    <t>Martín González-Rozada
Eduardo Levy Yeyati</t>
  </si>
  <si>
    <t>https://docs.google.com/document/d/1gb7-ljJqD9AH7hIxig8TpNacqKgyBK1wf9WU8lOdrP8/edit?tab=t.0</t>
  </si>
  <si>
    <t>Determinantes Macroeconómicos de los Spreads de Deuda Corporativa en Brasil 1993-2025.  Implicancias para la Sostenibilidad de la Deuda</t>
  </si>
  <si>
    <t>Meu projeto</t>
  </si>
  <si>
    <t>Google Docs</t>
  </si>
  <si>
    <t>4. Clarificar tu contribución original
Objetivo: Definir con claridad qué aportas tú que no ha sido estudiado antes.
Acción concreta:
Redactar una sección breve (al final del marco teórico o en la justificación) donde señales:
Qué vacíos deja la literatura previa.
Qué novedad aporta tu enfoque: largo plazo en moneda local, modelo dinámico, contexto brasileño, etc.</t>
  </si>
  <si>
    <t>Thiago Siqueira</t>
  </si>
  <si>
    <t>Ref Bibliografica</t>
  </si>
  <si>
    <t>Ano</t>
  </si>
  <si>
    <t>Qué vacíos este paper deja la literatura?</t>
  </si>
  <si>
    <t>Entender bien qué hace este paper adjunto, para poder clasificarlos por enfoque y mostrar cómo encajan en my marco teorico (adjunto en la tab: "Resumo TFM Brasil")
Acción concreta:
Leer el abstract y seccione metodológica deste paper adjunto 
Hacer un resumen de 3 líneas: (i) tema, (ii) método, (iii) hallazgos. 
Clasificarlos según los 3 enfoques mencionados arriba.</t>
  </si>
  <si>
    <t>1. Reforzar el vínculo entre la problemática y el marco teórico
Objetivo: Mostrar cómo el marco teórico sustenta y justifica tu pregunta de investigación.
Acción concreta: Redactar un párrafo o sección donde expliques explícitamente:
Qué elementos del marco teórico explican los mecanismos económicos detrás de los spreads.
thiago: 1
thiago: 2
thiago: 3
thiago: n
Cómo estos marcos guían tu elección de variables y enfoque metodológico.
thiago: 1
thiago: 2
thiago: 3
thiago: n</t>
  </si>
  <si>
    <t>Where to find it?</t>
  </si>
  <si>
    <t>Resumo TFM Brasil</t>
  </si>
  <si>
    <t>https://chatgpt.com/share/e/6841d51c-cfec-8001-bbad-262b8e959612</t>
  </si>
  <si>
    <t>Resumen y clasificación paper</t>
  </si>
  <si>
    <t>https://chatgpt.com/share/e/6841d5ba-b850-8001-822b-5c06e1dd269f</t>
  </si>
  <si>
    <t>Martin Grandes – Universidad de Buenos Aires y CITRA-CONICET (Argentina)
Demian Tupac Panigo – Universidad Nacional de La Plata y CITRA-CONICET (Argentina)
Ricardo Aníbal Pasquini – IAE Business School, Universidad Austral (Argentina)</t>
  </si>
  <si>
    <t>Resumen y clasificación enfoque</t>
  </si>
  <si>
    <t>https://chatgpt.com/share/e/6841d77b-7180-8001-a0e0-df525d81c572</t>
  </si>
  <si>
    <t>Zhuoshi Liu – En el momento del paper, afiliado a Barrie &amp; Hibbert Limited (Edimburgo, Reino Unido).
Peter Spencer – Profesor del Department of Economics and Related Studies, University of York (Reino Unido).</t>
  </si>
  <si>
    <t>Clasificación de paper TFM</t>
  </si>
  <si>
    <t>https://chatgpt.com/share/e/6841dcae-bfa8-8001-bd67-a3968596e710</t>
  </si>
  <si>
    <t xml:space="preserve">Resumen en 3 líneas
Tema: El trabajo investiga el papel del riesgo soberano en la determinación de los spreads de default corporativo en bonos en moneda local, usando el caso de Sudáfrica.
Método: Estima un modelo econométrico con efectos fijos e interacción no lineal, basado en un marco teórico estructural (modelo de Merton extendido), y usa datos del mercado sudafricano de bonos corporativos.
Hallazgos: El riesgo soberano es el principal determinante de los spreads corporativos; sin embargo, el "sovereign ceiling" se cumple en bancos pero no en empresas industriales multinacionales.
Clasificación según enfoque (marco teórico del TFM)
Dado que estás categorizando los papers dentro de un marco teórico, y basándonos en los criterios usuales como:
Enfoque macroeconómico estructural (fundamentos macro, riesgo país, relación soberano-firma),
Microfinanzas corporativas (estructura de capital, riesgo idiosincrático de firma),
Modelos financieros cuantitativos/empíricos (uso de técnicas econométricas, modelos tipo Merton, precios de activos),
Este paper puede ser clasificado como un híbrido 1 + 3, con énfasis en:
(1) Enfoque macroeconómico estructural, ya que el riesgo soberano (como variable país) es central, y el estudio discute implicancias de política económica para la reducción de spreads mediante mejora del riesgo soberano.
(3) Modelos financieros cuantitativos, por el uso de modelos estructurales de valuación de deuda (Merton, Shimko et al.), elasticidades soberano-corporativas y estimaciones empíricas con datos de bonos.
</t>
  </si>
  <si>
    <t>Marcel Peter, quien en el momento de redacción del paper era economista en el Monetary and Financial Systems Department del FMI (Fondo Monetario Internacional).
Martin Grandes, quien era profesor asistente de Economía en la American University of Paris.</t>
  </si>
  <si>
    <t>https://chatgpt.com/share/e/6841de15-f300-8001-a2ec-e6fd783cd3a9</t>
  </si>
  <si>
    <t>Corto y mediano plazo</t>
  </si>
  <si>
    <t>Elton O. Silva — Universidad de São Paulo (USP), São Paulo, Brasil
Wanderlei L. Paulo — Universidad de São Paulo (USP) y Facultad de Campo Limpo Paulista (FACCAMP), São Paulo, Brasil</t>
  </si>
  <si>
    <t>Resumen y clasificación de paper</t>
  </si>
  <si>
    <t>https://chatgpt.com/share/e/6841e013-9f4c-8001-8eb8-a3f4e2bba9e7</t>
  </si>
  <si>
    <t>José E. Gomez-Gonzalez
Afiliación: Department of Economics and Business, Lehman College, City University of New York
Jorge M. Uribe
Afiliación: Department of Economics and Finance, Universitat Oberta de Catalunya (España)
También asociado al Riskcenter, Universitat de Barcelona
Oscar M. Valencia
Afiliación: Fiscal Management Division, Inter-American Development Bank (IDB)</t>
  </si>
  <si>
    <t>https://chatgpt.com/share/e/6841e0ef-5f8c-8001-9c44-20a68bdc36a7</t>
  </si>
  <si>
    <t>Resumen y clasificación TFM</t>
  </si>
  <si>
    <t>Antonio Gledson de Carvalho
Afiliación: Fundação Getulio Vargas (FGV), Escola de Administração de Empresas de São Paulo (EAESP), São Paulo, Brasil.
Felipe Tumenas Marques
Afiliación: Universidade Federal da Bahia (UFBA), Escola de Administração, Salvador, Brasil
.</t>
  </si>
  <si>
    <t>https://chatgpt.com/share/e/6841e26e-f11c-8001-a05f-d52de383d30b</t>
  </si>
  <si>
    <t>¿Cómo ha evolucionado la estructura del mercado de bonos corporativos en Brasil tras las reformas regulatorias de 2009 (Instrucción CVM 476) y 2011 (Ley 12.431), y cuáles son las características microestructurales de los instrumentos, emisores y participantes en este mercado?</t>
  </si>
  <si>
    <t>Descriptivo-exploratorio</t>
  </si>
  <si>
    <t>OECD – Centro de Desarrollo:
Sebastián Nieto-Parra – Jefe de la Unidad LAC
René Orozco – Economista
Olivia Cuq – Analista de Políticas
María Carolina Arcila, Regina Casillas Rodríguez, Luis Cecchi, Chiara Cirignaco, Jimena Durán, Sofia Faurie, Nathalia Montoya González, Victoria de la Puente, Zoe Pigasse, Callum Ryan
CAF:
Verónica Frisancho Robles – Economista Jefe
Diana Mejía, Manuel Toledo, Oswaldo López
ECLAC:
Daniel Titelman, Sebastián Rovira, Esteban Pérez, Carlos Maldonado
Comisión Europea:
Els Berghmans, Sonia García Lorenzana, Eleonore Fignolet</t>
  </si>
  <si>
    <t>La evidencia de fallas estructurales e institucionales de los mercados financieros (como la baja profundidad, alta concentración o informalidad),
Con el impacto que esas condiciones tienen sobre el costo del financiamiento corporativo (es decir, los spreads),
Dentro de un marco macroeconómico intertemporal, como lo que estás modelando con VAR/VECM.</t>
  </si>
  <si>
    <t xml:space="preserve">
3. Ampliar la revisión bibliográfica
Objetivo: Mostrar conocimiento del “estado del arte” en distintas ramas del tema.
Acción concreta:
Buscar y agregar papers representativos de tres enfoques:
Microestructura de mercados de deuda.
thiago: 1 --- qual o nome do paper que fala sobre essas micro estruturas?
Volatilidad macroeconómica y riesgo de default corporativo.
thiago: 1 --- o paper da DRSK da Bloomberg?
Transmisión del riesgo soberano a los bonos corporativos (tu foco principal).
Indicar explícitamente en el texto que tu contribución se ubica en esta tercera línea y que suma un nuevo punto “E” a los aportes anteriores A, B, C, D.
thiago: 1 --- meu trabalho foca em spreads corporativos, com dados recentes. algo novo ainda nao abordado</t>
  </si>
  <si>
    <t xml:space="preserve">
2. Justificar mejor la elección del modelo econométrico
Objetivo: Explicar por qué usas VECM (o VAR) y no otros modelos posibles.
Acción concreta:
Comparar brevemente con otras metodologías posibles (p. ej., modelos GARCH, panel dinámico tradicional).
thiago: 1 --- baixar excel resumo de todos os artigos lidos para referencia nos modelos usados. e depois gerar um texto para explicar porque  o VECM foi escolhido
thiago: 2
thiago: 3
thiago: n
Explicar por qué VECM es adecuado para estudiar relaciones de corto y largo plazo entre variables cointegradas.
</t>
  </si>
  <si>
    <t>deja varios vacíos y oportunidades para investigaciones futuras, muchos de los cuales los propios autores reconocen explícitamente en su análisis. Aquí están los principales:
1. Subrepresentación de los factores estructurales domésticos
Limitación reconocida: Aunque se controlan los efectos país mediante dummies y ratings crediticios, los autores no integran explícitamente indicadores macroeconómicos de alta frecuencia (como déficit fiscal, cuenta corriente, PIB, etc.).
Vacío: No se puede evaluar con precisión cuánto del spread se explica por fundamentos económicos internos vs. factores globales.
Implicación: Se necesita investigación que descomponga el spread en sus determinantes idiosincráticos con variables estructurales observables, más allá del rating.
2. Endogeneidad de los ratings crediticios
Hallazgo: El paper muestra que los ratings tienden a reaccionar a cambios en los spreads, y no a anticiparlos.
Vacío: Si los ratings son endógenos y parcialmente informativos, ¿qué indicadores o modelos podrían capturar mejor el riesgo soberano?
Implicación: Hay espacio para estudios que desarrollen indicadores de riesgo alternativos (macrofundamentales, expectativas del mercado, indicadores de solvencia prospectiva) que mejoren la capacidad predictiva sobre spreads.
3. Impacto heterogéneo de los factores globales
Mención explícita: Cuando los autores permiten elasticidades país-específicas, la capacidad explicativa de los factores globales aumenta sustancialmente.
Vacío: No se analiza por qué algunos países son más sensibles que otros (institucionalidad, grado de apertura, estructura de deuda, etc.).
Implicación: Faltan modelos que expliquen la vulnerabilidad diferencial de los países emergentes a los shocks globales.
4. Dinámica de corto plazo y eventos extremos
Reconocimiento metodológico: El modelo principal se enfoca en la variación de largo plazo. Aunque hay análisis de corto plazo con PECM, no se modelan episodios extremos (como defaults, reestructuraciones, shocks políticos).
Vacío: No se estudia explícitamente la dinámica de spreads en escenarios de crisis agudas o transiciones políticas relevantes.
Implicación: Quedan pendientes análisis de resiliencia financiera frente a shocks no lineales o de “cola gruesa”.
5. Limitación temporal y necesidad de actualización
Horizonte del estudio: El análisis se centra en el período 1993–2005.
Vacío: No se incorporan eventos posteriores como la crisis financiera global (2008), la pandemia COVID-19, ni la respuesta de los mercados a shocks recientes como la guerra en Ucrania o el tightening monetario post-2021.
Implicación: El modelo debe ser actualizado para analizar si los patrones encontrados se mantienen o cambian con la nueva arquitectura financiera global.</t>
  </si>
  <si>
    <t>deja varios vacíos importantes en la literatura, tanto explícitos como implícitos, que pueden ser aprovechados en investigaciones académicas —incluyendo tu tesis sobre spreads de deuda corporativa en Brasil. A continuación te los organizo en bloques temáticos:
1. Falta de análisis causal o econométrico
Vacío:
El artículo es completamente descriptivo, sin estimaciones de regresión, identificación causal ni pruebas empíricas de hipótesis.
Oportunidad:
No explora qué variables explican los diferenciales de tasas (spreads), la ocurrencia de defaults, o la elección entre infra bonds y bonos regulares. Tampoco analiza cómo la regulación (CVM 476 o Ley 12.431) afecta el costo de financiación o la estructura de riesgo.
2. Determinantes macroeconómicos o firm-level
Vacío:
No investiga cómo factores macroeconómicos (inflación, PIB, Selic, riesgo país) o características de las empresas emisoras (apalancamiento, rentabilidad, tamaño, sector) afectan las emisiones, calificaciones o spreads.
Oportunidad:
Tu enfoque VECM-VAR sobre spreads podría complementarse perfectamente con esta dimensión. El paper deja abierto el espacio para análisis dinámico y multivariado del riesgo corporativo en Brasil.
3. Dinámica temporal post-2017 y coyuntura reciente
Vacío:
El análisis se detiene en 2017, por lo que no captura los efectos de eventos críticos posteriores como:
La pandemia de COVID-19 (2020),
El ciclo de aumento de tasas del BCB,
El auge ESG en emisiones de deuda,
Cambios en percepción de riesgo Brasil.
Oportunidad:
Incorporar datos hasta 2025 permitiría evaluar si las tendencias descritas (dominancia de bancos, baja liquidez, defaults elevados) se mantuvieron, empeoraron o mejoraron.
4. Análisis de spreads y precios de emisión
Vacío:
El paper no analiza spreads de emisión ni diferenciales respecto a curvas soberanas o benchmarks corporativos. No hay ninguna mención a "pricing", "cost of debt", "risk premium" o "yield spread".
Oportunidad:
Aquí es donde tu tesis se posiciona claramente como un aporte original. Tu trabajo podría cuantificar el impacto de fundamentos macro en los spreads de bonos, usando técnicas econométricas que este artículo no utiliza.
5. Segmentación de inversionistas y efectos sobre precios
Vacío:
Aunque menciona la concentración en colocadores y que muchas emisiones van a partes relacionadas, no analiza cómo el tipo de inversionista (banco, fondo, PF, extranjero) influye en:
la tasa obtenida,
el grado de monitoreo,
la probabilidad de default posterior.
En resumen
El artículo es pionero como mapa descriptivo del mercado de debêntures brasileñas, pero deja abiertos estos frentes:
Vacío	Tema
Falta de análisis causal	No estudia determinantes de spreads ni riesgos
Sin dimensión macro	Ignora variables como Selic, inflación, PIB
Desactualización	Corta en 2017, no incluye COVID o ciclo 2020–2025
Spreads ausentes	No cuantifica precios, costos de emisión o diferenciales
Tipo de inversor	No vincula asignación con desempeño o pricing</t>
  </si>
  <si>
    <t xml:space="preserve">Resumen en tres líneas:
(i) Tema: El estudio analiza las interacciones de riesgo (volatility spillovers) entre los mercados de deuda corporativa global y los soberanos de América Latina, usando datos de credit default swaps (CDS).
(ii) Método: Aplica modelos VAR con descomposición de varianza de errores de pronóstico (FEVD), redes de series temporales y análisis de factores principales (PCA) sobre datos diarios de CDS entre 2006 y 2021, comparando resultados con y sin el filtrado de factores globales.
(iii) Hallazgos: Los spillovers son mayores dentro de cada grupo (corporaciones o países), pero hay transmisión significativa entre grupos. Ignorar factores globales sobreestima el riesgo soberano y subestima el corporativo. Estos factores tienen un rol amplificado en períodos de crisis.
Clasificación según enfoque:
Basado en tu marco teórico (según la pestaña Resumo TFM Brasil mencionada):
Enfoque 1: Microestructural / Corporativo
Parcialmente: incluye CDS de grandes corporaciones (como AT&amp;T, Valero, etc.) y analiza su comportamiento, aunque el foco no está en determinantes microeconómicos.
Enfoque 2: Macro-financiero internacional
✅Totalmente: este es el enfoque central del paper. Se estudia la interacción entre shocks globales, portafolios internacionales, y el contagio entre mercados públicos y privados en contexto de integración financiera.
Enfoque 3: Metodológico / econometría financiera
✅Totalmente: contribuye al debate metodológico al mostrar que ignorar factores comunes sesga los resultados. Utiliza PCA para filtrar estos factores antes de aplicar Diebold-Yilmaz VAR spillover indices y redes de correlación/Granger.
</t>
  </si>
  <si>
    <t>Resumen en tres líneas
Tema: Analiza cómo el riesgo soberano incide en los spreads de bonos corporativos en América Latina durante 1996–2004, evaluando si el mercado aplica la "soberan ceiling rule" impuesta por agencias calificadoras.
Método: Usa datos de 72 bonos en dólares emitidos por 22 empresas cotizantes de Argentina, Brasil, Chile y México; aplica modelos econométricos de panel con efectos aleatorios y específicos para contrastar el efecto del spread soberano y otros determinantes estructurales (Merton).
Hallazgos: El riesgo soberano impacta significativa y positivamente sobre los spreads corporativos, pero en 77–90% de los casos el mercado no aplica el techo soberano; esta evidencia coincide con la política de agencias en solo ~50% de los casos
.
Clasificación por enfoque
Según tu marco teórico (resumido en "Resumo TFM Brasil"), este paper encaja de la siguiente manera:
1. Enfoque Estructural
Sí aplica. Se basa en un modelo estructural (Merton y extensiones) para estimar el spread corporativo a partir de variables como apalancamiento, volatilidad del valor de la firma, duración del bono, liquidez y riesgo soberano.
2. Enfoque de Riesgo País / Transferencia Soberana
Sí aplica. Evalúa directamente el efecto del riesgo soberano (transfer risk) sobre los spreads, y contrasta empíricamente la validez del sovereign ceiling en mercados emergentes.
3. Enfoque Empírico aplicado a América Latina
Sí aplica. Usa datos empíricos de bonos emitidos por empresas latinoamericanas (1996–2004) y muestra evidencia concreta de comportamiento diferenciado entre países (Argentina, México, etc.), incluyendo el impacto de defaults soberanos.</t>
  </si>
  <si>
    <t>deja varios vacíos en la literatura que pueden servirte para posicionar tu tesis. A continuación te detallo los más relevantes, organizados por eje temático:
1. Limitaciones en el tiempo y contexto histórico
Vacío:
El estudio termina en 2009, justo después de la crisis financiera global. No aborda el periodo posterior de auge de commodities (2010–2013), el deterioro fiscal y político de Brasil (2014–2016), ni la pandemia o los años recientes (2020–2025).
Oportunidad:
Incorporar años más recientes permite evaluar cómo cambió la relación entre spreads y fundamentos macroeconómicos en contextos de política monetaria global expansiva, alta inflación y choques sanitarios.
2. Foco en bonos soberanos, no en deuda corporativa
Vacío:
El modelo está diseñado para spreads de deuda soberana en dólares. No aborda cómo los factores macroeconómicos influyen en los spreads de bonos corporativos brasileños, que podrían reaccionar de forma diferente al riesgo-país, riesgo sectorial y microfundamentales.
Oportunidad:
Tu tesis (según recordado) se enfoca en spreads corporativos — puedes extender el marco macro-financiero para analizar cómo el riesgo soberano se transmite a las firmas privadas.
3. Tratamiento reducido del canal fiscal y deuda pública
Vacío:
Aunque se mencionan variables macro como inflación, output gap y tasas de interés, el riesgo fiscal estructural (déficit primario, deuda/PIB, sostenibilidad) no se modela explícitamente.
Oportunidad:
Puedes introducir indicadores explícitos de solvencia fiscal (como o superávit estrutural, trajetória da dívida, ou ajustes intertemporais) e investigar sua relação com os spreads corporativos via canal de risco soberano.
4. Latentes mal identificados: confianza y liquidez
Vacío:
Aunque el paper incorpora factores latentes como “confianza del mercado” (f) y “riesgo de liquidez” (q), estos no se vinculan directamente con variables observables — lo cual limita su interpretación y uso práctico.
Oportunidad:
Puedes mejorar esto incorporando proxies más observables para confianza y liquidez (e.g., EMBI+, VIX, CDS spreads, encuestas de analistas, bid-ask spreads).
5. Estática de modelo y estructura rígida
Vacío:
El modelo estático por período completo (1998–2009) puede ocultar regímenes estructuralmente distintos (pre/post crisis, Lula 1 vs Lula 2, boom vs recesión, etc.).
Oportunidad:
Tu enfoque podría adoptar técnicas de VARs con mudança de regime, rolling window VARs o TVP-VAR para capturar la evolución dinámica de los determinantes de los spreads.
En síntesis
Este paper fue pionero en aplicar modelos macro-financieros afines a un país emergente, pero no capta ni el riesgo fiscal explícito, ni la deuda corporativa, ni los efectos estructurales post-2010. Tampoco explora heterogeneidad sectorial ni asimetrías entre tipos de emisores.
Todos estos elementos representan excelentes puntos de entrada para tu trabajo — y te permiten posicionarlo como un avance empírico y teórico frente a esta literatura.</t>
  </si>
  <si>
    <t>deja vacíos importantes que pueden ser oportunidades para futuras investigaciones o para fortalecer tu marco teórico. A continuación, te detallo los principales vacíos identificados:
1. Alcance temporal limitado (1996–2004)
Aunque el período incluye crisis relevantes (Ecuador, Argentina, Brasil), no incorpora la post-crisis global (2008–2010) ni los efectos más recientes del "boom" y posterior reversión de los commodities o las políticas monetarias globales post-QE.
 Vacío: No se evalúa si el debilitamiento de la “soberan ceiling rule” persistió o se revirtió en contextos más recientes.
2. Exclusión de ciertos países y sectores
El estudio excluye a Colombia, Perú y Venezuela por falta de datos confiables. Además, hay un fuerte sesgo hacia firmas industriales grandes, muchas de ellas multinacionales; el sector financiero está subrepresentado (solo Unibanco).
 Vacío: Falta evidencia sistemática para empresas más pequeñas, bancos y países con datos más escasos —aunque con relevancia económica.
3. No explora mecanismos de transmisión macro-financiera
El estudio se centra en el spread soberano como variable explicativa directa. No modela mecanismos macroeconómicos o institucionales (e.g., política monetaria, acceso a mercados, regulación cambiaria) que puedan mediar el impacto del riesgo país en el spread corporativo.
 Vacío: Falta incorporar marcos estructurales (como modelos DSGE, VAR estructural o BVAR) que vinculen el riesgo país con fundamentos macro e interacciones financieras más amplias.
4. Comparación limitada entre calificaciones y precios de mercado
Aunque el estudio compara la política de agencias con los precios de mercado, no se hace un análisis sistemático de “desacoples” persistentes (pricing vs. ratings) ni se profundiza en el rol de expectativas o eventos específicos.
 Vacío: No explora si los mercados anticipan mejor que las agencias, ni qué factores explican esa divergencia (liquidez, gobernanza, expectativas de política, etc.).
5. No incorpora variables ESG o institucionales
El trabajo no considera aspectos como gobernanza corporativa, riesgo político o variables ESG que hoy influyen crecientemente en los spreads de deuda corporativa, especialmente en economías emergentes.
 Vacío: Omisión de factores cualitativos o estructurales que pueden condicionar el “riesgo país efectivo”.
6. Enfoque limitado al canal financiero directo
El modelo asume que el efecto del riesgo soberano se transmite directamente vía spreads. No se consideran otros canales como el acceso al financiamiento, decisiones de inversión o estrategias de cobertura de las firmas.
 Vacío: Falta de integración con la literatura sobre restricciones financieras o inversiones corporativas bajo incertidumbre soberana.</t>
  </si>
  <si>
    <t>Resumen en 3 líneas
Tema: El capítulo analiza cómo los mercados financieros —especialmente el sistema bancario, la inclusión financiera, y los mercados de capital— pueden movilizar recursos privados para el desarrollo sostenible en América Latina y el Caribe.
Método: Análisis descriptivo apoyado en datos macro y microeconómicos regionales (2015–2023), con foco en indicadores como crédito doméstico, inclusión financiera, emisión de bonos corporativos, inversión de capital de riesgo, y concentración de mercados.
Hallazgos: Se identifican limitaciones estructurales (baja profundidad, inclusión restringida, alta concentración) y se recomiendan reformas regulatorias, fortalecimiento de la educación financiera, integración regional y uso de instrumentos financieros innovadores como bonos verdes y fintech para mejorar la movilización de capital.
Clasificación según enfoque
Desarrollo Financiero / Inclusión Financiera:
Examina el acceso desigual al crédito (por informalidad, género, tamaño empresarial).
Propone el fortalecimiento de fintechs, banca digital y educación financiera como soluciones.
Mercado de Capitales / Finanzas Corporativas:
Discute la baja capitalización bursátil (36% del PIB en LAC vs. 65% en OCDE), la concentración de propiedad, y la escasa emisión de bonos privados.
Analiza indicadores clave como los márgenes de interés bancarios, spreads de crédito, madurez de bonos y volumen de capital riesgo.
Economía Institucional / Finanzas para el Desarrollo:
Destaca el rol de las Instituciones de Finanzas para el Desarrollo (DFIs) y bancos públicos como catalizadores del crédito con mandatos estratégicos (p. ej. inclusión, género, innovación).
Se aboga por marcos regulatorios más robustos y cooperación internacional (bonos sostenibles, swaps de deuda por naturaleza).
 Relevancia para tu Marco Teórico ("Resumo TFM Brasil")
Este capítulo se alinea directamente con tu estudio sobre determinantes macroeconómicos del spread de deuda corporativa y es especialmente útil para:
Caracterizar fallas estructurales en el desarrollo del mercado de capitales brasileño.
Identificar variables institucionales y de acceso al crédito como determinantes indirectos de los spreads.
Apoyar tu análisis VAR/VECM con una narrativa institucional y de política financiera que complemente los datos empíricos.</t>
  </si>
  <si>
    <t>, deja abiertos varios vacíos y oportunidades para trabajos futuros, que puedes explorar en tu TFM. A continuación, detallo los principales:
1. Limitación temporal del análisis (solo post-crisis)
El estudio cubre exclusivamente el período de mayo de 2009 a mayo de 2014, es decir, posterior a la crisis financiera global.
No se evalúan los efectos pre-crisis ni comparaciones estructurales entre períodos (e.g. pre vs. post crisis).
Vacío: ¿Cómo varían los determinantes en contextos de crisis, bonanza o normalidad?
Esto abre espacio para enfoques de corte estructural o modelos con efectos de régimen (Markov Switching, por ejemplo).
2. Exclusión de determinantes macroeconómicos fundamentales
El modelo se basa en variables de mercado financiero: índices bursátiles, CDS globales, spreads de tasas y volatilidad cambiaria.
No se consideran variables macroeconómicas como:
Déficit fiscal / resultado primario
Nível da dívida pública
Crescimento do PIB
Inflação / taxa de juros reais
Vacío: No se evalúa el papel de los fundamentos macroeconómicos clásicos en el riesgo soberano.
3. Enfoque en un único país (Brasil)
El análisis es país-específico, sin comparación con otros países emergentes o latinoamericanos.
Aunque el paper cita estudios comparativos (como Wang &amp; Yao, 2014), no realiza una comparación estructurada.
Vacío: ¿Brasil responde de manera similar o distinta a choques globales respecto a otros países comparables?
 4. Enfoque metodológico limitado (OLS con robustez)
Aunque se aplican errores estándar robustos (White) y backward selection, el método es estático y lineal.
No se exploran:
Modelos de series de tiempo multivariadas (e.g. VECM, VAR, GARCH)
Dinámica de corto y largo plazo
Causalidad o relaciones endógenas entre variables
Vacío: ¿Hay relaciones bidireccionales o efectos de retroalimentación? ¿Persisten los efectos a lo largo del tiempo?
5. Sin análisis de expectativas o factores políticos/institucionales
El estudio omite factores no observables como:
Riesgo político
Calidad institucional
Expectativas de default (capturadas por ratings o encuestas)
Vacío: ¿Qué papel juegan las percepciones subjetivas o los riesgos institucionales en los spreads?
 Conclusión
El paper deja una base clara para ampliar en distintas direcciones:
Área de expansión	Posible abordaje en tu TFM
Dimensión temporal	Comparación pre/post-crisis
Macroeconomía	Inclusión de fundamentos fiscales/deuda/PIB
Enfoque comparado	Análisis panel o multipaís (LATAM)
Metodología dinámica	Modelos VECM, VAR, GARCH
Factores institucionales	Incorporar ratings soberanos o indicadores WGI</t>
  </si>
  <si>
    <t xml:space="preserve"> Resumen en 3 líneas
Tema: Este estudio analiza los determinantes del spread de los credit default swaps (CDS) soberanos brasileños entre 2009 y 2014.
Método: Se utiliza un modelo de regresión lineal múltiple con errores estándar robustos (White), aplicando backward selection para identificar variables significativas.
Hallazgos: Seis factores explican el 44% de la variación de los spreads: S&amp;P 500, índice Bovespa, iTraxx Europe, CDS de bancos europeos, volatilidad cambiaria del real brasileño, y CDS soberano estadounidense
.
 Clasificación según enfoques del marco teórico
A continuación, se clasifica este paper en función de los tres enfoques de tu marco teórico (probablemente algo como: [1] factores macroeconómicos locales, [2] factores globales financieros, [3] estructura de mercado o percepción de riesgo). Asumo estos tres grupos — confirma si difieren en tu clasificación.
Variable	Tipo de variable	Enfoque
S&amp;P 500 (USind)	Índice bursátil global	Global financiero (2)
Bovespa (BRind)	Índice bursátil local	Macroeconómico local (1)
iTraxx Europe (ITRXcds)	Riesgo global de crédito	Global financiero (2)
TREUBcds	CDS de bancos europeos	Global financiero (2)
Volatilidad FX (BRfx)	Volatilidad del tipo de cambio	Macroeconómico local (1)
CDS USA (UScds)	Riesgo soberano estadounidense	Global financiero (2)
Modelo final (según regresión robusta)
El modelo econométrico final (ver pág. 4–5) es:
BRcds
=
0.0004
+
0.2400
⋅
ITRXcds
+
0.1054
⋅
TREUBcds
−
0.8845
⋅
USind
+
0.0458
⋅
UScds
+
0.0979
⋅
BRfx
−
0.3424
⋅
BRind
BRcds=0.0004+0.2400⋅ITRXcds+0.1054⋅TREUBcds−0.8845⋅USind+0.0458⋅UScds+0.0979⋅BRfx−0.3424⋅BRind
Esto indica que:
Aumentos en riesgo global o local (iTraxx, TREUBcds, BRfx, UScds) → aumentan los spreads.
Aumentos en índices bursátiles (S&amp;P 500, Bovespa) → reducen los spreads.
</t>
  </si>
  <si>
    <t>deja varios vacíos y oportunidades para futuras investigaciones. A continuación, te resumo los principales huecos que identifica o deja abiertos, estructurados en términos de contenido teórico, método y contexto geográfico/aplicado:
1. Limitaciones en el tratamiento de la causalidad económica estructural
Aunque el paper utiliza modelos VAR generalizados y redes de correlación/Granger para inferir relaciones de spillovers, no identifica mecanismos causales estructurales. Esto implica:
No separa claramente canales de transmisión como política fiscal, sector bancario, o confianza/información asimétrica.
No diferencia entre shocks endógenos (propios del país/firma) y exógenos (globales).
Vacío: Faltan modelos estructurales (como VECM, DSGE, SVAR) que puedan aislar causalidad económica subyacente, más allá de correlaciones dinámicas.
2. Limitada exploración de canales microeconómicos
El estudio se enfoca en series agregadas de CDS por sector o país, y no desagrega por:
Características específicas de las firmas (estructura de capital, exposición cambiaria, ratings).
Canales de transmisión desde firmas hacia gobiernos (por ejemplo, vía recaudación fiscal, empleo o dependencia bancaria).
Vacío: Faltan estudios que vinculen los spillovers financieros con características microeconómicas de empresas o decisiones corporativas, en línea con enfoques de finanzas corporativas o macrofinanzas abiertas.
3. Enfoque limitado a América Latina – no generaliza a otras regiones emergentes
Aunque América Latina es clave por su deuda elevada y exposición externa, el estudio no explora si los patrones identificados se replican en otras regiones como Asia o Europa del Este.
Vacío: Falta evidencia comparativa internacional para evaluar si el rol de factores globales y las asimetrías soberano–corporativo son universales o específicos de América Latina.
4. Dependencia de datos de CDS – no incorpora spreads efectivos de mercado o deuda emitida
La investigación se basa en CDS como proxy de riesgo, pero:
No examina spreads de bonos emitidos, ni condiciones contractuales.
No incluye tasas de emisión, montos, ni frecuencia de acceso a mercados.
Vacío: No aborda directamente el impacto sobre el costo de financiamiento real de gobiernos o empresas, ni sus decisiones de deuda.
5. Análisis estático por ventanas temporales – sin contrafactuales o eventos naturales
Aunque se analiza variación temporal (e.g., crisis de 2008, COVID), no se utilizan técnicas de:
Estudios de eventos (event studies) o diseños cuasi-experimentales.
Modelos contrafactuales para estimar impacto neto de shocks.
Vacío: Falta una estrategia identificadora robusta que permita cuantificar efectos con interpretación causal (por ejemplo, usando cortes de mercado, shocks políticos, cambios de política monetaria global, etc.).
Conclusión
Este paper contribuye significativamente al debate sobre spillovers financieros, pero deja abiertos vacíos clave para investigaciones que deseen:
Identificar causalidad estructural y no solo correlación dinámica.
Incorporar heterogeneidad microeconómica y canales de transmisión más específicos.
Extender el análisis a otras regiones o instrumentos de deuda más allá de los CDS.
Medir efectos sobre variables reales y decisiones de financiamiento.</t>
  </si>
  <si>
    <t xml:space="preserve">deja varios vacíos explícitos e implícitos en la literatura, que puedes aprovechar para justificar tu investigación o enriquecer tu marco teórico. Aquí te resumo los principales:
1. Enfoque en un solo país con mercado pequeño (Sudáfrica)
Aunque Sudáfrica es un caso relevante por tener un mercado de bonos corporativos en moneda local, la muestra es limitada: solo 9 empresas (5 bancos, 4 industriales) y 12 bonos durante 2000–2003.
Vacío: No se puede generalizar a otros países emergentes, especialmente a economías más grandes como Brasil o México, con estructuras financieras y marcos institucionales diferentes.
Oportunidad: Replicar el estudio en Brasil permitiría observar si el rol del riesgo soberano se mantiene en un mercado más profundo y diverso.
2. No hay análisis dinámico o intertemporal
El estudio emplea modelos con efectos fijos pero no explora dinámicas temporales más complejas como VAR, VECM o modelos estructurales intertemporales.
Vacío: No capta cómo shocks de riesgo soberano se transmiten a spreads corporativos en el tiempo ni examina relaciones de causalidad.
Oportunidad: Tu enfoque con modelos VECM-VAR es un avance natural para cubrir esta limitación, especialmente para analizar sostenibilidad de deuda en el tiempo.
3. Débil caracterización institucional o política
Aunque el paper reconoce que las políticas públicas que reducen el riesgo soberano pueden reducir el costo del capital privado, no desarrolla un marco institucional o político detallado.
Vacío: No distingue entre componentes de riesgo soberano (fiscal, monetario, institucional) ni su impacto diferenciado sobre tipos de firmas.
Oportunidad: Incluir variables institucionales o de gobernanza en tu modelo puede aportar un enfoque más realista para países latinoamericanos.
 4. Subestima el rol de variables microeconómicas
Aunque incluye variables como apalancamiento, volatilidad del valor de la firma y liquidez, el paper encuentra que su efecto es estadísticamente significativo pero económicamente menor.
Vacío: No explora si este patrón se mantiene en sectores industriales distintos o en firmas con estructura financiera más heterogénea.
Oportunidad: Puedes explorar heterogeneidad por sector, tamaño, o acceso a financiamiento externo.
 5. Carencia de comparación entre bonos en moneda local vs. extranjera
El estudio se enfoca únicamente en bonos en moneda local (rand), mientras que buena parte del financiamiento externo de empresas en países emergentes es en divisas.
Vacío: No se exploran diferencias en el efecto del riesgo soberano según la moneda de denominación del bono.
Oportunidad: Tu tesis podría incluir esta comparación para Brasil, donde coexisten bonos en BRL y en USD/EUR.
</t>
  </si>
  <si>
    <t>1. Falta de modelización causal
Aunque el informe presenta extensas estadísticas descriptivas (por ejemplo, sobre profundización financiera, spreads, acceso al crédito), no realiza estimaciones econométricas para identificar relaciones causales. Esto deja abierto:
¿Cuál es el efecto causal de la inclusión financiera sobre la inversión privada o los spreads de deuda?
¿Qué rol juega la concentración del mercado de capitales en el costo del financiamiento para empresas pequeñas?
Espacio para tu TFM: Puedes cubrir este vacío aplicando técnicas VAR/VECM para evaluar el impacto de variables macro sobre spreads de deuda corporativa en Brasil.
 2. Generalización regional que pierde especificidad nacional
El capítulo aplica un enfoque regional (LAC), pero no profundiza en la heterogeneidad entre países. Por ejemplo:
Brasil aparece con datos agregados, pero no se analiza el papel de BNDES, del mercado local de debentures o las reformas regulatorias específicas.
No hay distinción clara entre economías con mercados desarrollados (Brasil, Chile) vs. emergentes débiles (Paraguay, El Salvador).
Espacio para tu TFM: Puedes aportar una lectura “nacionalmente situada” con foco en Brasil y la evolución de sus mercados domésticos de deuda corporativa.
🔎 3. Brecha entre diagnóstico de inclusión y spreads
El informe muestra que los hogares y empresas informales enfrentan mayores barreras de acceso, pero no vincula empíricamente estos datos con el spread del crédito o riesgo percibido:
No analiza cómo los niveles de informalidad afectan los spreads.
No cuantifica los efectos de la educación financiera, el género o el tipo de instrumento en el costo de financiamiento.
Espacio para tu TFM: Investigar cómo estas fricciones microeconómicas (informalidad, exclusión financiera) alimentan diferenciales de tasas corporativas o spreads soberanos.
 4. Subexplotación del enfoque institucional
Aunque menciona el papel de los bancos públicos y los marcos regulatorios, no hay una discusión profunda sobre calidad institucional, enforcement de contratos o gobernanza financiera.
No se analiza el impacto de la estabilidad normativa sobre la profundidad financiera.
Falta una perspectiva de "instituciones como determinantes" del acceso o del costo del capital.
Espacio para tu TFM: Integrar variables institucionales (regulación, rule of law, gobernanza financiera) al modelo para explicar spreads de deuda corporativa.
 5. Carencia de propuestas microeconómicas para empresas
El informe enfatiza instrumentos como bonos verdes, fintechs y DFIs, pero no entra en el detalle operativo o de incentivos a nivel de firma, como:
Costos de emisión de deuda para PYMEs.
Acceso diferencial a instrumentos financieros según sector económico.
Falta de benchmarking internacional por tamaño de firma o sector.
Espacio para tu TFM: Puedes vincular los spreads corporativos con características microeconómicas de firmas en Brasil, como tamaño, sector y tipo de garantía.
Conclusión: Cómo posicionarte
Este informe es un insumo excelente para tu marco teórico y contextual, pero deja amplios espacios para la contribución académica rigurosa, especialmente en:
Identificación causal
Enfoque específico por país
Modelos de determinantes de spreads
Inclusión de variables institucionales y microeconómicas</t>
  </si>
  <si>
    <t xml:space="preserve">Resumen en tres líneas
Tema: Análisis descriptivo de la evolución y estructura del mercado de debêntures corporativas en Brasil tras los cambios regulatorios de 2009 (Instrucción CVM 476) y 2011 (Ley 12.431).
Método: Estudio cuantitativo-descriptivo basado en datos de emisiones primarias y secundarias, características de bonos y emisores, tasas de default y renegociación, y asignación por tipo de inversionista.
Hallazgos: El mercado está altamente concentrado en pocos bancos, con bajo grado de liquidez, alta proporción de bonos no calificados o sin grado de inversión, fuerte dependencia de tasas vinculadas al CDI, y con frecuentes renegociaciones y eventos de crédito tanto ex-ante como ex-post
.
Clasificación según enfoque metodológico
A partir del marco teórico implícito en la pestaña “Resumo TFM Brasil” (no compartida aún, pero asumo los enfoques usuales en tu tesis sobre spreads de deuda corporativa en Brasil), clasifico este paper como:
Enfoque 1 – Descriptivo institucional/regulatorio: 
El paper es representativo de este enfoque, pues se centra en la descripción de normas (CVM 400/476, Ley 12.431), dinámica de emisiones, tipo de instrumento, y actores clave (bancos colocadores).
Enfoque 2 – Microestructural del mercado: 
Examina características operacionales del mercado primario y secundario, con énfasis en liquidez, asignación por tipo de inversor y tasas de default. Aunque no usa modelos econométricos, su lógica es estructural.
Enfoque 3 – Empírico econométrico (no aplica): 
El artículo no realiza regresiones ni modelado causal sobre spreads o determinantes de riesgo. Se limita a estadística descriptiva.
</t>
  </si>
  <si>
    <t>Resumen en tres líneas
Tema: El artículo estudia cómo factores globales exógenos (apetito por riesgo, liquidez internacional, contagio financiero) determinan la evolución de los spreads de deuda soberana en mercados emergentes.
Método: Modelos econométricos de cointegración y corrección de errores a partir de datos de alta frecuencia (mensuales/semanales), usando spreads high-yield como proxy de riesgo global, tasas de interés internacionales y ratings crediticios.
Hallazgos: Los factores globales explican más del 50% de la variabilidad de largo plazo de los spreads; en cambio, los ratings son en gran parte endógenos, reaccionando a los spreads más que anticipándolos.
Clasificación según enfoques del marco teórico ("Resumo TFM Brasil")
Con base en enfoques teóricos habituales en tu marco conceptual, este paper se clasifica de la siguiente forma:
Enfoque 1 - “Factores globales como impulsores principales” 
 El paper se centra en cómo el apetito global por riesgo, la liquidez y eventos de contagio explican la mayor parte de la dinámica de spreads.
 Ofrece evidencia empírica sólida que respalda la idea de que estos factores exógenos dominan sobre los fundamentos locales.
Enfoque 2 - “Fundamentos macroeconómicos domésticos como claves del spread” 
 El artículo los trata de forma marginal, usando ratings y dummies como controles. Concluye que estos factores tienen escaso poder explicativo adicional.
Enfoque 3 - “Rol informacional y pro-cíclico de agencias de rating” 
 Sostiene que los ratings no anticipan los spreads, sino que los siguen, siendo en buena medida endógenos.
Cuestiona su utilidad como proxy informacional, resaltando su carácter procíclico y reactivo.</t>
  </si>
  <si>
    <t xml:space="preserve">Resumen en tres líneas
Tema: El paper estudia la dinámica de los spreads de deuda soberana de Brasil entre 1998 y 2009, integrando factores macroeconómicos locales y globales, así como la confianza del mercado.
Método: Utiliza un modelo macro-financiero de estructura temporal afín (affine term structure) en un entorno de economía abierta, estimado vía filtro de Kalman y máxima verosimilitud, integrando variables observables y latentes.
Hallazgos: Encuentra evidencia significativa de spillovers desde EE.UU. (inflación, ciclo económico, tasas de interés) hacia Brasil, con un fuerte rol del “riesgo común brasileño” (confianza), especialmente en períodos de crisis.
Clasificación según enfoques del marco teórico
Tu marco teórico menciona tres enfoques posibles para la literatura sobre spreads soberanos y deuda:
Enfoque de fundamentos macroeconómicos
Aplica directamente: El modelo incluye variables macroeconómicas observables como inflación, output gap y tasas de interés de Brasil y EE.UU.
Enfoque de factores financieros/globales (risk appetite, condiciones globales) Aplica claramente: Incorporan un factor nominal global, influencias del Fed Funds Rate y variables latentes para shocks internacionales.
Enfoque de confianza/percepción del riesgo (sentiment, political risk, contagio)
 Clave en este estudio: El modelo destaca un “common risk factor” brasileño que captura la confianza de los inversores, con impacto en spreads y volatilidad macroeconómica.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</si>
</sst>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2" fillId="0" borderId="0" xfId="1" applyAlignment="1">
      <alignment horizontal="center" vertical="center" wrapText="1"/>
    </xf>
    <xf numFmtId="0" fontId="2" fillId="0" borderId="1" xfId="1" applyBorder="1" applyAlignment="1">
      <alignment horizontal="center" vertical="center" wrapText="1"/>
    </xf>
    <xf numFmtId="0" fontId="0" fillId="2" borderId="1" xfId="0" applyFill="1" applyBorder="1" applyAlignment="1">
      <alignment horizontal="center" vertical="center" wrapText="1"/>
    </xf>
    <xf numFmtId="0" fontId="2" fillId="2" borderId="1" xfId="1" applyFill="1" applyBorder="1" applyAlignment="1">
      <alignment horizontal="center" vertical="center" wrapText="1"/>
    </xf>
    <xf numFmtId="0" fontId="0" fillId="2" borderId="0" xfId="0" applyFill="1" applyAlignment="1">
      <alignment horizontal="center" vertical="center"/>
    </xf>
    <xf numFmtId="14" fontId="0" fillId="2" borderId="0" xfId="0" applyNumberFormat="1" applyFill="1" applyAlignment="1">
      <alignment horizontal="center" vertical="center"/>
    </xf>
    <xf numFmtId="14" fontId="0" fillId="0" borderId="0" xfId="0" applyNumberFormat="1" applyAlignment="1">
      <alignment horizontal="center" vertical="center"/>
    </xf>
    <xf numFmtId="14" fontId="0" fillId="2" borderId="1" xfId="0" applyNumberFormat="1" applyFill="1" applyBorder="1" applyAlignment="1">
      <alignment horizontal="center" vertical="center" wrapText="1"/>
    </xf>
    <xf numFmtId="0" fontId="0" fillId="0" borderId="0" xfId="0" applyBorder="1" applyAlignment="1">
      <alignment horizontal="center" vertical="center" wrapText="1"/>
    </xf>
    <xf numFmtId="0" fontId="2" fillId="0" borderId="0" xfId="1" applyBorder="1" applyAlignment="1">
      <alignment horizontal="center" vertical="center" wrapText="1"/>
    </xf>
    <xf numFmtId="0" fontId="0" fillId="0" borderId="0" xfId="0" applyBorder="1" applyAlignment="1">
      <alignment horizontal="center" vertical="center"/>
    </xf>
    <xf numFmtId="14" fontId="0" fillId="0" borderId="0" xfId="0" applyNumberFormat="1" applyBorder="1" applyAlignment="1">
      <alignment horizontal="center" vertical="center"/>
    </xf>
    <xf numFmtId="0" fontId="0" fillId="2" borderId="1" xfId="0" applyFill="1" applyBorder="1" applyAlignment="1">
      <alignment horizontal="center" vertical="center"/>
    </xf>
    <xf numFmtId="14" fontId="0" fillId="2" borderId="1" xfId="0" applyNumberFormat="1" applyFill="1" applyBorder="1" applyAlignment="1">
      <alignment horizontal="center" vertical="center"/>
    </xf>
    <xf numFmtId="0" fontId="0" fillId="2" borderId="2" xfId="0" applyFill="1" applyBorder="1" applyAlignment="1">
      <alignment horizontal="center" vertical="center" wrapText="1"/>
    </xf>
    <xf numFmtId="0" fontId="2" fillId="2" borderId="2" xfId="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2" borderId="1" xfId="0" applyFont="1" applyFill="1" applyBorder="1" applyAlignment="1">
      <alignment horizontal="center" vertical="center" wrapText="1"/>
    </xf>
    <xf numFmtId="14" fontId="0" fillId="0" borderId="1" xfId="0" applyNumberFormat="1" applyBorder="1" applyAlignment="1">
      <alignment horizontal="center" vertical="center" wrapText="1"/>
    </xf>
    <xf numFmtId="14" fontId="0" fillId="2" borderId="2" xfId="0" applyNumberForma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lay.google.com/books/reader?id=NOk-OQAAAEAJ&amp;pg=GBS.PA0" TargetMode="External"/><Relationship Id="rId13" Type="http://schemas.openxmlformats.org/officeDocument/2006/relationships/hyperlink" Target="https://chatgpt.com/share/e/6841dcae-bfa8-8001-bd67-a3968596e710" TargetMode="External"/><Relationship Id="rId18" Type="http://schemas.openxmlformats.org/officeDocument/2006/relationships/printerSettings" Target="../printerSettings/printerSettings1.bin"/><Relationship Id="rId3" Type="http://schemas.openxmlformats.org/officeDocument/2006/relationships/hyperlink" Target="https://play.google.com/books/reader?id=eomeOAAAAEAJ&amp;pg=GBS.PA0" TargetMode="External"/><Relationship Id="rId7" Type="http://schemas.openxmlformats.org/officeDocument/2006/relationships/hyperlink" Target="https://play.google.com/books/reader?id=jeI-OQAAAEAJ&amp;pg=GBS.PA0" TargetMode="External"/><Relationship Id="rId12" Type="http://schemas.openxmlformats.org/officeDocument/2006/relationships/hyperlink" Target="https://chatgpt.com/share/e/6841d77b-7180-8001-a0e0-df525d81c572" TargetMode="External"/><Relationship Id="rId17" Type="http://schemas.openxmlformats.org/officeDocument/2006/relationships/hyperlink" Target="https://chatgpt.com/share/e/6841e26e-f11c-8001-a05f-d52de383d30b" TargetMode="External"/><Relationship Id="rId2" Type="http://schemas.openxmlformats.org/officeDocument/2006/relationships/hyperlink" Target="https://play.google.com/books/reader?id=HIWeOAAAAEAJ&amp;pg=GBS.PA0" TargetMode="External"/><Relationship Id="rId16" Type="http://schemas.openxmlformats.org/officeDocument/2006/relationships/hyperlink" Target="https://chatgpt.com/share/e/6841e0ef-5f8c-8001-9c44-20a68bdc36a7" TargetMode="External"/><Relationship Id="rId1" Type="http://schemas.openxmlformats.org/officeDocument/2006/relationships/hyperlink" Target="https://play.google.com/books/reader?id=Pge6OAAAAEAJ&amp;pg=GBS.PA0" TargetMode="External"/><Relationship Id="rId6" Type="http://schemas.openxmlformats.org/officeDocument/2006/relationships/hyperlink" Target="https://play.google.com/books/reader?id=rd6UOAAAAEAJ&amp;pg=GBS.PA0" TargetMode="External"/><Relationship Id="rId11" Type="http://schemas.openxmlformats.org/officeDocument/2006/relationships/hyperlink" Target="https://chatgpt.com/share/e/6841d5ba-b850-8001-822b-5c06e1dd269f" TargetMode="External"/><Relationship Id="rId5" Type="http://schemas.openxmlformats.org/officeDocument/2006/relationships/hyperlink" Target="https://play.google.com/books/reader?id=N9a0OAAAAEAJ&amp;pg=GBS.PA0" TargetMode="External"/><Relationship Id="rId15" Type="http://schemas.openxmlformats.org/officeDocument/2006/relationships/hyperlink" Target="https://chatgpt.com/share/e/6841e013-9f4c-8001-8eb8-a3f4e2bba9e7" TargetMode="External"/><Relationship Id="rId10" Type="http://schemas.openxmlformats.org/officeDocument/2006/relationships/hyperlink" Target="https://chatgpt.com/share/e/6841d51c-cfec-8001-bbad-262b8e959612" TargetMode="External"/><Relationship Id="rId4" Type="http://schemas.openxmlformats.org/officeDocument/2006/relationships/hyperlink" Target="https://play.google.com/books/reader?id=ONa0OAAAAEAJ&amp;pg=GBS.PA0" TargetMode="External"/><Relationship Id="rId9" Type="http://schemas.openxmlformats.org/officeDocument/2006/relationships/hyperlink" Target="https://docs.google.com/document/d/1gb7-ljJqD9AH7hIxig8TpNacqKgyBK1wf9WU8lOdrP8/edit?tab=t.0" TargetMode="External"/><Relationship Id="rId14" Type="http://schemas.openxmlformats.org/officeDocument/2006/relationships/hyperlink" Target="https://chatgpt.com/share/e/6841de15-f300-8001-a2ec-e6fd783cd3a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
  <sheetViews>
    <sheetView tabSelected="1" topLeftCell="E1" zoomScale="70" zoomScaleNormal="70" workbookViewId="0">
      <pane ySplit="2" topLeftCell="A3" activePane="bottomLeft" state="frozen"/>
      <selection pane="bottomLeft" activeCell="J4" sqref="J4"/>
    </sheetView>
  </sheetViews>
  <sheetFormatPr defaultColWidth="31.28515625" defaultRowHeight="30" customHeight="1" x14ac:dyDescent="0.25"/>
  <cols>
    <col min="1" max="1" width="3.5703125" style="3" customWidth="1"/>
    <col min="2" max="2" width="12.7109375" style="3" customWidth="1"/>
    <col min="3" max="3" width="35" style="3" customWidth="1"/>
    <col min="4" max="11" width="31.28515625" style="3"/>
    <col min="12" max="12" width="16.85546875" style="3" customWidth="1"/>
    <col min="13" max="13" width="22" style="3" customWidth="1"/>
    <col min="14" max="14" width="21.42578125" style="3" customWidth="1"/>
    <col min="15" max="15" width="19.140625" style="3" customWidth="1"/>
    <col min="16" max="16384" width="31.28515625" style="2"/>
  </cols>
  <sheetData>
    <row r="1" spans="1:21" ht="30" customHeight="1" x14ac:dyDescent="0.25">
      <c r="A1" s="1" t="s">
        <v>41</v>
      </c>
      <c r="B1" s="1"/>
      <c r="C1" s="1" t="s">
        <v>74</v>
      </c>
      <c r="D1" s="1" t="s">
        <v>42</v>
      </c>
      <c r="E1" s="1" t="s">
        <v>69</v>
      </c>
      <c r="F1" s="1" t="s">
        <v>70</v>
      </c>
      <c r="G1" s="1" t="s">
        <v>71</v>
      </c>
      <c r="H1" s="1" t="s">
        <v>72</v>
      </c>
      <c r="I1" s="1" t="s">
        <v>32</v>
      </c>
      <c r="J1" s="1" t="s">
        <v>0</v>
      </c>
      <c r="K1" s="1" t="s">
        <v>1</v>
      </c>
      <c r="L1" s="1" t="s">
        <v>2</v>
      </c>
      <c r="M1" s="1" t="s">
        <v>3</v>
      </c>
      <c r="N1" s="1" t="s">
        <v>4</v>
      </c>
      <c r="O1" s="1" t="s">
        <v>5</v>
      </c>
      <c r="P1" s="2" t="s">
        <v>33</v>
      </c>
      <c r="Q1" s="2" t="s">
        <v>51</v>
      </c>
      <c r="R1" s="1"/>
      <c r="S1" s="1"/>
      <c r="T1" s="1"/>
      <c r="U1" s="1"/>
    </row>
    <row r="3" spans="1:21" s="9" customFormat="1" ht="30" customHeight="1" x14ac:dyDescent="0.25">
      <c r="A3" s="7">
        <v>1</v>
      </c>
      <c r="B3" s="8" t="s">
        <v>93</v>
      </c>
      <c r="C3" s="7" t="s">
        <v>94</v>
      </c>
      <c r="D3" s="8" t="s">
        <v>46</v>
      </c>
      <c r="E3" s="8" t="s">
        <v>54</v>
      </c>
      <c r="F3" s="12">
        <v>44682</v>
      </c>
      <c r="G3" s="7" t="s">
        <v>112</v>
      </c>
      <c r="H3" s="7" t="s">
        <v>105</v>
      </c>
      <c r="I3" s="7" t="s">
        <v>92</v>
      </c>
      <c r="J3" s="7" t="s">
        <v>6</v>
      </c>
      <c r="K3" s="7" t="s">
        <v>11</v>
      </c>
      <c r="L3" s="7" t="s">
        <v>16</v>
      </c>
      <c r="M3" s="7" t="s">
        <v>17</v>
      </c>
      <c r="N3" s="7" t="s">
        <v>22</v>
      </c>
      <c r="O3" s="7" t="s">
        <v>27</v>
      </c>
      <c r="P3" s="9" t="s">
        <v>34</v>
      </c>
      <c r="Q3" s="10">
        <v>45739</v>
      </c>
    </row>
    <row r="4" spans="1:21" s="9" customFormat="1" ht="30" customHeight="1" x14ac:dyDescent="0.25">
      <c r="A4" s="7">
        <f>A3+1</f>
        <v>2</v>
      </c>
      <c r="B4" s="8" t="s">
        <v>81</v>
      </c>
      <c r="C4" s="7" t="s">
        <v>80</v>
      </c>
      <c r="D4" s="8" t="s">
        <v>45</v>
      </c>
      <c r="E4" s="8" t="s">
        <v>57</v>
      </c>
      <c r="F4" s="12">
        <v>42584</v>
      </c>
      <c r="G4" s="23" t="s">
        <v>108</v>
      </c>
      <c r="H4" s="7" t="s">
        <v>106</v>
      </c>
      <c r="I4" s="7" t="s">
        <v>79</v>
      </c>
      <c r="J4" s="7" t="s">
        <v>7</v>
      </c>
      <c r="K4" s="7" t="s">
        <v>12</v>
      </c>
      <c r="L4" s="7" t="s">
        <v>16</v>
      </c>
      <c r="M4" s="7" t="s">
        <v>18</v>
      </c>
      <c r="N4" s="7" t="s">
        <v>23</v>
      </c>
      <c r="O4" s="7" t="s">
        <v>28</v>
      </c>
      <c r="P4" s="9" t="s">
        <v>34</v>
      </c>
      <c r="Q4" s="10">
        <v>45739</v>
      </c>
    </row>
    <row r="5" spans="1:21" s="9" customFormat="1" ht="30" customHeight="1" x14ac:dyDescent="0.25">
      <c r="A5" s="7">
        <f t="shared" ref="A5:A10" si="0">A4+1</f>
        <v>3</v>
      </c>
      <c r="B5" s="8" t="s">
        <v>91</v>
      </c>
      <c r="C5" s="7" t="s">
        <v>90</v>
      </c>
      <c r="D5" s="8" t="s">
        <v>53</v>
      </c>
      <c r="E5" s="8" t="s">
        <v>59</v>
      </c>
      <c r="F5" s="12">
        <v>42180</v>
      </c>
      <c r="G5" s="7" t="s">
        <v>110</v>
      </c>
      <c r="H5" s="7" t="s">
        <v>111</v>
      </c>
      <c r="I5" s="7" t="s">
        <v>89</v>
      </c>
      <c r="J5" s="7" t="s">
        <v>8</v>
      </c>
      <c r="K5" s="7" t="s">
        <v>13</v>
      </c>
      <c r="L5" s="7" t="s">
        <v>16</v>
      </c>
      <c r="M5" s="7" t="s">
        <v>19</v>
      </c>
      <c r="N5" s="7" t="s">
        <v>24</v>
      </c>
      <c r="O5" s="7" t="s">
        <v>29</v>
      </c>
      <c r="P5" s="9" t="s">
        <v>34</v>
      </c>
      <c r="Q5" s="10">
        <v>45739</v>
      </c>
    </row>
    <row r="6" spans="1:21" s="9" customFormat="1" ht="30" customHeight="1" x14ac:dyDescent="0.25">
      <c r="A6" s="7">
        <f t="shared" si="0"/>
        <v>4</v>
      </c>
      <c r="B6" s="8" t="s">
        <v>84</v>
      </c>
      <c r="C6" s="7" t="s">
        <v>83</v>
      </c>
      <c r="D6" s="8" t="s">
        <v>47</v>
      </c>
      <c r="E6" s="8" t="s">
        <v>58</v>
      </c>
      <c r="F6" s="12">
        <v>40725</v>
      </c>
      <c r="G6" s="7" t="s">
        <v>107</v>
      </c>
      <c r="H6" s="7" t="s">
        <v>117</v>
      </c>
      <c r="I6" s="7" t="s">
        <v>82</v>
      </c>
      <c r="J6" s="7" t="s">
        <v>9</v>
      </c>
      <c r="K6" s="7" t="s">
        <v>14</v>
      </c>
      <c r="L6" s="7" t="s">
        <v>16</v>
      </c>
      <c r="M6" s="7" t="s">
        <v>20</v>
      </c>
      <c r="N6" s="7" t="s">
        <v>25</v>
      </c>
      <c r="O6" s="7" t="s">
        <v>30</v>
      </c>
      <c r="P6" s="9" t="s">
        <v>34</v>
      </c>
      <c r="Q6" s="10">
        <v>45739</v>
      </c>
    </row>
    <row r="7" spans="1:21" s="9" customFormat="1" ht="30" customHeight="1" x14ac:dyDescent="0.25">
      <c r="A7" s="7">
        <f t="shared" si="0"/>
        <v>5</v>
      </c>
      <c r="B7" s="8" t="s">
        <v>78</v>
      </c>
      <c r="C7" s="7" t="s">
        <v>77</v>
      </c>
      <c r="D7" s="8" t="s">
        <v>44</v>
      </c>
      <c r="E7" s="8" t="s">
        <v>55</v>
      </c>
      <c r="F7" s="12">
        <v>39753</v>
      </c>
      <c r="G7" s="7" t="s">
        <v>103</v>
      </c>
      <c r="H7" s="7" t="s">
        <v>116</v>
      </c>
      <c r="I7" s="7" t="s">
        <v>62</v>
      </c>
      <c r="J7" s="7" t="s">
        <v>10</v>
      </c>
      <c r="K7" s="7" t="s">
        <v>15</v>
      </c>
      <c r="L7" s="7" t="s">
        <v>16</v>
      </c>
      <c r="M7" s="7" t="s">
        <v>21</v>
      </c>
      <c r="N7" s="7" t="s">
        <v>26</v>
      </c>
      <c r="O7" s="7" t="s">
        <v>31</v>
      </c>
      <c r="P7" s="9" t="s">
        <v>35</v>
      </c>
      <c r="Q7" s="10">
        <v>45739</v>
      </c>
    </row>
    <row r="8" spans="1:21" ht="30" customHeight="1" x14ac:dyDescent="0.25">
      <c r="A8" s="4">
        <f t="shared" si="0"/>
        <v>6</v>
      </c>
      <c r="B8" s="6" t="s">
        <v>87</v>
      </c>
      <c r="C8" s="4" t="s">
        <v>77</v>
      </c>
      <c r="D8" s="6" t="s">
        <v>43</v>
      </c>
      <c r="E8" s="6" t="s">
        <v>56</v>
      </c>
      <c r="F8" s="24">
        <v>38657</v>
      </c>
      <c r="G8" s="4" t="s">
        <v>113</v>
      </c>
      <c r="H8" s="4" t="s">
        <v>85</v>
      </c>
      <c r="I8" s="4" t="s">
        <v>86</v>
      </c>
      <c r="J8" s="4" t="s">
        <v>36</v>
      </c>
      <c r="K8" s="4" t="s">
        <v>37</v>
      </c>
      <c r="L8" s="4" t="s">
        <v>16</v>
      </c>
      <c r="M8" s="4" t="s">
        <v>38</v>
      </c>
      <c r="N8" s="4" t="s">
        <v>39</v>
      </c>
      <c r="O8" s="4" t="s">
        <v>40</v>
      </c>
      <c r="P8" s="2" t="s">
        <v>88</v>
      </c>
      <c r="Q8" s="11">
        <v>45757</v>
      </c>
    </row>
    <row r="9" spans="1:21" s="9" customFormat="1" ht="30" customHeight="1" x14ac:dyDescent="0.25">
      <c r="A9" s="19">
        <f t="shared" si="0"/>
        <v>7</v>
      </c>
      <c r="B9" s="19"/>
      <c r="C9" s="19"/>
      <c r="D9" s="20" t="s">
        <v>48</v>
      </c>
      <c r="E9" s="20" t="s">
        <v>60</v>
      </c>
      <c r="F9" s="25">
        <v>45444</v>
      </c>
      <c r="G9" s="19" t="s">
        <v>114</v>
      </c>
      <c r="H9" s="19" t="s">
        <v>109</v>
      </c>
      <c r="I9" s="19" t="s">
        <v>99</v>
      </c>
      <c r="J9" s="19" t="s">
        <v>52</v>
      </c>
      <c r="K9" s="19" t="s">
        <v>100</v>
      </c>
      <c r="L9" s="19"/>
      <c r="M9" s="19"/>
      <c r="N9" s="19"/>
      <c r="O9" s="19"/>
      <c r="Q9" s="10">
        <v>45739</v>
      </c>
    </row>
    <row r="10" spans="1:21" s="21" customFormat="1" ht="30" customHeight="1" x14ac:dyDescent="0.25">
      <c r="A10" s="4">
        <f t="shared" si="0"/>
        <v>8</v>
      </c>
      <c r="B10" s="6" t="s">
        <v>96</v>
      </c>
      <c r="C10" s="4" t="s">
        <v>90</v>
      </c>
      <c r="D10" s="6" t="s">
        <v>50</v>
      </c>
      <c r="E10" s="6" t="s">
        <v>61</v>
      </c>
      <c r="F10" s="24">
        <v>43260</v>
      </c>
      <c r="G10" s="4" t="s">
        <v>104</v>
      </c>
      <c r="H10" s="4" t="s">
        <v>115</v>
      </c>
      <c r="I10" s="4" t="s">
        <v>95</v>
      </c>
      <c r="J10" s="4" t="s">
        <v>49</v>
      </c>
      <c r="K10" s="4" t="s">
        <v>97</v>
      </c>
      <c r="L10" s="4" t="s">
        <v>98</v>
      </c>
      <c r="M10" s="4"/>
      <c r="N10" s="4"/>
      <c r="O10" s="4"/>
      <c r="Q10" s="22">
        <v>45761</v>
      </c>
    </row>
    <row r="11" spans="1:21" s="15" customFormat="1" ht="30" customHeight="1" x14ac:dyDescent="0.25">
      <c r="A11" s="13"/>
      <c r="B11" s="13"/>
      <c r="C11" s="13"/>
      <c r="D11" s="14"/>
      <c r="E11" s="14"/>
      <c r="F11" s="13"/>
      <c r="G11" s="13"/>
      <c r="H11" s="13"/>
      <c r="I11" s="13"/>
      <c r="J11" s="13"/>
      <c r="K11" s="13"/>
      <c r="L11" s="13"/>
      <c r="M11" s="13"/>
      <c r="N11" s="13"/>
      <c r="O11" s="13"/>
      <c r="Q11" s="16"/>
    </row>
    <row r="12" spans="1:21" s="15" customFormat="1" ht="30" customHeight="1" x14ac:dyDescent="0.25">
      <c r="A12" s="13"/>
      <c r="B12" s="13"/>
      <c r="C12" s="13"/>
      <c r="D12" s="14"/>
      <c r="E12" s="14"/>
      <c r="F12" s="13"/>
      <c r="G12" s="13"/>
      <c r="H12" s="13"/>
      <c r="I12" s="13"/>
      <c r="J12" s="13"/>
      <c r="K12" s="13"/>
      <c r="L12" s="13"/>
      <c r="M12" s="13"/>
      <c r="N12" s="13"/>
      <c r="O12" s="13"/>
      <c r="Q12" s="16"/>
    </row>
    <row r="13" spans="1:21" s="15" customFormat="1" ht="30" customHeight="1" x14ac:dyDescent="0.25">
      <c r="A13" s="13"/>
      <c r="B13" s="13"/>
      <c r="C13" s="13"/>
      <c r="D13" s="14"/>
      <c r="E13" s="14"/>
      <c r="F13" s="13"/>
      <c r="G13" s="13"/>
      <c r="H13" s="13"/>
      <c r="I13" s="13"/>
      <c r="J13" s="13"/>
      <c r="K13" s="13"/>
      <c r="L13" s="13"/>
      <c r="M13" s="13"/>
      <c r="N13" s="13"/>
      <c r="O13" s="13"/>
      <c r="Q13" s="16"/>
    </row>
    <row r="14" spans="1:21" s="15" customFormat="1" ht="30" customHeight="1" x14ac:dyDescent="0.25">
      <c r="A14" s="13"/>
      <c r="B14" s="13"/>
      <c r="C14" s="13"/>
      <c r="D14" s="14"/>
      <c r="E14" s="14"/>
      <c r="F14" s="13"/>
      <c r="G14" s="13"/>
      <c r="H14" s="13"/>
      <c r="I14" s="13"/>
      <c r="J14" s="13"/>
      <c r="K14" s="13"/>
      <c r="L14" s="13"/>
      <c r="M14" s="13"/>
      <c r="N14" s="13"/>
      <c r="O14" s="13"/>
      <c r="Q14" s="16"/>
    </row>
    <row r="15" spans="1:21" s="15" customFormat="1" ht="30" customHeight="1" x14ac:dyDescent="0.25">
      <c r="A15" s="13"/>
      <c r="B15" s="13"/>
      <c r="C15" s="13"/>
      <c r="D15" s="14"/>
      <c r="E15" s="14"/>
      <c r="F15" s="13"/>
      <c r="G15" s="13"/>
      <c r="H15" s="13"/>
      <c r="I15" s="13"/>
      <c r="J15" s="13"/>
      <c r="K15" s="13"/>
      <c r="L15" s="13"/>
      <c r="M15" s="13"/>
      <c r="N15" s="13"/>
      <c r="O15" s="13"/>
      <c r="Q15" s="16"/>
    </row>
    <row r="16" spans="1:21" s="15" customFormat="1" ht="30" customHeight="1" x14ac:dyDescent="0.25">
      <c r="A16" s="13"/>
      <c r="B16" s="13"/>
      <c r="C16" s="13"/>
      <c r="D16" s="14"/>
      <c r="E16" s="14"/>
      <c r="F16" s="13"/>
      <c r="G16" s="13"/>
      <c r="H16" s="13"/>
      <c r="I16" s="13"/>
      <c r="J16" s="13"/>
      <c r="K16" s="13"/>
      <c r="L16" s="13"/>
      <c r="M16" s="13"/>
      <c r="N16" s="13"/>
      <c r="O16" s="13"/>
      <c r="Q16" s="16"/>
    </row>
    <row r="17" spans="1:17" ht="30" customHeight="1" x14ac:dyDescent="0.25">
      <c r="A17" s="1" t="s">
        <v>41</v>
      </c>
      <c r="B17" s="1"/>
      <c r="C17" s="1"/>
      <c r="D17" s="1" t="s">
        <v>66</v>
      </c>
      <c r="E17" s="1" t="s">
        <v>67</v>
      </c>
      <c r="F17" s="1" t="s">
        <v>101</v>
      </c>
      <c r="G17" s="1" t="s">
        <v>102</v>
      </c>
      <c r="H17" s="1" t="s">
        <v>73</v>
      </c>
      <c r="I17" s="1" t="s">
        <v>32</v>
      </c>
      <c r="J17" s="1" t="s">
        <v>0</v>
      </c>
      <c r="K17" s="1" t="s">
        <v>1</v>
      </c>
      <c r="L17" s="1" t="s">
        <v>2</v>
      </c>
      <c r="M17" s="1" t="s">
        <v>3</v>
      </c>
      <c r="N17" s="1" t="s">
        <v>4</v>
      </c>
      <c r="O17" s="1" t="s">
        <v>5</v>
      </c>
      <c r="P17" s="2" t="s">
        <v>33</v>
      </c>
      <c r="Q17" s="2" t="s">
        <v>51</v>
      </c>
    </row>
    <row r="18" spans="1:17" s="17" customFormat="1" ht="30" customHeight="1" x14ac:dyDescent="0.25">
      <c r="A18" s="7">
        <f t="shared" ref="A18" si="1">A10+1</f>
        <v>9</v>
      </c>
      <c r="B18" s="5" t="s">
        <v>76</v>
      </c>
      <c r="C18" s="7" t="s">
        <v>75</v>
      </c>
      <c r="D18" s="8" t="s">
        <v>63</v>
      </c>
      <c r="E18" s="8"/>
      <c r="F18" s="7" t="str">
        <f>D10</f>
        <v>https://play.google.com/books/reader?id=jeI-OQAAAEAJ&amp;pg=GBS.PA0</v>
      </c>
      <c r="G18" s="7"/>
      <c r="H18" s="7"/>
      <c r="I18" s="7" t="s">
        <v>68</v>
      </c>
      <c r="J18" s="7" t="s">
        <v>64</v>
      </c>
      <c r="K18" s="7"/>
      <c r="L18" s="7"/>
      <c r="M18" s="7"/>
      <c r="N18" s="7"/>
      <c r="O18" s="7"/>
      <c r="Q18" s="18" t="s">
        <v>65</v>
      </c>
    </row>
    <row r="19" spans="1:17" ht="30" customHeight="1" x14ac:dyDescent="0.25">
      <c r="C19" s="5"/>
    </row>
    <row r="22" spans="1:17" ht="30" customHeight="1" x14ac:dyDescent="0.25">
      <c r="P22" s="3"/>
    </row>
    <row r="23" spans="1:17" ht="30" customHeight="1" x14ac:dyDescent="0.25">
      <c r="P23" s="3"/>
    </row>
    <row r="24" spans="1:17" ht="30" customHeight="1" x14ac:dyDescent="0.25">
      <c r="P24" s="3"/>
    </row>
    <row r="25" spans="1:17" ht="30" customHeight="1" x14ac:dyDescent="0.25">
      <c r="P25" s="3"/>
    </row>
    <row r="26" spans="1:17" ht="30" customHeight="1" x14ac:dyDescent="0.25">
      <c r="P26" s="3"/>
    </row>
    <row r="27" spans="1:17" ht="30" customHeight="1" x14ac:dyDescent="0.25">
      <c r="P27" s="3"/>
    </row>
    <row r="28" spans="1:17" ht="30" customHeight="1" x14ac:dyDescent="0.25">
      <c r="P28" s="3"/>
    </row>
    <row r="29" spans="1:17" ht="30" customHeight="1" x14ac:dyDescent="0.25">
      <c r="P29" s="3"/>
    </row>
    <row r="30" spans="1:17" ht="30" customHeight="1" x14ac:dyDescent="0.25">
      <c r="P30" s="3"/>
    </row>
    <row r="31" spans="1:17" ht="30" customHeight="1" x14ac:dyDescent="0.25">
      <c r="P31" s="3"/>
    </row>
    <row r="32" spans="1:17" ht="30" customHeight="1" x14ac:dyDescent="0.25">
      <c r="P32" s="3"/>
    </row>
    <row r="33" spans="16:16" ht="30" customHeight="1" x14ac:dyDescent="0.25">
      <c r="P33" s="3"/>
    </row>
    <row r="34" spans="16:16" ht="30" customHeight="1" x14ac:dyDescent="0.25">
      <c r="P34" s="3"/>
    </row>
  </sheetData>
  <hyperlinks>
    <hyperlink ref="D8" r:id="rId1" xr:uid="{7B6BAA7D-B33F-4789-BB42-7462784E8C24}"/>
    <hyperlink ref="D7" r:id="rId2" xr:uid="{7C326F89-A9E8-4F2D-A92C-AB018737A9BC}"/>
    <hyperlink ref="D4" r:id="rId3" xr:uid="{F4751299-8BC9-44FC-B44F-4534C3DCF300}"/>
    <hyperlink ref="D3" r:id="rId4" xr:uid="{5746DE40-FAF7-468A-B8D3-55F708DA178D}"/>
    <hyperlink ref="D6" r:id="rId5" xr:uid="{800F622C-38DD-4077-9CAD-B640B8B3D319}"/>
    <hyperlink ref="D9" r:id="rId6" xr:uid="{1D3CB38E-4381-4C91-8FB9-70811360DF5A}"/>
    <hyperlink ref="D10" r:id="rId7" xr:uid="{80AE3B45-F605-43CD-8C34-7E3373C57B60}"/>
    <hyperlink ref="D5" r:id="rId8" xr:uid="{C4309C95-086E-41F9-A153-3924069E29B4}"/>
    <hyperlink ref="D18" r:id="rId9" xr:uid="{51E9515B-ECD2-44A0-8509-1B6811C312E6}"/>
    <hyperlink ref="B18" r:id="rId10" xr:uid="{6AFB56B4-A621-4617-98B1-51A152A98513}"/>
    <hyperlink ref="B7" r:id="rId11" xr:uid="{7CED8070-7F9A-4E0D-8316-A98A3B52CD05}"/>
    <hyperlink ref="B4" r:id="rId12" xr:uid="{5C1C3A9C-46BC-4DD8-811E-E7E218BA5522}"/>
    <hyperlink ref="B6" r:id="rId13" xr:uid="{8C5F7ADD-D0FD-4ADE-A650-7FE4D8069A7D}"/>
    <hyperlink ref="B8" r:id="rId14" xr:uid="{B4CE2479-C9CC-4579-A8AD-41B0CD601D4E}"/>
    <hyperlink ref="B5" r:id="rId15" xr:uid="{E8B4130C-59A8-44F1-B89F-A1AE1EA946AC}"/>
    <hyperlink ref="B3" r:id="rId16" xr:uid="{46B476D8-6D9E-411E-81C1-671018568960}"/>
    <hyperlink ref="B10" r:id="rId17" xr:uid="{9D2082D6-A961-4B56-8213-05615BD9B470}"/>
  </hyperlinks>
  <pageMargins left="0.7" right="0.7" top="0.75" bottom="0.75" header="0.3" footer="0.3"/>
  <pageSetup orientation="portrait"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Siqueira, Thiago</dc:creator>
  <cp:lastModifiedBy>Siqueira, Thiago</cp:lastModifiedBy>
  <dcterms:created xsi:type="dcterms:W3CDTF">2025-04-10T20:56:40Z</dcterms:created>
  <dcterms:modified xsi:type="dcterms:W3CDTF">2025-06-06T01:47:56Z</dcterms:modified>
</cp:coreProperties>
</file>