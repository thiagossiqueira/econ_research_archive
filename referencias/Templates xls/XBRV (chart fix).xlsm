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loomberglp-my.sharepoint.com/personal/tsiqueira4_bloomberg_com/Documents/Desktop/master_thesis_economics/referencias/Templates xls/"/>
    </mc:Choice>
  </mc:AlternateContent>
  <xr:revisionPtr revIDLastSave="40" documentId="8_{4755662A-09ED-41FA-BF53-2601A5742595}" xr6:coauthVersionLast="47" xr6:coauthVersionMax="47" xr10:uidLastSave="{9CAB88ED-A528-4E00-93A0-482C922A064E}"/>
  <bookViews>
    <workbookView xWindow="6510" yWindow="615" windowWidth="19425" windowHeight="11625" xr2:uid="{00000000-000D-0000-FFFF-FFFF00000000}"/>
  </bookViews>
  <sheets>
    <sheet name="Benchmark Bonds" sheetId="1" r:id="rId1"/>
    <sheet name="Ratings Table" sheetId="2" state="veryHidden" r:id="rId2"/>
    <sheet name="Help" sheetId="3" r:id="rId3"/>
  </sheets>
  <definedNames>
    <definedName name="BNCH_Anchor">'Ratings Table'!$G$81</definedName>
    <definedName name="EQYTickers">OFFSET('Benchmark Bonds'!$B$11,0,0,COUNTA('Benchmark Bonds'!$B$11:$B$30))</definedName>
    <definedName name="HLPBRD_IB">Help!#REF!</definedName>
    <definedName name="HLPBRD_IR">Help!$S$10:$T$49</definedName>
    <definedName name="HLPBRD_OBR">Help!#REF!</definedName>
    <definedName name="LQT2Data">'Ratings Table'!$G$81:$J$100</definedName>
    <definedName name="Measure_List">'Ratings Table'!$G$76:$G$79</definedName>
    <definedName name="Pricing_Source">'Benchmark Bonds'!$M$7</definedName>
    <definedName name="SPRateTable">'Ratings Table'!$B$2:$C$25</definedName>
    <definedName name="UpdateCounter">'Ratings Table'!$B$31</definedName>
    <definedName name="Vals10Yr">'Benchmark Bonds'!$B$60</definedName>
    <definedName name="Vals30Yr">'Benchmark Bonds'!$I$60</definedName>
    <definedName name="Vals3Yr">'Benchmark Bonds'!$B$45</definedName>
    <definedName name="Vals5Yr">'Benchmark Bonds'!$I$45</definedName>
    <definedName name="YN_List">'Ratings Table'!$F$76:$F$77</definedName>
    <definedName name="Yr10Data">'Ratings Table'!$J$2:$K$8</definedName>
    <definedName name="Yr30Data">'Ratings Table'!$L$2:$M$8</definedName>
    <definedName name="Yr5Data">'Ratings Table'!$H$2:$I$8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2"/>
  <c r="K38" i="2"/>
  <c r="K9" i="1"/>
  <c r="E40" i="2" a="1"/>
  <c r="G18" i="2" a="1"/>
  <c r="G20" i="2" a="1"/>
  <c r="E49" i="2" a="1"/>
  <c r="E53" i="2" a="1"/>
  <c r="G3" i="2" a="1"/>
  <c r="G6" i="2" a="1"/>
  <c r="E56" i="2" a="1"/>
  <c r="E47" i="2" a="1"/>
  <c r="E57" i="2" a="1"/>
  <c r="E55" i="2" a="1"/>
  <c r="G16" i="2" a="1"/>
  <c r="E50" i="2" a="1"/>
  <c r="E51" i="2" a="1"/>
  <c r="E48" i="2" a="1"/>
  <c r="G2" i="2" a="1"/>
  <c r="E41" i="2" a="1"/>
  <c r="G12" i="2" a="1"/>
  <c r="E44" i="2" a="1"/>
  <c r="G19" i="2" a="1"/>
  <c r="E42" i="2" a="1"/>
  <c r="G9" i="2" a="1"/>
  <c r="E46" i="2" a="1"/>
  <c r="G10" i="2" a="1"/>
  <c r="E59" i="2" a="1"/>
  <c r="G14" i="2" a="1"/>
  <c r="G8" i="2" a="1"/>
  <c r="E54" i="2" a="1"/>
  <c r="G13" i="2" a="1"/>
  <c r="E52" i="2" a="1"/>
  <c r="E58" i="2" a="1"/>
  <c r="G17" i="2" a="1"/>
  <c r="G11" i="2" a="1"/>
  <c r="G4" i="2" a="1"/>
  <c r="E43" i="2" a="1"/>
  <c r="G15" i="2" a="1"/>
  <c r="G5" i="2" a="1"/>
  <c r="G21" i="2" a="1"/>
  <c r="E45" i="2" a="1"/>
  <c r="G7" i="2" a="1"/>
  <c r="G7" i="2" l="1"/>
  <c r="E45" i="2"/>
  <c r="I86" i="2" s="1"/>
  <c r="G21" i="2"/>
  <c r="I100" i="2" s="1"/>
  <c r="G5" i="2"/>
  <c r="G15" i="2"/>
  <c r="J94" i="2" s="1"/>
  <c r="E43" i="2"/>
  <c r="G4" i="2"/>
  <c r="J83" i="2" s="1"/>
  <c r="G11" i="2"/>
  <c r="G17" i="2"/>
  <c r="H96" i="2" s="1"/>
  <c r="E58" i="2"/>
  <c r="E52" i="2"/>
  <c r="G13" i="2"/>
  <c r="E54" i="2"/>
  <c r="G8" i="2"/>
  <c r="H87" i="2" s="1"/>
  <c r="G14" i="2"/>
  <c r="I93" i="2" s="1"/>
  <c r="E59" i="2"/>
  <c r="G10" i="2"/>
  <c r="E46" i="2"/>
  <c r="G9" i="2"/>
  <c r="I88" i="2" s="1"/>
  <c r="E42" i="2"/>
  <c r="G19" i="2"/>
  <c r="G98" i="2" s="1"/>
  <c r="E44" i="2"/>
  <c r="G12" i="2"/>
  <c r="E41" i="2"/>
  <c r="G2" i="2"/>
  <c r="E48" i="2"/>
  <c r="E51" i="2"/>
  <c r="J92" i="2" s="1"/>
  <c r="E50" i="2"/>
  <c r="J91" i="2" s="1"/>
  <c r="G16" i="2"/>
  <c r="I95" i="2" s="1"/>
  <c r="E55" i="2"/>
  <c r="J96" i="2" s="1"/>
  <c r="E57" i="2"/>
  <c r="E47" i="2"/>
  <c r="E56" i="2"/>
  <c r="H97" i="2" s="1"/>
  <c r="G6" i="2"/>
  <c r="G85" i="2" s="1"/>
  <c r="G3" i="2"/>
  <c r="G82" i="2" s="1"/>
  <c r="E53" i="2"/>
  <c r="E49" i="2"/>
  <c r="G20" i="2"/>
  <c r="G18" i="2"/>
  <c r="G97" i="2" s="1"/>
  <c r="E40" i="2"/>
  <c r="G99" i="2"/>
  <c r="I99" i="2"/>
  <c r="H99" i="2"/>
  <c r="J99" i="2"/>
  <c r="I96" i="2"/>
  <c r="G95" i="2"/>
  <c r="J81" i="2"/>
  <c r="I81" i="2"/>
  <c r="H81" i="2"/>
  <c r="G81" i="2"/>
  <c r="J84" i="2"/>
  <c r="G84" i="2"/>
  <c r="I84" i="2"/>
  <c r="H84" i="2"/>
  <c r="H85" i="2"/>
  <c r="I91" i="2"/>
  <c r="H89" i="2"/>
  <c r="G89" i="2"/>
  <c r="I89" i="2"/>
  <c r="J89" i="2"/>
  <c r="G90" i="2"/>
  <c r="I90" i="2"/>
  <c r="J90" i="2"/>
  <c r="H90" i="2"/>
  <c r="H94" i="2"/>
  <c r="J86" i="2"/>
  <c r="J98" i="2"/>
  <c r="P46" i="2"/>
  <c r="L46" i="2"/>
  <c r="H46" i="2"/>
  <c r="Q47" i="2"/>
  <c r="I47" i="2"/>
  <c r="M47" i="2"/>
  <c r="O56" i="2"/>
  <c r="K56" i="2"/>
  <c r="G56" i="2"/>
  <c r="J50" i="2"/>
  <c r="R50" i="2"/>
  <c r="N50" i="2"/>
  <c r="R42" i="2"/>
  <c r="N42" i="2"/>
  <c r="J42" i="2"/>
  <c r="M59" i="2"/>
  <c r="I59" i="2"/>
  <c r="Q59" i="2"/>
  <c r="P58" i="2"/>
  <c r="L58" i="2"/>
  <c r="L48" i="2"/>
  <c r="H48" i="2"/>
  <c r="P48" i="2"/>
  <c r="N48" i="2"/>
  <c r="R48" i="2"/>
  <c r="J48" i="2"/>
  <c r="R51" i="2"/>
  <c r="J51" i="2"/>
  <c r="N51" i="2"/>
  <c r="K43" i="2"/>
  <c r="O43" i="2"/>
  <c r="G43" i="2"/>
  <c r="I49" i="2"/>
  <c r="M49" i="2"/>
  <c r="Q49" i="2"/>
  <c r="I45" i="2"/>
  <c r="Q45" i="2"/>
  <c r="M45" i="2"/>
  <c r="Q58" i="2"/>
  <c r="O54" i="2"/>
  <c r="K54" i="2"/>
  <c r="G54" i="2"/>
  <c r="L53" i="2"/>
  <c r="P53" i="2"/>
  <c r="H53" i="2"/>
  <c r="M54" i="2"/>
  <c r="I54" i="2"/>
  <c r="Q54" i="2"/>
  <c r="G57" i="2"/>
  <c r="K57" i="2"/>
  <c r="O57" i="2"/>
  <c r="R40" i="2"/>
  <c r="N40" i="2"/>
  <c r="J40" i="2"/>
  <c r="M40" i="2"/>
  <c r="I40" i="2"/>
  <c r="Q40" i="2"/>
  <c r="P40" i="2"/>
  <c r="L40" i="2"/>
  <c r="H40" i="2"/>
  <c r="R58" i="2"/>
  <c r="I43" i="2"/>
  <c r="M43" i="2"/>
  <c r="Q43" i="2"/>
  <c r="J49" i="2"/>
  <c r="N49" i="2"/>
  <c r="R49" i="2"/>
  <c r="R53" i="2"/>
  <c r="N53" i="2"/>
  <c r="J53" i="2"/>
  <c r="R55" i="2"/>
  <c r="J55" i="2"/>
  <c r="N55" i="2"/>
  <c r="P56" i="2"/>
  <c r="H56" i="2"/>
  <c r="L56" i="2"/>
  <c r="K48" i="2"/>
  <c r="O48" i="2"/>
  <c r="G48" i="2"/>
  <c r="I48" i="2"/>
  <c r="M48" i="2"/>
  <c r="Q48" i="2"/>
  <c r="O40" i="2"/>
  <c r="G40" i="2"/>
  <c r="K40" i="2"/>
  <c r="P43" i="2"/>
  <c r="H43" i="2"/>
  <c r="L43" i="2"/>
  <c r="P49" i="2"/>
  <c r="H49" i="2"/>
  <c r="L49" i="2"/>
  <c r="J45" i="2"/>
  <c r="N45" i="2"/>
  <c r="R45" i="2"/>
  <c r="Q55" i="2"/>
  <c r="M55" i="2"/>
  <c r="I55" i="2"/>
  <c r="L44" i="2"/>
  <c r="P44" i="2"/>
  <c r="H44" i="2"/>
  <c r="N57" i="2"/>
  <c r="R57" i="2"/>
  <c r="J57" i="2"/>
  <c r="L55" i="2"/>
  <c r="H55" i="2"/>
  <c r="P55" i="2"/>
  <c r="G44" i="2"/>
  <c r="O44" i="2"/>
  <c r="K44" i="2"/>
  <c r="H58" i="2"/>
  <c r="I50" i="2"/>
  <c r="M50" i="2"/>
  <c r="Q50" i="2"/>
  <c r="K41" i="2"/>
  <c r="O41" i="2"/>
  <c r="G41" i="2"/>
  <c r="O58" i="2"/>
  <c r="I58" i="2"/>
  <c r="K58" i="2"/>
  <c r="G49" i="2"/>
  <c r="O49" i="2"/>
  <c r="K49" i="2"/>
  <c r="N58" i="2"/>
  <c r="J58" i="2"/>
  <c r="M58" i="2"/>
  <c r="G58" i="2"/>
  <c r="M52" i="2"/>
  <c r="Q52" i="2"/>
  <c r="I52" i="2"/>
  <c r="J43" i="2"/>
  <c r="R43" i="2"/>
  <c r="N43" i="2"/>
  <c r="H100" i="2" l="1"/>
  <c r="G100" i="2"/>
  <c r="J93" i="2"/>
  <c r="G93" i="2"/>
  <c r="J82" i="2"/>
  <c r="H93" i="2"/>
  <c r="I83" i="2"/>
  <c r="G88" i="2"/>
  <c r="J87" i="2"/>
  <c r="G83" i="2"/>
  <c r="G91" i="2"/>
  <c r="I97" i="2"/>
  <c r="H88" i="2"/>
  <c r="G87" i="2"/>
  <c r="H83" i="2"/>
  <c r="H91" i="2"/>
  <c r="J97" i="2"/>
  <c r="J88" i="2"/>
  <c r="I87" i="2"/>
  <c r="H98" i="2"/>
  <c r="I94" i="2"/>
  <c r="J85" i="2"/>
  <c r="J95" i="2"/>
  <c r="G96" i="2"/>
  <c r="I98" i="2"/>
  <c r="G94" i="2"/>
  <c r="I85" i="2"/>
  <c r="H95" i="2"/>
  <c r="H86" i="2"/>
  <c r="J100" i="2"/>
  <c r="G92" i="2"/>
  <c r="H92" i="2"/>
  <c r="G86" i="2"/>
  <c r="I92" i="2"/>
  <c r="H82" i="2"/>
  <c r="I82" i="2"/>
  <c r="J2" i="2"/>
  <c r="Q2" i="2" s="1"/>
  <c r="N2" i="2"/>
  <c r="S2" i="2" s="1"/>
  <c r="N10" i="2"/>
  <c r="S10" i="2" s="1"/>
  <c r="O10" i="2"/>
  <c r="F19" i="1"/>
  <c r="C11" i="1"/>
  <c r="H2" i="2"/>
  <c r="P2" i="2" s="1"/>
  <c r="I2" i="2"/>
  <c r="N20" i="2"/>
  <c r="S20" i="2" s="1"/>
  <c r="O20" i="2"/>
  <c r="F29" i="1"/>
  <c r="E23" i="1"/>
  <c r="M14" i="2"/>
  <c r="L14" i="2"/>
  <c r="R14" i="2" s="1"/>
  <c r="L10" i="2"/>
  <c r="R10" i="2" s="1"/>
  <c r="M10" i="2"/>
  <c r="E19" i="1"/>
  <c r="D11" i="1"/>
  <c r="K2" i="2"/>
  <c r="O17" i="2"/>
  <c r="F26" i="1"/>
  <c r="N17" i="2"/>
  <c r="S17" i="2" s="1"/>
  <c r="K20" i="2"/>
  <c r="D29" i="1"/>
  <c r="J20" i="2"/>
  <c r="Q20" i="2" s="1"/>
  <c r="I19" i="2"/>
  <c r="C28" i="1"/>
  <c r="H19" i="2"/>
  <c r="P19" i="2" s="1"/>
  <c r="F24" i="1"/>
  <c r="O15" i="2"/>
  <c r="N15" i="2"/>
  <c r="S15" i="2" s="1"/>
  <c r="H10" i="2"/>
  <c r="P10" i="2" s="1"/>
  <c r="I10" i="2"/>
  <c r="C19" i="1"/>
  <c r="C15" i="1"/>
  <c r="I6" i="2"/>
  <c r="H6" i="2"/>
  <c r="P6" i="2" s="1"/>
  <c r="L2" i="2"/>
  <c r="R2" i="2" s="1"/>
  <c r="M2" i="2"/>
  <c r="E11" i="1"/>
  <c r="L16" i="2"/>
  <c r="R16" i="2" s="1"/>
  <c r="E25" i="1"/>
  <c r="M16" i="2"/>
  <c r="K17" i="2"/>
  <c r="D26" i="1"/>
  <c r="J17" i="2"/>
  <c r="Q17" i="2" s="1"/>
  <c r="E29" i="1"/>
  <c r="L20" i="2"/>
  <c r="R20" i="2" s="1"/>
  <c r="M20" i="2"/>
  <c r="O19" i="2"/>
  <c r="N19" i="2"/>
  <c r="S19" i="2" s="1"/>
  <c r="F28" i="1"/>
  <c r="K15" i="2"/>
  <c r="D24" i="1"/>
  <c r="J15" i="2"/>
  <c r="Q15" i="2" s="1"/>
  <c r="K10" i="2"/>
  <c r="J10" i="2"/>
  <c r="Q10" i="2" s="1"/>
  <c r="D19" i="1"/>
  <c r="K6" i="2"/>
  <c r="D15" i="1"/>
  <c r="J6" i="2"/>
  <c r="Q6" i="2" s="1"/>
  <c r="F11" i="1"/>
  <c r="O2" i="2"/>
  <c r="C25" i="1"/>
  <c r="I16" i="2"/>
  <c r="H16" i="2"/>
  <c r="P16" i="2" s="1"/>
  <c r="C12" i="1"/>
  <c r="I3" i="2"/>
  <c r="H3" i="2"/>
  <c r="P3" i="2" s="1"/>
  <c r="M17" i="2"/>
  <c r="E26" i="1"/>
  <c r="L17" i="2"/>
  <c r="R17" i="2" s="1"/>
  <c r="I20" i="2"/>
  <c r="C29" i="1"/>
  <c r="H20" i="2"/>
  <c r="P20" i="2" s="1"/>
  <c r="O7" i="2"/>
  <c r="N7" i="2"/>
  <c r="S7" i="2" s="1"/>
  <c r="F16" i="1"/>
  <c r="K11" i="2"/>
  <c r="J11" i="2"/>
  <c r="Q11" i="2" s="1"/>
  <c r="D20" i="1"/>
  <c r="L12" i="2"/>
  <c r="R12" i="2" s="1"/>
  <c r="M12" i="2"/>
  <c r="E21" i="1"/>
  <c r="J5" i="2"/>
  <c r="Q5" i="2" s="1"/>
  <c r="D14" i="1"/>
  <c r="K5" i="2"/>
  <c r="J18" i="2"/>
  <c r="Q18" i="2" s="1"/>
  <c r="D27" i="1"/>
  <c r="K18" i="2"/>
  <c r="N11" i="2"/>
  <c r="S11" i="2" s="1"/>
  <c r="F20" i="1"/>
  <c r="O11" i="2"/>
  <c r="M5" i="2"/>
  <c r="E14" i="1"/>
  <c r="L5" i="2"/>
  <c r="R5" i="2" s="1"/>
  <c r="E16" i="1"/>
  <c r="L7" i="2"/>
  <c r="R7" i="2" s="1"/>
  <c r="M7" i="2"/>
  <c r="M11" i="2"/>
  <c r="E20" i="1"/>
  <c r="L11" i="2"/>
  <c r="R11" i="2" s="1"/>
  <c r="C14" i="1"/>
  <c r="H5" i="2"/>
  <c r="P5" i="2" s="1"/>
  <c r="I5" i="2"/>
  <c r="M21" i="2"/>
  <c r="E30" i="1"/>
  <c r="L21" i="2"/>
  <c r="R21" i="2" s="1"/>
  <c r="N4" i="2"/>
  <c r="S4" i="2" s="1"/>
  <c r="O4" i="2"/>
  <c r="F13" i="1"/>
  <c r="C20" i="1"/>
  <c r="I11" i="2"/>
  <c r="H11" i="2"/>
  <c r="P11" i="2" s="1"/>
  <c r="O12" i="2"/>
  <c r="N12" i="2"/>
  <c r="S12" i="2" s="1"/>
  <c r="F21" i="1"/>
  <c r="F14" i="1"/>
  <c r="N5" i="2"/>
  <c r="S5" i="2" s="1"/>
  <c r="O5" i="2"/>
  <c r="H18" i="2"/>
  <c r="P18" i="2" s="1"/>
  <c r="C27" i="1"/>
  <c r="I18" i="2"/>
  <c r="L9" i="2"/>
  <c r="R9" i="2" s="1"/>
  <c r="M9" i="2"/>
  <c r="E18" i="1"/>
  <c r="O13" i="2"/>
  <c r="N13" i="2"/>
  <c r="S13" i="2" s="1"/>
  <c r="F22" i="1"/>
  <c r="D17" i="1"/>
  <c r="K8" i="2"/>
  <c r="J8" i="2"/>
  <c r="Q8" i="2" s="1"/>
  <c r="H59" i="2"/>
  <c r="L59" i="2"/>
  <c r="P59" i="2"/>
  <c r="N56" i="2"/>
  <c r="J56" i="2"/>
  <c r="R56" i="2"/>
  <c r="O45" i="2"/>
  <c r="K45" i="2"/>
  <c r="G45" i="2"/>
  <c r="G59" i="2"/>
  <c r="K59" i="2"/>
  <c r="O59" i="2"/>
  <c r="N47" i="2"/>
  <c r="R47" i="2"/>
  <c r="J47" i="2"/>
  <c r="I51" i="2"/>
  <c r="Q51" i="2"/>
  <c r="M51" i="2"/>
  <c r="I46" i="2"/>
  <c r="M46" i="2"/>
  <c r="Q46" i="2"/>
  <c r="J52" i="2"/>
  <c r="N52" i="2"/>
  <c r="R52" i="2"/>
  <c r="H41" i="2"/>
  <c r="L41" i="2"/>
  <c r="P41" i="2"/>
  <c r="M53" i="2"/>
  <c r="I53" i="2"/>
  <c r="Q53" i="2"/>
  <c r="O52" i="2"/>
  <c r="G52" i="2"/>
  <c r="K52" i="2"/>
  <c r="H57" i="2"/>
  <c r="P57" i="2"/>
  <c r="L57" i="2"/>
  <c r="I41" i="2"/>
  <c r="M41" i="2"/>
  <c r="Q41" i="2"/>
  <c r="H52" i="2"/>
  <c r="P52" i="2"/>
  <c r="L52" i="2"/>
  <c r="N44" i="2"/>
  <c r="J44" i="2"/>
  <c r="R44" i="2"/>
  <c r="I42" i="2"/>
  <c r="M42" i="2"/>
  <c r="Q42" i="2"/>
  <c r="J54" i="2"/>
  <c r="N54" i="2"/>
  <c r="R54" i="2"/>
  <c r="O47" i="2"/>
  <c r="G47" i="2"/>
  <c r="K47" i="2"/>
  <c r="K55" i="2"/>
  <c r="O55" i="2"/>
  <c r="G55" i="2"/>
  <c r="R46" i="2"/>
  <c r="N46" i="2"/>
  <c r="J46" i="2"/>
  <c r="M57" i="2"/>
  <c r="Q57" i="2"/>
  <c r="I57" i="2"/>
  <c r="G42" i="2"/>
  <c r="K42" i="2"/>
  <c r="O42" i="2"/>
  <c r="G53" i="2"/>
  <c r="K53" i="2"/>
  <c r="O53" i="2"/>
  <c r="G50" i="2"/>
  <c r="K50" i="2"/>
  <c r="O50" i="2"/>
  <c r="I44" i="2"/>
  <c r="M44" i="2"/>
  <c r="Q44" i="2"/>
  <c r="M56" i="2"/>
  <c r="I56" i="2"/>
  <c r="Q56" i="2"/>
  <c r="L54" i="2"/>
  <c r="H54" i="2"/>
  <c r="P54" i="2"/>
  <c r="L47" i="2"/>
  <c r="H47" i="2"/>
  <c r="P47" i="2"/>
  <c r="L45" i="2"/>
  <c r="P45" i="2"/>
  <c r="H45" i="2"/>
  <c r="G46" i="2"/>
  <c r="K46" i="2"/>
  <c r="O46" i="2"/>
  <c r="N59" i="2"/>
  <c r="R59" i="2"/>
  <c r="J59" i="2"/>
  <c r="P42" i="2"/>
  <c r="H42" i="2"/>
  <c r="L42" i="2"/>
  <c r="O51" i="2"/>
  <c r="K51" i="2"/>
  <c r="G51" i="2"/>
  <c r="L50" i="2"/>
  <c r="H50" i="2"/>
  <c r="P50" i="2"/>
  <c r="L51" i="2"/>
  <c r="H51" i="2"/>
  <c r="P51" i="2"/>
  <c r="J41" i="2"/>
  <c r="R41" i="2"/>
  <c r="N41" i="2"/>
  <c r="O3" i="2" l="1"/>
  <c r="F12" i="1"/>
  <c r="N12" i="1" s="1"/>
  <c r="N3" i="2"/>
  <c r="S3" i="2" s="1"/>
  <c r="D22" i="1"/>
  <c r="J13" i="2"/>
  <c r="Q13" i="2" s="1"/>
  <c r="K13" i="2"/>
  <c r="D21" i="1"/>
  <c r="H21" i="1" s="1"/>
  <c r="J12" i="2"/>
  <c r="Q12" i="2" s="1"/>
  <c r="K12" i="2"/>
  <c r="H13" i="2"/>
  <c r="P13" i="2" s="1"/>
  <c r="I13" i="2"/>
  <c r="C22" i="1"/>
  <c r="K4" i="2"/>
  <c r="J4" i="2"/>
  <c r="Q4" i="2" s="1"/>
  <c r="D13" i="1"/>
  <c r="H13" i="1" s="1"/>
  <c r="N21" i="2"/>
  <c r="S21" i="2" s="1"/>
  <c r="F30" i="1"/>
  <c r="O21" i="2"/>
  <c r="C17" i="1"/>
  <c r="I8" i="2"/>
  <c r="H8" i="2"/>
  <c r="P8" i="2" s="1"/>
  <c r="J7" i="2"/>
  <c r="Q7" i="2" s="1"/>
  <c r="D16" i="1"/>
  <c r="H16" i="1" s="1"/>
  <c r="K7" i="2"/>
  <c r="D18" i="1"/>
  <c r="J9" i="2"/>
  <c r="Q9" i="2" s="1"/>
  <c r="K9" i="2"/>
  <c r="D25" i="1"/>
  <c r="H25" i="1" s="1"/>
  <c r="J16" i="2"/>
  <c r="Q16" i="2" s="1"/>
  <c r="K16" i="2"/>
  <c r="E27" i="1"/>
  <c r="L18" i="2"/>
  <c r="R18" i="2" s="1"/>
  <c r="M18" i="2"/>
  <c r="E15" i="1"/>
  <c r="M6" i="2"/>
  <c r="L6" i="2"/>
  <c r="R6" i="2" s="1"/>
  <c r="C21" i="1"/>
  <c r="G21" i="1" s="1"/>
  <c r="I12" i="2"/>
  <c r="H12" i="2"/>
  <c r="P12" i="2" s="1"/>
  <c r="C24" i="1"/>
  <c r="K24" i="1" s="1"/>
  <c r="I15" i="2"/>
  <c r="H15" i="2"/>
  <c r="P15" i="2" s="1"/>
  <c r="C13" i="1"/>
  <c r="I4" i="2"/>
  <c r="H4" i="2"/>
  <c r="P4" i="2" s="1"/>
  <c r="L19" i="2"/>
  <c r="R19" i="2" s="1"/>
  <c r="E28" i="1"/>
  <c r="I28" i="1" s="1"/>
  <c r="M19" i="2"/>
  <c r="N8" i="2"/>
  <c r="S8" i="2" s="1"/>
  <c r="O8" i="2"/>
  <c r="F17" i="1"/>
  <c r="H17" i="2"/>
  <c r="P17" i="2" s="1"/>
  <c r="C26" i="1"/>
  <c r="G26" i="1" s="1"/>
  <c r="I17" i="2"/>
  <c r="I9" i="2"/>
  <c r="H9" i="2"/>
  <c r="P9" i="2" s="1"/>
  <c r="C18" i="1"/>
  <c r="F25" i="1"/>
  <c r="O16" i="2"/>
  <c r="N16" i="2"/>
  <c r="S16" i="2" s="1"/>
  <c r="E13" i="1"/>
  <c r="M13" i="1" s="1"/>
  <c r="M4" i="2"/>
  <c r="L4" i="2"/>
  <c r="R4" i="2" s="1"/>
  <c r="F15" i="1"/>
  <c r="J15" i="1" s="1"/>
  <c r="N6" i="2"/>
  <c r="S6" i="2" s="1"/>
  <c r="O6" i="2"/>
  <c r="K14" i="2"/>
  <c r="D23" i="1"/>
  <c r="H23" i="1" s="1"/>
  <c r="J14" i="2"/>
  <c r="Q14" i="2" s="1"/>
  <c r="E12" i="1"/>
  <c r="I12" i="1" s="1"/>
  <c r="M3" i="2"/>
  <c r="L3" i="2"/>
  <c r="R3" i="2" s="1"/>
  <c r="K19" i="2"/>
  <c r="D28" i="1"/>
  <c r="J19" i="2"/>
  <c r="Q19" i="2" s="1"/>
  <c r="I14" i="2"/>
  <c r="H14" i="2"/>
  <c r="P14" i="2" s="1"/>
  <c r="C23" i="1"/>
  <c r="G23" i="1" s="1"/>
  <c r="E24" i="1"/>
  <c r="M24" i="1" s="1"/>
  <c r="L15" i="2"/>
  <c r="R15" i="2" s="1"/>
  <c r="M15" i="2"/>
  <c r="D12" i="1"/>
  <c r="K3" i="2"/>
  <c r="B31" i="2"/>
  <c r="J3" i="2"/>
  <c r="Q3" i="2" s="1"/>
  <c r="H1" i="2" s="1"/>
  <c r="F23" i="1"/>
  <c r="N23" i="1" s="1"/>
  <c r="O14" i="2"/>
  <c r="N14" i="2"/>
  <c r="S14" i="2" s="1"/>
  <c r="E17" i="1"/>
  <c r="M8" i="2"/>
  <c r="L8" i="2"/>
  <c r="R8" i="2" s="1"/>
  <c r="M13" i="2"/>
  <c r="E22" i="1"/>
  <c r="I22" i="1" s="1"/>
  <c r="L13" i="2"/>
  <c r="R13" i="2" s="1"/>
  <c r="N9" i="2"/>
  <c r="S9" i="2" s="1"/>
  <c r="F18" i="1"/>
  <c r="N18" i="1" s="1"/>
  <c r="O9" i="2"/>
  <c r="C30" i="1"/>
  <c r="I21" i="2"/>
  <c r="H21" i="2"/>
  <c r="P21" i="2" s="1"/>
  <c r="H7" i="2"/>
  <c r="P7" i="2" s="1"/>
  <c r="I7" i="2"/>
  <c r="C16" i="1"/>
  <c r="G16" i="1" s="1"/>
  <c r="F27" i="1"/>
  <c r="N27" i="1" s="1"/>
  <c r="N18" i="2"/>
  <c r="S18" i="2" s="1"/>
  <c r="O18" i="2"/>
  <c r="D30" i="1"/>
  <c r="L30" i="1" s="1"/>
  <c r="K21" i="2"/>
  <c r="J21" i="2"/>
  <c r="Q21" i="2" s="1"/>
  <c r="G27" i="1"/>
  <c r="K27" i="1"/>
  <c r="J11" i="1"/>
  <c r="N11" i="1"/>
  <c r="H29" i="1"/>
  <c r="L29" i="1"/>
  <c r="I15" i="1"/>
  <c r="M15" i="1"/>
  <c r="J19" i="1"/>
  <c r="N19" i="1"/>
  <c r="M17" i="1"/>
  <c r="I17" i="1"/>
  <c r="K30" i="1"/>
  <c r="G30" i="1"/>
  <c r="J14" i="1"/>
  <c r="N14" i="1"/>
  <c r="L21" i="1"/>
  <c r="M27" i="1"/>
  <c r="I27" i="1"/>
  <c r="G29" i="1"/>
  <c r="K29" i="1"/>
  <c r="H11" i="1"/>
  <c r="L11" i="1"/>
  <c r="G11" i="1"/>
  <c r="K11" i="1"/>
  <c r="I24" i="1"/>
  <c r="H17" i="1"/>
  <c r="L17" i="1"/>
  <c r="N21" i="1"/>
  <c r="J21" i="1"/>
  <c r="J20" i="1"/>
  <c r="N20" i="1"/>
  <c r="H14" i="1"/>
  <c r="L14" i="1"/>
  <c r="H19" i="1"/>
  <c r="L19" i="1"/>
  <c r="L23" i="1"/>
  <c r="H26" i="1"/>
  <c r="L26" i="1"/>
  <c r="M11" i="1"/>
  <c r="I11" i="1"/>
  <c r="G28" i="1"/>
  <c r="K28" i="1"/>
  <c r="J29" i="1"/>
  <c r="N29" i="1"/>
  <c r="H12" i="1"/>
  <c r="L12" i="1"/>
  <c r="N22" i="1"/>
  <c r="J22" i="1"/>
  <c r="I16" i="1"/>
  <c r="M16" i="1"/>
  <c r="J17" i="1"/>
  <c r="N17" i="1"/>
  <c r="I13" i="1"/>
  <c r="G25" i="1"/>
  <c r="K25" i="1"/>
  <c r="J28" i="1"/>
  <c r="N28" i="1"/>
  <c r="J27" i="1"/>
  <c r="I20" i="1"/>
  <c r="M20" i="1"/>
  <c r="H18" i="1"/>
  <c r="L18" i="1"/>
  <c r="I14" i="1"/>
  <c r="M14" i="1"/>
  <c r="H30" i="1"/>
  <c r="I21" i="1"/>
  <c r="M21" i="1"/>
  <c r="I26" i="1"/>
  <c r="M26" i="1"/>
  <c r="N25" i="1"/>
  <c r="J25" i="1"/>
  <c r="J23" i="1"/>
  <c r="G17" i="1"/>
  <c r="K17" i="1"/>
  <c r="N16" i="1"/>
  <c r="J16" i="1"/>
  <c r="J12" i="1"/>
  <c r="J24" i="1"/>
  <c r="N24" i="1"/>
  <c r="I18" i="1"/>
  <c r="M18" i="1"/>
  <c r="G13" i="1"/>
  <c r="K13" i="1"/>
  <c r="H24" i="1"/>
  <c r="L24" i="1"/>
  <c r="I19" i="1"/>
  <c r="M19" i="1"/>
  <c r="I23" i="1"/>
  <c r="M23" i="1"/>
  <c r="K26" i="1"/>
  <c r="G20" i="1"/>
  <c r="K20" i="1"/>
  <c r="G14" i="1"/>
  <c r="K14" i="1"/>
  <c r="L13" i="1"/>
  <c r="G22" i="1"/>
  <c r="K22" i="1"/>
  <c r="N30" i="1"/>
  <c r="J30" i="1"/>
  <c r="H22" i="1"/>
  <c r="L22" i="1"/>
  <c r="H27" i="1"/>
  <c r="L27" i="1"/>
  <c r="H20" i="1"/>
  <c r="L20" i="1"/>
  <c r="G15" i="1"/>
  <c r="K15" i="1"/>
  <c r="M28" i="1"/>
  <c r="H28" i="1"/>
  <c r="L28" i="1"/>
  <c r="N13" i="1"/>
  <c r="J13" i="1"/>
  <c r="I30" i="1"/>
  <c r="M30" i="1"/>
  <c r="G18" i="1"/>
  <c r="K18" i="1"/>
  <c r="K12" i="1"/>
  <c r="G12" i="1"/>
  <c r="H15" i="1"/>
  <c r="L15" i="1"/>
  <c r="I29" i="1"/>
  <c r="M29" i="1"/>
  <c r="M25" i="1"/>
  <c r="I25" i="1"/>
  <c r="G19" i="1"/>
  <c r="K19" i="1"/>
  <c r="J26" i="1"/>
  <c r="N26" i="1"/>
  <c r="L16" i="1" l="1"/>
  <c r="K21" i="1"/>
  <c r="K23" i="1"/>
  <c r="K16" i="1"/>
  <c r="N15" i="1"/>
  <c r="G24" i="1"/>
  <c r="J18" i="1"/>
  <c r="L25" i="1"/>
  <c r="M12" i="1"/>
  <c r="M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<sst xmlns="http://schemas.openxmlformats.org/spreadsheetml/2006/main" count="101" uniqueCount="75">
  <si>
    <t>Securities</t>
  </si>
  <si>
    <t>5 Year</t>
  </si>
  <si>
    <t>10 Year</t>
  </si>
  <si>
    <t>30 Year</t>
  </si>
  <si>
    <t>AAA</t>
  </si>
  <si>
    <t>AA+</t>
  </si>
  <si>
    <t>AA</t>
  </si>
  <si>
    <t>AA-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</si>
  <si>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</si>
  <si>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</si>
  <si>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</si>
  <si>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</si>
  <si>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</si>
  <si>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</si>
  <si>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</si>
  <si>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</si>
  <si>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</si>
  <si>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</si>
  <si>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</si>
  <si>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</si>
  <si>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CCC+</t>
  </si>
  <si>
    <t>CCC</t>
  </si>
  <si>
    <t>CCC-</t>
  </si>
  <si>
    <t>CC</t>
  </si>
  <si>
    <t>C</t>
  </si>
  <si>
    <t>SD</t>
  </si>
  <si>
    <t>D</t>
  </si>
  <si>
    <t>NR</t>
  </si>
  <si>
    <t>#N/A Requesting Data...</t>
  </si>
  <si>
    <t>5Yr Relative Value</t>
  </si>
  <si>
    <t>10Yr Relative Value</t>
  </si>
  <si>
    <t>30Yr Relative Value</t>
  </si>
  <si>
    <t>S&amp;P Ratings</t>
  </si>
  <si>
    <t>5 Yr Bond</t>
  </si>
  <si>
    <t>10 Yr Bond</t>
  </si>
  <si>
    <t>3 Yr Bond</t>
  </si>
  <si>
    <t>3 Year</t>
  </si>
  <si>
    <t>3Yr Relative Value</t>
  </si>
  <si>
    <t>Benchmark Bonds</t>
  </si>
  <si>
    <t>Z SPREAD</t>
  </si>
  <si>
    <t>Z_SPRD_ASK</t>
  </si>
  <si>
    <t>OAS</t>
  </si>
  <si>
    <t>YAS_OAS_SPRD</t>
  </si>
  <si>
    <t>ASW</t>
  </si>
  <si>
    <t>YAS_ASW_SPREAD</t>
  </si>
  <si>
    <t>G SPREAD</t>
  </si>
  <si>
    <t>YAS_ISPREAD_TO_GOVT</t>
  </si>
  <si>
    <t>Yes</t>
  </si>
  <si>
    <t>No</t>
  </si>
  <si>
    <t xml:space="preserve">Measurement Criteria: </t>
  </si>
  <si>
    <t xml:space="preserve">Pricing Source: </t>
  </si>
  <si>
    <t>BVAL</t>
  </si>
  <si>
    <t>SR</t>
  </si>
  <si>
    <t>AXP US</t>
  </si>
  <si>
    <t>T US</t>
  </si>
  <si>
    <t>BAC US</t>
  </si>
  <si>
    <t>BA US</t>
  </si>
  <si>
    <t>CAT US</t>
  </si>
  <si>
    <t>CVX US</t>
  </si>
  <si>
    <t>CSCO US</t>
  </si>
  <si>
    <t>KO US</t>
  </si>
  <si>
    <t>DD US</t>
  </si>
  <si>
    <t>XOM US</t>
  </si>
  <si>
    <t>GE US</t>
  </si>
  <si>
    <t>HPQ US</t>
  </si>
  <si>
    <t>HD US</t>
  </si>
  <si>
    <t>INTC US</t>
  </si>
  <si>
    <t>IBM US</t>
  </si>
  <si>
    <t>JNJ US</t>
  </si>
  <si>
    <t>JPM US</t>
  </si>
  <si>
    <t>MCD US</t>
  </si>
  <si>
    <t xml:space="preserve"> AAA AA+ AA AA- A+ A A- BBB+</t>
  </si>
  <si>
    <r>
      <t xml:space="preserve">This template allows you to compare spread and credit ratings for the generic bonds of a group of issuers. </t>
    </r>
    <r>
      <rPr>
        <b/>
        <sz val="10"/>
        <rFont val="Arial"/>
        <family val="2"/>
      </rPr>
      <t xml:space="preserve">Note: Bloomberg assigns generic benchmark bonds based on a proprietary algorithm that takes into account factors such as issue size, years to maturity, original terms of issue and TRACE volume. Not all issuers will have benchmark bonds. </t>
    </r>
  </si>
  <si>
    <t>30 YR BOND</t>
  </si>
  <si>
    <t>3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</si>
</sst>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b/>
      <sz val="11"/>
      <color rgb="FFFFFFFF"/>
      <name val="Calibri"/>
      <family val="3"/>
      <charset val="128"/>
      <scheme val="minor"/>
    </font>
    <font>
      <sz val="11"/>
      <color rgb="FF000000"/>
      <name val="Calibri"/>
      <family val="3"/>
      <charset val="128"/>
      <scheme val="minor"/>
    </font>
    <font>
      <sz val="10"/>
      <color rgb="FF000000"/>
      <name val="Arial"/>
      <family val="2"/>
    </font>
    <font>
      <sz val="26"/>
      <color theme="1" tint="0.499984740745262"/>
      <name val="Calibri"/>
      <family val="3"/>
      <charset val="128"/>
      <scheme val="minor"/>
    </font>
    <font>
      <sz val="10"/>
      <color theme="0" tint="-0.499984740745262"/>
      <name val="Arial"/>
      <family val="2"/>
    </font>
    <font>
      <b/>
      <sz val="20"/>
      <name val="Calibri"/>
      <family val="3"/>
      <charset val="128"/>
      <scheme val="minor"/>
    </font>
    <font>
      <b/>
      <sz val="14"/>
      <color rgb="FFFFFFFF"/>
      <name val="Calibri"/>
      <family val="3"/>
      <charset val="128"/>
      <scheme val="minor"/>
    </font>
    <font>
      <b/>
      <sz val="14"/>
      <color theme="0"/>
      <name val="Calibri"/>
      <family val="3"/>
      <charset val="128"/>
      <scheme val="minor"/>
    </font>
    <font>
      <sz val="32"/>
      <color theme="1" tint="0.499984740745262"/>
      <name val="Calibri"/>
      <family val="3"/>
      <charset val="128"/>
      <scheme val="minor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gradientFill>
        <stop position="0">
          <color rgb="FFFABF8F"/>
        </stop>
        <stop position="0.5">
          <color rgb="FFFCD5B4"/>
        </stop>
        <stop position="1">
          <color rgb="FFFABF8F"/>
        </stop>
      </gradientFill>
    </fill>
    <fill>
      <patternFill patternType="solid">
        <fgColor theme="4"/>
        <bgColor indexed="64"/>
      </patternFill>
    </fill>
    <fill>
      <patternFill patternType="solid">
        <fgColor rgb="FFFABF8F"/>
        <bgColor indexed="26"/>
      </patternFill>
    </fill>
    <fill>
      <gradientFill type="path">
        <stop position="0">
          <color rgb="FFB8CCE4"/>
        </stop>
        <stop position="1">
          <color rgb="FFFFFFFF"/>
        </stop>
      </gradientFill>
    </fill>
    <fill>
      <gradientFill degree="27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B8CCE4"/>
        </stop>
        <stop position="1">
          <color rgb="FFFFFFFF"/>
        </stop>
      </gradientFill>
    </fill>
    <fill>
      <gradientFill type="path" left="1" right="1" top="1" bottom="1">
        <stop position="0">
          <color rgb="FFFFFFFF"/>
        </stop>
        <stop position="1">
          <color rgb="FFB8CCE4"/>
        </stop>
      </gradientFill>
    </fill>
    <fill>
      <gradientFill type="path" top="1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B8CCE4"/>
        </stop>
        <stop position="1">
          <color rgb="FFFFFFFF"/>
        </stop>
      </gradientFill>
    </fill>
    <fill>
      <gradientFill type="path" left="1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FFFFFF"/>
        </stop>
        <stop position="1">
          <color rgb="FFB8CCE4"/>
        </stop>
      </gradientFill>
    </fill>
  </fills>
  <borders count="25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2" fillId="0" borderId="0" xfId="0" quotePrefix="1" applyFont="1"/>
    <xf numFmtId="0" fontId="2" fillId="0" borderId="0" xfId="0" applyFont="1"/>
    <xf numFmtId="0" fontId="0" fillId="2" borderId="0" xfId="0" applyFill="1"/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4" fontId="8" fillId="4" borderId="3" xfId="0" applyNumberFormat="1" applyFont="1" applyFill="1" applyBorder="1" applyAlignment="1">
      <alignment horizontal="center" vertical="center"/>
    </xf>
    <xf numFmtId="4" fontId="7" fillId="4" borderId="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4" fontId="8" fillId="5" borderId="3" xfId="0" applyNumberFormat="1" applyFont="1" applyFill="1" applyBorder="1" applyAlignment="1">
      <alignment horizontal="center" vertical="center"/>
    </xf>
    <xf numFmtId="4" fontId="7" fillId="5" borderId="3" xfId="0" applyNumberFormat="1" applyFont="1" applyFill="1" applyBorder="1" applyAlignment="1">
      <alignment horizontal="center" vertical="center"/>
    </xf>
    <xf numFmtId="0" fontId="5" fillId="0" borderId="4" xfId="0" applyFont="1" applyBorder="1"/>
    <xf numFmtId="0" fontId="5" fillId="0" borderId="5" xfId="0" applyFont="1" applyBorder="1" applyAlignment="1">
      <alignment horizontal="center"/>
    </xf>
    <xf numFmtId="0" fontId="9" fillId="0" borderId="6" xfId="0" applyFont="1" applyBorder="1" applyAlignment="1">
      <alignment horizontal="left" vertical="top" indent="3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5" xfId="0" applyFont="1" applyBorder="1"/>
    <xf numFmtId="0" fontId="5" fillId="0" borderId="7" xfId="0" applyFont="1" applyBorder="1"/>
    <xf numFmtId="0" fontId="7" fillId="4" borderId="3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center"/>
    </xf>
    <xf numFmtId="0" fontId="0" fillId="0" borderId="5" xfId="0" applyBorder="1"/>
    <xf numFmtId="0" fontId="10" fillId="0" borderId="6" xfId="0" applyFont="1" applyBorder="1"/>
    <xf numFmtId="0" fontId="5" fillId="0" borderId="6" xfId="0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5" fillId="0" borderId="6" xfId="0" applyFont="1" applyBorder="1"/>
    <xf numFmtId="0" fontId="4" fillId="0" borderId="0" xfId="0" applyFont="1"/>
    <xf numFmtId="0" fontId="6" fillId="3" borderId="9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left" vertical="top" indent="1"/>
    </xf>
    <xf numFmtId="4" fontId="7" fillId="4" borderId="12" xfId="0" applyNumberFormat="1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left" vertical="top" indent="1"/>
    </xf>
    <xf numFmtId="4" fontId="7" fillId="5" borderId="12" xfId="0" applyNumberFormat="1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left" vertical="top" indent="1"/>
    </xf>
    <xf numFmtId="0" fontId="7" fillId="5" borderId="14" xfId="0" applyFont="1" applyFill="1" applyBorder="1" applyAlignment="1">
      <alignment horizontal="left" vertical="center"/>
    </xf>
    <xf numFmtId="0" fontId="7" fillId="5" borderId="14" xfId="0" applyFont="1" applyFill="1" applyBorder="1" applyAlignment="1">
      <alignment horizontal="center" vertical="center"/>
    </xf>
    <xf numFmtId="4" fontId="8" fillId="5" borderId="14" xfId="0" applyNumberFormat="1" applyFont="1" applyFill="1" applyBorder="1" applyAlignment="1">
      <alignment horizontal="center" vertical="center"/>
    </xf>
    <xf numFmtId="4" fontId="7" fillId="5" borderId="14" xfId="0" applyNumberFormat="1" applyFont="1" applyFill="1" applyBorder="1" applyAlignment="1">
      <alignment horizontal="center" vertical="center"/>
    </xf>
    <xf numFmtId="4" fontId="7" fillId="5" borderId="15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left" vertical="top" indent="3"/>
    </xf>
    <xf numFmtId="0" fontId="11" fillId="0" borderId="9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2" fillId="3" borderId="18" xfId="0" applyFont="1" applyFill="1" applyBorder="1" applyAlignment="1">
      <alignment horizontal="right" vertical="center"/>
    </xf>
    <xf numFmtId="0" fontId="13" fillId="8" borderId="19" xfId="0" applyFont="1" applyFill="1" applyBorder="1" applyAlignment="1">
      <alignment horizontal="right" vertical="center"/>
    </xf>
    <xf numFmtId="0" fontId="12" fillId="3" borderId="19" xfId="0" applyFont="1" applyFill="1" applyBorder="1" applyAlignment="1">
      <alignment horizontal="right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0" fillId="10" borderId="0" xfId="0" applyFill="1"/>
    <xf numFmtId="0" fontId="0" fillId="0" borderId="0" xfId="0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1" borderId="0" xfId="0" applyFill="1" applyAlignment="1">
      <alignment wrapText="1"/>
    </xf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DCE6F1"/>
      <rgbColor rgb="00BFBFBF"/>
      <rgbColor rgb="00E11F1F"/>
      <rgbColor rgb="0000FFFF"/>
      <rgbColor rgb="00800000"/>
      <rgbColor rgb="00808080"/>
      <rgbColor rgb="004F81BD"/>
      <rgbColor rgb="00F2F2F2"/>
      <rgbColor rgb="00FABF8F"/>
      <rgbColor rgb="00C5D9F1"/>
      <rgbColor rgb="00EEEEEE"/>
      <rgbColor rgb="007D7D7D"/>
      <rgbColor rgb="009999FF"/>
      <rgbColor rgb="00993366"/>
      <rgbColor rgb="00FCD5B4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B050"/>
      <rgbColor rgb="00CCFFFF"/>
      <rgbColor rgb="00D4E1D1"/>
      <rgbColor rgb="00808080"/>
      <rgbColor rgb="00DBE5F1"/>
      <rgbColor rgb="00FF99CC"/>
      <rgbColor rgb="00FFDAFF"/>
      <rgbColor rgb="00FAB882"/>
      <rgbColor rgb="00B8CCE4"/>
      <rgbColor rgb="008DB4E2"/>
      <rgbColor rgb="00D9D9D9"/>
      <rgbColor rgb="00FFCC00"/>
      <rgbColor rgb="00E46D0A"/>
      <rgbColor rgb="00FF6600"/>
      <rgbColor rgb="00FCD5B4"/>
      <rgbColor rgb="00E0E0E0"/>
      <rgbColor rgb="001F497D"/>
      <rgbColor rgb="00649955"/>
      <rgbColor rgb="00000000"/>
      <rgbColor rgb="00FFFFFF"/>
      <rgbColor rgb="00993300"/>
      <rgbColor rgb="00E26B0A"/>
      <rgbColor rgb="00FDE9D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Data...2510232754</v>
        <stp/>
        <stp>BDP|17285947862136346422</stp>
        <tr r="G17" s="2"/>
      </tp>
      <tp t="s">
        <v>#N/A Requesting Data...3924221643</v>
        <stp/>
        <stp>BDP|18250273379904948218</stp>
        <tr r="E56" s="2"/>
      </tp>
      <tp t="s">
        <v>#N/A Requesting Data...3357605134</v>
        <stp/>
        <stp>BDP|16974495450745287955</stp>
        <tr r="E43" s="2"/>
      </tp>
      <tp t="s">
        <v>#N/A Requesting Data...1239890254</v>
        <stp/>
        <stp>BDP|10641729559628448375</stp>
        <tr r="E49" s="2"/>
      </tp>
      <tp t="s">
        <v>#N/A Requesting Data...4285611894</v>
        <stp/>
        <stp>BDP|17035732289203614449</stp>
        <tr r="E58" s="2"/>
        <tr r="E59" s="2"/>
      </tp>
      <tp t="s">
        <v>#N/A Requesting Data...3417308483</v>
        <stp/>
        <stp>BDP|18400768329668560903</stp>
        <tr r="E45" s="2"/>
      </tp>
      <tp t="s">
        <v>#N/A Requesting Data...3832679850</v>
        <stp/>
        <stp>BDP|15211996901569852737</stp>
        <tr r="E40" s="2"/>
      </tp>
      <tp t="s">
        <v>#N/A Requesting Data...2365551153</v>
        <stp/>
        <stp>BDP|14810275144410986028</stp>
        <tr r="E50" s="2"/>
      </tp>
      <tp t="s">
        <v>#N/A Requesting Data...4104078881</v>
        <stp/>
        <stp>BDP|13617417540755123456</stp>
        <tr r="G18" s="2"/>
      </tp>
      <tp t="s">
        <v>#N/A Requesting Data...3005505633</v>
        <stp/>
        <stp>BDP|16082034051269619993</stp>
        <tr r="G4" s="2"/>
      </tp>
      <tp t="s">
        <v>#N/A Requesting Data...3899641234</v>
        <stp/>
        <stp>BDP|11079974892740057250</stp>
        <tr r="G15" s="2"/>
      </tp>
      <tp t="s">
        <v>#N/A Requesting Data...3351024341</v>
        <stp/>
        <stp>BDP|13526632702156392379</stp>
        <tr r="G10" s="2"/>
      </tp>
      <tp t="s">
        <v>#N/A Requesting Data...1232034760</v>
        <stp/>
        <stp>BDP|10523757598388914629</stp>
        <tr r="E52" s="2"/>
      </tp>
      <tp t="s">
        <v>#N/A Requesting Data...2548364503</v>
        <stp/>
        <stp>BDP|14563794355463951419</stp>
        <tr r="E53" s="2"/>
      </tp>
      <tp t="s">
        <v>#N/A Requesting Data...1407860639</v>
        <stp/>
        <stp>BDP|17107521128547311102</stp>
        <tr r="E57" s="2"/>
      </tp>
      <tp t="s">
        <v>#N/A Requesting Data...3458364989</v>
        <stp/>
        <stp>BDP|14876176012894210653</stp>
        <tr r="E54" s="2"/>
      </tp>
      <tp t="s">
        <v>#N/A Requesting Data...2343761409</v>
        <stp/>
        <stp>BDP|10133308619440804580</stp>
        <tr r="G16" s="2"/>
      </tp>
    </main>
    <main first="bofaddin.rtdserver">
      <tp t="s">
        <v>#N/A Requesting Data...1362812230</v>
        <stp/>
        <stp>BDP|8147190692074244952</stp>
        <tr r="G5" s="2"/>
      </tp>
      <tp t="s">
        <v>#N/A Requesting Data...1188600858</v>
        <stp/>
        <stp>BDP|3896884621565480216</stp>
        <tr r="G2" s="2"/>
      </tp>
      <tp t="s">
        <v>#N/A Requesting Data...3864131397</v>
        <stp/>
        <stp>BDP|7108616680583229509</stp>
        <tr r="E48" s="2"/>
      </tp>
      <tp t="s">
        <v>#N/A Requesting Data...3706517407</v>
        <stp/>
        <stp>BDP|2292858729988190969</stp>
        <tr r="G8" s="2"/>
      </tp>
      <tp t="s">
        <v>#N/A Requesting Data...2575937222</v>
        <stp/>
        <stp>BDP|6400997554270179364</stp>
        <tr r="E44" s="2"/>
      </tp>
      <tp t="s">
        <v>#N/A Requesting Data...2997705332</v>
        <stp/>
        <stp>BDP|9388813833262776954</stp>
        <tr r="G11" s="2"/>
      </tp>
      <tp t="s">
        <v>#N/A Requesting Data...3098042027</v>
        <stp/>
        <stp>BDP|9069703176365929685</stp>
        <tr r="G12" s="2"/>
      </tp>
      <tp t="s">
        <v>#N/A Requesting Data...1447357650</v>
        <stp/>
        <stp>BDP|9099039036625054517</stp>
        <tr r="G9" s="2"/>
      </tp>
      <tp t="s">
        <v>#N/A Requesting Data...2453736520</v>
        <stp/>
        <stp>BDP|3062970634837364556</stp>
        <tr r="G6" s="2"/>
      </tp>
      <tp t="s">
        <v>#N/A Requesting Data...1874797852</v>
        <stp/>
        <stp>BDP|8708402101439679015</stp>
        <tr r="G21" s="2"/>
        <tr r="G20" s="2"/>
      </tp>
      <tp t="s">
        <v>#N/A Requesting Data...3280775077</v>
        <stp/>
        <stp>BDP|2413776152456845129</stp>
        <tr r="E41" s="2"/>
      </tp>
      <tp t="s">
        <v>#N/A Requesting Data...3124942542</v>
        <stp/>
        <stp>BDP|1727216058187558630</stp>
        <tr r="E46" s="2"/>
      </tp>
      <tp t="s">
        <v>#N/A Requesting Data...2202623077</v>
        <stp/>
        <stp>BDP|5120378001947375671</stp>
        <tr r="G3" s="2"/>
      </tp>
      <tp t="s">
        <v>#N/A Requesting Data...3413754521</v>
        <stp/>
        <stp>BDP|9278567206464840815</stp>
        <tr r="E51" s="2"/>
      </tp>
      <tp t="s">
        <v>#N/A Requesting Data...3890556758</v>
        <stp/>
        <stp>BDP|8248348796345937742</stp>
        <tr r="G13" s="2"/>
      </tp>
      <tp t="s">
        <v>#N/A Requesting Data...2585583758</v>
        <stp/>
        <stp>BDP|1777938155178798428</stp>
        <tr r="E55" s="2"/>
      </tp>
      <tp t="s">
        <v>#N/A Requesting Data...1681624731</v>
        <stp/>
        <stp>BDP|5866081236111145505</stp>
        <tr r="G19" s="2"/>
      </tp>
      <tp t="s">
        <v>#N/A Requesting Data...3195458460</v>
        <stp/>
        <stp>BDP|16560607850744762</stp>
        <tr r="G14" s="2"/>
      </tp>
      <tp t="s">
        <v>#N/A Requesting Data...3551828316</v>
        <stp/>
        <stp>BDP|338745973061829401</stp>
        <tr r="E42" s="2"/>
      </tp>
      <tp t="s">
        <v>#N/A Requesting Data...2110531808</v>
        <stp/>
        <stp>BDP|242518510675506727</stp>
        <tr r="E47" s="2"/>
      </tp>
      <tp t="s">
        <v>#N/A Requesting Data...2171534398</v>
        <stp/>
        <stp>BDP|698738255018936883</stp>
        <tr r="G7" s="2"/>
      </tp>
    </main>
  </volType>
</volType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accent1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34-4FC1-9D51-44879F8EEF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34-4FC1-9D51-44879F8EEF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34-4FC1-9D51-44879F8EEF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34-4FC1-9D51-44879F8EEF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34-4FC1-9D51-44879F8EEF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34-4FC1-9D51-44879F8EEF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34-4FC1-9D51-44879F8EEF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34-4FC1-9D51-44879F8EEF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34-4FC1-9D51-44879F8EEF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34-4FC1-9D51-44879F8EEF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434-4FC1-9D51-44879F8EEF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434-4FC1-9D51-44879F8EEF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34-4FC1-9D51-44879F8EEF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34-4FC1-9D51-44879F8EEF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34-4FC1-9D51-44879F8EEF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34-4FC1-9D51-44879F8EEF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34-4FC1-9D51-44879F8EEF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34-4FC1-9D51-44879F8EEF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434-4FC1-9D51-44879F8EEF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434-4FC1-9D51-44879F8EEF3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trendline>
            <c:spPr>
              <a:ln w="12700">
                <a:solidFill>
                  <a:srgbClr val="F79646">
                    <a:lumMod val="75000"/>
                  </a:srgbClr>
                </a:solidFill>
              </a:ln>
            </c:spPr>
            <c:trendlineType val="linear"/>
            <c:dispRSqr val="0"/>
            <c:dispEq val="0"/>
          </c:trendline>
          <c:xVal>
            <c:numRef>
              <c:f>'Ratings Table'!$H$2:$H$21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'Ratings Table'!$I$2:$I$21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'Ratings Table'!$G$2:$G$21</c15:f>
                <c15:dlblRangeCache>
                  <c:ptCount val="20"/>
                  <c:pt idx="0">
                    <c:v>#N/A Connection</c:v>
                  </c:pt>
                  <c:pt idx="1">
                    <c:v>#N/A Connection</c:v>
                  </c:pt>
                  <c:pt idx="2">
                    <c:v>#N/A Connection</c:v>
                  </c:pt>
                  <c:pt idx="3">
                    <c:v>#N/A Connection</c:v>
                  </c:pt>
                  <c:pt idx="4">
                    <c:v>#N/A Connection</c:v>
                  </c:pt>
                  <c:pt idx="5">
                    <c:v>#N/A Connection</c:v>
                  </c:pt>
                  <c:pt idx="6">
                    <c:v>#N/A Connection</c:v>
                  </c:pt>
                  <c:pt idx="7">
                    <c:v>#N/A Connection</c:v>
                  </c:pt>
                  <c:pt idx="8">
                    <c:v>#N/A Connection</c:v>
                  </c:pt>
                  <c:pt idx="9">
                    <c:v>#N/A Connection</c:v>
                  </c:pt>
                  <c:pt idx="10">
                    <c:v>#N/A Connection</c:v>
                  </c:pt>
                  <c:pt idx="11">
                    <c:v>#N/A Connection</c:v>
                  </c:pt>
                  <c:pt idx="12">
                    <c:v>#N/A Connection</c:v>
                  </c:pt>
                  <c:pt idx="13">
                    <c:v>#N/A Connection</c:v>
                  </c:pt>
                  <c:pt idx="14">
                    <c:v>#N/A Connection</c:v>
                  </c:pt>
                  <c:pt idx="15">
                    <c:v>#N/A Connection</c:v>
                  </c:pt>
                  <c:pt idx="16">
                    <c:v>#N/A Connection</c:v>
                  </c:pt>
                  <c:pt idx="17">
                    <c:v>#N/A Connection</c:v>
                  </c:pt>
                  <c:pt idx="18">
                    <c:v>#N/A Connection</c:v>
                  </c:pt>
                  <c:pt idx="19">
                    <c:v>#N/A Connection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434-4FC1-9D51-44879F8E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81344"/>
        <c:axId val="90682880"/>
      </c:scatterChart>
      <c:valAx>
        <c:axId val="9068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 rot="0" vert="horz"/>
          <a:lstStyle/>
          <a:p>
            <a:pPr>
              <a:defRPr lang="ja-JP" sz="100" b="0" i="0" u="none" strike="noStrike" baseline="0">
                <a:solidFill>
                  <a:srgbClr val="F8F8F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0682880"/>
        <c:crosses val="autoZero"/>
        <c:crossBetween val="midCat"/>
      </c:valAx>
      <c:valAx>
        <c:axId val="90682880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 SPREAD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ja-JP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06813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accent1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CD-4BF0-8282-4EE984FBDF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CD-4BF0-8282-4EE984FBDF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CD-4BF0-8282-4EE984FBDF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CD-4BF0-8282-4EE984FBDF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CD-4BF0-8282-4EE984FBDF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CD-4BF0-8282-4EE984FBDF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CD-4BF0-8282-4EE984FBDF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CD-4BF0-8282-4EE984FBDF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CD-4BF0-8282-4EE984FBDF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CD-4BF0-8282-4EE984FBDF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2CD-4BF0-8282-4EE984FBDF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CD-4BF0-8282-4EE984FBDF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CD-4BF0-8282-4EE984FBDF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CD-4BF0-8282-4EE984FBDF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CD-4BF0-8282-4EE984FBDF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CD-4BF0-8282-4EE984FBDF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CD-4BF0-8282-4EE984FBDF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CD-4BF0-8282-4EE984FBDF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2CD-4BF0-8282-4EE984FBDF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2CD-4BF0-8282-4EE984FBDFD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trendline>
            <c:spPr>
              <a:ln w="12700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dispRSqr val="0"/>
            <c:dispEq val="0"/>
          </c:trendline>
          <c:xVal>
            <c:numRef>
              <c:f>'Ratings Table'!$J$2:$J$21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'Ratings Table'!$K$2:$K$21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'Ratings Table'!$G$2:$G$21</c15:f>
                <c15:dlblRangeCache>
                  <c:ptCount val="20"/>
                  <c:pt idx="0">
                    <c:v>#N/A Connection</c:v>
                  </c:pt>
                  <c:pt idx="1">
                    <c:v>#N/A Connection</c:v>
                  </c:pt>
                  <c:pt idx="2">
                    <c:v>#N/A Connection</c:v>
                  </c:pt>
                  <c:pt idx="3">
                    <c:v>#N/A Connection</c:v>
                  </c:pt>
                  <c:pt idx="4">
                    <c:v>#N/A Connection</c:v>
                  </c:pt>
                  <c:pt idx="5">
                    <c:v>#N/A Connection</c:v>
                  </c:pt>
                  <c:pt idx="6">
                    <c:v>#N/A Connection</c:v>
                  </c:pt>
                  <c:pt idx="7">
                    <c:v>#N/A Connection</c:v>
                  </c:pt>
                  <c:pt idx="8">
                    <c:v>#N/A Connection</c:v>
                  </c:pt>
                  <c:pt idx="9">
                    <c:v>#N/A Connection</c:v>
                  </c:pt>
                  <c:pt idx="10">
                    <c:v>#N/A Connection</c:v>
                  </c:pt>
                  <c:pt idx="11">
                    <c:v>#N/A Connection</c:v>
                  </c:pt>
                  <c:pt idx="12">
                    <c:v>#N/A Connection</c:v>
                  </c:pt>
                  <c:pt idx="13">
                    <c:v>#N/A Connection</c:v>
                  </c:pt>
                  <c:pt idx="14">
                    <c:v>#N/A Connection</c:v>
                  </c:pt>
                  <c:pt idx="15">
                    <c:v>#N/A Connection</c:v>
                  </c:pt>
                  <c:pt idx="16">
                    <c:v>#N/A Connection</c:v>
                  </c:pt>
                  <c:pt idx="17">
                    <c:v>#N/A Connection</c:v>
                  </c:pt>
                  <c:pt idx="18">
                    <c:v>#N/A Connection</c:v>
                  </c:pt>
                  <c:pt idx="19">
                    <c:v>#N/A Connection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A2CD-4BF0-8282-4EE984FBD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198016"/>
        <c:axId val="102580992"/>
      </c:scatterChart>
      <c:valAx>
        <c:axId val="458198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 rot="0" vert="horz"/>
          <a:lstStyle/>
          <a:p>
            <a:pPr>
              <a:defRPr lang="ja-JP" sz="100" b="0" i="0" u="none" strike="noStrike" baseline="0">
                <a:solidFill>
                  <a:srgbClr val="F8F8F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2580992"/>
        <c:crosses val="autoZero"/>
        <c:crossBetween val="midCat"/>
      </c:valAx>
      <c:valAx>
        <c:axId val="102580992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 SPREAD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ja-JP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81980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accent1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5A3-46CB-8F52-5ACCDA0E47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A3-46CB-8F52-5ACCDA0E47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5A3-46CB-8F52-5ACCDA0E47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A3-46CB-8F52-5ACCDA0E47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A3-46CB-8F52-5ACCDA0E47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A3-46CB-8F52-5ACCDA0E47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5A3-46CB-8F52-5ACCDA0E47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A3-46CB-8F52-5ACCDA0E47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5A3-46CB-8F52-5ACCDA0E47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A3-46CB-8F52-5ACCDA0E47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5A3-46CB-8F52-5ACCDA0E47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A3-46CB-8F52-5ACCDA0E47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A3-46CB-8F52-5ACCDA0E47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A3-46CB-8F52-5ACCDA0E47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A3-46CB-8F52-5ACCDA0E47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A3-46CB-8F52-5ACCDA0E47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5A3-46CB-8F52-5ACCDA0E47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A3-46CB-8F52-5ACCDA0E47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5A3-46CB-8F52-5ACCDA0E47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5A3-46CB-8F52-5ACCDA0E476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trendline>
            <c:spPr>
              <a:ln w="12700">
                <a:solidFill>
                  <a:srgbClr val="F79646">
                    <a:lumMod val="75000"/>
                  </a:srgbClr>
                </a:solidFill>
              </a:ln>
            </c:spPr>
            <c:trendlineType val="linear"/>
            <c:dispRSqr val="0"/>
            <c:dispEq val="0"/>
          </c:trendline>
          <c:xVal>
            <c:numRef>
              <c:f>'Ratings Table'!$L$2:$L$21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'Ratings Table'!$M$2:$M$21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'Ratings Table'!$G$2:$G$21</c15:f>
                <c15:dlblRangeCache>
                  <c:ptCount val="20"/>
                  <c:pt idx="0">
                    <c:v>#N/A Connection</c:v>
                  </c:pt>
                  <c:pt idx="1">
                    <c:v>#N/A Connection</c:v>
                  </c:pt>
                  <c:pt idx="2">
                    <c:v>#N/A Connection</c:v>
                  </c:pt>
                  <c:pt idx="3">
                    <c:v>#N/A Connection</c:v>
                  </c:pt>
                  <c:pt idx="4">
                    <c:v>#N/A Connection</c:v>
                  </c:pt>
                  <c:pt idx="5">
                    <c:v>#N/A Connection</c:v>
                  </c:pt>
                  <c:pt idx="6">
                    <c:v>#N/A Connection</c:v>
                  </c:pt>
                  <c:pt idx="7">
                    <c:v>#N/A Connection</c:v>
                  </c:pt>
                  <c:pt idx="8">
                    <c:v>#N/A Connection</c:v>
                  </c:pt>
                  <c:pt idx="9">
                    <c:v>#N/A Connection</c:v>
                  </c:pt>
                  <c:pt idx="10">
                    <c:v>#N/A Connection</c:v>
                  </c:pt>
                  <c:pt idx="11">
                    <c:v>#N/A Connection</c:v>
                  </c:pt>
                  <c:pt idx="12">
                    <c:v>#N/A Connection</c:v>
                  </c:pt>
                  <c:pt idx="13">
                    <c:v>#N/A Connection</c:v>
                  </c:pt>
                  <c:pt idx="14">
                    <c:v>#N/A Connection</c:v>
                  </c:pt>
                  <c:pt idx="15">
                    <c:v>#N/A Connection</c:v>
                  </c:pt>
                  <c:pt idx="16">
                    <c:v>#N/A Connection</c:v>
                  </c:pt>
                  <c:pt idx="17">
                    <c:v>#N/A Connection</c:v>
                  </c:pt>
                  <c:pt idx="18">
                    <c:v>#N/A Connection</c:v>
                  </c:pt>
                  <c:pt idx="19">
                    <c:v>#N/A Connection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E5A3-46CB-8F52-5ACCDA0E4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36800"/>
        <c:axId val="381046784"/>
      </c:scatterChart>
      <c:valAx>
        <c:axId val="38103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 rot="0" vert="horz"/>
          <a:lstStyle/>
          <a:p>
            <a:pPr>
              <a:defRPr lang="ja-JP" sz="100" b="0" i="0" u="none" strike="noStrike" baseline="0">
                <a:solidFill>
                  <a:srgbClr val="F8F8F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81046784"/>
        <c:crosses val="autoZero"/>
        <c:crossBetween val="midCat"/>
      </c:valAx>
      <c:valAx>
        <c:axId val="381046784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 SPREAD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ja-JP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810368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accent1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36-4353-83EC-EDB8C70597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36-4353-83EC-EDB8C70597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36-4353-83EC-EDB8C70597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36-4353-83EC-EDB8C70597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36-4353-83EC-EDB8C70597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36-4353-83EC-EDB8C70597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C36-4353-83EC-EDB8C70597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36-4353-83EC-EDB8C70597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36-4353-83EC-EDB8C70597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36-4353-83EC-EDB8C70597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C36-4353-83EC-EDB8C70597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36-4353-83EC-EDB8C70597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36-4353-83EC-EDB8C70597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36-4353-83EC-EDB8C70597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36-4353-83EC-EDB8C70597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36-4353-83EC-EDB8C70597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36-4353-83EC-EDB8C70597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36-4353-83EC-EDB8C70597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C36-4353-83EC-EDB8C70597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C36-4353-83EC-EDB8C705978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trendline>
            <c:spPr>
              <a:ln w="12700">
                <a:solidFill>
                  <a:srgbClr val="F79646">
                    <a:lumMod val="75000"/>
                  </a:srgbClr>
                </a:solidFill>
              </a:ln>
            </c:spPr>
            <c:trendlineType val="linear"/>
            <c:dispRSqr val="0"/>
            <c:dispEq val="0"/>
          </c:trendline>
          <c:xVal>
            <c:numRef>
              <c:f>'Ratings Table'!$N$2:$N$21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'Ratings Table'!$O$2:$O$21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'Ratings Table'!$G$2:$G$21</c15:f>
                <c15:dlblRangeCache>
                  <c:ptCount val="20"/>
                  <c:pt idx="0">
                    <c:v>#N/A Connection</c:v>
                  </c:pt>
                  <c:pt idx="1">
                    <c:v>#N/A Connection</c:v>
                  </c:pt>
                  <c:pt idx="2">
                    <c:v>#N/A Connection</c:v>
                  </c:pt>
                  <c:pt idx="3">
                    <c:v>#N/A Connection</c:v>
                  </c:pt>
                  <c:pt idx="4">
                    <c:v>#N/A Connection</c:v>
                  </c:pt>
                  <c:pt idx="5">
                    <c:v>#N/A Connection</c:v>
                  </c:pt>
                  <c:pt idx="6">
                    <c:v>#N/A Connection</c:v>
                  </c:pt>
                  <c:pt idx="7">
                    <c:v>#N/A Connection</c:v>
                  </c:pt>
                  <c:pt idx="8">
                    <c:v>#N/A Connection</c:v>
                  </c:pt>
                  <c:pt idx="9">
                    <c:v>#N/A Connection</c:v>
                  </c:pt>
                  <c:pt idx="10">
                    <c:v>#N/A Connection</c:v>
                  </c:pt>
                  <c:pt idx="11">
                    <c:v>#N/A Connection</c:v>
                  </c:pt>
                  <c:pt idx="12">
                    <c:v>#N/A Connection</c:v>
                  </c:pt>
                  <c:pt idx="13">
                    <c:v>#N/A Connection</c:v>
                  </c:pt>
                  <c:pt idx="14">
                    <c:v>#N/A Connection</c:v>
                  </c:pt>
                  <c:pt idx="15">
                    <c:v>#N/A Connection</c:v>
                  </c:pt>
                  <c:pt idx="16">
                    <c:v>#N/A Connection</c:v>
                  </c:pt>
                  <c:pt idx="17">
                    <c:v>#N/A Connection</c:v>
                  </c:pt>
                  <c:pt idx="18">
                    <c:v>#N/A Connection</c:v>
                  </c:pt>
                  <c:pt idx="19">
                    <c:v>#N/A Connection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8C36-4353-83EC-EDB8C7059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80096"/>
        <c:axId val="381381632"/>
      </c:scatterChart>
      <c:valAx>
        <c:axId val="38138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 rot="0" vert="horz"/>
          <a:lstStyle/>
          <a:p>
            <a:pPr>
              <a:defRPr lang="ja-JP" sz="100" b="0" i="0" u="none" strike="noStrike" baseline="0">
                <a:solidFill>
                  <a:srgbClr val="F8F8F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81381632"/>
        <c:crosses val="autoZero"/>
        <c:crossBetween val="midCat"/>
      </c:valAx>
      <c:valAx>
        <c:axId val="381381632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 SPREAD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ja-JP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813800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jpe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3.jpeg"/><Relationship Id="rId1" Type="http://schemas.openxmlformats.org/officeDocument/2006/relationships/image" Target="../media/image4.jpe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31</xdr:row>
      <xdr:rowOff>342900</xdr:rowOff>
    </xdr:from>
    <xdr:to>
      <xdr:col>6</xdr:col>
      <xdr:colOff>600075</xdr:colOff>
      <xdr:row>43</xdr:row>
      <xdr:rowOff>171450</xdr:rowOff>
    </xdr:to>
    <xdr:graphicFrame macro="">
      <xdr:nvGraphicFramePr>
        <xdr:cNvPr id="703138" name="3YRChart">
          <a:extLst>
            <a:ext uri="{FF2B5EF4-FFF2-40B4-BE49-F238E27FC236}">
              <a16:creationId xmlns:a16="http://schemas.microsoft.com/office/drawing/2014/main" id="{00000000-0008-0000-0000-0000A2BA0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32</xdr:row>
      <xdr:rowOff>0</xdr:rowOff>
    </xdr:from>
    <xdr:to>
      <xdr:col>17</xdr:col>
      <xdr:colOff>523875</xdr:colOff>
      <xdr:row>44</xdr:row>
      <xdr:rowOff>0</xdr:rowOff>
    </xdr:to>
    <xdr:graphicFrame macro="">
      <xdr:nvGraphicFramePr>
        <xdr:cNvPr id="703139" name="5YRChart">
          <a:extLst>
            <a:ext uri="{FF2B5EF4-FFF2-40B4-BE49-F238E27FC236}">
              <a16:creationId xmlns:a16="http://schemas.microsoft.com/office/drawing/2014/main" id="{00000000-0008-0000-0000-0000A3BA0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47</xdr:row>
      <xdr:rowOff>0</xdr:rowOff>
    </xdr:from>
    <xdr:to>
      <xdr:col>7</xdr:col>
      <xdr:colOff>0</xdr:colOff>
      <xdr:row>59</xdr:row>
      <xdr:rowOff>0</xdr:rowOff>
    </xdr:to>
    <xdr:graphicFrame macro="">
      <xdr:nvGraphicFramePr>
        <xdr:cNvPr id="703140" name="10YRChart">
          <a:extLst>
            <a:ext uri="{FF2B5EF4-FFF2-40B4-BE49-F238E27FC236}">
              <a16:creationId xmlns:a16="http://schemas.microsoft.com/office/drawing/2014/main" id="{00000000-0008-0000-0000-0000A4BA0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714375</xdr:colOff>
      <xdr:row>47</xdr:row>
      <xdr:rowOff>0</xdr:rowOff>
    </xdr:from>
    <xdr:to>
      <xdr:col>17</xdr:col>
      <xdr:colOff>514350</xdr:colOff>
      <xdr:row>59</xdr:row>
      <xdr:rowOff>0</xdr:rowOff>
    </xdr:to>
    <xdr:graphicFrame macro="">
      <xdr:nvGraphicFramePr>
        <xdr:cNvPr id="703141" name="30YRChart">
          <a:extLst>
            <a:ext uri="{FF2B5EF4-FFF2-40B4-BE49-F238E27FC236}">
              <a16:creationId xmlns:a16="http://schemas.microsoft.com/office/drawing/2014/main" id="{00000000-0008-0000-0000-0000A5BA0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</xdr:row>
          <xdr:rowOff>0</xdr:rowOff>
        </xdr:from>
        <xdr:to>
          <xdr:col>2</xdr:col>
          <xdr:colOff>1123950</xdr:colOff>
          <xdr:row>7</xdr:row>
          <xdr:rowOff>9525</xdr:rowOff>
        </xdr:to>
        <xdr:sp macro="" textlink="">
          <xdr:nvSpPr>
            <xdr:cNvPr id="1025" name="G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114300</xdr:colOff>
          <xdr:row>7</xdr:row>
          <xdr:rowOff>28575</xdr:rowOff>
        </xdr:to>
        <xdr:sp macro="" textlink="">
          <xdr:nvSpPr>
            <xdr:cNvPr id="1506" name="MeasureBox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1</xdr:row>
      <xdr:rowOff>0</xdr:rowOff>
    </xdr:from>
    <xdr:to>
      <xdr:col>2</xdr:col>
      <xdr:colOff>990600</xdr:colOff>
      <xdr:row>3</xdr:row>
      <xdr:rowOff>180975</xdr:rowOff>
    </xdr:to>
    <xdr:pic>
      <xdr:nvPicPr>
        <xdr:cNvPr id="703142" name="Bloomberg">
          <a:extLst>
            <a:ext uri="{FF2B5EF4-FFF2-40B4-BE49-F238E27FC236}">
              <a16:creationId xmlns:a16="http://schemas.microsoft.com/office/drawing/2014/main" id="{00000000-0008-0000-0000-0000A6BA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819275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969950</xdr:colOff>
      <xdr:row>1</xdr:row>
      <xdr:rowOff>0</xdr:rowOff>
    </xdr:from>
    <xdr:to>
      <xdr:col>14</xdr:col>
      <xdr:colOff>133655</xdr:colOff>
      <xdr:row>3</xdr:row>
      <xdr:rowOff>185928</xdr:rowOff>
    </xdr:to>
    <xdr:sp macro="" textlink="">
      <xdr:nvSpPr>
        <xdr:cNvPr id="11" name="BannerTitl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Benchmark Bonds Relative Values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419100</xdr:colOff>
      <xdr:row>14</xdr:row>
      <xdr:rowOff>6858000</xdr:rowOff>
    </xdr:from>
    <xdr:to>
      <xdr:col>17</xdr:col>
      <xdr:colOff>342900</xdr:colOff>
      <xdr:row>49</xdr:row>
      <xdr:rowOff>5043</xdr:rowOff>
    </xdr:to>
    <xdr:pic>
      <xdr:nvPicPr>
        <xdr:cNvPr id="1061066" name="Picture 1">
          <a:extLst>
            <a:ext uri="{FF2B5EF4-FFF2-40B4-BE49-F238E27FC236}">
              <a16:creationId xmlns:a16="http://schemas.microsoft.com/office/drawing/2014/main" id="{00000000-0008-0000-0200-0000CA30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0" y="2305050"/>
          <a:ext cx="6629400" cy="550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600075</xdr:colOff>
      <xdr:row>3</xdr:row>
      <xdr:rowOff>180975</xdr:rowOff>
    </xdr:to>
    <xdr:pic>
      <xdr:nvPicPr>
        <xdr:cNvPr id="1061067" name="Bloomberg">
          <a:extLst>
            <a:ext uri="{FF2B5EF4-FFF2-40B4-BE49-F238E27FC236}">
              <a16:creationId xmlns:a16="http://schemas.microsoft.com/office/drawing/2014/main" id="{00000000-0008-0000-0200-0000CB30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819275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579425</xdr:colOff>
      <xdr:row>1</xdr:row>
      <xdr:rowOff>0</xdr:rowOff>
    </xdr:from>
    <xdr:to>
      <xdr:col>18</xdr:col>
      <xdr:colOff>533705</xdr:colOff>
      <xdr:row>3</xdr:row>
      <xdr:rowOff>185928</xdr:rowOff>
    </xdr:to>
    <xdr:sp macro="" textlink="">
      <xdr:nvSpPr>
        <xdr:cNvPr id="19" name="BannerTitle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EEEEEE"/>
              </a:solidFill>
              <a:latin typeface="Calibri"/>
            </a:rPr>
            <a:t>Benchmark Bonds Relative Values</a:t>
          </a:r>
        </a:p>
      </xdr:txBody>
    </xdr:sp>
    <xdr:clientData/>
  </xdr:twoCellAnchor>
  <xdr:twoCellAnchor>
    <xdr:from>
      <xdr:col>4</xdr:col>
      <xdr:colOff>314327</xdr:colOff>
      <xdr:row>10</xdr:row>
      <xdr:rowOff>0</xdr:rowOff>
    </xdr:from>
    <xdr:to>
      <xdr:col>6</xdr:col>
      <xdr:colOff>571501</xdr:colOff>
      <xdr:row>13</xdr:row>
      <xdr:rowOff>9525</xdr:rowOff>
    </xdr:to>
    <xdr:sp macro="" textlink="">
      <xdr:nvSpPr>
        <xdr:cNvPr id="21" name="DbgShadowBox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2257427" y="1447800"/>
          <a:ext cx="1476374" cy="542925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Calibri"/>
            </a:rPr>
            <a:t>Select The Measurement Criteria</a:t>
          </a:r>
        </a:p>
      </xdr:txBody>
    </xdr:sp>
    <xdr:clientData/>
  </xdr:twoCellAnchor>
  <xdr:twoCellAnchor editAs="oneCell">
    <xdr:from>
      <xdr:col>8</xdr:col>
      <xdr:colOff>504825</xdr:colOff>
      <xdr:row>9</xdr:row>
      <xdr:rowOff>6858000</xdr:rowOff>
    </xdr:from>
    <xdr:to>
      <xdr:col>10</xdr:col>
      <xdr:colOff>257175</xdr:colOff>
      <xdr:row>13</xdr:row>
      <xdr:rowOff>76200</xdr:rowOff>
    </xdr:to>
    <xdr:pic>
      <xdr:nvPicPr>
        <xdr:cNvPr id="1061070" name="Picture 3">
          <a:extLst>
            <a:ext uri="{FF2B5EF4-FFF2-40B4-BE49-F238E27FC236}">
              <a16:creationId xmlns:a16="http://schemas.microsoft.com/office/drawing/2014/main" id="{00000000-0008-0000-0200-0000CE30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1495425"/>
          <a:ext cx="97155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47625</xdr:colOff>
      <xdr:row>15</xdr:row>
      <xdr:rowOff>6858000</xdr:rowOff>
    </xdr:from>
    <xdr:to>
      <xdr:col>5</xdr:col>
      <xdr:colOff>57150</xdr:colOff>
      <xdr:row>35</xdr:row>
      <xdr:rowOff>5043</xdr:rowOff>
    </xdr:to>
    <xdr:pic>
      <xdr:nvPicPr>
        <xdr:cNvPr id="1061071" name="Picture 4">
          <a:extLst>
            <a:ext uri="{FF2B5EF4-FFF2-40B4-BE49-F238E27FC236}">
              <a16:creationId xmlns:a16="http://schemas.microsoft.com/office/drawing/2014/main" id="{00000000-0008-0000-0200-0000CF30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466975"/>
          <a:ext cx="619125" cy="3076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200026</xdr:colOff>
      <xdr:row>40</xdr:row>
      <xdr:rowOff>0</xdr:rowOff>
    </xdr:from>
    <xdr:to>
      <xdr:col>5</xdr:col>
      <xdr:colOff>504825</xdr:colOff>
      <xdr:row>43</xdr:row>
      <xdr:rowOff>0</xdr:rowOff>
    </xdr:to>
    <xdr:sp macro="" textlink="">
      <xdr:nvSpPr>
        <xdr:cNvPr id="24" name="DbgShadowBox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1533526" y="6267450"/>
          <a:ext cx="1523999" cy="561975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Calibri"/>
            </a:rPr>
            <a:t>Enter the Equity Tickers to be Analyzed</a:t>
          </a:r>
        </a:p>
      </xdr:txBody>
    </xdr:sp>
    <xdr:clientData/>
  </xdr:twoCellAnchor>
  <xdr:twoCellAnchor>
    <xdr:from>
      <xdr:col>5</xdr:col>
      <xdr:colOff>57150</xdr:colOff>
      <xdr:row>26</xdr:row>
      <xdr:rowOff>0</xdr:rowOff>
    </xdr:from>
    <xdr:to>
      <xdr:col>6</xdr:col>
      <xdr:colOff>361950</xdr:colOff>
      <xdr:row>26</xdr:row>
      <xdr:rowOff>0</xdr:rowOff>
    </xdr:to>
    <xdr:cxnSp macro="">
      <xdr:nvCxnSpPr>
        <xdr:cNvPr id="27" name="DbgGradArrow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endCxn id="1061071" idx="3"/>
        </xdr:cNvCxnSpPr>
      </xdr:nvCxnSpPr>
      <xdr:spPr bwMode="auto">
        <a:xfrm flipH="1">
          <a:off x="2609850" y="3933825"/>
          <a:ext cx="914400" cy="0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352426</xdr:colOff>
      <xdr:row>35</xdr:row>
      <xdr:rowOff>0</xdr:rowOff>
    </xdr:from>
    <xdr:to>
      <xdr:col>4</xdr:col>
      <xdr:colOff>357188</xdr:colOff>
      <xdr:row>40</xdr:row>
      <xdr:rowOff>0</xdr:rowOff>
    </xdr:to>
    <xdr:cxnSp macro="">
      <xdr:nvCxnSpPr>
        <xdr:cNvPr id="30" name="DbgGradArrow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>
          <a:stCxn id="24" idx="0"/>
          <a:endCxn id="1061071" idx="2"/>
        </xdr:cNvCxnSpPr>
      </xdr:nvCxnSpPr>
      <xdr:spPr bwMode="auto">
        <a:xfrm flipV="1">
          <a:off x="2295526" y="5505450"/>
          <a:ext cx="4762" cy="762000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571501</xdr:colOff>
      <xdr:row>11</xdr:row>
      <xdr:rowOff>61913</xdr:rowOff>
    </xdr:from>
    <xdr:to>
      <xdr:col>8</xdr:col>
      <xdr:colOff>504825</xdr:colOff>
      <xdr:row>11</xdr:row>
      <xdr:rowOff>66675</xdr:rowOff>
    </xdr:to>
    <xdr:cxnSp macro="">
      <xdr:nvCxnSpPr>
        <xdr:cNvPr id="34" name="DbgGradArrow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21" idx="3"/>
          <a:endCxn id="1061070" idx="1"/>
        </xdr:cNvCxnSpPr>
      </xdr:nvCxnSpPr>
      <xdr:spPr bwMode="auto">
        <a:xfrm>
          <a:off x="3733801" y="1719263"/>
          <a:ext cx="1152524" cy="4762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13</xdr:row>
      <xdr:rowOff>76200</xdr:rowOff>
    </xdr:from>
    <xdr:to>
      <xdr:col>10</xdr:col>
      <xdr:colOff>466725</xdr:colOff>
      <xdr:row>17</xdr:row>
      <xdr:rowOff>0</xdr:rowOff>
    </xdr:to>
    <xdr:cxnSp macro="">
      <xdr:nvCxnSpPr>
        <xdr:cNvPr id="41" name="DbgGradArrow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endCxn id="1061070" idx="2"/>
        </xdr:cNvCxnSpPr>
      </xdr:nvCxnSpPr>
      <xdr:spPr bwMode="auto">
        <a:xfrm flipH="1" flipV="1">
          <a:off x="5372100" y="2057400"/>
          <a:ext cx="695325" cy="504825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ain"/>
  <dimension ref="A1:AB556"/>
  <sheetViews>
    <sheetView showGridLines="0" showRowColHeaders="0" tabSelected="1" zoomScaleNormal="100" workbookViewId="0">
      <pane ySplit="5" topLeftCell="A6" activePane="bottomLeft" state="frozen"/>
      <selection activeCell="H1" sqref="H1"/>
      <selection pane="bottomLeft" activeCell="D11" sqref="D11"/>
    </sheetView>
  </sheetViews>
  <sheetFormatPr defaultColWidth="0" defaultRowHeight="15" zeroHeight="1"/>
  <cols>
    <col min="1" max="1" width="1.7109375" style="1" customWidth="1"/>
    <col min="2" max="2" width="12.42578125" style="1" customWidth="1"/>
    <col min="3" max="3" width="17.5703125" style="1" customWidth="1"/>
    <col min="4" max="4" width="19.28515625" style="2" customWidth="1"/>
    <col min="5" max="5" width="18.85546875" style="2" bestFit="1" customWidth="1"/>
    <col min="6" max="6" width="19.28515625" style="2" bestFit="1" customWidth="1"/>
    <col min="7" max="9" width="9.140625" style="1" customWidth="1"/>
    <col min="10" max="10" width="9.140625" customWidth="1"/>
    <col min="11" max="11" width="9.140625" style="3" customWidth="1"/>
    <col min="12" max="16" width="9.42578125" style="3" customWidth="1"/>
    <col min="17" max="18" width="9.140625" customWidth="1"/>
    <col min="19" max="20" width="2.7109375" style="1" customWidth="1"/>
    <col min="21" max="21" width="9.42578125" style="1" hidden="1" customWidth="1"/>
    <col min="22" max="22" width="9.140625" style="1" hidden="1" customWidth="1"/>
    <col min="23" max="25" width="0" style="1" hidden="1" customWidth="1"/>
    <col min="26" max="26" width="9.42578125" style="1" hidden="1" customWidth="1"/>
    <col min="27" max="27" width="9.140625" style="1" hidden="1" customWidth="1"/>
    <col min="28" max="28" width="9.42578125" style="1" hidden="1" customWidth="1"/>
    <col min="29" max="16384" width="9.140625" style="1" hidden="1"/>
  </cols>
  <sheetData>
    <row r="1" spans="2:20" ht="5.0999999999999996" customHeight="1">
      <c r="B1" s="31" t="s">
        <v>45</v>
      </c>
    </row>
    <row r="2" spans="2:20" ht="15" customHeight="1"/>
    <row r="3" spans="2:20" ht="15" customHeight="1"/>
    <row r="4" spans="2:20" ht="15" customHeight="1"/>
    <row r="5" spans="2:20" ht="5.0999999999999996" customHeight="1"/>
    <row r="6" spans="2:20" ht="5.0999999999999996" customHeight="1">
      <c r="D6" s="1"/>
      <c r="E6" s="1"/>
      <c r="F6" s="1"/>
      <c r="J6" s="1"/>
      <c r="K6" s="1"/>
      <c r="L6" s="1"/>
      <c r="M6" s="1"/>
    </row>
    <row r="7" spans="2:20" ht="19.5" customHeight="1">
      <c r="D7" s="49" t="s">
        <v>49</v>
      </c>
      <c r="E7" s="50"/>
      <c r="F7" s="1"/>
      <c r="G7" s="49" t="s">
        <v>50</v>
      </c>
      <c r="H7" s="51"/>
      <c r="I7" s="51"/>
      <c r="J7" s="51"/>
      <c r="K7" s="51"/>
      <c r="L7" s="50"/>
      <c r="M7" s="55" t="s">
        <v>51</v>
      </c>
      <c r="N7" s="56"/>
    </row>
    <row r="8" spans="2:20" ht="5.0999999999999996" customHeight="1">
      <c r="D8" s="1"/>
      <c r="E8" s="1"/>
      <c r="F8" s="1"/>
    </row>
    <row r="9" spans="2:20">
      <c r="B9" s="32"/>
      <c r="C9" s="52" t="s">
        <v>38</v>
      </c>
      <c r="D9" s="52"/>
      <c r="E9" s="52"/>
      <c r="F9" s="54"/>
      <c r="G9" s="52" t="s">
        <v>32</v>
      </c>
      <c r="H9" s="52"/>
      <c r="I9" s="52"/>
      <c r="J9" s="54"/>
      <c r="K9" s="52" t="str">
        <f>B1</f>
        <v>G SPREAD</v>
      </c>
      <c r="L9" s="52"/>
      <c r="M9" s="52"/>
      <c r="N9" s="53"/>
      <c r="P9"/>
      <c r="R9" s="1"/>
    </row>
    <row r="10" spans="2:20" ht="15" customHeight="1">
      <c r="B10" s="33" t="s">
        <v>0</v>
      </c>
      <c r="C10" s="8" t="s">
        <v>35</v>
      </c>
      <c r="D10" s="8" t="s">
        <v>33</v>
      </c>
      <c r="E10" s="7" t="s">
        <v>34</v>
      </c>
      <c r="F10" s="7" t="s">
        <v>73</v>
      </c>
      <c r="G10" s="7" t="s">
        <v>74</v>
      </c>
      <c r="H10" s="7" t="s">
        <v>1</v>
      </c>
      <c r="I10" s="7" t="s">
        <v>2</v>
      </c>
      <c r="J10" s="8" t="s">
        <v>3</v>
      </c>
      <c r="K10" s="7" t="s">
        <v>36</v>
      </c>
      <c r="L10" s="7" t="s">
        <v>1</v>
      </c>
      <c r="M10" s="8" t="s">
        <v>2</v>
      </c>
      <c r="N10" s="34" t="s">
        <v>3</v>
      </c>
      <c r="Q10" s="3"/>
      <c r="R10" s="3"/>
      <c r="S10"/>
      <c r="T10"/>
    </row>
    <row r="11" spans="2:20" ht="15" customHeight="1">
      <c r="B11" s="35" t="s">
        <v>53</v>
      </c>
      <c r="C11" s="22" t="str">
        <f>IF(LEFT('Ratings Table'!O40,1)="#","",'Ratings Table'!O40)</f>
        <v/>
      </c>
      <c r="D11" s="22" t="str">
        <f>IF(LEFT('Ratings Table'!P40,1)="#","",'Ratings Table'!P40)</f>
        <v/>
      </c>
      <c r="E11" s="22" t="str">
        <f>IF(LEFT('Ratings Table'!Q40,1)="#","",'Ratings Table'!Q40)</f>
        <v/>
      </c>
      <c r="F11" s="22" t="str">
        <f>IF(LEFT('Ratings Table'!R40,1)="#","",'Ratings Table'!R40)</f>
        <v/>
      </c>
      <c r="G11" s="9" t="str">
        <f>IF(C11="","",'Ratings Table'!G40)</f>
        <v/>
      </c>
      <c r="H11" s="9" t="str">
        <f>IF(D11="","",'Ratings Table'!H40)</f>
        <v/>
      </c>
      <c r="I11" s="9" t="str">
        <f>IF(E11="","",'Ratings Table'!I40)</f>
        <v/>
      </c>
      <c r="J11" s="9" t="str">
        <f>IF(F11="","",'Ratings Table'!J40)</f>
        <v/>
      </c>
      <c r="K11" s="10" t="str">
        <f>IF(C11="","",'Ratings Table'!I2)</f>
        <v/>
      </c>
      <c r="L11" s="10" t="str">
        <f>IF(D11="","",'Ratings Table'!K2)</f>
        <v/>
      </c>
      <c r="M11" s="11" t="str">
        <f>IF(E11="","",'Ratings Table'!M2)</f>
        <v/>
      </c>
      <c r="N11" s="36" t="str">
        <f>IF(F11="","",'Ratings Table'!O2)</f>
        <v/>
      </c>
      <c r="Q11" s="3"/>
      <c r="R11" s="3"/>
      <c r="S11"/>
      <c r="T11"/>
    </row>
    <row r="12" spans="2:20" ht="15" customHeight="1">
      <c r="B12" s="37" t="s">
        <v>54</v>
      </c>
      <c r="C12" s="23" t="str">
        <f>IF(LEFT('Ratings Table'!O41,1)="#","",'Ratings Table'!O41)</f>
        <v/>
      </c>
      <c r="D12" s="23" t="str">
        <f>IF(LEFT('Ratings Table'!P41,1)="#","",'Ratings Table'!P41)</f>
        <v/>
      </c>
      <c r="E12" s="23" t="str">
        <f>IF(LEFT('Ratings Table'!Q41,1)="#","",'Ratings Table'!Q41)</f>
        <v/>
      </c>
      <c r="F12" s="23" t="str">
        <f>IF(LEFT('Ratings Table'!R41,1)="#","",'Ratings Table'!R41)</f>
        <v/>
      </c>
      <c r="G12" s="12" t="str">
        <f>IF(C12="","",'Ratings Table'!G41)</f>
        <v/>
      </c>
      <c r="H12" s="12" t="str">
        <f>IF(D12="","",'Ratings Table'!H41)</f>
        <v/>
      </c>
      <c r="I12" s="12" t="str">
        <f>IF(E12="","",'Ratings Table'!I41)</f>
        <v/>
      </c>
      <c r="J12" s="12" t="str">
        <f>IF(F12="","",'Ratings Table'!J41)</f>
        <v/>
      </c>
      <c r="K12" s="13" t="str">
        <f>IF(C12="","",'Ratings Table'!I3)</f>
        <v/>
      </c>
      <c r="L12" s="13" t="str">
        <f>IF(D12="","",'Ratings Table'!K3)</f>
        <v/>
      </c>
      <c r="M12" s="14" t="str">
        <f>IF(E12="","",'Ratings Table'!M3)</f>
        <v/>
      </c>
      <c r="N12" s="38" t="str">
        <f>IF(F12="","",'Ratings Table'!O3)</f>
        <v/>
      </c>
      <c r="Q12" s="3"/>
      <c r="R12" s="3"/>
      <c r="S12"/>
      <c r="T12"/>
    </row>
    <row r="13" spans="2:20" ht="15" customHeight="1">
      <c r="B13" s="35" t="s">
        <v>55</v>
      </c>
      <c r="C13" s="22" t="str">
        <f>IF(LEFT('Ratings Table'!O42,1)="#","",'Ratings Table'!O42)</f>
        <v/>
      </c>
      <c r="D13" s="22" t="str">
        <f>IF(LEFT('Ratings Table'!P42,1)="#","",'Ratings Table'!P42)</f>
        <v/>
      </c>
      <c r="E13" s="22" t="str">
        <f>IF(LEFT('Ratings Table'!Q42,1)="#","",'Ratings Table'!Q42)</f>
        <v/>
      </c>
      <c r="F13" s="22" t="str">
        <f>IF(LEFT('Ratings Table'!R42,1)="#","",'Ratings Table'!R42)</f>
        <v/>
      </c>
      <c r="G13" s="9" t="str">
        <f>IF(C13="","",'Ratings Table'!G42)</f>
        <v/>
      </c>
      <c r="H13" s="9" t="str">
        <f>IF(D13="","",'Ratings Table'!H42)</f>
        <v/>
      </c>
      <c r="I13" s="9" t="str">
        <f>IF(E13="","",'Ratings Table'!I42)</f>
        <v/>
      </c>
      <c r="J13" s="9" t="str">
        <f>IF(F13="","",'Ratings Table'!J42)</f>
        <v/>
      </c>
      <c r="K13" s="10" t="str">
        <f>IF(C13="","",'Ratings Table'!I4)</f>
        <v/>
      </c>
      <c r="L13" s="10" t="str">
        <f>IF(D13="","",'Ratings Table'!K4)</f>
        <v/>
      </c>
      <c r="M13" s="11" t="str">
        <f>IF(E13="","",'Ratings Table'!M4)</f>
        <v/>
      </c>
      <c r="N13" s="36" t="str">
        <f>IF(F13="","",'Ratings Table'!O4)</f>
        <v/>
      </c>
      <c r="Q13" s="3"/>
      <c r="R13" s="3"/>
      <c r="S13"/>
      <c r="T13"/>
    </row>
    <row r="14" spans="2:20" ht="15" customHeight="1">
      <c r="B14" s="37" t="s">
        <v>56</v>
      </c>
      <c r="C14" s="23" t="str">
        <f>IF(LEFT('Ratings Table'!O43,1)="#","",'Ratings Table'!O43)</f>
        <v/>
      </c>
      <c r="D14" s="23" t="str">
        <f>IF(LEFT('Ratings Table'!P43,1)="#","",'Ratings Table'!P43)</f>
        <v/>
      </c>
      <c r="E14" s="23" t="str">
        <f>IF(LEFT('Ratings Table'!Q43,1)="#","",'Ratings Table'!Q43)</f>
        <v/>
      </c>
      <c r="F14" s="23" t="str">
        <f>IF(LEFT('Ratings Table'!R43,1)="#","",'Ratings Table'!R43)</f>
        <v/>
      </c>
      <c r="G14" s="12" t="str">
        <f>IF(C14="","",'Ratings Table'!G43)</f>
        <v/>
      </c>
      <c r="H14" s="12" t="str">
        <f>IF(D14="","",'Ratings Table'!H43)</f>
        <v/>
      </c>
      <c r="I14" s="12" t="str">
        <f>IF(E14="","",'Ratings Table'!I43)</f>
        <v/>
      </c>
      <c r="J14" s="12" t="str">
        <f>IF(F14="","",'Ratings Table'!J43)</f>
        <v/>
      </c>
      <c r="K14" s="13" t="str">
        <f>IF(C14="","",'Ratings Table'!I5)</f>
        <v/>
      </c>
      <c r="L14" s="13" t="str">
        <f>IF(D14="","",'Ratings Table'!K5)</f>
        <v/>
      </c>
      <c r="M14" s="14" t="str">
        <f>IF(E14="","",'Ratings Table'!M5)</f>
        <v/>
      </c>
      <c r="N14" s="38" t="str">
        <f>IF(F14="","",'Ratings Table'!O5)</f>
        <v/>
      </c>
      <c r="Q14" s="3"/>
      <c r="R14" s="3"/>
      <c r="S14"/>
      <c r="T14"/>
    </row>
    <row r="15" spans="2:20" ht="15" customHeight="1">
      <c r="B15" s="35" t="s">
        <v>57</v>
      </c>
      <c r="C15" s="22" t="str">
        <f>IF(LEFT('Ratings Table'!O44,1)="#","",'Ratings Table'!O44)</f>
        <v/>
      </c>
      <c r="D15" s="22" t="str">
        <f>IF(LEFT('Ratings Table'!P44,1)="#","",'Ratings Table'!P44)</f>
        <v/>
      </c>
      <c r="E15" s="22" t="str">
        <f>IF(LEFT('Ratings Table'!Q44,1)="#","",'Ratings Table'!Q44)</f>
        <v/>
      </c>
      <c r="F15" s="22" t="str">
        <f>IF(LEFT('Ratings Table'!R44,1)="#","",'Ratings Table'!R44)</f>
        <v/>
      </c>
      <c r="G15" s="9" t="str">
        <f>IF(C15="","",'Ratings Table'!G44)</f>
        <v/>
      </c>
      <c r="H15" s="9" t="str">
        <f>IF(D15="","",'Ratings Table'!H44)</f>
        <v/>
      </c>
      <c r="I15" s="9" t="str">
        <f>IF(E15="","",'Ratings Table'!I44)</f>
        <v/>
      </c>
      <c r="J15" s="9" t="str">
        <f>IF(F15="","",'Ratings Table'!J44)</f>
        <v/>
      </c>
      <c r="K15" s="10" t="str">
        <f>IF(C15="","",'Ratings Table'!I6)</f>
        <v/>
      </c>
      <c r="L15" s="10" t="str">
        <f>IF(D15="","",'Ratings Table'!K6)</f>
        <v/>
      </c>
      <c r="M15" s="11" t="str">
        <f>IF(E15="","",'Ratings Table'!M6)</f>
        <v/>
      </c>
      <c r="N15" s="36" t="str">
        <f>IF(F15="","",'Ratings Table'!O6)</f>
        <v/>
      </c>
      <c r="Q15" s="3"/>
      <c r="R15" s="3"/>
      <c r="S15"/>
      <c r="T15"/>
    </row>
    <row r="16" spans="2:20" ht="15" customHeight="1">
      <c r="B16" s="37" t="s">
        <v>58</v>
      </c>
      <c r="C16" s="23" t="str">
        <f>IF(LEFT('Ratings Table'!O45,1)="#","",'Ratings Table'!O45)</f>
        <v/>
      </c>
      <c r="D16" s="23" t="str">
        <f>IF(LEFT('Ratings Table'!P45,1)="#","",'Ratings Table'!P45)</f>
        <v/>
      </c>
      <c r="E16" s="23" t="str">
        <f>IF(LEFT('Ratings Table'!Q45,1)="#","",'Ratings Table'!Q45)</f>
        <v/>
      </c>
      <c r="F16" s="23" t="str">
        <f>IF(LEFT('Ratings Table'!R45,1)="#","",'Ratings Table'!R45)</f>
        <v/>
      </c>
      <c r="G16" s="12" t="str">
        <f>IF(C16="","",'Ratings Table'!G45)</f>
        <v/>
      </c>
      <c r="H16" s="12" t="str">
        <f>IF(D16="","",'Ratings Table'!H45)</f>
        <v/>
      </c>
      <c r="I16" s="12" t="str">
        <f>IF(E16="","",'Ratings Table'!I45)</f>
        <v/>
      </c>
      <c r="J16" s="12" t="str">
        <f>IF(F16="","",'Ratings Table'!J45)</f>
        <v/>
      </c>
      <c r="K16" s="13" t="str">
        <f>IF(C16="","",'Ratings Table'!I7)</f>
        <v/>
      </c>
      <c r="L16" s="13" t="str">
        <f>IF(D16="","",'Ratings Table'!K7)</f>
        <v/>
      </c>
      <c r="M16" s="14" t="str">
        <f>IF(E16="","",'Ratings Table'!M7)</f>
        <v/>
      </c>
      <c r="N16" s="38" t="str">
        <f>IF(F16="","",'Ratings Table'!O7)</f>
        <v/>
      </c>
      <c r="Q16" s="3"/>
      <c r="R16" s="3"/>
      <c r="S16"/>
      <c r="T16"/>
    </row>
    <row r="17" spans="2:20" ht="15" customHeight="1">
      <c r="B17" s="35" t="s">
        <v>59</v>
      </c>
      <c r="C17" s="22" t="str">
        <f>IF(LEFT('Ratings Table'!O46,1)="#","",'Ratings Table'!O46)</f>
        <v/>
      </c>
      <c r="D17" s="22" t="str">
        <f>IF(LEFT('Ratings Table'!P46,1)="#","",'Ratings Table'!P46)</f>
        <v/>
      </c>
      <c r="E17" s="22" t="str">
        <f>IF(LEFT('Ratings Table'!Q46,1)="#","",'Ratings Table'!Q46)</f>
        <v/>
      </c>
      <c r="F17" s="22" t="str">
        <f>IF(LEFT('Ratings Table'!R46,1)="#","",'Ratings Table'!R46)</f>
        <v/>
      </c>
      <c r="G17" s="9" t="str">
        <f>IF(C17="","",'Ratings Table'!G46)</f>
        <v/>
      </c>
      <c r="H17" s="9" t="str">
        <f>IF(D17="","",'Ratings Table'!H46)</f>
        <v/>
      </c>
      <c r="I17" s="9" t="str">
        <f>IF(E17="","",'Ratings Table'!I46)</f>
        <v/>
      </c>
      <c r="J17" s="9" t="str">
        <f>IF(F17="","",'Ratings Table'!J46)</f>
        <v/>
      </c>
      <c r="K17" s="10" t="str">
        <f>IF(C17="","",'Ratings Table'!I8)</f>
        <v/>
      </c>
      <c r="L17" s="10" t="str">
        <f>IF(D17="","",'Ratings Table'!K8)</f>
        <v/>
      </c>
      <c r="M17" s="11" t="str">
        <f>IF(E17="","",'Ratings Table'!M8)</f>
        <v/>
      </c>
      <c r="N17" s="36" t="str">
        <f>IF(F17="","",'Ratings Table'!O8)</f>
        <v/>
      </c>
      <c r="Q17" s="3"/>
      <c r="R17" s="3"/>
      <c r="S17"/>
      <c r="T17"/>
    </row>
    <row r="18" spans="2:20" ht="15" customHeight="1">
      <c r="B18" s="37" t="s">
        <v>60</v>
      </c>
      <c r="C18" s="23" t="str">
        <f>IF(LEFT('Ratings Table'!O47,1)="#","",'Ratings Table'!O47)</f>
        <v/>
      </c>
      <c r="D18" s="23" t="str">
        <f>IF(LEFT('Ratings Table'!P47,1)="#","",'Ratings Table'!P47)</f>
        <v/>
      </c>
      <c r="E18" s="23" t="str">
        <f>IF(LEFT('Ratings Table'!Q47,1)="#","",'Ratings Table'!Q47)</f>
        <v/>
      </c>
      <c r="F18" s="23" t="str">
        <f>IF(LEFT('Ratings Table'!R47,1)="#","",'Ratings Table'!R47)</f>
        <v/>
      </c>
      <c r="G18" s="12" t="str">
        <f>IF(C18="","",'Ratings Table'!G47)</f>
        <v/>
      </c>
      <c r="H18" s="12" t="str">
        <f>IF(D18="","",'Ratings Table'!H47)</f>
        <v/>
      </c>
      <c r="I18" s="12" t="str">
        <f>IF(E18="","",'Ratings Table'!I47)</f>
        <v/>
      </c>
      <c r="J18" s="12" t="str">
        <f>IF(F18="","",'Ratings Table'!J47)</f>
        <v/>
      </c>
      <c r="K18" s="13" t="str">
        <f>IF(C18="","",'Ratings Table'!I9)</f>
        <v/>
      </c>
      <c r="L18" s="13" t="str">
        <f>IF(D18="","",'Ratings Table'!K9)</f>
        <v/>
      </c>
      <c r="M18" s="14" t="str">
        <f>IF(E18="","",'Ratings Table'!M9)</f>
        <v/>
      </c>
      <c r="N18" s="38" t="str">
        <f>IF(F18="","",'Ratings Table'!O9)</f>
        <v/>
      </c>
      <c r="Q18" s="3"/>
      <c r="R18" s="3"/>
      <c r="S18"/>
      <c r="T18"/>
    </row>
    <row r="19" spans="2:20" ht="15" customHeight="1">
      <c r="B19" s="35" t="s">
        <v>61</v>
      </c>
      <c r="C19" s="22" t="str">
        <f>IF(LEFT('Ratings Table'!O48,1)="#","",'Ratings Table'!O48)</f>
        <v/>
      </c>
      <c r="D19" s="22" t="str">
        <f>IF(LEFT('Ratings Table'!P48,1)="#","",'Ratings Table'!P48)</f>
        <v/>
      </c>
      <c r="E19" s="22" t="str">
        <f>IF(LEFT('Ratings Table'!Q48,1)="#","",'Ratings Table'!Q48)</f>
        <v/>
      </c>
      <c r="F19" s="22" t="str">
        <f>IF(LEFT('Ratings Table'!R48,1)="#","",'Ratings Table'!R48)</f>
        <v/>
      </c>
      <c r="G19" s="9" t="str">
        <f>IF(C19="","",'Ratings Table'!G48)</f>
        <v/>
      </c>
      <c r="H19" s="9" t="str">
        <f>IF(D19="","",'Ratings Table'!H48)</f>
        <v/>
      </c>
      <c r="I19" s="9" t="str">
        <f>IF(E19="","",'Ratings Table'!I48)</f>
        <v/>
      </c>
      <c r="J19" s="9" t="str">
        <f>IF(F19="","",'Ratings Table'!J48)</f>
        <v/>
      </c>
      <c r="K19" s="10" t="str">
        <f>IF(C19="","",'Ratings Table'!I10)</f>
        <v/>
      </c>
      <c r="L19" s="10" t="str">
        <f>IF(D19="","",'Ratings Table'!K10)</f>
        <v/>
      </c>
      <c r="M19" s="11" t="str">
        <f>IF(E19="","",'Ratings Table'!M10)</f>
        <v/>
      </c>
      <c r="N19" s="36" t="str">
        <f>IF(F19="","",'Ratings Table'!O10)</f>
        <v/>
      </c>
      <c r="Q19" s="3"/>
      <c r="R19" s="3"/>
      <c r="S19"/>
      <c r="T19"/>
    </row>
    <row r="20" spans="2:20" ht="15" customHeight="1">
      <c r="B20" s="37" t="s">
        <v>62</v>
      </c>
      <c r="C20" s="23" t="str">
        <f>IF(LEFT('Ratings Table'!O49,1)="#","",'Ratings Table'!O49)</f>
        <v/>
      </c>
      <c r="D20" s="23" t="str">
        <f>IF(LEFT('Ratings Table'!P49,1)="#","",'Ratings Table'!P49)</f>
        <v/>
      </c>
      <c r="E20" s="23" t="str">
        <f>IF(LEFT('Ratings Table'!Q49,1)="#","",'Ratings Table'!Q49)</f>
        <v/>
      </c>
      <c r="F20" s="23" t="str">
        <f>IF(LEFT('Ratings Table'!R49,1)="#","",'Ratings Table'!R49)</f>
        <v/>
      </c>
      <c r="G20" s="12" t="str">
        <f>IF(C20="","",'Ratings Table'!G49)</f>
        <v/>
      </c>
      <c r="H20" s="12" t="str">
        <f>IF(D20="","",'Ratings Table'!H49)</f>
        <v/>
      </c>
      <c r="I20" s="12" t="str">
        <f>IF(E20="","",'Ratings Table'!I49)</f>
        <v/>
      </c>
      <c r="J20" s="12" t="str">
        <f>IF(F20="","",'Ratings Table'!J49)</f>
        <v/>
      </c>
      <c r="K20" s="13" t="str">
        <f>IF(C20="","",'Ratings Table'!I11)</f>
        <v/>
      </c>
      <c r="L20" s="13" t="str">
        <f>IF(D20="","",'Ratings Table'!K11)</f>
        <v/>
      </c>
      <c r="M20" s="14" t="str">
        <f>IF(E20="","",'Ratings Table'!M11)</f>
        <v/>
      </c>
      <c r="N20" s="38" t="str">
        <f>IF(F20="","",'Ratings Table'!O11)</f>
        <v/>
      </c>
      <c r="Q20" s="3"/>
      <c r="R20" s="3"/>
      <c r="S20"/>
      <c r="T20"/>
    </row>
    <row r="21" spans="2:20" ht="15" customHeight="1">
      <c r="B21" s="35" t="s">
        <v>63</v>
      </c>
      <c r="C21" s="22" t="str">
        <f>IF(LEFT('Ratings Table'!O50,1)="#","",'Ratings Table'!O50)</f>
        <v/>
      </c>
      <c r="D21" s="22" t="str">
        <f>IF(LEFT('Ratings Table'!P50,1)="#","",'Ratings Table'!P50)</f>
        <v/>
      </c>
      <c r="E21" s="22" t="str">
        <f>IF(LEFT('Ratings Table'!Q50,1)="#","",'Ratings Table'!Q50)</f>
        <v/>
      </c>
      <c r="F21" s="22" t="str">
        <f>IF(LEFT('Ratings Table'!R50,1)="#","",'Ratings Table'!R50)</f>
        <v/>
      </c>
      <c r="G21" s="9" t="str">
        <f>IF(C21="","",'Ratings Table'!G50)</f>
        <v/>
      </c>
      <c r="H21" s="9" t="str">
        <f>IF(D21="","",'Ratings Table'!H50)</f>
        <v/>
      </c>
      <c r="I21" s="9" t="str">
        <f>IF(E21="","",'Ratings Table'!I50)</f>
        <v/>
      </c>
      <c r="J21" s="9" t="str">
        <f>IF(F21="","",'Ratings Table'!J50)</f>
        <v/>
      </c>
      <c r="K21" s="10" t="str">
        <f>IF(C21="","",'Ratings Table'!I12)</f>
        <v/>
      </c>
      <c r="L21" s="10" t="str">
        <f>IF(D21="","",'Ratings Table'!K12)</f>
        <v/>
      </c>
      <c r="M21" s="11" t="str">
        <f>IF(E21="","",'Ratings Table'!M12)</f>
        <v/>
      </c>
      <c r="N21" s="36" t="str">
        <f>IF(F21="","",'Ratings Table'!O12)</f>
        <v/>
      </c>
      <c r="Q21" s="3"/>
      <c r="R21" s="3"/>
      <c r="S21"/>
      <c r="T21"/>
    </row>
    <row r="22" spans="2:20" ht="15" customHeight="1">
      <c r="B22" s="37" t="s">
        <v>64</v>
      </c>
      <c r="C22" s="23" t="str">
        <f>IF(LEFT('Ratings Table'!O51,1)="#","",'Ratings Table'!O51)</f>
        <v/>
      </c>
      <c r="D22" s="23" t="str">
        <f>IF(LEFT('Ratings Table'!P51,1)="#","",'Ratings Table'!P51)</f>
        <v/>
      </c>
      <c r="E22" s="23" t="str">
        <f>IF(LEFT('Ratings Table'!Q51,1)="#","",'Ratings Table'!Q51)</f>
        <v/>
      </c>
      <c r="F22" s="23" t="str">
        <f>IF(LEFT('Ratings Table'!R51,1)="#","",'Ratings Table'!R51)</f>
        <v/>
      </c>
      <c r="G22" s="12" t="str">
        <f>IF(C22="","",'Ratings Table'!G51)</f>
        <v/>
      </c>
      <c r="H22" s="12" t="str">
        <f>IF(D22="","",'Ratings Table'!H51)</f>
        <v/>
      </c>
      <c r="I22" s="12" t="str">
        <f>IF(E22="","",'Ratings Table'!I51)</f>
        <v/>
      </c>
      <c r="J22" s="12" t="str">
        <f>IF(F22="","",'Ratings Table'!J51)</f>
        <v/>
      </c>
      <c r="K22" s="13" t="str">
        <f>IF(C22="","",'Ratings Table'!I13)</f>
        <v/>
      </c>
      <c r="L22" s="13" t="str">
        <f>IF(D22="","",'Ratings Table'!K13)</f>
        <v/>
      </c>
      <c r="M22" s="14" t="str">
        <f>IF(E22="","",'Ratings Table'!M13)</f>
        <v/>
      </c>
      <c r="N22" s="38" t="str">
        <f>IF(F22="","",'Ratings Table'!O13)</f>
        <v/>
      </c>
      <c r="Q22" s="3"/>
      <c r="R22" s="3"/>
      <c r="S22"/>
      <c r="T22"/>
    </row>
    <row r="23" spans="2:20" ht="15" customHeight="1">
      <c r="B23" s="35" t="s">
        <v>65</v>
      </c>
      <c r="C23" s="22" t="str">
        <f>IF(LEFT('Ratings Table'!O52,1)="#","",'Ratings Table'!O52)</f>
        <v/>
      </c>
      <c r="D23" s="22" t="str">
        <f>IF(LEFT('Ratings Table'!P52,1)="#","",'Ratings Table'!P52)</f>
        <v/>
      </c>
      <c r="E23" s="22" t="str">
        <f>IF(LEFT('Ratings Table'!Q52,1)="#","",'Ratings Table'!Q52)</f>
        <v/>
      </c>
      <c r="F23" s="22" t="str">
        <f>IF(LEFT('Ratings Table'!R52,1)="#","",'Ratings Table'!R52)</f>
        <v/>
      </c>
      <c r="G23" s="9" t="str">
        <f>IF(C23="","",'Ratings Table'!G52)</f>
        <v/>
      </c>
      <c r="H23" s="9" t="str">
        <f>IF(D23="","",'Ratings Table'!H52)</f>
        <v/>
      </c>
      <c r="I23" s="9" t="str">
        <f>IF(E23="","",'Ratings Table'!I52)</f>
        <v/>
      </c>
      <c r="J23" s="9" t="str">
        <f>IF(F23="","",'Ratings Table'!J52)</f>
        <v/>
      </c>
      <c r="K23" s="10" t="str">
        <f>IF(C23="","",'Ratings Table'!I14)</f>
        <v/>
      </c>
      <c r="L23" s="10" t="str">
        <f>IF(D23="","",'Ratings Table'!K14)</f>
        <v/>
      </c>
      <c r="M23" s="11" t="str">
        <f>IF(E23="","",'Ratings Table'!M14)</f>
        <v/>
      </c>
      <c r="N23" s="36" t="str">
        <f>IF(F23="","",'Ratings Table'!O14)</f>
        <v/>
      </c>
      <c r="Q23" s="3"/>
      <c r="R23" s="3"/>
      <c r="S23"/>
      <c r="T23"/>
    </row>
    <row r="24" spans="2:20" ht="15" customHeight="1">
      <c r="B24" s="37" t="s">
        <v>66</v>
      </c>
      <c r="C24" s="23" t="str">
        <f>IF(LEFT('Ratings Table'!O53,1)="#","",'Ratings Table'!O53)</f>
        <v/>
      </c>
      <c r="D24" s="23" t="str">
        <f>IF(LEFT('Ratings Table'!P53,1)="#","",'Ratings Table'!P53)</f>
        <v/>
      </c>
      <c r="E24" s="23" t="str">
        <f>IF(LEFT('Ratings Table'!Q53,1)="#","",'Ratings Table'!Q53)</f>
        <v/>
      </c>
      <c r="F24" s="23" t="str">
        <f>IF(LEFT('Ratings Table'!R53,1)="#","",'Ratings Table'!R53)</f>
        <v/>
      </c>
      <c r="G24" s="12" t="str">
        <f>IF(C24="","",'Ratings Table'!G53)</f>
        <v/>
      </c>
      <c r="H24" s="12" t="str">
        <f>IF(D24="","",'Ratings Table'!H53)</f>
        <v/>
      </c>
      <c r="I24" s="12" t="str">
        <f>IF(E24="","",'Ratings Table'!I53)</f>
        <v/>
      </c>
      <c r="J24" s="12" t="str">
        <f>IF(F24="","",'Ratings Table'!J53)</f>
        <v/>
      </c>
      <c r="K24" s="13" t="str">
        <f>IF(C24="","",'Ratings Table'!I15)</f>
        <v/>
      </c>
      <c r="L24" s="13" t="str">
        <f>IF(D24="","",'Ratings Table'!K15)</f>
        <v/>
      </c>
      <c r="M24" s="14" t="str">
        <f>IF(E24="","",'Ratings Table'!M15)</f>
        <v/>
      </c>
      <c r="N24" s="38" t="str">
        <f>IF(F24="","",'Ratings Table'!O15)</f>
        <v/>
      </c>
      <c r="Q24" s="3"/>
      <c r="R24" s="3"/>
      <c r="S24"/>
      <c r="T24"/>
    </row>
    <row r="25" spans="2:20" ht="15" customHeight="1">
      <c r="B25" s="35" t="s">
        <v>67</v>
      </c>
      <c r="C25" s="22" t="str">
        <f>IF(LEFT('Ratings Table'!O54,1)="#","",'Ratings Table'!O54)</f>
        <v/>
      </c>
      <c r="D25" s="22" t="str">
        <f>IF(LEFT('Ratings Table'!P54,1)="#","",'Ratings Table'!P54)</f>
        <v/>
      </c>
      <c r="E25" s="22" t="str">
        <f>IF(LEFT('Ratings Table'!Q54,1)="#","",'Ratings Table'!Q54)</f>
        <v/>
      </c>
      <c r="F25" s="22" t="str">
        <f>IF(LEFT('Ratings Table'!R54,1)="#","",'Ratings Table'!R54)</f>
        <v/>
      </c>
      <c r="G25" s="9" t="str">
        <f>IF(C25="","",'Ratings Table'!G54)</f>
        <v/>
      </c>
      <c r="H25" s="9" t="str">
        <f>IF(D25="","",'Ratings Table'!H54)</f>
        <v/>
      </c>
      <c r="I25" s="9" t="str">
        <f>IF(E25="","",'Ratings Table'!I54)</f>
        <v/>
      </c>
      <c r="J25" s="9" t="str">
        <f>IF(F25="","",'Ratings Table'!J54)</f>
        <v/>
      </c>
      <c r="K25" s="10" t="str">
        <f>IF(C25="","",'Ratings Table'!I16)</f>
        <v/>
      </c>
      <c r="L25" s="10" t="str">
        <f>IF(D25="","",'Ratings Table'!K16)</f>
        <v/>
      </c>
      <c r="M25" s="11" t="str">
        <f>IF(E25="","",'Ratings Table'!M16)</f>
        <v/>
      </c>
      <c r="N25" s="36" t="str">
        <f>IF(F25="","",'Ratings Table'!O16)</f>
        <v/>
      </c>
      <c r="Q25" s="3"/>
      <c r="R25" s="3"/>
      <c r="S25"/>
      <c r="T25"/>
    </row>
    <row r="26" spans="2:20" ht="15" customHeight="1">
      <c r="B26" s="37" t="s">
        <v>68</v>
      </c>
      <c r="C26" s="23" t="str">
        <f>IF(LEFT('Ratings Table'!O55,1)="#","",'Ratings Table'!O55)</f>
        <v/>
      </c>
      <c r="D26" s="23" t="str">
        <f>IF(LEFT('Ratings Table'!P55,1)="#","",'Ratings Table'!P55)</f>
        <v/>
      </c>
      <c r="E26" s="23" t="str">
        <f>IF(LEFT('Ratings Table'!Q55,1)="#","",'Ratings Table'!Q55)</f>
        <v/>
      </c>
      <c r="F26" s="23" t="str">
        <f>IF(LEFT('Ratings Table'!R55,1)="#","",'Ratings Table'!R55)</f>
        <v/>
      </c>
      <c r="G26" s="12" t="str">
        <f>IF(C26="","",'Ratings Table'!G55)</f>
        <v/>
      </c>
      <c r="H26" s="12" t="str">
        <f>IF(D26="","",'Ratings Table'!H55)</f>
        <v/>
      </c>
      <c r="I26" s="12" t="str">
        <f>IF(E26="","",'Ratings Table'!I55)</f>
        <v/>
      </c>
      <c r="J26" s="12" t="str">
        <f>IF(F26="","",'Ratings Table'!J55)</f>
        <v/>
      </c>
      <c r="K26" s="13" t="str">
        <f>IF(C26="","",'Ratings Table'!I17)</f>
        <v/>
      </c>
      <c r="L26" s="13" t="str">
        <f>IF(D26="","",'Ratings Table'!K17)</f>
        <v/>
      </c>
      <c r="M26" s="14" t="str">
        <f>IF(E26="","",'Ratings Table'!M17)</f>
        <v/>
      </c>
      <c r="N26" s="38" t="str">
        <f>IF(F26="","",'Ratings Table'!O17)</f>
        <v/>
      </c>
      <c r="Q26" s="3"/>
      <c r="R26" s="3"/>
      <c r="S26"/>
      <c r="T26"/>
    </row>
    <row r="27" spans="2:20" ht="15" customHeight="1">
      <c r="B27" s="35" t="s">
        <v>69</v>
      </c>
      <c r="C27" s="22" t="str">
        <f>IF(LEFT('Ratings Table'!O56,1)="#","",'Ratings Table'!O56)</f>
        <v/>
      </c>
      <c r="D27" s="22" t="str">
        <f>IF(LEFT('Ratings Table'!P56,1)="#","",'Ratings Table'!P56)</f>
        <v/>
      </c>
      <c r="E27" s="22" t="str">
        <f>IF(LEFT('Ratings Table'!Q56,1)="#","",'Ratings Table'!Q56)</f>
        <v/>
      </c>
      <c r="F27" s="22" t="str">
        <f>IF(LEFT('Ratings Table'!R56,1)="#","",'Ratings Table'!R56)</f>
        <v/>
      </c>
      <c r="G27" s="9" t="str">
        <f>IF(C27="","",'Ratings Table'!G56)</f>
        <v/>
      </c>
      <c r="H27" s="9" t="str">
        <f>IF(D27="","",'Ratings Table'!H56)</f>
        <v/>
      </c>
      <c r="I27" s="9" t="str">
        <f>IF(E27="","",'Ratings Table'!I56)</f>
        <v/>
      </c>
      <c r="J27" s="9" t="str">
        <f>IF(F27="","",'Ratings Table'!J56)</f>
        <v/>
      </c>
      <c r="K27" s="10" t="str">
        <f>IF(C27="","",'Ratings Table'!I18)</f>
        <v/>
      </c>
      <c r="L27" s="10" t="str">
        <f>IF(D27="","",'Ratings Table'!K18)</f>
        <v/>
      </c>
      <c r="M27" s="11" t="str">
        <f>IF(E27="","",'Ratings Table'!M18)</f>
        <v/>
      </c>
      <c r="N27" s="36" t="str">
        <f>IF(F27="","",'Ratings Table'!O18)</f>
        <v/>
      </c>
      <c r="Q27" s="3"/>
      <c r="R27" s="3"/>
      <c r="S27"/>
      <c r="T27"/>
    </row>
    <row r="28" spans="2:20" ht="15" customHeight="1">
      <c r="B28" s="39" t="s">
        <v>70</v>
      </c>
      <c r="C28" s="23" t="str">
        <f>IF(LEFT('Ratings Table'!O57,1)="#","",'Ratings Table'!O57)</f>
        <v/>
      </c>
      <c r="D28" s="23" t="str">
        <f>IF(LEFT('Ratings Table'!P57,1)="#","",'Ratings Table'!P57)</f>
        <v/>
      </c>
      <c r="E28" s="23" t="str">
        <f>IF(LEFT('Ratings Table'!Q57,1)="#","",'Ratings Table'!Q57)</f>
        <v/>
      </c>
      <c r="F28" s="23" t="str">
        <f>IF(LEFT('Ratings Table'!R57,1)="#","",'Ratings Table'!R57)</f>
        <v/>
      </c>
      <c r="G28" s="12" t="str">
        <f>IF(C28="","",'Ratings Table'!G57)</f>
        <v/>
      </c>
      <c r="H28" s="12" t="str">
        <f>IF(D28="","",'Ratings Table'!H57)</f>
        <v/>
      </c>
      <c r="I28" s="12" t="str">
        <f>IF(E28="","",'Ratings Table'!I57)</f>
        <v/>
      </c>
      <c r="J28" s="12" t="str">
        <f>IF(F28="","",'Ratings Table'!J57)</f>
        <v/>
      </c>
      <c r="K28" s="13" t="str">
        <f>IF(C28="","",'Ratings Table'!I19)</f>
        <v/>
      </c>
      <c r="L28" s="13" t="str">
        <f>IF(D28="","",'Ratings Table'!K19)</f>
        <v/>
      </c>
      <c r="M28" s="14" t="str">
        <f>IF(E28="","",'Ratings Table'!M19)</f>
        <v/>
      </c>
      <c r="N28" s="38" t="str">
        <f>IF(F28="","",'Ratings Table'!O19)</f>
        <v/>
      </c>
      <c r="Q28" s="3"/>
      <c r="R28" s="3"/>
      <c r="S28"/>
      <c r="T28"/>
    </row>
    <row r="29" spans="2:20" ht="15" customHeight="1">
      <c r="B29" s="35"/>
      <c r="C29" s="22" t="str">
        <f>IF(LEFT('Ratings Table'!O58,1)="#","",'Ratings Table'!O58)</f>
        <v/>
      </c>
      <c r="D29" s="22" t="str">
        <f>IF(LEFT('Ratings Table'!P58,1)="#","",'Ratings Table'!P58)</f>
        <v/>
      </c>
      <c r="E29" s="22" t="str">
        <f>IF(LEFT('Ratings Table'!Q58,1)="#","",'Ratings Table'!Q58)</f>
        <v/>
      </c>
      <c r="F29" s="22" t="str">
        <f>IF(LEFT('Ratings Table'!R58,1)="#","",'Ratings Table'!R58)</f>
        <v/>
      </c>
      <c r="G29" s="9" t="str">
        <f>IF(C29="","",'Ratings Table'!G58)</f>
        <v/>
      </c>
      <c r="H29" s="9" t="str">
        <f>IF(D29="","",'Ratings Table'!H58)</f>
        <v/>
      </c>
      <c r="I29" s="9" t="str">
        <f>IF(E29="","",'Ratings Table'!I58)</f>
        <v/>
      </c>
      <c r="J29" s="9" t="str">
        <f>IF(F29="","",'Ratings Table'!J58)</f>
        <v/>
      </c>
      <c r="K29" s="10" t="str">
        <f>IF(C29="","",'Ratings Table'!I20)</f>
        <v/>
      </c>
      <c r="L29" s="10" t="str">
        <f>IF(D29="","",'Ratings Table'!K20)</f>
        <v/>
      </c>
      <c r="M29" s="11" t="str">
        <f>IF(E29="","",'Ratings Table'!M20)</f>
        <v/>
      </c>
      <c r="N29" s="36" t="str">
        <f>IF(F29="","",'Ratings Table'!O20)</f>
        <v/>
      </c>
      <c r="Q29" s="3"/>
      <c r="R29" s="3"/>
      <c r="S29"/>
      <c r="T29"/>
    </row>
    <row r="30" spans="2:20" ht="15" customHeight="1">
      <c r="B30" s="39"/>
      <c r="C30" s="40" t="str">
        <f>IF(LEFT('Ratings Table'!O59,1)="#","",'Ratings Table'!O59)</f>
        <v/>
      </c>
      <c r="D30" s="40" t="str">
        <f>IF(LEFT('Ratings Table'!P59,1)="#","",'Ratings Table'!P59)</f>
        <v/>
      </c>
      <c r="E30" s="40" t="str">
        <f>IF(LEFT('Ratings Table'!Q59,1)="#","",'Ratings Table'!Q59)</f>
        <v/>
      </c>
      <c r="F30" s="40" t="str">
        <f>IF(LEFT('Ratings Table'!R59,1)="#","",'Ratings Table'!R59)</f>
        <v/>
      </c>
      <c r="G30" s="41" t="str">
        <f>IF(C30="","",'Ratings Table'!G59)</f>
        <v/>
      </c>
      <c r="H30" s="41" t="str">
        <f>IF(D30="","",'Ratings Table'!H59)</f>
        <v/>
      </c>
      <c r="I30" s="41" t="str">
        <f>IF(E30="","",'Ratings Table'!I59)</f>
        <v/>
      </c>
      <c r="J30" s="41" t="str">
        <f>IF(F30="","",'Ratings Table'!J59)</f>
        <v/>
      </c>
      <c r="K30" s="42" t="str">
        <f>IF(C30="","",'Ratings Table'!I21)</f>
        <v/>
      </c>
      <c r="L30" s="42" t="str">
        <f>IF(D30="","",'Ratings Table'!K21)</f>
        <v/>
      </c>
      <c r="M30" s="43" t="str">
        <f>IF(E30="","",'Ratings Table'!M21)</f>
        <v/>
      </c>
      <c r="N30" s="44" t="str">
        <f>IF(F30="","",'Ratings Table'!O21)</f>
        <v/>
      </c>
      <c r="Q30" s="3"/>
      <c r="R30" s="3"/>
      <c r="S30"/>
      <c r="T30"/>
    </row>
    <row r="31" spans="2:20" ht="5.0999999999999996" customHeight="1">
      <c r="G31" s="2"/>
      <c r="H31" s="2"/>
      <c r="I31" s="2"/>
    </row>
    <row r="32" spans="2:20" ht="26.25">
      <c r="B32" s="46" t="s">
        <v>37</v>
      </c>
      <c r="C32" s="47"/>
      <c r="D32" s="47"/>
      <c r="E32" s="47"/>
      <c r="F32" s="47"/>
      <c r="G32" s="48"/>
      <c r="H32" s="2"/>
      <c r="I32" s="46" t="s">
        <v>29</v>
      </c>
      <c r="J32" s="47"/>
      <c r="K32" s="47"/>
      <c r="L32" s="47"/>
      <c r="M32" s="47"/>
      <c r="N32" s="47"/>
      <c r="O32" s="47"/>
      <c r="P32" s="47"/>
      <c r="Q32" s="47"/>
      <c r="R32" s="48"/>
    </row>
    <row r="33" spans="2:18" ht="15" customHeight="1">
      <c r="B33" s="15"/>
      <c r="G33" s="16"/>
      <c r="H33" s="2"/>
      <c r="I33" s="24"/>
      <c r="R33" s="25"/>
    </row>
    <row r="34" spans="2:18" ht="15" customHeight="1">
      <c r="B34" s="15"/>
      <c r="G34" s="16"/>
      <c r="H34" s="2"/>
      <c r="I34" s="24"/>
      <c r="R34" s="25"/>
    </row>
    <row r="35" spans="2:18" ht="15" customHeight="1">
      <c r="B35" s="15"/>
      <c r="G35" s="16"/>
      <c r="H35" s="2"/>
      <c r="I35" s="24"/>
      <c r="R35" s="25"/>
    </row>
    <row r="36" spans="2:18" ht="15" customHeight="1">
      <c r="B36" s="15"/>
      <c r="G36" s="16"/>
      <c r="H36" s="2"/>
      <c r="I36" s="24"/>
      <c r="R36" s="25"/>
    </row>
    <row r="37" spans="2:18" ht="15" customHeight="1">
      <c r="B37" s="15"/>
      <c r="G37" s="16"/>
      <c r="H37" s="2"/>
      <c r="I37" s="24"/>
      <c r="R37" s="25"/>
    </row>
    <row r="38" spans="2:18" ht="15" customHeight="1">
      <c r="B38" s="15"/>
      <c r="G38" s="16"/>
      <c r="H38" s="2"/>
      <c r="I38" s="24"/>
      <c r="R38" s="25"/>
    </row>
    <row r="39" spans="2:18" ht="15" customHeight="1">
      <c r="B39" s="15"/>
      <c r="G39" s="16"/>
      <c r="H39" s="2"/>
      <c r="I39" s="24"/>
      <c r="R39" s="25"/>
    </row>
    <row r="40" spans="2:18" ht="15" customHeight="1">
      <c r="B40" s="15"/>
      <c r="G40" s="16"/>
      <c r="H40" s="2"/>
      <c r="I40" s="24"/>
      <c r="R40" s="25"/>
    </row>
    <row r="41" spans="2:18" ht="15" customHeight="1">
      <c r="B41" s="15"/>
      <c r="G41" s="16"/>
      <c r="H41" s="2"/>
      <c r="I41" s="24"/>
      <c r="R41" s="25"/>
    </row>
    <row r="42" spans="2:18" ht="15" customHeight="1">
      <c r="B42" s="15"/>
      <c r="G42" s="16"/>
      <c r="H42" s="2"/>
      <c r="I42" s="24"/>
      <c r="R42" s="25"/>
    </row>
    <row r="43" spans="2:18" ht="15" customHeight="1">
      <c r="B43" s="15"/>
      <c r="G43" s="16"/>
      <c r="H43" s="2"/>
      <c r="I43" s="24"/>
      <c r="R43" s="25"/>
    </row>
    <row r="44" spans="2:18" ht="15" customHeight="1">
      <c r="B44" s="15"/>
      <c r="G44" s="16"/>
      <c r="H44" s="2"/>
      <c r="I44" s="24"/>
      <c r="R44" s="25"/>
    </row>
    <row r="45" spans="2:18" ht="42">
      <c r="B45" s="45" t="s">
        <v>71</v>
      </c>
      <c r="C45" s="17"/>
      <c r="D45" s="18"/>
      <c r="E45" s="18"/>
      <c r="F45" s="18"/>
      <c r="G45" s="19"/>
      <c r="H45" s="2"/>
      <c r="I45" s="45" t="s">
        <v>71</v>
      </c>
      <c r="J45" s="26"/>
      <c r="K45" s="27"/>
      <c r="L45" s="27"/>
      <c r="M45" s="27"/>
      <c r="N45" s="27"/>
      <c r="O45" s="27"/>
      <c r="P45" s="27"/>
      <c r="Q45" s="28"/>
      <c r="R45" s="29"/>
    </row>
    <row r="46" spans="2:18" ht="5.0999999999999996" customHeight="1">
      <c r="G46" s="2"/>
      <c r="H46" s="2"/>
      <c r="I46" s="2"/>
    </row>
    <row r="47" spans="2:18" ht="26.25">
      <c r="B47" s="46" t="s">
        <v>30</v>
      </c>
      <c r="C47" s="47"/>
      <c r="D47" s="47"/>
      <c r="E47" s="47"/>
      <c r="F47" s="47"/>
      <c r="G47" s="48"/>
      <c r="H47" s="2"/>
      <c r="I47" s="46" t="s">
        <v>31</v>
      </c>
      <c r="J47" s="47"/>
      <c r="K47" s="47"/>
      <c r="L47" s="47"/>
      <c r="M47" s="47"/>
      <c r="N47" s="47"/>
      <c r="O47" s="47"/>
      <c r="P47" s="47"/>
      <c r="Q47" s="47"/>
      <c r="R47" s="48"/>
    </row>
    <row r="48" spans="2:18" ht="15" customHeight="1">
      <c r="B48" s="15"/>
      <c r="G48" s="16"/>
      <c r="H48" s="2"/>
      <c r="I48" s="15"/>
      <c r="J48" s="2"/>
      <c r="K48" s="2"/>
      <c r="L48" s="2"/>
      <c r="M48" s="2"/>
      <c r="R48" s="25"/>
    </row>
    <row r="49" spans="2:18" ht="15" customHeight="1">
      <c r="B49" s="15"/>
      <c r="G49" s="16"/>
      <c r="H49" s="2"/>
      <c r="I49" s="15"/>
      <c r="J49" s="2"/>
      <c r="K49" s="2"/>
      <c r="L49" s="2"/>
      <c r="M49" s="2"/>
      <c r="R49" s="25"/>
    </row>
    <row r="50" spans="2:18" ht="15" customHeight="1">
      <c r="B50" s="15"/>
      <c r="G50" s="16"/>
      <c r="H50" s="2"/>
      <c r="I50" s="15"/>
      <c r="J50" s="2"/>
      <c r="K50" s="2"/>
      <c r="L50" s="2"/>
      <c r="M50" s="2"/>
      <c r="R50" s="25"/>
    </row>
    <row r="51" spans="2:18" ht="15" customHeight="1">
      <c r="B51" s="15"/>
      <c r="G51" s="20"/>
      <c r="I51" s="15"/>
      <c r="J51" s="2"/>
      <c r="K51" s="2"/>
      <c r="L51" s="2"/>
      <c r="M51" s="1"/>
      <c r="R51" s="25"/>
    </row>
    <row r="52" spans="2:18" ht="15" customHeight="1">
      <c r="B52" s="15"/>
      <c r="G52" s="20"/>
      <c r="I52" s="15"/>
      <c r="J52" s="2"/>
      <c r="K52" s="2"/>
      <c r="L52" s="2"/>
      <c r="M52" s="1"/>
      <c r="R52" s="25"/>
    </row>
    <row r="53" spans="2:18" ht="15" customHeight="1">
      <c r="B53" s="15"/>
      <c r="G53" s="20"/>
      <c r="I53" s="15"/>
      <c r="J53" s="2"/>
      <c r="K53" s="2"/>
      <c r="L53" s="2"/>
      <c r="M53" s="1"/>
      <c r="R53" s="25"/>
    </row>
    <row r="54" spans="2:18" ht="15" customHeight="1">
      <c r="B54" s="15"/>
      <c r="G54" s="20"/>
      <c r="I54" s="15"/>
      <c r="J54" s="2"/>
      <c r="K54" s="2"/>
      <c r="L54" s="2"/>
      <c r="M54" s="1"/>
      <c r="R54" s="25"/>
    </row>
    <row r="55" spans="2:18" ht="15" customHeight="1">
      <c r="B55" s="15"/>
      <c r="G55" s="20"/>
      <c r="I55" s="15"/>
      <c r="J55" s="2"/>
      <c r="K55" s="2"/>
      <c r="L55" s="2"/>
      <c r="M55" s="1"/>
      <c r="R55" s="25"/>
    </row>
    <row r="56" spans="2:18" ht="15" customHeight="1">
      <c r="B56" s="15"/>
      <c r="G56" s="20"/>
      <c r="I56" s="15"/>
      <c r="J56" s="2"/>
      <c r="K56" s="2"/>
      <c r="L56" s="2"/>
      <c r="M56" s="1"/>
      <c r="R56" s="25"/>
    </row>
    <row r="57" spans="2:18" ht="15" customHeight="1">
      <c r="B57" s="15"/>
      <c r="G57" s="20"/>
      <c r="I57" s="15"/>
      <c r="J57" s="2"/>
      <c r="K57" s="2"/>
      <c r="L57" s="2"/>
      <c r="M57" s="1"/>
      <c r="R57" s="25"/>
    </row>
    <row r="58" spans="2:18" ht="15" customHeight="1">
      <c r="B58" s="15"/>
      <c r="G58" s="20"/>
      <c r="I58" s="15"/>
      <c r="J58" s="2"/>
      <c r="K58" s="2"/>
      <c r="L58" s="2"/>
      <c r="M58" s="1"/>
      <c r="R58" s="25"/>
    </row>
    <row r="59" spans="2:18" ht="15" customHeight="1">
      <c r="B59" s="15"/>
      <c r="G59" s="20"/>
      <c r="I59" s="15"/>
      <c r="J59" s="2"/>
      <c r="K59" s="2"/>
      <c r="L59" s="2"/>
      <c r="M59" s="1"/>
      <c r="R59" s="25"/>
    </row>
    <row r="60" spans="2:18" ht="42">
      <c r="B60" s="45" t="s">
        <v>71</v>
      </c>
      <c r="C60" s="17"/>
      <c r="D60" s="18"/>
      <c r="E60" s="18"/>
      <c r="F60" s="18"/>
      <c r="G60" s="21"/>
      <c r="I60" s="45" t="s">
        <v>71</v>
      </c>
      <c r="J60" s="18"/>
      <c r="K60" s="18"/>
      <c r="L60" s="18"/>
      <c r="M60" s="30"/>
      <c r="N60" s="27"/>
      <c r="O60" s="27"/>
      <c r="P60" s="27"/>
      <c r="Q60" s="28"/>
      <c r="R60" s="29"/>
    </row>
    <row r="61" spans="2:18" ht="5.0999999999999996" customHeight="1"/>
    <row r="62" spans="2:18" ht="15" customHeight="1"/>
    <row r="63" spans="2:18" ht="15" customHeight="1"/>
    <row r="64" spans="2:18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</sheetData>
  <mergeCells count="10">
    <mergeCell ref="B47:G47"/>
    <mergeCell ref="D7:E7"/>
    <mergeCell ref="G7:L7"/>
    <mergeCell ref="I32:R32"/>
    <mergeCell ref="K9:N9"/>
    <mergeCell ref="G9:J9"/>
    <mergeCell ref="C9:F9"/>
    <mergeCell ref="I47:R47"/>
    <mergeCell ref="B32:G32"/>
    <mergeCell ref="M7:N7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GO">
          <controlPr defaultSize="0" autoLine="0" r:id="rId5">
            <anchor moveWithCells="1">
              <from>
                <xdr:col>0</xdr:col>
                <xdr:colOff>104775</xdr:colOff>
                <xdr:row>6</xdr:row>
                <xdr:rowOff>0</xdr:rowOff>
              </from>
              <to>
                <xdr:col>2</xdr:col>
                <xdr:colOff>1123950</xdr:colOff>
                <xdr:row>7</xdr:row>
                <xdr:rowOff>9525</xdr:rowOff>
              </to>
            </anchor>
          </controlPr>
        </control>
      </mc:Choice>
      <mc:Fallback>
        <control shapeId="1025" r:id="rId4" name="GO"/>
      </mc:Fallback>
    </mc:AlternateContent>
    <mc:AlternateContent xmlns:mc="http://schemas.openxmlformats.org/markup-compatibility/2006">
      <mc:Choice Requires="x14">
        <control shapeId="1506" r:id="rId6" name="MeasureBox">
          <controlPr defaultSize="0" autoLine="0" linkedCell="B1" listFillRange="Measure_List" r:id="rId7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114300</xdr:colOff>
                <xdr:row>7</xdr:row>
                <xdr:rowOff>28575</xdr:rowOff>
              </to>
            </anchor>
          </controlPr>
        </control>
      </mc:Choice>
      <mc:Fallback>
        <control shapeId="1506" r:id="rId6" name="Measure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RateData"/>
  <dimension ref="B1:S100"/>
  <sheetViews>
    <sheetView topLeftCell="E1" zoomScale="115" zoomScaleNormal="115" workbookViewId="0">
      <selection activeCell="I5" sqref="I5"/>
    </sheetView>
  </sheetViews>
  <sheetFormatPr defaultRowHeight="12.75"/>
  <cols>
    <col min="5" max="5" width="18.42578125" bestFit="1" customWidth="1"/>
    <col min="6" max="6" width="7" bestFit="1" customWidth="1"/>
    <col min="7" max="8" width="51" bestFit="1" customWidth="1"/>
    <col min="9" max="10" width="52" bestFit="1" customWidth="1"/>
    <col min="11" max="12" width="51" bestFit="1" customWidth="1"/>
    <col min="13" max="14" width="52" bestFit="1" customWidth="1"/>
    <col min="15" max="16" width="51" bestFit="1" customWidth="1"/>
    <col min="17" max="18" width="52" bestFit="1" customWidth="1"/>
    <col min="19" max="19" width="3" bestFit="1" customWidth="1"/>
  </cols>
  <sheetData>
    <row r="1" spans="2:19">
      <c r="H1">
        <f>MAX(P2:S8)</f>
        <v>0</v>
      </c>
      <c r="I1" s="4"/>
    </row>
    <row r="2" spans="2:19" ht="15">
      <c r="B2" t="s">
        <v>4</v>
      </c>
      <c r="C2">
        <v>1</v>
      </c>
      <c r="F2" t="b">
        <f>IF(RIGHT('Benchmark Bonds'!B11,3)="ity",TRUE,FALSE)</f>
        <v>0</v>
      </c>
      <c r="G2" t="str" cm="1">
        <f t="array" ref="G2">IF(F2=TRUE,_xll.BDP('Benchmark Bonds'!B11,"ticker"),_xll.BDP('Benchmark Bonds'!B11&amp;" Equity","ticker"))</f>
        <v>#N/A Connection</v>
      </c>
      <c r="H2" s="3" t="e">
        <f>VLOOKUP(G40,SPRateTable,2,FALSE)</f>
        <v>#N/A</v>
      </c>
      <c r="I2" s="3" t="e">
        <f>IF(ISNUMBER(K40),K40,NA())</f>
        <v>#N/A</v>
      </c>
      <c r="J2" s="3" t="e">
        <f>VLOOKUP(H40,SPRateTable,2,FALSE)</f>
        <v>#N/A</v>
      </c>
      <c r="K2" s="3" t="e">
        <f>IF(ISNUMBER(L40),L40,NA())</f>
        <v>#N/A</v>
      </c>
      <c r="L2" s="3" t="e">
        <f>VLOOKUP(I40,SPRateTable,2,FALSE)</f>
        <v>#N/A</v>
      </c>
      <c r="M2" s="3" t="e">
        <f>IF(ISNUMBER(M40),M40,NA())</f>
        <v>#N/A</v>
      </c>
      <c r="N2" s="3" t="e">
        <f>VLOOKUP(J40,SPRateTable,2,FALSE)</f>
        <v>#N/A</v>
      </c>
      <c r="O2" s="3" t="e">
        <f>IF(ISNUMBER(N40),N40,NA())</f>
        <v>#N/A</v>
      </c>
      <c r="P2" t="str">
        <f>IF(ISNUMBER(H2),H2,"")</f>
        <v/>
      </c>
      <c r="Q2" t="str">
        <f>IF(ISNUMBER(J2),J2,"")</f>
        <v/>
      </c>
      <c r="R2" t="str">
        <f>IF(ISNUMBER(L2),L2,"")</f>
        <v/>
      </c>
      <c r="S2" t="str">
        <f>IF(ISNUMBER(N2),N2,"")</f>
        <v/>
      </c>
    </row>
    <row r="3" spans="2:19" ht="15">
      <c r="B3" t="s">
        <v>5</v>
      </c>
      <c r="C3">
        <v>2</v>
      </c>
      <c r="F3" t="b">
        <f>IF(RIGHT('Benchmark Bonds'!B12,3)="ity",TRUE,FALSE)</f>
        <v>0</v>
      </c>
      <c r="G3" t="str" cm="1">
        <f t="array" ref="G3">IF(F3=TRUE,_xll.BDP('Benchmark Bonds'!B12,"ticker"),_xll.BDP('Benchmark Bonds'!B12&amp;" Equity","ticker"))</f>
        <v>#N/A Connection</v>
      </c>
      <c r="H3" s="3" t="e">
        <f t="shared" ref="H3:H21" si="0">VLOOKUP(G41,SPRateTable,2,FALSE)</f>
        <v>#N/A</v>
      </c>
      <c r="I3" s="3" t="e">
        <f t="shared" ref="I3:I21" si="1">IF(ISNUMBER(K41),K41,NA())</f>
        <v>#N/A</v>
      </c>
      <c r="J3" s="3" t="e">
        <f t="shared" ref="J3:J21" si="2">VLOOKUP(H41,SPRateTable,2,FALSE)</f>
        <v>#N/A</v>
      </c>
      <c r="K3" s="3" t="e">
        <f t="shared" ref="K3:K21" si="3">IF(ISNUMBER(L41),L41,NA())</f>
        <v>#N/A</v>
      </c>
      <c r="L3" s="3" t="e">
        <f t="shared" ref="L3:L21" si="4">VLOOKUP(I41,SPRateTable,2,FALSE)</f>
        <v>#N/A</v>
      </c>
      <c r="M3" s="3" t="e">
        <f t="shared" ref="M3:M21" si="5">IF(ISNUMBER(M41),M41,NA())</f>
        <v>#N/A</v>
      </c>
      <c r="N3" s="3" t="e">
        <f t="shared" ref="N3:N21" si="6">VLOOKUP(J41,SPRateTable,2,FALSE)</f>
        <v>#N/A</v>
      </c>
      <c r="O3" s="3" t="e">
        <f t="shared" ref="O3:O21" si="7">IF(ISNUMBER(N41),N41,NA())</f>
        <v>#N/A</v>
      </c>
      <c r="P3" t="str">
        <f t="shared" ref="P3:P21" si="8">IF(ISNUMBER(H3),H3,"")</f>
        <v/>
      </c>
      <c r="Q3" t="str">
        <f t="shared" ref="Q3:Q21" si="9">IF(ISNUMBER(J3),J3,"")</f>
        <v/>
      </c>
      <c r="R3" t="str">
        <f t="shared" ref="R3:R21" si="10">IF(ISNUMBER(L3),L3,"")</f>
        <v/>
      </c>
      <c r="S3" t="str">
        <f t="shared" ref="S3:S21" si="11">IF(ISNUMBER(N3),N3,"")</f>
        <v/>
      </c>
    </row>
    <row r="4" spans="2:19" ht="15">
      <c r="B4" t="s">
        <v>6</v>
      </c>
      <c r="C4">
        <v>3</v>
      </c>
      <c r="F4" t="b">
        <f>IF(RIGHT('Benchmark Bonds'!B13,3)="ity",TRUE,FALSE)</f>
        <v>0</v>
      </c>
      <c r="G4" t="str" cm="1">
        <f t="array" ref="G4">IF(F4=TRUE,_xll.BDP('Benchmark Bonds'!B13,"ticker"),_xll.BDP('Benchmark Bonds'!B13&amp;" Equity","ticker"))</f>
        <v>#N/A Connection</v>
      </c>
      <c r="H4" s="3" t="e">
        <f t="shared" si="0"/>
        <v>#N/A</v>
      </c>
      <c r="I4" s="3" t="e">
        <f t="shared" si="1"/>
        <v>#N/A</v>
      </c>
      <c r="J4" s="3" t="e">
        <f t="shared" si="2"/>
        <v>#N/A</v>
      </c>
      <c r="K4" s="3" t="e">
        <f t="shared" si="3"/>
        <v>#N/A</v>
      </c>
      <c r="L4" s="3" t="e">
        <f t="shared" si="4"/>
        <v>#N/A</v>
      </c>
      <c r="M4" s="3" t="e">
        <f t="shared" si="5"/>
        <v>#N/A</v>
      </c>
      <c r="N4" s="3" t="e">
        <f t="shared" si="6"/>
        <v>#N/A</v>
      </c>
      <c r="O4" s="3" t="e">
        <f t="shared" si="7"/>
        <v>#N/A</v>
      </c>
      <c r="P4" t="str">
        <f t="shared" si="8"/>
        <v/>
      </c>
      <c r="Q4" t="str">
        <f t="shared" si="9"/>
        <v/>
      </c>
      <c r="R4" t="str">
        <f t="shared" si="10"/>
        <v/>
      </c>
      <c r="S4" t="str">
        <f t="shared" si="11"/>
        <v/>
      </c>
    </row>
    <row r="5" spans="2:19" ht="15">
      <c r="B5" t="s">
        <v>7</v>
      </c>
      <c r="C5">
        <v>4</v>
      </c>
      <c r="F5" t="b">
        <f>IF(RIGHT('Benchmark Bonds'!B14,3)="ity",TRUE,FALSE)</f>
        <v>0</v>
      </c>
      <c r="G5" t="str" cm="1">
        <f t="array" ref="G5">IF(F5=TRUE,_xll.BDP('Benchmark Bonds'!B14,"ticker"),_xll.BDP('Benchmark Bonds'!B14&amp;" Equity","ticker"))</f>
        <v>#N/A Connection</v>
      </c>
      <c r="H5" s="3" t="e">
        <f t="shared" si="0"/>
        <v>#N/A</v>
      </c>
      <c r="I5" s="3" t="e">
        <f t="shared" si="1"/>
        <v>#N/A</v>
      </c>
      <c r="J5" s="3" t="e">
        <f t="shared" si="2"/>
        <v>#N/A</v>
      </c>
      <c r="K5" s="3" t="e">
        <f t="shared" si="3"/>
        <v>#N/A</v>
      </c>
      <c r="L5" s="3" t="e">
        <f t="shared" si="4"/>
        <v>#N/A</v>
      </c>
      <c r="M5" s="3" t="e">
        <f t="shared" si="5"/>
        <v>#N/A</v>
      </c>
      <c r="N5" s="3" t="e">
        <f t="shared" si="6"/>
        <v>#N/A</v>
      </c>
      <c r="O5" s="3" t="e">
        <f t="shared" si="7"/>
        <v>#N/A</v>
      </c>
      <c r="P5" t="str">
        <f t="shared" si="8"/>
        <v/>
      </c>
      <c r="Q5" t="str">
        <f t="shared" si="9"/>
        <v/>
      </c>
      <c r="R5" t="str">
        <f t="shared" si="10"/>
        <v/>
      </c>
      <c r="S5" t="str">
        <f t="shared" si="11"/>
        <v/>
      </c>
    </row>
    <row r="6" spans="2:19" ht="15">
      <c r="B6" t="s">
        <v>8</v>
      </c>
      <c r="C6">
        <v>5</v>
      </c>
      <c r="F6" t="b">
        <f>IF(RIGHT('Benchmark Bonds'!B15,3)="ity",TRUE,FALSE)</f>
        <v>0</v>
      </c>
      <c r="G6" t="str" cm="1">
        <f t="array" ref="G6">IF(F6=TRUE,_xll.BDP('Benchmark Bonds'!B15,"ticker"),_xll.BDP('Benchmark Bonds'!B15&amp;" Equity","ticker"))</f>
        <v>#N/A Connection</v>
      </c>
      <c r="H6" s="3" t="e">
        <f t="shared" si="0"/>
        <v>#N/A</v>
      </c>
      <c r="I6" s="3" t="e">
        <f t="shared" si="1"/>
        <v>#N/A</v>
      </c>
      <c r="J6" s="3" t="e">
        <f t="shared" si="2"/>
        <v>#N/A</v>
      </c>
      <c r="K6" s="3" t="e">
        <f t="shared" si="3"/>
        <v>#N/A</v>
      </c>
      <c r="L6" s="3" t="e">
        <f t="shared" si="4"/>
        <v>#N/A</v>
      </c>
      <c r="M6" s="3" t="e">
        <f t="shared" si="5"/>
        <v>#N/A</v>
      </c>
      <c r="N6" s="3" t="e">
        <f t="shared" si="6"/>
        <v>#N/A</v>
      </c>
      <c r="O6" s="3" t="e">
        <f t="shared" si="7"/>
        <v>#N/A</v>
      </c>
      <c r="P6" t="str">
        <f t="shared" si="8"/>
        <v/>
      </c>
      <c r="Q6" t="str">
        <f t="shared" si="9"/>
        <v/>
      </c>
      <c r="R6" t="str">
        <f t="shared" si="10"/>
        <v/>
      </c>
      <c r="S6" t="str">
        <f t="shared" si="11"/>
        <v/>
      </c>
    </row>
    <row r="7" spans="2:19" ht="15">
      <c r="B7" t="s">
        <v>9</v>
      </c>
      <c r="C7">
        <v>6</v>
      </c>
      <c r="F7" t="b">
        <f>IF(RIGHT('Benchmark Bonds'!B16,3)="ity",TRUE,FALSE)</f>
        <v>0</v>
      </c>
      <c r="G7" t="str" cm="1">
        <f t="array" ref="G7">IF(F7=TRUE,_xll.BDP('Benchmark Bonds'!B16,"ticker"),_xll.BDP('Benchmark Bonds'!B16&amp;" Equity","ticker"))</f>
        <v>#N/A Connection</v>
      </c>
      <c r="H7" s="3" t="e">
        <f t="shared" si="0"/>
        <v>#N/A</v>
      </c>
      <c r="I7" s="3" t="e">
        <f t="shared" si="1"/>
        <v>#N/A</v>
      </c>
      <c r="J7" s="3" t="e">
        <f t="shared" si="2"/>
        <v>#N/A</v>
      </c>
      <c r="K7" s="3" t="e">
        <f t="shared" si="3"/>
        <v>#N/A</v>
      </c>
      <c r="L7" s="3" t="e">
        <f t="shared" si="4"/>
        <v>#N/A</v>
      </c>
      <c r="M7" s="3" t="e">
        <f t="shared" si="5"/>
        <v>#N/A</v>
      </c>
      <c r="N7" s="3" t="e">
        <f t="shared" si="6"/>
        <v>#N/A</v>
      </c>
      <c r="O7" s="3" t="e">
        <f t="shared" si="7"/>
        <v>#N/A</v>
      </c>
      <c r="P7" t="str">
        <f t="shared" si="8"/>
        <v/>
      </c>
      <c r="Q7" t="str">
        <f t="shared" si="9"/>
        <v/>
      </c>
      <c r="R7" t="str">
        <f t="shared" si="10"/>
        <v/>
      </c>
      <c r="S7" t="str">
        <f t="shared" si="11"/>
        <v/>
      </c>
    </row>
    <row r="8" spans="2:19" ht="15">
      <c r="B8" t="s">
        <v>10</v>
      </c>
      <c r="C8">
        <v>7</v>
      </c>
      <c r="F8" t="b">
        <f>IF(RIGHT('Benchmark Bonds'!B17,3)="ity",TRUE,FALSE)</f>
        <v>0</v>
      </c>
      <c r="G8" t="str" cm="1">
        <f t="array" ref="G8">IF(F8=TRUE,_xll.BDP('Benchmark Bonds'!B17,"ticker"),_xll.BDP('Benchmark Bonds'!B17&amp;" Equity","ticker"))</f>
        <v>#N/A Connection</v>
      </c>
      <c r="H8" s="3" t="e">
        <f t="shared" si="0"/>
        <v>#N/A</v>
      </c>
      <c r="I8" s="3" t="e">
        <f t="shared" si="1"/>
        <v>#N/A</v>
      </c>
      <c r="J8" s="3" t="e">
        <f t="shared" si="2"/>
        <v>#N/A</v>
      </c>
      <c r="K8" s="3" t="e">
        <f t="shared" si="3"/>
        <v>#N/A</v>
      </c>
      <c r="L8" s="3" t="e">
        <f t="shared" si="4"/>
        <v>#N/A</v>
      </c>
      <c r="M8" s="3" t="e">
        <f t="shared" si="5"/>
        <v>#N/A</v>
      </c>
      <c r="N8" s="3" t="e">
        <f t="shared" si="6"/>
        <v>#N/A</v>
      </c>
      <c r="O8" s="3" t="e">
        <f t="shared" si="7"/>
        <v>#N/A</v>
      </c>
      <c r="P8" t="str">
        <f t="shared" si="8"/>
        <v/>
      </c>
      <c r="Q8" t="str">
        <f t="shared" si="9"/>
        <v/>
      </c>
      <c r="R8" t="str">
        <f t="shared" si="10"/>
        <v/>
      </c>
      <c r="S8" t="str">
        <f t="shared" si="11"/>
        <v/>
      </c>
    </row>
    <row r="9" spans="2:19">
      <c r="B9" t="s">
        <v>11</v>
      </c>
      <c r="C9">
        <v>8</v>
      </c>
      <c r="F9" t="b">
        <f>IF(RIGHT('Benchmark Bonds'!B18,3)="ity",TRUE,FALSE)</f>
        <v>0</v>
      </c>
      <c r="G9" t="str" cm="1">
        <f t="array" ref="G9">IF(F9=TRUE,_xll.BDP('Benchmark Bonds'!B18,"ticker"),_xll.BDP('Benchmark Bonds'!B18&amp;" Equity","ticker"))</f>
        <v>#N/A Connection</v>
      </c>
      <c r="H9" t="e">
        <f t="shared" si="0"/>
        <v>#N/A</v>
      </c>
      <c r="I9" t="e">
        <f t="shared" si="1"/>
        <v>#N/A</v>
      </c>
      <c r="J9" t="e">
        <f t="shared" si="2"/>
        <v>#N/A</v>
      </c>
      <c r="K9" t="e">
        <f t="shared" si="3"/>
        <v>#N/A</v>
      </c>
      <c r="L9" t="e">
        <f t="shared" si="4"/>
        <v>#N/A</v>
      </c>
      <c r="M9" t="e">
        <f t="shared" si="5"/>
        <v>#N/A</v>
      </c>
      <c r="N9" t="e">
        <f t="shared" si="6"/>
        <v>#N/A</v>
      </c>
      <c r="O9" t="e">
        <f t="shared" si="7"/>
        <v>#N/A</v>
      </c>
      <c r="P9" t="str">
        <f t="shared" si="8"/>
        <v/>
      </c>
      <c r="Q9" t="str">
        <f t="shared" si="9"/>
        <v/>
      </c>
      <c r="R9" t="str">
        <f t="shared" si="10"/>
        <v/>
      </c>
      <c r="S9" t="str">
        <f t="shared" si="11"/>
        <v/>
      </c>
    </row>
    <row r="10" spans="2:19">
      <c r="B10" t="s">
        <v>12</v>
      </c>
      <c r="C10">
        <v>9</v>
      </c>
      <c r="F10" t="b">
        <f>IF(RIGHT('Benchmark Bonds'!B19,3)="ity",TRUE,FALSE)</f>
        <v>0</v>
      </c>
      <c r="G10" t="str" cm="1">
        <f t="array" ref="G10">IF(F10=TRUE,_xll.BDP('Benchmark Bonds'!B19,"ticker"),_xll.BDP('Benchmark Bonds'!B19&amp;" Equity","ticker"))</f>
        <v>#N/A Connection</v>
      </c>
      <c r="H10" t="e">
        <f t="shared" si="0"/>
        <v>#N/A</v>
      </c>
      <c r="I10" t="e">
        <f t="shared" si="1"/>
        <v>#N/A</v>
      </c>
      <c r="J10" t="e">
        <f t="shared" si="2"/>
        <v>#N/A</v>
      </c>
      <c r="K10" t="e">
        <f t="shared" si="3"/>
        <v>#N/A</v>
      </c>
      <c r="L10" t="e">
        <f t="shared" si="4"/>
        <v>#N/A</v>
      </c>
      <c r="M10" t="e">
        <f t="shared" si="5"/>
        <v>#N/A</v>
      </c>
      <c r="N10" t="e">
        <f t="shared" si="6"/>
        <v>#N/A</v>
      </c>
      <c r="O10" t="e">
        <f t="shared" si="7"/>
        <v>#N/A</v>
      </c>
      <c r="P10" t="str">
        <f t="shared" si="8"/>
        <v/>
      </c>
      <c r="Q10" t="str">
        <f t="shared" si="9"/>
        <v/>
      </c>
      <c r="R10" t="str">
        <f t="shared" si="10"/>
        <v/>
      </c>
      <c r="S10" t="str">
        <f t="shared" si="11"/>
        <v/>
      </c>
    </row>
    <row r="11" spans="2:19">
      <c r="B11" t="s">
        <v>13</v>
      </c>
      <c r="C11">
        <v>10</v>
      </c>
      <c r="F11" t="b">
        <f>IF(RIGHT('Benchmark Bonds'!B20,3)="ity",TRUE,FALSE)</f>
        <v>0</v>
      </c>
      <c r="G11" t="str" cm="1">
        <f t="array" ref="G11">IF(F11=TRUE,_xll.BDP('Benchmark Bonds'!B20,"ticker"),_xll.BDP('Benchmark Bonds'!B20&amp;" Equity","ticker"))</f>
        <v>#N/A Connection</v>
      </c>
      <c r="H11" t="e">
        <f t="shared" si="0"/>
        <v>#N/A</v>
      </c>
      <c r="I11" t="e">
        <f t="shared" si="1"/>
        <v>#N/A</v>
      </c>
      <c r="J11" t="e">
        <f t="shared" si="2"/>
        <v>#N/A</v>
      </c>
      <c r="K11" t="e">
        <f t="shared" si="3"/>
        <v>#N/A</v>
      </c>
      <c r="L11" t="e">
        <f t="shared" si="4"/>
        <v>#N/A</v>
      </c>
      <c r="M11" t="e">
        <f t="shared" si="5"/>
        <v>#N/A</v>
      </c>
      <c r="N11" t="e">
        <f t="shared" si="6"/>
        <v>#N/A</v>
      </c>
      <c r="O11" t="e">
        <f t="shared" si="7"/>
        <v>#N/A</v>
      </c>
      <c r="P11" t="str">
        <f t="shared" si="8"/>
        <v/>
      </c>
      <c r="Q11" t="str">
        <f t="shared" si="9"/>
        <v/>
      </c>
      <c r="R11" t="str">
        <f t="shared" si="10"/>
        <v/>
      </c>
      <c r="S11" t="str">
        <f t="shared" si="11"/>
        <v/>
      </c>
    </row>
    <row r="12" spans="2:19">
      <c r="B12" t="s">
        <v>14</v>
      </c>
      <c r="C12">
        <v>11</v>
      </c>
      <c r="F12" t="b">
        <f>IF(RIGHT('Benchmark Bonds'!B21,3)="ity",TRUE,FALSE)</f>
        <v>0</v>
      </c>
      <c r="G12" t="str" cm="1">
        <f t="array" ref="G12">IF(F12=TRUE,_xll.BDP('Benchmark Bonds'!B21,"ticker"),_xll.BDP('Benchmark Bonds'!B21&amp;" Equity","ticker"))</f>
        <v>#N/A Connection</v>
      </c>
      <c r="H12" t="e">
        <f t="shared" si="0"/>
        <v>#N/A</v>
      </c>
      <c r="I12" t="e">
        <f t="shared" si="1"/>
        <v>#N/A</v>
      </c>
      <c r="J12" t="e">
        <f t="shared" si="2"/>
        <v>#N/A</v>
      </c>
      <c r="K12" t="e">
        <f t="shared" si="3"/>
        <v>#N/A</v>
      </c>
      <c r="L12" t="e">
        <f t="shared" si="4"/>
        <v>#N/A</v>
      </c>
      <c r="M12" t="e">
        <f t="shared" si="5"/>
        <v>#N/A</v>
      </c>
      <c r="N12" t="e">
        <f t="shared" si="6"/>
        <v>#N/A</v>
      </c>
      <c r="O12" t="e">
        <f t="shared" si="7"/>
        <v>#N/A</v>
      </c>
      <c r="P12" t="str">
        <f t="shared" si="8"/>
        <v/>
      </c>
      <c r="Q12" t="str">
        <f t="shared" si="9"/>
        <v/>
      </c>
      <c r="R12" t="str">
        <f t="shared" si="10"/>
        <v/>
      </c>
      <c r="S12" t="str">
        <f t="shared" si="11"/>
        <v/>
      </c>
    </row>
    <row r="13" spans="2:19">
      <c r="B13" t="s">
        <v>15</v>
      </c>
      <c r="C13">
        <v>12</v>
      </c>
      <c r="F13" t="b">
        <f>IF(RIGHT('Benchmark Bonds'!B22,3)="ity",TRUE,FALSE)</f>
        <v>0</v>
      </c>
      <c r="G13" t="str" cm="1">
        <f t="array" ref="G13">IF(F13=TRUE,_xll.BDP('Benchmark Bonds'!B22,"ticker"),_xll.BDP('Benchmark Bonds'!B22&amp;" Equity","ticker"))</f>
        <v>#N/A Connection</v>
      </c>
      <c r="H13" t="e">
        <f t="shared" si="0"/>
        <v>#N/A</v>
      </c>
      <c r="I13" t="e">
        <f t="shared" si="1"/>
        <v>#N/A</v>
      </c>
      <c r="J13" t="e">
        <f t="shared" si="2"/>
        <v>#N/A</v>
      </c>
      <c r="K13" t="e">
        <f t="shared" si="3"/>
        <v>#N/A</v>
      </c>
      <c r="L13" t="e">
        <f t="shared" si="4"/>
        <v>#N/A</v>
      </c>
      <c r="M13" t="e">
        <f t="shared" si="5"/>
        <v>#N/A</v>
      </c>
      <c r="N13" t="e">
        <f t="shared" si="6"/>
        <v>#N/A</v>
      </c>
      <c r="O13" t="e">
        <f t="shared" si="7"/>
        <v>#N/A</v>
      </c>
      <c r="P13" t="str">
        <f t="shared" si="8"/>
        <v/>
      </c>
      <c r="Q13" t="str">
        <f t="shared" si="9"/>
        <v/>
      </c>
      <c r="R13" t="str">
        <f t="shared" si="10"/>
        <v/>
      </c>
      <c r="S13" t="str">
        <f t="shared" si="11"/>
        <v/>
      </c>
    </row>
    <row r="14" spans="2:19">
      <c r="B14" t="s">
        <v>16</v>
      </c>
      <c r="C14">
        <v>13</v>
      </c>
      <c r="F14" t="b">
        <f>IF(RIGHT('Benchmark Bonds'!B23,3)="ity",TRUE,FALSE)</f>
        <v>0</v>
      </c>
      <c r="G14" t="str" cm="1">
        <f t="array" ref="G14">IF(F14=TRUE,_xll.BDP('Benchmark Bonds'!B23,"ticker"),_xll.BDP('Benchmark Bonds'!B23&amp;" Equity","ticker"))</f>
        <v>#N/A Connection</v>
      </c>
      <c r="H14" t="e">
        <f t="shared" si="0"/>
        <v>#N/A</v>
      </c>
      <c r="I14" t="e">
        <f t="shared" si="1"/>
        <v>#N/A</v>
      </c>
      <c r="J14" t="e">
        <f t="shared" si="2"/>
        <v>#N/A</v>
      </c>
      <c r="K14" t="e">
        <f t="shared" si="3"/>
        <v>#N/A</v>
      </c>
      <c r="L14" t="e">
        <f t="shared" si="4"/>
        <v>#N/A</v>
      </c>
      <c r="M14" t="e">
        <f t="shared" si="5"/>
        <v>#N/A</v>
      </c>
      <c r="N14" t="e">
        <f t="shared" si="6"/>
        <v>#N/A</v>
      </c>
      <c r="O14" t="e">
        <f t="shared" si="7"/>
        <v>#N/A</v>
      </c>
      <c r="P14" t="str">
        <f t="shared" si="8"/>
        <v/>
      </c>
      <c r="Q14" t="str">
        <f t="shared" si="9"/>
        <v/>
      </c>
      <c r="R14" t="str">
        <f t="shared" si="10"/>
        <v/>
      </c>
      <c r="S14" t="str">
        <f t="shared" si="11"/>
        <v/>
      </c>
    </row>
    <row r="15" spans="2:19">
      <c r="B15" t="s">
        <v>17</v>
      </c>
      <c r="C15">
        <v>14</v>
      </c>
      <c r="F15" t="b">
        <f>IF(RIGHT('Benchmark Bonds'!B24,3)="ity",TRUE,FALSE)</f>
        <v>0</v>
      </c>
      <c r="G15" t="str" cm="1">
        <f t="array" ref="G15">IF(F15=TRUE,_xll.BDP('Benchmark Bonds'!B24,"ticker"),_xll.BDP('Benchmark Bonds'!B24&amp;" Equity","ticker"))</f>
        <v>#N/A Connection</v>
      </c>
      <c r="H15" t="e">
        <f t="shared" si="0"/>
        <v>#N/A</v>
      </c>
      <c r="I15" t="e">
        <f t="shared" si="1"/>
        <v>#N/A</v>
      </c>
      <c r="J15" t="e">
        <f t="shared" si="2"/>
        <v>#N/A</v>
      </c>
      <c r="K15" t="e">
        <f t="shared" si="3"/>
        <v>#N/A</v>
      </c>
      <c r="L15" t="e">
        <f t="shared" si="4"/>
        <v>#N/A</v>
      </c>
      <c r="M15" t="e">
        <f t="shared" si="5"/>
        <v>#N/A</v>
      </c>
      <c r="N15" t="e">
        <f t="shared" si="6"/>
        <v>#N/A</v>
      </c>
      <c r="O15" t="e">
        <f t="shared" si="7"/>
        <v>#N/A</v>
      </c>
      <c r="P15" t="str">
        <f t="shared" si="8"/>
        <v/>
      </c>
      <c r="Q15" t="str">
        <f t="shared" si="9"/>
        <v/>
      </c>
      <c r="R15" t="str">
        <f t="shared" si="10"/>
        <v/>
      </c>
      <c r="S15" t="str">
        <f t="shared" si="11"/>
        <v/>
      </c>
    </row>
    <row r="16" spans="2:19">
      <c r="B16" t="s">
        <v>18</v>
      </c>
      <c r="C16">
        <v>15</v>
      </c>
      <c r="F16" t="b">
        <f>IF(RIGHT('Benchmark Bonds'!B25,3)="ity",TRUE,FALSE)</f>
        <v>0</v>
      </c>
      <c r="G16" t="str" cm="1">
        <f t="array" ref="G16">IF(F16=TRUE,_xll.BDP('Benchmark Bonds'!B25,"ticker"),_xll.BDP('Benchmark Bonds'!B25&amp;" Equity","ticker"))</f>
        <v>#N/A Connection</v>
      </c>
      <c r="H16" t="e">
        <f t="shared" si="0"/>
        <v>#N/A</v>
      </c>
      <c r="I16" t="e">
        <f t="shared" si="1"/>
        <v>#N/A</v>
      </c>
      <c r="J16" t="e">
        <f t="shared" si="2"/>
        <v>#N/A</v>
      </c>
      <c r="K16" t="e">
        <f t="shared" si="3"/>
        <v>#N/A</v>
      </c>
      <c r="L16" t="e">
        <f t="shared" si="4"/>
        <v>#N/A</v>
      </c>
      <c r="M16" t="e">
        <f t="shared" si="5"/>
        <v>#N/A</v>
      </c>
      <c r="N16" t="e">
        <f t="shared" si="6"/>
        <v>#N/A</v>
      </c>
      <c r="O16" t="e">
        <f t="shared" si="7"/>
        <v>#N/A</v>
      </c>
      <c r="P16" t="str">
        <f t="shared" si="8"/>
        <v/>
      </c>
      <c r="Q16" t="str">
        <f t="shared" si="9"/>
        <v/>
      </c>
      <c r="R16" t="str">
        <f t="shared" si="10"/>
        <v/>
      </c>
      <c r="S16" t="str">
        <f t="shared" si="11"/>
        <v/>
      </c>
    </row>
    <row r="17" spans="2:19">
      <c r="B17" t="s">
        <v>19</v>
      </c>
      <c r="C17">
        <v>16</v>
      </c>
      <c r="F17" t="b">
        <f>IF(RIGHT('Benchmark Bonds'!B26,3)="ity",TRUE,FALSE)</f>
        <v>0</v>
      </c>
      <c r="G17" t="str" cm="1">
        <f t="array" ref="G17">IF(F17=TRUE,_xll.BDP('Benchmark Bonds'!B26,"ticker"),_xll.BDP('Benchmark Bonds'!B26&amp;" Equity","ticker"))</f>
        <v>#N/A Connection</v>
      </c>
      <c r="H17" t="e">
        <f t="shared" si="0"/>
        <v>#N/A</v>
      </c>
      <c r="I17" t="e">
        <f t="shared" si="1"/>
        <v>#N/A</v>
      </c>
      <c r="J17" t="e">
        <f t="shared" si="2"/>
        <v>#N/A</v>
      </c>
      <c r="K17" t="e">
        <f t="shared" si="3"/>
        <v>#N/A</v>
      </c>
      <c r="L17" t="e">
        <f t="shared" si="4"/>
        <v>#N/A</v>
      </c>
      <c r="M17" t="e">
        <f t="shared" si="5"/>
        <v>#N/A</v>
      </c>
      <c r="N17" t="e">
        <f t="shared" si="6"/>
        <v>#N/A</v>
      </c>
      <c r="O17" t="e">
        <f t="shared" si="7"/>
        <v>#N/A</v>
      </c>
      <c r="P17" t="str">
        <f t="shared" si="8"/>
        <v/>
      </c>
      <c r="Q17" t="str">
        <f t="shared" si="9"/>
        <v/>
      </c>
      <c r="R17" t="str">
        <f t="shared" si="10"/>
        <v/>
      </c>
      <c r="S17" t="str">
        <f t="shared" si="11"/>
        <v/>
      </c>
    </row>
    <row r="18" spans="2:19">
      <c r="B18" t="s">
        <v>20</v>
      </c>
      <c r="C18">
        <v>17</v>
      </c>
      <c r="F18" t="b">
        <f>IF(RIGHT('Benchmark Bonds'!B27,3)="ity",TRUE,FALSE)</f>
        <v>0</v>
      </c>
      <c r="G18" t="str" cm="1">
        <f t="array" ref="G18">IF(F18=TRUE,_xll.BDP('Benchmark Bonds'!B27,"ticker"),_xll.BDP('Benchmark Bonds'!B27&amp;" Equity","ticker"))</f>
        <v>#N/A Connection</v>
      </c>
      <c r="H18" t="e">
        <f t="shared" si="0"/>
        <v>#N/A</v>
      </c>
      <c r="I18" t="e">
        <f t="shared" si="1"/>
        <v>#N/A</v>
      </c>
      <c r="J18" t="e">
        <f t="shared" si="2"/>
        <v>#N/A</v>
      </c>
      <c r="K18" t="e">
        <f t="shared" si="3"/>
        <v>#N/A</v>
      </c>
      <c r="L18" t="e">
        <f t="shared" si="4"/>
        <v>#N/A</v>
      </c>
      <c r="M18" t="e">
        <f t="shared" si="5"/>
        <v>#N/A</v>
      </c>
      <c r="N18" t="e">
        <f t="shared" si="6"/>
        <v>#N/A</v>
      </c>
      <c r="O18" t="e">
        <f t="shared" si="7"/>
        <v>#N/A</v>
      </c>
      <c r="P18" t="str">
        <f t="shared" si="8"/>
        <v/>
      </c>
      <c r="Q18" t="str">
        <f t="shared" si="9"/>
        <v/>
      </c>
      <c r="R18" t="str">
        <f t="shared" si="10"/>
        <v/>
      </c>
      <c r="S18" t="str">
        <f t="shared" si="11"/>
        <v/>
      </c>
    </row>
    <row r="19" spans="2:19">
      <c r="B19" t="s">
        <v>21</v>
      </c>
      <c r="C19">
        <v>18</v>
      </c>
      <c r="F19" t="b">
        <f>IF(RIGHT('Benchmark Bonds'!B28,3)="ity",TRUE,FALSE)</f>
        <v>0</v>
      </c>
      <c r="G19" t="str" cm="1">
        <f t="array" ref="G19">IF(F19=TRUE,_xll.BDP('Benchmark Bonds'!B28,"ticker"),_xll.BDP('Benchmark Bonds'!B28&amp;" Equity","ticker"))</f>
        <v>#N/A Connection</v>
      </c>
      <c r="H19" t="e">
        <f t="shared" si="0"/>
        <v>#N/A</v>
      </c>
      <c r="I19" t="e">
        <f t="shared" si="1"/>
        <v>#N/A</v>
      </c>
      <c r="J19" t="e">
        <f t="shared" si="2"/>
        <v>#N/A</v>
      </c>
      <c r="K19" t="e">
        <f t="shared" si="3"/>
        <v>#N/A</v>
      </c>
      <c r="L19" t="e">
        <f t="shared" si="4"/>
        <v>#N/A</v>
      </c>
      <c r="M19" t="e">
        <f t="shared" si="5"/>
        <v>#N/A</v>
      </c>
      <c r="N19" t="e">
        <f t="shared" si="6"/>
        <v>#N/A</v>
      </c>
      <c r="O19" t="e">
        <f t="shared" si="7"/>
        <v>#N/A</v>
      </c>
      <c r="P19" t="str">
        <f t="shared" si="8"/>
        <v/>
      </c>
      <c r="Q19" t="str">
        <f t="shared" si="9"/>
        <v/>
      </c>
      <c r="R19" t="str">
        <f t="shared" si="10"/>
        <v/>
      </c>
      <c r="S19" t="str">
        <f t="shared" si="11"/>
        <v/>
      </c>
    </row>
    <row r="20" spans="2:19">
      <c r="B20" t="s">
        <v>22</v>
      </c>
      <c r="C20">
        <v>19</v>
      </c>
      <c r="F20" t="b">
        <f>IF(RIGHT('Benchmark Bonds'!B29,3)="ity",TRUE,FALSE)</f>
        <v>0</v>
      </c>
      <c r="G20" t="str" cm="1">
        <f t="array" ref="G20">IF(F20=TRUE,_xll.BDP('Benchmark Bonds'!B29,"ticker"),_xll.BDP('Benchmark Bonds'!B29&amp;" Equity","ticker"))</f>
        <v>#N/A Connection</v>
      </c>
      <c r="H20" t="e">
        <f t="shared" si="0"/>
        <v>#N/A</v>
      </c>
      <c r="I20" t="e">
        <f t="shared" si="1"/>
        <v>#N/A</v>
      </c>
      <c r="J20" t="e">
        <f t="shared" si="2"/>
        <v>#N/A</v>
      </c>
      <c r="K20" t="e">
        <f t="shared" si="3"/>
        <v>#N/A</v>
      </c>
      <c r="L20" t="e">
        <f t="shared" si="4"/>
        <v>#N/A</v>
      </c>
      <c r="M20" t="e">
        <f t="shared" si="5"/>
        <v>#N/A</v>
      </c>
      <c r="N20" t="e">
        <f t="shared" si="6"/>
        <v>#N/A</v>
      </c>
      <c r="O20" t="e">
        <f t="shared" si="7"/>
        <v>#N/A</v>
      </c>
      <c r="P20" t="str">
        <f t="shared" si="8"/>
        <v/>
      </c>
      <c r="Q20" t="str">
        <f t="shared" si="9"/>
        <v/>
      </c>
      <c r="R20" t="str">
        <f t="shared" si="10"/>
        <v/>
      </c>
      <c r="S20" t="str">
        <f t="shared" si="11"/>
        <v/>
      </c>
    </row>
    <row r="21" spans="2:19">
      <c r="B21" t="s">
        <v>23</v>
      </c>
      <c r="C21">
        <v>20</v>
      </c>
      <c r="F21" t="b">
        <f>IF(RIGHT('Benchmark Bonds'!B30,3)="ity",TRUE,FALSE)</f>
        <v>0</v>
      </c>
      <c r="G21" t="str" cm="1">
        <f t="array" ref="G21">IF(F21=TRUE,_xll.BDP('Benchmark Bonds'!B30,"ticker"),_xll.BDP('Benchmark Bonds'!B30&amp;" Equity","ticker"))</f>
        <v>#N/A Connection</v>
      </c>
      <c r="H21" t="e">
        <f t="shared" si="0"/>
        <v>#N/A</v>
      </c>
      <c r="I21" t="e">
        <f t="shared" si="1"/>
        <v>#N/A</v>
      </c>
      <c r="J21" t="e">
        <f t="shared" si="2"/>
        <v>#N/A</v>
      </c>
      <c r="K21" t="e">
        <f t="shared" si="3"/>
        <v>#N/A</v>
      </c>
      <c r="L21" t="e">
        <f t="shared" si="4"/>
        <v>#N/A</v>
      </c>
      <c r="M21" t="e">
        <f t="shared" si="5"/>
        <v>#N/A</v>
      </c>
      <c r="N21" t="e">
        <f t="shared" si="6"/>
        <v>#N/A</v>
      </c>
      <c r="O21" t="e">
        <f t="shared" si="7"/>
        <v>#N/A</v>
      </c>
      <c r="P21" t="str">
        <f t="shared" si="8"/>
        <v/>
      </c>
      <c r="Q21" t="str">
        <f t="shared" si="9"/>
        <v/>
      </c>
      <c r="R21" t="str">
        <f t="shared" si="10"/>
        <v/>
      </c>
      <c r="S21" t="str">
        <f t="shared" si="11"/>
        <v/>
      </c>
    </row>
    <row r="22" spans="2:19">
      <c r="B22" t="s">
        <v>24</v>
      </c>
      <c r="C22">
        <v>21</v>
      </c>
    </row>
    <row r="23" spans="2:19">
      <c r="B23" t="s">
        <v>25</v>
      </c>
      <c r="C23">
        <v>22</v>
      </c>
    </row>
    <row r="24" spans="2:19">
      <c r="B24" t="s">
        <v>26</v>
      </c>
      <c r="C24">
        <v>23</v>
      </c>
    </row>
    <row r="25" spans="2:19">
      <c r="B25" t="s">
        <v>27</v>
      </c>
      <c r="C25">
        <v>24</v>
      </c>
    </row>
    <row r="29" spans="2:19">
      <c r="B29" t="s">
        <v>28</v>
      </c>
    </row>
    <row r="31" spans="2:19">
      <c r="B31">
        <f>COUNTIF(E40:R59,B29)</f>
        <v>0</v>
      </c>
    </row>
    <row r="38" spans="5:18">
      <c r="K38" t="str">
        <f>VLOOKUP('Benchmark Bonds'!$B$1,$G$76:$H$79,2,FALSE)</f>
        <v>YAS_ISPREAD_TO_GOVT</v>
      </c>
    </row>
    <row r="40" spans="5:18">
      <c r="E40" t="str" cm="1">
        <f t="array" ref="E40">_xll.BDP('Benchmark Bonds'!B11&amp;" Equity","CRNCY")</f>
        <v>#N/A Connection</v>
      </c>
      <c r="F40" t="s">
        <v>52</v>
      </c>
      <c r="G40" t="str">
        <f>_xll.BDP(G81,"RTG_SP","Fill=#N/A")</f>
        <v>#N/A Connection GB #N/A Connection SR 3Y Corp</v>
      </c>
      <c r="H40" t="str">
        <f>_xll.BDP(H81,"RTG_SP","Fill=#N/A")</f>
        <v>#N/A Connection GB #N/A Connection SR 5Y Corp</v>
      </c>
      <c r="I40" t="str">
        <f>_xll.BDP(I81,"RTG_SP","Fill=#N/A")</f>
        <v>#N/A Connection GB #N/A Connection SR 10Y Corp</v>
      </c>
      <c r="J40" t="str">
        <f>_xll.BDP(J81,"RTG_SP","Fill=#N/A")</f>
        <v>#N/A Connection GB #N/A Connection SR 30Y Corp</v>
      </c>
      <c r="K40" t="str">
        <f>_xll.BDP(G81,$K$38,"PRICING_SOURCE",Pricing_Source)</f>
        <v>#N/A Connection GB #N/A Connection SR 3Y Corp</v>
      </c>
      <c r="L40" t="str">
        <f>_xll.BDP(H81,$K$38,"PRICING_SOURCE",Pricing_Source)</f>
        <v>#N/A Connection GB #N/A Connection SR 5Y Corp</v>
      </c>
      <c r="M40" t="str">
        <f>_xll.BDP(I81,$K$38,"PRICING_SOURCE",Pricing_Source)</f>
        <v>#N/A Connection GB #N/A Connection SR 10Y Corp</v>
      </c>
      <c r="N40" t="str">
        <f>_xll.BDP(J81,$K$38,"PRICING_SOURCE",Pricing_Source)</f>
        <v>#N/A Connection GB #N/A Connection SR 30Y Corp</v>
      </c>
      <c r="O40" t="str">
        <f>_xll.BDP(G81,"SECURITY_DES")</f>
        <v>#N/A Connection GB #N/A Connection SR 3Y Corp</v>
      </c>
      <c r="P40" t="str">
        <f>_xll.BDP(H81,"SECURITY_DES")</f>
        <v>#N/A Connection GB #N/A Connection SR 5Y Corp</v>
      </c>
      <c r="Q40" t="str">
        <f>_xll.BDP(I81,"SECURITY_DES")</f>
        <v>#N/A Connection GB #N/A Connection SR 10Y Corp</v>
      </c>
      <c r="R40" t="str">
        <f>_xll.BDP(J81,"SECURITY_DES")</f>
        <v>#N/A Connection GB #N/A Connection SR 30Y Corp</v>
      </c>
    </row>
    <row r="41" spans="5:18">
      <c r="E41" t="str" cm="1">
        <f t="array" ref="E41">_xll.BDP('Benchmark Bonds'!B12&amp;" Equity","CRNCY")</f>
        <v>#N/A Connection</v>
      </c>
      <c r="F41" t="s">
        <v>52</v>
      </c>
      <c r="G41" t="str">
        <f>_xll.BDP(G82,"RTG_SP","Fill=#N/A")</f>
        <v>#N/A Connection GB #N/A Connection SR 3Y Corp</v>
      </c>
      <c r="H41" t="str">
        <f>_xll.BDP(H82,"RTG_SP","Fill=#N/A")</f>
        <v>#N/A Connection GB #N/A Connection SR 5Y Corp</v>
      </c>
      <c r="I41" t="str">
        <f>_xll.BDP(I82,"RTG_SP","Fill=#N/A")</f>
        <v>#N/A Connection GB #N/A Connection SR 10Y Corp</v>
      </c>
      <c r="J41" t="str">
        <f>_xll.BDP(J82,"RTG_SP","Fill=#N/A")</f>
        <v>#N/A Connection GB #N/A Connection SR 30Y Corp</v>
      </c>
      <c r="K41" t="str">
        <f>_xll.BDP(G82,$K$38,"PRICING_SOURCE",Pricing_Source)</f>
        <v>#N/A Connection GB #N/A Connection SR 3Y Corp</v>
      </c>
      <c r="L41" t="str">
        <f>_xll.BDP(H82,$K$38,"PRICING_SOURCE",Pricing_Source)</f>
        <v>#N/A Connection GB #N/A Connection SR 5Y Corp</v>
      </c>
      <c r="M41" t="str">
        <f>_xll.BDP(I82,$K$38,"PRICING_SOURCE",Pricing_Source)</f>
        <v>#N/A Connection GB #N/A Connection SR 10Y Corp</v>
      </c>
      <c r="N41" t="str">
        <f>_xll.BDP(J82,$K$38,"PRICING_SOURCE",Pricing_Source)</f>
        <v>#N/A Connection GB #N/A Connection SR 30Y Corp</v>
      </c>
      <c r="O41" t="str">
        <f>_xll.BDP(G82,"SECURITY_DES")</f>
        <v>#N/A Connection GB #N/A Connection SR 3Y Corp</v>
      </c>
      <c r="P41" t="str">
        <f>_xll.BDP(H82,"SECURITY_DES")</f>
        <v>#N/A Connection GB #N/A Connection SR 5Y Corp</v>
      </c>
      <c r="Q41" t="str">
        <f>_xll.BDP(I82,"SECURITY_DES")</f>
        <v>#N/A Connection GB #N/A Connection SR 10Y Corp</v>
      </c>
      <c r="R41" t="str">
        <f>_xll.BDP(J82,"SECURITY_DES")</f>
        <v>#N/A Connection GB #N/A Connection SR 30Y Corp</v>
      </c>
    </row>
    <row r="42" spans="5:18">
      <c r="E42" t="str" cm="1">
        <f t="array" ref="E42">_xll.BDP('Benchmark Bonds'!B13&amp;" Equity","CRNCY")</f>
        <v>#N/A Connection</v>
      </c>
      <c r="F42" t="s">
        <v>52</v>
      </c>
      <c r="G42" t="str">
        <f>_xll.BDP(G83,"RTG_SP","Fill=#N/A")</f>
        <v>#N/A Connection GB #N/A Connection SR 3Y Corp</v>
      </c>
      <c r="H42" t="str">
        <f>_xll.BDP(H83,"RTG_SP","Fill=#N/A")</f>
        <v>#N/A Connection GB #N/A Connection SR 5Y Corp</v>
      </c>
      <c r="I42" t="str">
        <f>_xll.BDP(I83,"RTG_SP","Fill=#N/A")</f>
        <v>#N/A Connection GB #N/A Connection SR 10Y Corp</v>
      </c>
      <c r="J42" t="str">
        <f>_xll.BDP(J83,"RTG_SP","Fill=#N/A")</f>
        <v>#N/A Connection GB #N/A Connection SR 30Y Corp</v>
      </c>
      <c r="K42" t="str">
        <f>_xll.BDP(G83,$K$38,"PRICING_SOURCE",Pricing_Source)</f>
        <v>#N/A Connection GB #N/A Connection SR 3Y Corp</v>
      </c>
      <c r="L42" t="str">
        <f>_xll.BDP(H83,$K$38,"PRICING_SOURCE",Pricing_Source)</f>
        <v>#N/A Connection GB #N/A Connection SR 5Y Corp</v>
      </c>
      <c r="M42" t="str">
        <f>_xll.BDP(I83,$K$38,"PRICING_SOURCE",Pricing_Source)</f>
        <v>#N/A Connection GB #N/A Connection SR 10Y Corp</v>
      </c>
      <c r="N42" t="str">
        <f>_xll.BDP(J83,$K$38,"PRICING_SOURCE",Pricing_Source)</f>
        <v>#N/A Connection GB #N/A Connection SR 30Y Corp</v>
      </c>
      <c r="O42" t="str">
        <f>_xll.BDP(G83,"SECURITY_DES")</f>
        <v>#N/A Connection GB #N/A Connection SR 3Y Corp</v>
      </c>
      <c r="P42" t="str">
        <f>_xll.BDP(H83,"SECURITY_DES")</f>
        <v>#N/A Connection GB #N/A Connection SR 5Y Corp</v>
      </c>
      <c r="Q42" t="str">
        <f>_xll.BDP(I83,"SECURITY_DES")</f>
        <v>#N/A Connection GB #N/A Connection SR 10Y Corp</v>
      </c>
      <c r="R42" t="str">
        <f>_xll.BDP(J83,"SECURITY_DES")</f>
        <v>#N/A Connection GB #N/A Connection SR 30Y Corp</v>
      </c>
    </row>
    <row r="43" spans="5:18">
      <c r="E43" t="str" cm="1">
        <f t="array" ref="E43">_xll.BDP('Benchmark Bonds'!B14&amp;" Equity","CRNCY")</f>
        <v>#N/A Connection</v>
      </c>
      <c r="F43" t="s">
        <v>52</v>
      </c>
      <c r="G43" t="str">
        <f>_xll.BDP(G84,"RTG_SP","Fill=#N/A")</f>
        <v>#N/A Connection GB #N/A Connection SR 3Y Corp</v>
      </c>
      <c r="H43" t="str">
        <f>_xll.BDP(H84,"RTG_SP","Fill=#N/A")</f>
        <v>#N/A Connection GB #N/A Connection SR 5Y Corp</v>
      </c>
      <c r="I43" t="str">
        <f>_xll.BDP(I84,"RTG_SP","Fill=#N/A")</f>
        <v>#N/A Connection GB #N/A Connection SR 10Y Corp</v>
      </c>
      <c r="J43" t="str">
        <f>_xll.BDP(J84,"RTG_SP","Fill=#N/A")</f>
        <v>#N/A Connection GB #N/A Connection SR 30Y Corp</v>
      </c>
      <c r="K43" t="str">
        <f>_xll.BDP(G84,$K$38,"PRICING_SOURCE",Pricing_Source)</f>
        <v>#N/A Connection GB #N/A Connection SR 3Y Corp</v>
      </c>
      <c r="L43" t="str">
        <f>_xll.BDP(H84,$K$38,"PRICING_SOURCE",Pricing_Source)</f>
        <v>#N/A Connection GB #N/A Connection SR 5Y Corp</v>
      </c>
      <c r="M43" t="str">
        <f>_xll.BDP(I84,$K$38,"PRICING_SOURCE",Pricing_Source)</f>
        <v>#N/A Connection GB #N/A Connection SR 10Y Corp</v>
      </c>
      <c r="N43" t="str">
        <f>_xll.BDP(J84,$K$38,"PRICING_SOURCE",Pricing_Source)</f>
        <v>#N/A Connection GB #N/A Connection SR 30Y Corp</v>
      </c>
      <c r="O43" t="str">
        <f>_xll.BDP(G84,"SECURITY_DES")</f>
        <v>#N/A Connection GB #N/A Connection SR 3Y Corp</v>
      </c>
      <c r="P43" t="str">
        <f>_xll.BDP(H84,"SECURITY_DES")</f>
        <v>#N/A Connection GB #N/A Connection SR 5Y Corp</v>
      </c>
      <c r="Q43" t="str">
        <f>_xll.BDP(I84,"SECURITY_DES")</f>
        <v>#N/A Connection GB #N/A Connection SR 10Y Corp</v>
      </c>
      <c r="R43" t="str">
        <f>_xll.BDP(J84,"SECURITY_DES")</f>
        <v>#N/A Connection GB #N/A Connection SR 30Y Corp</v>
      </c>
    </row>
    <row r="44" spans="5:18">
      <c r="E44" t="str" cm="1">
        <f t="array" ref="E44">_xll.BDP('Benchmark Bonds'!B15&amp;" Equity","CRNCY")</f>
        <v>#N/A Connection</v>
      </c>
      <c r="F44" t="s">
        <v>52</v>
      </c>
      <c r="G44" t="str">
        <f>_xll.BDP(G85,"RTG_SP","Fill=#N/A")</f>
        <v>#N/A Connection GB #N/A Connection SR 3Y Corp</v>
      </c>
      <c r="H44" t="str">
        <f>_xll.BDP(H85,"RTG_SP","Fill=#N/A")</f>
        <v>#N/A Connection GB #N/A Connection SR 5Y Corp</v>
      </c>
      <c r="I44" t="str">
        <f>_xll.BDP(I85,"RTG_SP","Fill=#N/A")</f>
        <v>#N/A Connection GB #N/A Connection SR 10Y Corp</v>
      </c>
      <c r="J44" t="str">
        <f>_xll.BDP(J85,"RTG_SP","Fill=#N/A")</f>
        <v>#N/A Connection GB #N/A Connection SR 30Y Corp</v>
      </c>
      <c r="K44" t="str">
        <f>_xll.BDP(G85,$K$38,"PRICING_SOURCE",Pricing_Source)</f>
        <v>#N/A Connection GB #N/A Connection SR 3Y Corp</v>
      </c>
      <c r="L44" t="str">
        <f>_xll.BDP(H85,$K$38,"PRICING_SOURCE",Pricing_Source)</f>
        <v>#N/A Connection GB #N/A Connection SR 5Y Corp</v>
      </c>
      <c r="M44" t="str">
        <f>_xll.BDP(I85,$K$38,"PRICING_SOURCE",Pricing_Source)</f>
        <v>#N/A Connection GB #N/A Connection SR 10Y Corp</v>
      </c>
      <c r="N44" t="str">
        <f>_xll.BDP(J85,$K$38,"PRICING_SOURCE",Pricing_Source)</f>
        <v>#N/A Connection GB #N/A Connection SR 30Y Corp</v>
      </c>
      <c r="O44" t="str">
        <f>_xll.BDP(G85,"SECURITY_DES")</f>
        <v>#N/A Connection GB #N/A Connection SR 3Y Corp</v>
      </c>
      <c r="P44" t="str">
        <f>_xll.BDP(H85,"SECURITY_DES")</f>
        <v>#N/A Connection GB #N/A Connection SR 5Y Corp</v>
      </c>
      <c r="Q44" t="str">
        <f>_xll.BDP(I85,"SECURITY_DES")</f>
        <v>#N/A Connection GB #N/A Connection SR 10Y Corp</v>
      </c>
      <c r="R44" t="str">
        <f>_xll.BDP(J85,"SECURITY_DES")</f>
        <v>#N/A Connection GB #N/A Connection SR 30Y Corp</v>
      </c>
    </row>
    <row r="45" spans="5:18">
      <c r="E45" t="str" cm="1">
        <f t="array" ref="E45">_xll.BDP('Benchmark Bonds'!B16&amp;" Equity","CRNCY")</f>
        <v>#N/A Connection</v>
      </c>
      <c r="F45" t="s">
        <v>52</v>
      </c>
      <c r="G45" t="str">
        <f>_xll.BDP(G86,"RTG_SP","Fill=#N/A")</f>
        <v>#N/A Connection GB #N/A Connection SR 3Y Corp</v>
      </c>
      <c r="H45" t="str">
        <f>_xll.BDP(H86,"RTG_SP","Fill=#N/A")</f>
        <v>#N/A Connection GB #N/A Connection SR 5Y Corp</v>
      </c>
      <c r="I45" t="str">
        <f>_xll.BDP(I86,"RTG_SP","Fill=#N/A")</f>
        <v>#N/A Connection GB #N/A Connection SR 10Y Corp</v>
      </c>
      <c r="J45" t="str">
        <f>_xll.BDP(J86,"RTG_SP","Fill=#N/A")</f>
        <v>#N/A Connection GB #N/A Connection SR 30Y Corp</v>
      </c>
      <c r="K45" t="str">
        <f>_xll.BDP(G86,$K$38,"PRICING_SOURCE",Pricing_Source)</f>
        <v>#N/A Connection GB #N/A Connection SR 3Y Corp</v>
      </c>
      <c r="L45" t="str">
        <f>_xll.BDP(H86,$K$38,"PRICING_SOURCE",Pricing_Source)</f>
        <v>#N/A Connection GB #N/A Connection SR 5Y Corp</v>
      </c>
      <c r="M45" t="str">
        <f>_xll.BDP(I86,$K$38,"PRICING_SOURCE",Pricing_Source)</f>
        <v>#N/A Connection GB #N/A Connection SR 10Y Corp</v>
      </c>
      <c r="N45" t="str">
        <f>_xll.BDP(J86,$K$38,"PRICING_SOURCE",Pricing_Source)</f>
        <v>#N/A Connection GB #N/A Connection SR 30Y Corp</v>
      </c>
      <c r="O45" t="str">
        <f>_xll.BDP(G86,"SECURITY_DES")</f>
        <v>#N/A Connection GB #N/A Connection SR 3Y Corp</v>
      </c>
      <c r="P45" t="str">
        <f>_xll.BDP(H86,"SECURITY_DES")</f>
        <v>#N/A Connection GB #N/A Connection SR 5Y Corp</v>
      </c>
      <c r="Q45" t="str">
        <f>_xll.BDP(I86,"SECURITY_DES")</f>
        <v>#N/A Connection GB #N/A Connection SR 10Y Corp</v>
      </c>
      <c r="R45" t="str">
        <f>_xll.BDP(J86,"SECURITY_DES")</f>
        <v>#N/A Connection GB #N/A Connection SR 30Y Corp</v>
      </c>
    </row>
    <row r="46" spans="5:18">
      <c r="E46" t="str" cm="1">
        <f t="array" ref="E46">_xll.BDP('Benchmark Bonds'!B17&amp;" Equity","CRNCY")</f>
        <v>#N/A Connection</v>
      </c>
      <c r="F46" t="s">
        <v>52</v>
      </c>
      <c r="G46" t="str">
        <f>_xll.BDP(G87,"RTG_SP","Fill=#N/A")</f>
        <v>#N/A Connection GB #N/A Connection SR 3Y Corp</v>
      </c>
      <c r="H46" t="str">
        <f>_xll.BDP(H87,"RTG_SP","Fill=#N/A")</f>
        <v>#N/A Connection GB #N/A Connection SR 5Y Corp</v>
      </c>
      <c r="I46" t="str">
        <f>_xll.BDP(I87,"RTG_SP","Fill=#N/A")</f>
        <v>#N/A Connection GB #N/A Connection SR 10Y Corp</v>
      </c>
      <c r="J46" t="str">
        <f>_xll.BDP(J87,"RTG_SP","Fill=#N/A")</f>
        <v>#N/A Connection GB #N/A Connection SR 30Y Corp</v>
      </c>
      <c r="K46" t="str">
        <f>_xll.BDP(G87,$K$38,"PRICING_SOURCE",Pricing_Source)</f>
        <v>#N/A Connection GB #N/A Connection SR 3Y Corp</v>
      </c>
      <c r="L46" t="str">
        <f>_xll.BDP(H87,$K$38,"PRICING_SOURCE",Pricing_Source)</f>
        <v>#N/A Connection GB #N/A Connection SR 5Y Corp</v>
      </c>
      <c r="M46" t="str">
        <f>_xll.BDP(I87,$K$38,"PRICING_SOURCE",Pricing_Source)</f>
        <v>#N/A Connection GB #N/A Connection SR 10Y Corp</v>
      </c>
      <c r="N46" t="str">
        <f>_xll.BDP(J87,$K$38,"PRICING_SOURCE",Pricing_Source)</f>
        <v>#N/A Connection GB #N/A Connection SR 30Y Corp</v>
      </c>
      <c r="O46" t="str">
        <f>_xll.BDP(G87,"SECURITY_DES")</f>
        <v>#N/A Connection GB #N/A Connection SR 3Y Corp</v>
      </c>
      <c r="P46" t="str">
        <f>_xll.BDP(H87,"SECURITY_DES")</f>
        <v>#N/A Connection GB #N/A Connection SR 5Y Corp</v>
      </c>
      <c r="Q46" t="str">
        <f>_xll.BDP(I87,"SECURITY_DES")</f>
        <v>#N/A Connection GB #N/A Connection SR 10Y Corp</v>
      </c>
      <c r="R46" t="str">
        <f>_xll.BDP(J87,"SECURITY_DES")</f>
        <v>#N/A Connection GB #N/A Connection SR 30Y Corp</v>
      </c>
    </row>
    <row r="47" spans="5:18">
      <c r="E47" t="str" cm="1">
        <f t="array" ref="E47">_xll.BDP('Benchmark Bonds'!B18&amp;" Equity","CRNCY")</f>
        <v>#N/A Connection</v>
      </c>
      <c r="F47" t="s">
        <v>52</v>
      </c>
      <c r="G47" t="str">
        <f>_xll.BDP(G88,"RTG_SP","Fill=#N/A")</f>
        <v>#N/A Connection GB #N/A Connection SR 3Y Corp</v>
      </c>
      <c r="H47" t="str">
        <f>_xll.BDP(H88,"RTG_SP","Fill=#N/A")</f>
        <v>#N/A Connection GB #N/A Connection SR 5Y Corp</v>
      </c>
      <c r="I47" t="str">
        <f>_xll.BDP(I88,"RTG_SP","Fill=#N/A")</f>
        <v>#N/A Connection GB #N/A Connection SR 10Y Corp</v>
      </c>
      <c r="J47" t="str">
        <f>_xll.BDP(J88,"RTG_SP","Fill=#N/A")</f>
        <v>#N/A Connection GB #N/A Connection SR 30Y Corp</v>
      </c>
      <c r="K47" t="str">
        <f>_xll.BDP(G88,$K$38,"PRICING_SOURCE",Pricing_Source)</f>
        <v>#N/A Connection GB #N/A Connection SR 3Y Corp</v>
      </c>
      <c r="L47" t="str">
        <f>_xll.BDP(H88,$K$38,"PRICING_SOURCE",Pricing_Source)</f>
        <v>#N/A Connection GB #N/A Connection SR 5Y Corp</v>
      </c>
      <c r="M47" t="str">
        <f>_xll.BDP(I88,$K$38,"PRICING_SOURCE",Pricing_Source)</f>
        <v>#N/A Connection GB #N/A Connection SR 10Y Corp</v>
      </c>
      <c r="N47" t="str">
        <f>_xll.BDP(J88,$K$38,"PRICING_SOURCE",Pricing_Source)</f>
        <v>#N/A Connection GB #N/A Connection SR 30Y Corp</v>
      </c>
      <c r="O47" t="str">
        <f>_xll.BDP(G88,"SECURITY_DES")</f>
        <v>#N/A Connection GB #N/A Connection SR 3Y Corp</v>
      </c>
      <c r="P47" t="str">
        <f>_xll.BDP(H88,"SECURITY_DES")</f>
        <v>#N/A Connection GB #N/A Connection SR 5Y Corp</v>
      </c>
      <c r="Q47" t="str">
        <f>_xll.BDP(I88,"SECURITY_DES")</f>
        <v>#N/A Connection GB #N/A Connection SR 10Y Corp</v>
      </c>
      <c r="R47" t="str">
        <f>_xll.BDP(J88,"SECURITY_DES")</f>
        <v>#N/A Connection GB #N/A Connection SR 30Y Corp</v>
      </c>
    </row>
    <row r="48" spans="5:18">
      <c r="E48" t="str" cm="1">
        <f t="array" ref="E48">_xll.BDP('Benchmark Bonds'!B19&amp;" Equity","CRNCY")</f>
        <v>#N/A Connection</v>
      </c>
      <c r="F48" t="s">
        <v>52</v>
      </c>
      <c r="G48" t="str">
        <f>_xll.BDP(G89,"RTG_SP","Fill=#N/A")</f>
        <v>#N/A Connection GB #N/A Connection SR 3Y Corp</v>
      </c>
      <c r="H48" t="str">
        <f>_xll.BDP(H89,"RTG_SP","Fill=#N/A")</f>
        <v>#N/A Connection GB #N/A Connection SR 5Y Corp</v>
      </c>
      <c r="I48" t="str">
        <f>_xll.BDP(I89,"RTG_SP","Fill=#N/A")</f>
        <v>#N/A Connection GB #N/A Connection SR 10Y Corp</v>
      </c>
      <c r="J48" t="str">
        <f>_xll.BDP(J89,"RTG_SP","Fill=#N/A")</f>
        <v>#N/A Connection GB #N/A Connection SR 30Y Corp</v>
      </c>
      <c r="K48" t="str">
        <f>_xll.BDP(G89,$K$38,"PRICING_SOURCE",Pricing_Source)</f>
        <v>#N/A Connection GB #N/A Connection SR 3Y Corp</v>
      </c>
      <c r="L48" t="str">
        <f>_xll.BDP(H89,$K$38,"PRICING_SOURCE",Pricing_Source)</f>
        <v>#N/A Connection GB #N/A Connection SR 5Y Corp</v>
      </c>
      <c r="M48" t="str">
        <f>_xll.BDP(I89,$K$38,"PRICING_SOURCE",Pricing_Source)</f>
        <v>#N/A Connection GB #N/A Connection SR 10Y Corp</v>
      </c>
      <c r="N48" t="str">
        <f>_xll.BDP(J89,$K$38,"PRICING_SOURCE",Pricing_Source)</f>
        <v>#N/A Connection GB #N/A Connection SR 30Y Corp</v>
      </c>
      <c r="O48" t="str">
        <f>_xll.BDP(G89,"SECURITY_DES")</f>
        <v>#N/A Connection GB #N/A Connection SR 3Y Corp</v>
      </c>
      <c r="P48" t="str">
        <f>_xll.BDP(H89,"SECURITY_DES")</f>
        <v>#N/A Connection GB #N/A Connection SR 5Y Corp</v>
      </c>
      <c r="Q48" t="str">
        <f>_xll.BDP(I89,"SECURITY_DES")</f>
        <v>#N/A Connection GB #N/A Connection SR 10Y Corp</v>
      </c>
      <c r="R48" t="str">
        <f>_xll.BDP(J89,"SECURITY_DES")</f>
        <v>#N/A Connection GB #N/A Connection SR 30Y Corp</v>
      </c>
    </row>
    <row r="49" spans="5:18">
      <c r="E49" t="str" cm="1">
        <f t="array" ref="E49">_xll.BDP('Benchmark Bonds'!B20&amp;" Equity","CRNCY")</f>
        <v>#N/A Connection</v>
      </c>
      <c r="F49" t="s">
        <v>52</v>
      </c>
      <c r="G49" t="str">
        <f>_xll.BDP(G90,"RTG_SP","Fill=#N/A")</f>
        <v>#N/A Connection GB #N/A Connection SR 3Y Corp</v>
      </c>
      <c r="H49" t="str">
        <f>_xll.BDP(H90,"RTG_SP","Fill=#N/A")</f>
        <v>#N/A Connection GB #N/A Connection SR 5Y Corp</v>
      </c>
      <c r="I49" t="str">
        <f>_xll.BDP(I90,"RTG_SP","Fill=#N/A")</f>
        <v>#N/A Connection GB #N/A Connection SR 10Y Corp</v>
      </c>
      <c r="J49" t="str">
        <f>_xll.BDP(J90,"RTG_SP","Fill=#N/A")</f>
        <v>#N/A Connection GB #N/A Connection SR 30Y Corp</v>
      </c>
      <c r="K49" t="str">
        <f>_xll.BDP(G90,$K$38,"PRICING_SOURCE",Pricing_Source)</f>
        <v>#N/A Connection GB #N/A Connection SR 3Y Corp</v>
      </c>
      <c r="L49" t="str">
        <f>_xll.BDP(H90,$K$38,"PRICING_SOURCE",Pricing_Source)</f>
        <v>#N/A Connection GB #N/A Connection SR 5Y Corp</v>
      </c>
      <c r="M49" t="str">
        <f>_xll.BDP(I90,$K$38,"PRICING_SOURCE",Pricing_Source)</f>
        <v>#N/A Connection GB #N/A Connection SR 10Y Corp</v>
      </c>
      <c r="N49" t="str">
        <f>_xll.BDP(J90,$K$38,"PRICING_SOURCE",Pricing_Source)</f>
        <v>#N/A Connection GB #N/A Connection SR 30Y Corp</v>
      </c>
      <c r="O49" t="str">
        <f>_xll.BDP(G90,"SECURITY_DES")</f>
        <v>#N/A Connection GB #N/A Connection SR 3Y Corp</v>
      </c>
      <c r="P49" t="str">
        <f>_xll.BDP(H90,"SECURITY_DES")</f>
        <v>#N/A Connection GB #N/A Connection SR 5Y Corp</v>
      </c>
      <c r="Q49" t="str">
        <f>_xll.BDP(I90,"SECURITY_DES")</f>
        <v>#N/A Connection GB #N/A Connection SR 10Y Corp</v>
      </c>
      <c r="R49" t="str">
        <f>_xll.BDP(J90,"SECURITY_DES")</f>
        <v>#N/A Connection GB #N/A Connection SR 30Y Corp</v>
      </c>
    </row>
    <row r="50" spans="5:18">
      <c r="E50" t="str" cm="1">
        <f t="array" ref="E50">_xll.BDP('Benchmark Bonds'!B21&amp;" Equity","CRNCY")</f>
        <v>#N/A Connection</v>
      </c>
      <c r="F50" t="s">
        <v>52</v>
      </c>
      <c r="G50" t="str">
        <f>_xll.BDP(G91,"RTG_SP","Fill=#N/A")</f>
        <v>#N/A Connection GB #N/A Connection SR 3Y Corp</v>
      </c>
      <c r="H50" t="str">
        <f>_xll.BDP(H91,"RTG_SP","Fill=#N/A")</f>
        <v>#N/A Connection GB #N/A Connection SR 5Y Corp</v>
      </c>
      <c r="I50" t="str">
        <f>_xll.BDP(I91,"RTG_SP","Fill=#N/A")</f>
        <v>#N/A Connection GB #N/A Connection SR 10Y Corp</v>
      </c>
      <c r="J50" t="str">
        <f>_xll.BDP(J91,"RTG_SP","Fill=#N/A")</f>
        <v>#N/A Connection GB #N/A Connection SR 30Y Corp</v>
      </c>
      <c r="K50" t="str">
        <f>_xll.BDP(G91,$K$38,"PRICING_SOURCE",Pricing_Source)</f>
        <v>#N/A Connection GB #N/A Connection SR 3Y Corp</v>
      </c>
      <c r="L50" t="str">
        <f>_xll.BDP(H91,$K$38,"PRICING_SOURCE",Pricing_Source)</f>
        <v>#N/A Connection GB #N/A Connection SR 5Y Corp</v>
      </c>
      <c r="M50" t="str">
        <f>_xll.BDP(I91,$K$38,"PRICING_SOURCE",Pricing_Source)</f>
        <v>#N/A Connection GB #N/A Connection SR 10Y Corp</v>
      </c>
      <c r="N50" t="str">
        <f>_xll.BDP(J91,$K$38,"PRICING_SOURCE",Pricing_Source)</f>
        <v>#N/A Connection GB #N/A Connection SR 30Y Corp</v>
      </c>
      <c r="O50" t="str">
        <f>_xll.BDP(G91,"SECURITY_DES")</f>
        <v>#N/A Connection GB #N/A Connection SR 3Y Corp</v>
      </c>
      <c r="P50" t="str">
        <f>_xll.BDP(H91,"SECURITY_DES")</f>
        <v>#N/A Connection GB #N/A Connection SR 5Y Corp</v>
      </c>
      <c r="Q50" t="str">
        <f>_xll.BDP(I91,"SECURITY_DES")</f>
        <v>#N/A Connection GB #N/A Connection SR 10Y Corp</v>
      </c>
      <c r="R50" t="str">
        <f>_xll.BDP(J91,"SECURITY_DES")</f>
        <v>#N/A Connection GB #N/A Connection SR 30Y Corp</v>
      </c>
    </row>
    <row r="51" spans="5:18">
      <c r="E51" t="str" cm="1">
        <f t="array" ref="E51">_xll.BDP('Benchmark Bonds'!B22&amp;" Equity","CRNCY")</f>
        <v>#N/A Connection</v>
      </c>
      <c r="F51" t="s">
        <v>52</v>
      </c>
      <c r="G51" t="str">
        <f>_xll.BDP(G92,"RTG_SP","Fill=#N/A")</f>
        <v>#N/A Connection GB #N/A Connection SR 3Y Corp</v>
      </c>
      <c r="H51" t="str">
        <f>_xll.BDP(H92,"RTG_SP","Fill=#N/A")</f>
        <v>#N/A Connection GB #N/A Connection SR 5Y Corp</v>
      </c>
      <c r="I51" t="str">
        <f>_xll.BDP(I92,"RTG_SP","Fill=#N/A")</f>
        <v>#N/A Connection GB #N/A Connection SR 10Y Corp</v>
      </c>
      <c r="J51" t="str">
        <f>_xll.BDP(J92,"RTG_SP","Fill=#N/A")</f>
        <v>#N/A Connection GB #N/A Connection SR 30Y Corp</v>
      </c>
      <c r="K51" t="str">
        <f>_xll.BDP(G92,$K$38,"PRICING_SOURCE",Pricing_Source)</f>
        <v>#N/A Connection GB #N/A Connection SR 3Y Corp</v>
      </c>
      <c r="L51" t="str">
        <f>_xll.BDP(H92,$K$38,"PRICING_SOURCE",Pricing_Source)</f>
        <v>#N/A Connection GB #N/A Connection SR 5Y Corp</v>
      </c>
      <c r="M51" t="str">
        <f>_xll.BDP(I92,$K$38,"PRICING_SOURCE",Pricing_Source)</f>
        <v>#N/A Connection GB #N/A Connection SR 10Y Corp</v>
      </c>
      <c r="N51" t="str">
        <f>_xll.BDP(J92,$K$38,"PRICING_SOURCE",Pricing_Source)</f>
        <v>#N/A Connection GB #N/A Connection SR 30Y Corp</v>
      </c>
      <c r="O51" t="str">
        <f>_xll.BDP(G92,"SECURITY_DES")</f>
        <v>#N/A Connection GB #N/A Connection SR 3Y Corp</v>
      </c>
      <c r="P51" t="str">
        <f>_xll.BDP(H92,"SECURITY_DES")</f>
        <v>#N/A Connection GB #N/A Connection SR 5Y Corp</v>
      </c>
      <c r="Q51" t="str">
        <f>_xll.BDP(I92,"SECURITY_DES")</f>
        <v>#N/A Connection GB #N/A Connection SR 10Y Corp</v>
      </c>
      <c r="R51" t="str">
        <f>_xll.BDP(J92,"SECURITY_DES")</f>
        <v>#N/A Connection GB #N/A Connection SR 30Y Corp</v>
      </c>
    </row>
    <row r="52" spans="5:18">
      <c r="E52" t="str" cm="1">
        <f t="array" ref="E52">_xll.BDP('Benchmark Bonds'!B23&amp;" Equity","CRNCY")</f>
        <v>#N/A Connection</v>
      </c>
      <c r="F52" t="s">
        <v>52</v>
      </c>
      <c r="G52" t="str">
        <f>_xll.BDP(G93,"RTG_SP","Fill=#N/A")</f>
        <v>#N/A Connection GB #N/A Connection SR 3Y Corp</v>
      </c>
      <c r="H52" t="str">
        <f>_xll.BDP(H93,"RTG_SP","Fill=#N/A")</f>
        <v>#N/A Connection GB #N/A Connection SR 5Y Corp</v>
      </c>
      <c r="I52" t="str">
        <f>_xll.BDP(I93,"RTG_SP","Fill=#N/A")</f>
        <v>#N/A Connection GB #N/A Connection SR 10Y Corp</v>
      </c>
      <c r="J52" t="str">
        <f>_xll.BDP(J93,"RTG_SP","Fill=#N/A")</f>
        <v>#N/A Connection GB #N/A Connection SR 30Y Corp</v>
      </c>
      <c r="K52" t="str">
        <f>_xll.BDP(G93,$K$38,"PRICING_SOURCE",Pricing_Source)</f>
        <v>#N/A Connection GB #N/A Connection SR 3Y Corp</v>
      </c>
      <c r="L52" t="str">
        <f>_xll.BDP(H93,$K$38,"PRICING_SOURCE",Pricing_Source)</f>
        <v>#N/A Connection GB #N/A Connection SR 5Y Corp</v>
      </c>
      <c r="M52" t="str">
        <f>_xll.BDP(I93,$K$38,"PRICING_SOURCE",Pricing_Source)</f>
        <v>#N/A Connection GB #N/A Connection SR 10Y Corp</v>
      </c>
      <c r="N52" t="str">
        <f>_xll.BDP(J93,$K$38,"PRICING_SOURCE",Pricing_Source)</f>
        <v>#N/A Connection GB #N/A Connection SR 30Y Corp</v>
      </c>
      <c r="O52" t="str">
        <f>_xll.BDP(G93,"SECURITY_DES")</f>
        <v>#N/A Connection GB #N/A Connection SR 3Y Corp</v>
      </c>
      <c r="P52" t="str">
        <f>_xll.BDP(H93,"SECURITY_DES")</f>
        <v>#N/A Connection GB #N/A Connection SR 5Y Corp</v>
      </c>
      <c r="Q52" t="str">
        <f>_xll.BDP(I93,"SECURITY_DES")</f>
        <v>#N/A Connection GB #N/A Connection SR 10Y Corp</v>
      </c>
      <c r="R52" t="str">
        <f>_xll.BDP(J93,"SECURITY_DES")</f>
        <v>#N/A Connection GB #N/A Connection SR 30Y Corp</v>
      </c>
    </row>
    <row r="53" spans="5:18">
      <c r="E53" t="str" cm="1">
        <f t="array" ref="E53">_xll.BDP('Benchmark Bonds'!B24&amp;" Equity","CRNCY")</f>
        <v>#N/A Connection</v>
      </c>
      <c r="F53" t="s">
        <v>52</v>
      </c>
      <c r="G53" t="str">
        <f>_xll.BDP(G94,"RTG_SP","Fill=#N/A")</f>
        <v>#N/A Connection GB #N/A Connection SR 3Y Corp</v>
      </c>
      <c r="H53" t="str">
        <f>_xll.BDP(H94,"RTG_SP","Fill=#N/A")</f>
        <v>#N/A Connection GB #N/A Connection SR 5Y Corp</v>
      </c>
      <c r="I53" t="str">
        <f>_xll.BDP(I94,"RTG_SP","Fill=#N/A")</f>
        <v>#N/A Connection GB #N/A Connection SR 10Y Corp</v>
      </c>
      <c r="J53" t="str">
        <f>_xll.BDP(J94,"RTG_SP","Fill=#N/A")</f>
        <v>#N/A Connection GB #N/A Connection SR 30Y Corp</v>
      </c>
      <c r="K53" t="str">
        <f>_xll.BDP(G94,$K$38,"PRICING_SOURCE",Pricing_Source)</f>
        <v>#N/A Connection GB #N/A Connection SR 3Y Corp</v>
      </c>
      <c r="L53" t="str">
        <f>_xll.BDP(H94,$K$38,"PRICING_SOURCE",Pricing_Source)</f>
        <v>#N/A Connection GB #N/A Connection SR 5Y Corp</v>
      </c>
      <c r="M53" t="str">
        <f>_xll.BDP(I94,$K$38,"PRICING_SOURCE",Pricing_Source)</f>
        <v>#N/A Connection GB #N/A Connection SR 10Y Corp</v>
      </c>
      <c r="N53" t="str">
        <f>_xll.BDP(J94,$K$38,"PRICING_SOURCE",Pricing_Source)</f>
        <v>#N/A Connection GB #N/A Connection SR 30Y Corp</v>
      </c>
      <c r="O53" t="str">
        <f>_xll.BDP(G94,"SECURITY_DES")</f>
        <v>#N/A Connection GB #N/A Connection SR 3Y Corp</v>
      </c>
      <c r="P53" t="str">
        <f>_xll.BDP(H94,"SECURITY_DES")</f>
        <v>#N/A Connection GB #N/A Connection SR 5Y Corp</v>
      </c>
      <c r="Q53" t="str">
        <f>_xll.BDP(I94,"SECURITY_DES")</f>
        <v>#N/A Connection GB #N/A Connection SR 10Y Corp</v>
      </c>
      <c r="R53" t="str">
        <f>_xll.BDP(J94,"SECURITY_DES")</f>
        <v>#N/A Connection GB #N/A Connection SR 30Y Corp</v>
      </c>
    </row>
    <row r="54" spans="5:18">
      <c r="E54" t="str" cm="1">
        <f t="array" ref="E54">_xll.BDP('Benchmark Bonds'!B25&amp;" Equity","CRNCY")</f>
        <v>#N/A Connection</v>
      </c>
      <c r="F54" t="s">
        <v>52</v>
      </c>
      <c r="G54" t="str">
        <f>_xll.BDP(G95,"RTG_SP","Fill=#N/A")</f>
        <v>#N/A Connection GB #N/A Connection SR 3Y Corp</v>
      </c>
      <c r="H54" t="str">
        <f>_xll.BDP(H95,"RTG_SP","Fill=#N/A")</f>
        <v>#N/A Connection GB #N/A Connection SR 5Y Corp</v>
      </c>
      <c r="I54" t="str">
        <f>_xll.BDP(I95,"RTG_SP","Fill=#N/A")</f>
        <v>#N/A Connection GB #N/A Connection SR 10Y Corp</v>
      </c>
      <c r="J54" t="str">
        <f>_xll.BDP(J95,"RTG_SP","Fill=#N/A")</f>
        <v>#N/A Connection GB #N/A Connection SR 30Y Corp</v>
      </c>
      <c r="K54" t="str">
        <f>_xll.BDP(G95,$K$38,"PRICING_SOURCE",Pricing_Source)</f>
        <v>#N/A Connection GB #N/A Connection SR 3Y Corp</v>
      </c>
      <c r="L54" t="str">
        <f>_xll.BDP(H95,$K$38,"PRICING_SOURCE",Pricing_Source)</f>
        <v>#N/A Connection GB #N/A Connection SR 5Y Corp</v>
      </c>
      <c r="M54" t="str">
        <f>_xll.BDP(I95,$K$38,"PRICING_SOURCE",Pricing_Source)</f>
        <v>#N/A Connection GB #N/A Connection SR 10Y Corp</v>
      </c>
      <c r="N54" t="str">
        <f>_xll.BDP(J95,$K$38,"PRICING_SOURCE",Pricing_Source)</f>
        <v>#N/A Connection GB #N/A Connection SR 30Y Corp</v>
      </c>
      <c r="O54" t="str">
        <f>_xll.BDP(G95,"SECURITY_DES")</f>
        <v>#N/A Connection GB #N/A Connection SR 3Y Corp</v>
      </c>
      <c r="P54" t="str">
        <f>_xll.BDP(H95,"SECURITY_DES")</f>
        <v>#N/A Connection GB #N/A Connection SR 5Y Corp</v>
      </c>
      <c r="Q54" t="str">
        <f>_xll.BDP(I95,"SECURITY_DES")</f>
        <v>#N/A Connection GB #N/A Connection SR 10Y Corp</v>
      </c>
      <c r="R54" t="str">
        <f>_xll.BDP(J95,"SECURITY_DES")</f>
        <v>#N/A Connection GB #N/A Connection SR 30Y Corp</v>
      </c>
    </row>
    <row r="55" spans="5:18">
      <c r="E55" t="str" cm="1">
        <f t="array" ref="E55">_xll.BDP('Benchmark Bonds'!B26&amp;" Equity","CRNCY")</f>
        <v>#N/A Connection</v>
      </c>
      <c r="F55" t="s">
        <v>52</v>
      </c>
      <c r="G55" t="str">
        <f>_xll.BDP(G96,"RTG_SP","Fill=#N/A")</f>
        <v>#N/A Connection GB #N/A Connection SR 3Y Corp</v>
      </c>
      <c r="H55" t="str">
        <f>_xll.BDP(H96,"RTG_SP","Fill=#N/A")</f>
        <v>#N/A Connection GB #N/A Connection SR 5Y Corp</v>
      </c>
      <c r="I55" t="str">
        <f>_xll.BDP(I96,"RTG_SP","Fill=#N/A")</f>
        <v>#N/A Connection GB #N/A Connection SR 10Y Corp</v>
      </c>
      <c r="J55" t="str">
        <f>_xll.BDP(J96,"RTG_SP","Fill=#N/A")</f>
        <v>#N/A Connection GB #N/A Connection SR 30Y Corp</v>
      </c>
      <c r="K55" t="str">
        <f>_xll.BDP(G96,$K$38,"PRICING_SOURCE",Pricing_Source)</f>
        <v>#N/A Connection GB #N/A Connection SR 3Y Corp</v>
      </c>
      <c r="L55" t="str">
        <f>_xll.BDP(H96,$K$38,"PRICING_SOURCE",Pricing_Source)</f>
        <v>#N/A Connection GB #N/A Connection SR 5Y Corp</v>
      </c>
      <c r="M55" t="str">
        <f>_xll.BDP(I96,$K$38,"PRICING_SOURCE",Pricing_Source)</f>
        <v>#N/A Connection GB #N/A Connection SR 10Y Corp</v>
      </c>
      <c r="N55" t="str">
        <f>_xll.BDP(J96,$K$38,"PRICING_SOURCE",Pricing_Source)</f>
        <v>#N/A Connection GB #N/A Connection SR 30Y Corp</v>
      </c>
      <c r="O55" t="str">
        <f>_xll.BDP(G96,"SECURITY_DES")</f>
        <v>#N/A Connection GB #N/A Connection SR 3Y Corp</v>
      </c>
      <c r="P55" t="str">
        <f>_xll.BDP(H96,"SECURITY_DES")</f>
        <v>#N/A Connection GB #N/A Connection SR 5Y Corp</v>
      </c>
      <c r="Q55" t="str">
        <f>_xll.BDP(I96,"SECURITY_DES")</f>
        <v>#N/A Connection GB #N/A Connection SR 10Y Corp</v>
      </c>
      <c r="R55" t="str">
        <f>_xll.BDP(J96,"SECURITY_DES")</f>
        <v>#N/A Connection GB #N/A Connection SR 30Y Corp</v>
      </c>
    </row>
    <row r="56" spans="5:18">
      <c r="E56" t="str" cm="1">
        <f t="array" ref="E56">_xll.BDP('Benchmark Bonds'!B27&amp;" Equity","CRNCY")</f>
        <v>#N/A Connection</v>
      </c>
      <c r="F56" t="s">
        <v>52</v>
      </c>
      <c r="G56" t="str">
        <f>_xll.BDP(G97,"RTG_SP","Fill=#N/A")</f>
        <v>#N/A Connection GB #N/A Connection SR 3Y Corp</v>
      </c>
      <c r="H56" t="str">
        <f>_xll.BDP(H97,"RTG_SP","Fill=#N/A")</f>
        <v>#N/A Connection GB #N/A Connection SR 5Y Corp</v>
      </c>
      <c r="I56" t="str">
        <f>_xll.BDP(I97,"RTG_SP","Fill=#N/A")</f>
        <v>#N/A Connection GB #N/A Connection SR 10Y Corp</v>
      </c>
      <c r="J56" t="str">
        <f>_xll.BDP(J97,"RTG_SP","Fill=#N/A")</f>
        <v>#N/A Connection GB #N/A Connection SR 30Y Corp</v>
      </c>
      <c r="K56" t="str">
        <f>_xll.BDP(G97,$K$38,"PRICING_SOURCE",Pricing_Source)</f>
        <v>#N/A Connection GB #N/A Connection SR 3Y Corp</v>
      </c>
      <c r="L56" t="str">
        <f>_xll.BDP(H97,$K$38,"PRICING_SOURCE",Pricing_Source)</f>
        <v>#N/A Connection GB #N/A Connection SR 5Y Corp</v>
      </c>
      <c r="M56" t="str">
        <f>_xll.BDP(I97,$K$38,"PRICING_SOURCE",Pricing_Source)</f>
        <v>#N/A Connection GB #N/A Connection SR 10Y Corp</v>
      </c>
      <c r="N56" t="str">
        <f>_xll.BDP(J97,$K$38,"PRICING_SOURCE",Pricing_Source)</f>
        <v>#N/A Connection GB #N/A Connection SR 30Y Corp</v>
      </c>
      <c r="O56" t="str">
        <f>_xll.BDP(G97,"SECURITY_DES")</f>
        <v>#N/A Connection GB #N/A Connection SR 3Y Corp</v>
      </c>
      <c r="P56" t="str">
        <f>_xll.BDP(H97,"SECURITY_DES")</f>
        <v>#N/A Connection GB #N/A Connection SR 5Y Corp</v>
      </c>
      <c r="Q56" t="str">
        <f>_xll.BDP(I97,"SECURITY_DES")</f>
        <v>#N/A Connection GB #N/A Connection SR 10Y Corp</v>
      </c>
      <c r="R56" t="str">
        <f>_xll.BDP(J97,"SECURITY_DES")</f>
        <v>#N/A Connection GB #N/A Connection SR 30Y Corp</v>
      </c>
    </row>
    <row r="57" spans="5:18">
      <c r="E57" t="str" cm="1">
        <f t="array" ref="E57">_xll.BDP('Benchmark Bonds'!B28&amp;" Equity","CRNCY")</f>
        <v>#N/A Connection</v>
      </c>
      <c r="F57" t="s">
        <v>52</v>
      </c>
      <c r="G57" t="str">
        <f>_xll.BDP(G98,"RTG_SP","Fill=#N/A")</f>
        <v>#N/A Connection GB #N/A Connection SR 3Y Corp</v>
      </c>
      <c r="H57" t="str">
        <f>_xll.BDP(H98,"RTG_SP","Fill=#N/A")</f>
        <v>#N/A Connection GB #N/A Connection SR 5Y Corp</v>
      </c>
      <c r="I57" t="str">
        <f>_xll.BDP(I98,"RTG_SP","Fill=#N/A")</f>
        <v>#N/A Connection GB #N/A Connection SR 10Y Corp</v>
      </c>
      <c r="J57" t="str">
        <f>_xll.BDP(J98,"RTG_SP","Fill=#N/A")</f>
        <v>#N/A Connection GB #N/A Connection SR 30Y Corp</v>
      </c>
      <c r="K57" t="str">
        <f>_xll.BDP(G98,$K$38,"PRICING_SOURCE",Pricing_Source)</f>
        <v>#N/A Connection GB #N/A Connection SR 3Y Corp</v>
      </c>
      <c r="L57" t="str">
        <f>_xll.BDP(H98,$K$38,"PRICING_SOURCE",Pricing_Source)</f>
        <v>#N/A Connection GB #N/A Connection SR 5Y Corp</v>
      </c>
      <c r="M57" t="str">
        <f>_xll.BDP(I98,$K$38,"PRICING_SOURCE",Pricing_Source)</f>
        <v>#N/A Connection GB #N/A Connection SR 10Y Corp</v>
      </c>
      <c r="N57" t="str">
        <f>_xll.BDP(J98,$K$38,"PRICING_SOURCE",Pricing_Source)</f>
        <v>#N/A Connection GB #N/A Connection SR 30Y Corp</v>
      </c>
      <c r="O57" t="str">
        <f>_xll.BDP(G98,"SECURITY_DES")</f>
        <v>#N/A Connection GB #N/A Connection SR 3Y Corp</v>
      </c>
      <c r="P57" t="str">
        <f>_xll.BDP(H98,"SECURITY_DES")</f>
        <v>#N/A Connection GB #N/A Connection SR 5Y Corp</v>
      </c>
      <c r="Q57" t="str">
        <f>_xll.BDP(I98,"SECURITY_DES")</f>
        <v>#N/A Connection GB #N/A Connection SR 10Y Corp</v>
      </c>
      <c r="R57" t="str">
        <f>_xll.BDP(J98,"SECURITY_DES")</f>
        <v>#N/A Connection GB #N/A Connection SR 30Y Corp</v>
      </c>
    </row>
    <row r="58" spans="5:18">
      <c r="E58" t="str" cm="1">
        <f t="array" ref="E58">_xll.BDP('Benchmark Bonds'!B29&amp;" Equity","CRNCY")</f>
        <v>#N/A Connection</v>
      </c>
      <c r="F58" t="s">
        <v>52</v>
      </c>
      <c r="G58" t="str">
        <f>_xll.BDP(G99,"RTG_SP","Fill=#N/A")</f>
        <v>#N/A Connection GB #N/A Connection SR 3Y Corp</v>
      </c>
      <c r="H58" t="str">
        <f>_xll.BDP(H99,"RTG_SP","Fill=#N/A")</f>
        <v>#N/A Connection GB #N/A Connection SR 5Y Corp</v>
      </c>
      <c r="I58" t="str">
        <f>_xll.BDP(I99,"RTG_SP","Fill=#N/A")</f>
        <v>#N/A Connection GB #N/A Connection SR 10Y Corp</v>
      </c>
      <c r="J58" t="str">
        <f>_xll.BDP(J99,"RTG_SP","Fill=#N/A")</f>
        <v>#N/A Connection GB #N/A Connection SR 30Y Corp</v>
      </c>
      <c r="K58" t="str">
        <f>_xll.BDP(G99,$K$38,"PRICING_SOURCE",Pricing_Source)</f>
        <v>#N/A Connection GB #N/A Connection SR 3Y Corp</v>
      </c>
      <c r="L58" t="str">
        <f>_xll.BDP(H99,$K$38,"PRICING_SOURCE",Pricing_Source)</f>
        <v>#N/A Connection GB #N/A Connection SR 5Y Corp</v>
      </c>
      <c r="M58" t="str">
        <f>_xll.BDP(I99,$K$38,"PRICING_SOURCE",Pricing_Source)</f>
        <v>#N/A Connection GB #N/A Connection SR 10Y Corp</v>
      </c>
      <c r="N58" t="str">
        <f>_xll.BDP(J99,$K$38,"PRICING_SOURCE",Pricing_Source)</f>
        <v>#N/A Connection GB #N/A Connection SR 30Y Corp</v>
      </c>
      <c r="O58" t="str">
        <f>_xll.BDP(G99,"SECURITY_DES")</f>
        <v>#N/A Connection GB #N/A Connection SR 3Y Corp</v>
      </c>
      <c r="P58" t="str">
        <f>_xll.BDP(H99,"SECURITY_DES")</f>
        <v>#N/A Connection GB #N/A Connection SR 5Y Corp</v>
      </c>
      <c r="Q58" t="str">
        <f>_xll.BDP(I99,"SECURITY_DES")</f>
        <v>#N/A Connection GB #N/A Connection SR 10Y Corp</v>
      </c>
      <c r="R58" t="str">
        <f>_xll.BDP(J99,"SECURITY_DES")</f>
        <v>#N/A Connection GB #N/A Connection SR 30Y Corp</v>
      </c>
    </row>
    <row r="59" spans="5:18">
      <c r="E59" t="str" cm="1">
        <f t="array" ref="E59">_xll.BDP('Benchmark Bonds'!B30&amp;" Equity","CRNCY")</f>
        <v>#N/A Connection</v>
      </c>
      <c r="F59" t="s">
        <v>52</v>
      </c>
      <c r="G59" t="str">
        <f>_xll.BDP(G100,"RTG_SP","Fill=#N/A")</f>
        <v>#N/A Connection GB #N/A Connection SR 3Y Corp</v>
      </c>
      <c r="H59" t="str">
        <f>_xll.BDP(H100,"RTG_SP","Fill=#N/A")</f>
        <v>#N/A Connection GB #N/A Connection SR 5Y Corp</v>
      </c>
      <c r="I59" t="str">
        <f>_xll.BDP(I100,"RTG_SP","Fill=#N/A")</f>
        <v>#N/A Connection GB #N/A Connection SR 10Y Corp</v>
      </c>
      <c r="J59" t="str">
        <f>_xll.BDP(J100,"RTG_SP","Fill=#N/A")</f>
        <v>#N/A Connection GB #N/A Connection SR 30Y Corp</v>
      </c>
      <c r="K59" t="str">
        <f>_xll.BDP(G100,$K$38,"PRICING_SOURCE",Pricing_Source)</f>
        <v>#N/A Connection GB #N/A Connection SR 3Y Corp</v>
      </c>
      <c r="L59" t="str">
        <f>_xll.BDP(H100,$K$38,"PRICING_SOURCE",Pricing_Source)</f>
        <v>#N/A Connection GB #N/A Connection SR 5Y Corp</v>
      </c>
      <c r="M59" t="str">
        <f>_xll.BDP(I100,$K$38,"PRICING_SOURCE",Pricing_Source)</f>
        <v>#N/A Connection GB #N/A Connection SR 10Y Corp</v>
      </c>
      <c r="N59" t="str">
        <f>_xll.BDP(J100,$K$38,"PRICING_SOURCE",Pricing_Source)</f>
        <v>#N/A Connection GB #N/A Connection SR 30Y Corp</v>
      </c>
      <c r="O59" t="str">
        <f>_xll.BDP(G100,"SECURITY_DES")</f>
        <v>#N/A Connection GB #N/A Connection SR 3Y Corp</v>
      </c>
      <c r="P59" t="str">
        <f>_xll.BDP(H100,"SECURITY_DES")</f>
        <v>#N/A Connection GB #N/A Connection SR 5Y Corp</v>
      </c>
      <c r="Q59" t="str">
        <f>_xll.BDP(I100,"SECURITY_DES")</f>
        <v>#N/A Connection GB #N/A Connection SR 10Y Corp</v>
      </c>
      <c r="R59" t="str">
        <f>_xll.BDP(J100,"SECURITY_DES")</f>
        <v>#N/A Connection GB #N/A Connection SR 30Y Corp</v>
      </c>
    </row>
    <row r="76" spans="6:8">
      <c r="F76" s="5" t="s">
        <v>47</v>
      </c>
      <c r="G76" t="s">
        <v>39</v>
      </c>
      <c r="H76" t="s">
        <v>40</v>
      </c>
    </row>
    <row r="77" spans="6:8">
      <c r="F77" s="5" t="s">
        <v>48</v>
      </c>
      <c r="G77" t="s">
        <v>41</v>
      </c>
      <c r="H77" t="s">
        <v>42</v>
      </c>
    </row>
    <row r="78" spans="6:8">
      <c r="G78" t="s">
        <v>43</v>
      </c>
      <c r="H78" t="s">
        <v>44</v>
      </c>
    </row>
    <row r="79" spans="6:8">
      <c r="G79" t="s">
        <v>45</v>
      </c>
      <c r="H79" t="s">
        <v>46</v>
      </c>
    </row>
    <row r="81" spans="7:10">
      <c r="G81" s="6" t="str">
        <f t="shared" ref="G81:G100" si="12">$G2 &amp; " GB " &amp; E40 &amp; " " &amp; F40 &amp; " 3Y Corp"</f>
        <v>#N/A Connection GB #N/A Connection SR 3Y Corp</v>
      </c>
      <c r="H81" t="str">
        <f t="shared" ref="H81:H100" si="13">$G2 &amp; " GB " &amp; E40 &amp; " " &amp; F40 &amp; " 5Y Corp"</f>
        <v>#N/A Connection GB #N/A Connection SR 5Y Corp</v>
      </c>
      <c r="I81" t="str">
        <f t="shared" ref="I81:I100" si="14">$G2 &amp; " GB " &amp; E40 &amp; " " &amp; F40 &amp; " 10Y Corp"</f>
        <v>#N/A Connection GB #N/A Connection SR 10Y Corp</v>
      </c>
      <c r="J81" t="str">
        <f t="shared" ref="J81:J100" si="15">$G2 &amp; " GB " &amp; E40 &amp; " " &amp; F40 &amp; " 30Y Corp"</f>
        <v>#N/A Connection GB #N/A Connection SR 30Y Corp</v>
      </c>
    </row>
    <row r="82" spans="7:10">
      <c r="G82" t="str">
        <f t="shared" si="12"/>
        <v>#N/A Connection GB #N/A Connection SR 3Y Corp</v>
      </c>
      <c r="H82" t="str">
        <f t="shared" si="13"/>
        <v>#N/A Connection GB #N/A Connection SR 5Y Corp</v>
      </c>
      <c r="I82" t="str">
        <f t="shared" si="14"/>
        <v>#N/A Connection GB #N/A Connection SR 10Y Corp</v>
      </c>
      <c r="J82" t="str">
        <f t="shared" si="15"/>
        <v>#N/A Connection GB #N/A Connection SR 30Y Corp</v>
      </c>
    </row>
    <row r="83" spans="7:10">
      <c r="G83" t="str">
        <f t="shared" si="12"/>
        <v>#N/A Connection GB #N/A Connection SR 3Y Corp</v>
      </c>
      <c r="H83" t="str">
        <f t="shared" si="13"/>
        <v>#N/A Connection GB #N/A Connection SR 5Y Corp</v>
      </c>
      <c r="I83" t="str">
        <f t="shared" si="14"/>
        <v>#N/A Connection GB #N/A Connection SR 10Y Corp</v>
      </c>
      <c r="J83" t="str">
        <f t="shared" si="15"/>
        <v>#N/A Connection GB #N/A Connection SR 30Y Corp</v>
      </c>
    </row>
    <row r="84" spans="7:10">
      <c r="G84" t="str">
        <f t="shared" si="12"/>
        <v>#N/A Connection GB #N/A Connection SR 3Y Corp</v>
      </c>
      <c r="H84" t="str">
        <f t="shared" si="13"/>
        <v>#N/A Connection GB #N/A Connection SR 5Y Corp</v>
      </c>
      <c r="I84" t="str">
        <f t="shared" si="14"/>
        <v>#N/A Connection GB #N/A Connection SR 10Y Corp</v>
      </c>
      <c r="J84" t="str">
        <f t="shared" si="15"/>
        <v>#N/A Connection GB #N/A Connection SR 30Y Corp</v>
      </c>
    </row>
    <row r="85" spans="7:10">
      <c r="G85" t="str">
        <f t="shared" si="12"/>
        <v>#N/A Connection GB #N/A Connection SR 3Y Corp</v>
      </c>
      <c r="H85" t="str">
        <f t="shared" si="13"/>
        <v>#N/A Connection GB #N/A Connection SR 5Y Corp</v>
      </c>
      <c r="I85" t="str">
        <f t="shared" si="14"/>
        <v>#N/A Connection GB #N/A Connection SR 10Y Corp</v>
      </c>
      <c r="J85" t="str">
        <f t="shared" si="15"/>
        <v>#N/A Connection GB #N/A Connection SR 30Y Corp</v>
      </c>
    </row>
    <row r="86" spans="7:10">
      <c r="G86" t="str">
        <f t="shared" si="12"/>
        <v>#N/A Connection GB #N/A Connection SR 3Y Corp</v>
      </c>
      <c r="H86" t="str">
        <f t="shared" si="13"/>
        <v>#N/A Connection GB #N/A Connection SR 5Y Corp</v>
      </c>
      <c r="I86" t="str">
        <f t="shared" si="14"/>
        <v>#N/A Connection GB #N/A Connection SR 10Y Corp</v>
      </c>
      <c r="J86" t="str">
        <f t="shared" si="15"/>
        <v>#N/A Connection GB #N/A Connection SR 30Y Corp</v>
      </c>
    </row>
    <row r="87" spans="7:10">
      <c r="G87" t="str">
        <f t="shared" si="12"/>
        <v>#N/A Connection GB #N/A Connection SR 3Y Corp</v>
      </c>
      <c r="H87" t="str">
        <f t="shared" si="13"/>
        <v>#N/A Connection GB #N/A Connection SR 5Y Corp</v>
      </c>
      <c r="I87" t="str">
        <f t="shared" si="14"/>
        <v>#N/A Connection GB #N/A Connection SR 10Y Corp</v>
      </c>
      <c r="J87" t="str">
        <f t="shared" si="15"/>
        <v>#N/A Connection GB #N/A Connection SR 30Y Corp</v>
      </c>
    </row>
    <row r="88" spans="7:10">
      <c r="G88" t="str">
        <f t="shared" si="12"/>
        <v>#N/A Connection GB #N/A Connection SR 3Y Corp</v>
      </c>
      <c r="H88" t="str">
        <f t="shared" si="13"/>
        <v>#N/A Connection GB #N/A Connection SR 5Y Corp</v>
      </c>
      <c r="I88" t="str">
        <f t="shared" si="14"/>
        <v>#N/A Connection GB #N/A Connection SR 10Y Corp</v>
      </c>
      <c r="J88" t="str">
        <f t="shared" si="15"/>
        <v>#N/A Connection GB #N/A Connection SR 30Y Corp</v>
      </c>
    </row>
    <row r="89" spans="7:10">
      <c r="G89" t="str">
        <f t="shared" si="12"/>
        <v>#N/A Connection GB #N/A Connection SR 3Y Corp</v>
      </c>
      <c r="H89" t="str">
        <f t="shared" si="13"/>
        <v>#N/A Connection GB #N/A Connection SR 5Y Corp</v>
      </c>
      <c r="I89" t="str">
        <f t="shared" si="14"/>
        <v>#N/A Connection GB #N/A Connection SR 10Y Corp</v>
      </c>
      <c r="J89" t="str">
        <f t="shared" si="15"/>
        <v>#N/A Connection GB #N/A Connection SR 30Y Corp</v>
      </c>
    </row>
    <row r="90" spans="7:10">
      <c r="G90" t="str">
        <f t="shared" si="12"/>
        <v>#N/A Connection GB #N/A Connection SR 3Y Corp</v>
      </c>
      <c r="H90" t="str">
        <f t="shared" si="13"/>
        <v>#N/A Connection GB #N/A Connection SR 5Y Corp</v>
      </c>
      <c r="I90" t="str">
        <f t="shared" si="14"/>
        <v>#N/A Connection GB #N/A Connection SR 10Y Corp</v>
      </c>
      <c r="J90" t="str">
        <f t="shared" si="15"/>
        <v>#N/A Connection GB #N/A Connection SR 30Y Corp</v>
      </c>
    </row>
    <row r="91" spans="7:10">
      <c r="G91" t="str">
        <f t="shared" si="12"/>
        <v>#N/A Connection GB #N/A Connection SR 3Y Corp</v>
      </c>
      <c r="H91" t="str">
        <f t="shared" si="13"/>
        <v>#N/A Connection GB #N/A Connection SR 5Y Corp</v>
      </c>
      <c r="I91" t="str">
        <f t="shared" si="14"/>
        <v>#N/A Connection GB #N/A Connection SR 10Y Corp</v>
      </c>
      <c r="J91" t="str">
        <f t="shared" si="15"/>
        <v>#N/A Connection GB #N/A Connection SR 30Y Corp</v>
      </c>
    </row>
    <row r="92" spans="7:10">
      <c r="G92" t="str">
        <f t="shared" si="12"/>
        <v>#N/A Connection GB #N/A Connection SR 3Y Corp</v>
      </c>
      <c r="H92" t="str">
        <f t="shared" si="13"/>
        <v>#N/A Connection GB #N/A Connection SR 5Y Corp</v>
      </c>
      <c r="I92" t="str">
        <f t="shared" si="14"/>
        <v>#N/A Connection GB #N/A Connection SR 10Y Corp</v>
      </c>
      <c r="J92" t="str">
        <f t="shared" si="15"/>
        <v>#N/A Connection GB #N/A Connection SR 30Y Corp</v>
      </c>
    </row>
    <row r="93" spans="7:10">
      <c r="G93" t="str">
        <f t="shared" si="12"/>
        <v>#N/A Connection GB #N/A Connection SR 3Y Corp</v>
      </c>
      <c r="H93" t="str">
        <f t="shared" si="13"/>
        <v>#N/A Connection GB #N/A Connection SR 5Y Corp</v>
      </c>
      <c r="I93" t="str">
        <f t="shared" si="14"/>
        <v>#N/A Connection GB #N/A Connection SR 10Y Corp</v>
      </c>
      <c r="J93" t="str">
        <f t="shared" si="15"/>
        <v>#N/A Connection GB #N/A Connection SR 30Y Corp</v>
      </c>
    </row>
    <row r="94" spans="7:10">
      <c r="G94" t="str">
        <f t="shared" si="12"/>
        <v>#N/A Connection GB #N/A Connection SR 3Y Corp</v>
      </c>
      <c r="H94" t="str">
        <f t="shared" si="13"/>
        <v>#N/A Connection GB #N/A Connection SR 5Y Corp</v>
      </c>
      <c r="I94" t="str">
        <f t="shared" si="14"/>
        <v>#N/A Connection GB #N/A Connection SR 10Y Corp</v>
      </c>
      <c r="J94" t="str">
        <f t="shared" si="15"/>
        <v>#N/A Connection GB #N/A Connection SR 30Y Corp</v>
      </c>
    </row>
    <row r="95" spans="7:10">
      <c r="G95" t="str">
        <f t="shared" si="12"/>
        <v>#N/A Connection GB #N/A Connection SR 3Y Corp</v>
      </c>
      <c r="H95" t="str">
        <f t="shared" si="13"/>
        <v>#N/A Connection GB #N/A Connection SR 5Y Corp</v>
      </c>
      <c r="I95" t="str">
        <f t="shared" si="14"/>
        <v>#N/A Connection GB #N/A Connection SR 10Y Corp</v>
      </c>
      <c r="J95" t="str">
        <f t="shared" si="15"/>
        <v>#N/A Connection GB #N/A Connection SR 30Y Corp</v>
      </c>
    </row>
    <row r="96" spans="7:10">
      <c r="G96" t="str">
        <f t="shared" si="12"/>
        <v>#N/A Connection GB #N/A Connection SR 3Y Corp</v>
      </c>
      <c r="H96" t="str">
        <f t="shared" si="13"/>
        <v>#N/A Connection GB #N/A Connection SR 5Y Corp</v>
      </c>
      <c r="I96" t="str">
        <f t="shared" si="14"/>
        <v>#N/A Connection GB #N/A Connection SR 10Y Corp</v>
      </c>
      <c r="J96" t="str">
        <f t="shared" si="15"/>
        <v>#N/A Connection GB #N/A Connection SR 30Y Corp</v>
      </c>
    </row>
    <row r="97" spans="7:10">
      <c r="G97" t="str">
        <f t="shared" si="12"/>
        <v>#N/A Connection GB #N/A Connection SR 3Y Corp</v>
      </c>
      <c r="H97" t="str">
        <f t="shared" si="13"/>
        <v>#N/A Connection GB #N/A Connection SR 5Y Corp</v>
      </c>
      <c r="I97" t="str">
        <f t="shared" si="14"/>
        <v>#N/A Connection GB #N/A Connection SR 10Y Corp</v>
      </c>
      <c r="J97" t="str">
        <f t="shared" si="15"/>
        <v>#N/A Connection GB #N/A Connection SR 30Y Corp</v>
      </c>
    </row>
    <row r="98" spans="7:10">
      <c r="G98" t="str">
        <f t="shared" si="12"/>
        <v>#N/A Connection GB #N/A Connection SR 3Y Corp</v>
      </c>
      <c r="H98" t="str">
        <f t="shared" si="13"/>
        <v>#N/A Connection GB #N/A Connection SR 5Y Corp</v>
      </c>
      <c r="I98" t="str">
        <f t="shared" si="14"/>
        <v>#N/A Connection GB #N/A Connection SR 10Y Corp</v>
      </c>
      <c r="J98" t="str">
        <f t="shared" si="15"/>
        <v>#N/A Connection GB #N/A Connection SR 30Y Corp</v>
      </c>
    </row>
    <row r="99" spans="7:10">
      <c r="G99" t="str">
        <f t="shared" si="12"/>
        <v>#N/A Connection GB #N/A Connection SR 3Y Corp</v>
      </c>
      <c r="H99" t="str">
        <f t="shared" si="13"/>
        <v>#N/A Connection GB #N/A Connection SR 5Y Corp</v>
      </c>
      <c r="I99" t="str">
        <f t="shared" si="14"/>
        <v>#N/A Connection GB #N/A Connection SR 10Y Corp</v>
      </c>
      <c r="J99" t="str">
        <f t="shared" si="15"/>
        <v>#N/A Connection GB #N/A Connection SR 30Y Corp</v>
      </c>
    </row>
    <row r="100" spans="7:10">
      <c r="G100" t="str">
        <f t="shared" si="12"/>
        <v>#N/A Connection GB #N/A Connection SR 3Y Corp</v>
      </c>
      <c r="H100" t="str">
        <f t="shared" si="13"/>
        <v>#N/A Connection GB #N/A Connection SR 5Y Corp</v>
      </c>
      <c r="I100" t="str">
        <f t="shared" si="14"/>
        <v>#N/A Connection GB #N/A Connection SR 10Y Corp</v>
      </c>
      <c r="J100" t="str">
        <f t="shared" si="15"/>
        <v>#N/A Connection GB #N/A Connection SR 30Y Corp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Help">
    <tabColor rgb="FF00B050"/>
  </sheetPr>
  <dimension ref="B1:X89"/>
  <sheetViews>
    <sheetView showGridLines="0" showRowColHeaders="0" zoomScale="110" zoomScaleNormal="110" workbookViewId="0">
      <pane ySplit="5" topLeftCell="A6" activePane="bottomLeft" state="frozenSplit"/>
      <selection pane="bottomLeft" activeCell="D6" sqref="D6:R9"/>
    </sheetView>
  </sheetViews>
  <sheetFormatPr defaultRowHeight="12.75"/>
  <cols>
    <col min="1" max="1" width="1.7109375" customWidth="1"/>
  </cols>
  <sheetData>
    <row r="1" spans="2:24" ht="5.0999999999999996" customHeight="1"/>
    <row r="2" spans="2:24" ht="15" customHeight="1"/>
    <row r="3" spans="2:24" ht="15" customHeight="1"/>
    <row r="4" spans="2:24" ht="15" customHeight="1"/>
    <row r="5" spans="2:24" ht="5.0999999999999996" customHeight="1"/>
    <row r="6" spans="2:24">
      <c r="B6" s="63"/>
      <c r="C6" s="63"/>
      <c r="D6" s="62" t="s">
        <v>72</v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4"/>
      <c r="T6" s="64"/>
      <c r="U6" s="60"/>
      <c r="V6" s="60"/>
      <c r="W6" s="60"/>
      <c r="X6" s="60"/>
    </row>
    <row r="7" spans="2:24">
      <c r="B7" s="63"/>
      <c r="C7" s="63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4"/>
      <c r="T7" s="64"/>
      <c r="U7" s="60"/>
      <c r="V7" s="60"/>
      <c r="W7" s="60"/>
      <c r="X7" s="60"/>
    </row>
    <row r="8" spans="2:24">
      <c r="B8" s="63"/>
      <c r="C8" s="63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4"/>
      <c r="T8" s="64"/>
      <c r="U8" s="60"/>
      <c r="V8" s="60"/>
      <c r="W8" s="60"/>
      <c r="X8" s="60"/>
    </row>
    <row r="9" spans="2:24">
      <c r="B9" s="63"/>
      <c r="C9" s="63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4"/>
      <c r="T9" s="64"/>
      <c r="U9" s="60"/>
      <c r="V9" s="60"/>
      <c r="W9" s="60"/>
      <c r="X9" s="60"/>
    </row>
    <row r="10" spans="2:24">
      <c r="B10" s="60"/>
      <c r="C10" s="60"/>
      <c r="S10" s="61"/>
      <c r="T10" s="61"/>
      <c r="U10" s="60"/>
      <c r="V10" s="60"/>
      <c r="W10" s="60"/>
      <c r="X10" s="60"/>
    </row>
    <row r="11" spans="2:24">
      <c r="B11" s="60"/>
      <c r="C11" s="60"/>
      <c r="S11" s="61"/>
      <c r="T11" s="61"/>
      <c r="U11" s="60"/>
      <c r="V11" s="60"/>
      <c r="W11" s="60"/>
      <c r="X11" s="60"/>
    </row>
    <row r="12" spans="2:24" ht="12.75" customHeight="1">
      <c r="B12" s="60"/>
      <c r="C12" s="60"/>
      <c r="S12" s="61"/>
      <c r="T12" s="61"/>
      <c r="U12" s="60"/>
      <c r="V12" s="60"/>
      <c r="W12" s="60"/>
      <c r="X12" s="60"/>
    </row>
    <row r="13" spans="2:24" ht="12.75" customHeight="1">
      <c r="B13" s="60"/>
      <c r="C13" s="60"/>
      <c r="S13" s="61"/>
      <c r="T13" s="61"/>
      <c r="U13" s="60"/>
      <c r="V13" s="60"/>
      <c r="W13" s="60"/>
      <c r="X13" s="60"/>
    </row>
    <row r="14" spans="2:24" ht="12.75" customHeight="1">
      <c r="B14" s="60"/>
      <c r="C14" s="60"/>
      <c r="S14" s="61"/>
      <c r="T14" s="61"/>
      <c r="U14" s="60"/>
      <c r="V14" s="60"/>
      <c r="W14" s="60"/>
      <c r="X14" s="60"/>
    </row>
    <row r="15" spans="2:24">
      <c r="B15" s="60"/>
      <c r="C15" s="60"/>
      <c r="S15" s="61"/>
      <c r="T15" s="61"/>
      <c r="U15" s="60"/>
      <c r="V15" s="60"/>
      <c r="W15" s="60"/>
      <c r="X15" s="60"/>
    </row>
    <row r="16" spans="2:24">
      <c r="B16" s="60"/>
      <c r="C16" s="60"/>
      <c r="S16" s="61"/>
      <c r="T16" s="61"/>
      <c r="U16" s="60"/>
      <c r="V16" s="60"/>
      <c r="W16" s="60"/>
      <c r="X16" s="60"/>
    </row>
    <row r="17" spans="2:24">
      <c r="B17" s="60"/>
      <c r="C17" s="60"/>
      <c r="S17" s="61"/>
      <c r="T17" s="61"/>
      <c r="U17" s="60"/>
      <c r="V17" s="60"/>
      <c r="W17" s="60"/>
      <c r="X17" s="60"/>
    </row>
    <row r="18" spans="2:24">
      <c r="B18" s="60"/>
      <c r="C18" s="60"/>
      <c r="S18" s="61"/>
      <c r="T18" s="61"/>
      <c r="U18" s="60"/>
      <c r="V18" s="60"/>
      <c r="W18" s="60"/>
      <c r="X18" s="60"/>
    </row>
    <row r="19" spans="2:24">
      <c r="B19" s="60"/>
      <c r="C19" s="60"/>
      <c r="S19" s="61"/>
      <c r="T19" s="61"/>
      <c r="U19" s="60"/>
      <c r="V19" s="60"/>
      <c r="W19" s="60"/>
      <c r="X19" s="60"/>
    </row>
    <row r="20" spans="2:24">
      <c r="B20" s="60"/>
      <c r="C20" s="60"/>
      <c r="S20" s="61"/>
      <c r="T20" s="61"/>
      <c r="U20" s="60"/>
      <c r="V20" s="60"/>
      <c r="W20" s="60"/>
      <c r="X20" s="60"/>
    </row>
    <row r="21" spans="2:24">
      <c r="B21" s="60"/>
      <c r="C21" s="60"/>
      <c r="S21" s="61"/>
      <c r="T21" s="61"/>
      <c r="U21" s="60"/>
      <c r="V21" s="60"/>
      <c r="W21" s="60"/>
      <c r="X21" s="60"/>
    </row>
    <row r="22" spans="2:24">
      <c r="B22" s="60"/>
      <c r="C22" s="60"/>
      <c r="S22" s="61"/>
      <c r="T22" s="61"/>
      <c r="U22" s="60"/>
      <c r="V22" s="60"/>
      <c r="W22" s="60"/>
      <c r="X22" s="60"/>
    </row>
    <row r="23" spans="2:24">
      <c r="B23" s="60"/>
      <c r="C23" s="60"/>
      <c r="S23" s="61"/>
      <c r="T23" s="61"/>
      <c r="U23" s="60"/>
      <c r="V23" s="60"/>
      <c r="W23" s="60"/>
      <c r="X23" s="60"/>
    </row>
    <row r="24" spans="2:24">
      <c r="B24" s="60"/>
      <c r="C24" s="60"/>
      <c r="S24" s="61"/>
      <c r="T24" s="61"/>
      <c r="U24" s="60"/>
      <c r="V24" s="60"/>
      <c r="W24" s="60"/>
      <c r="X24" s="60"/>
    </row>
    <row r="25" spans="2:24">
      <c r="B25" s="60"/>
      <c r="C25" s="60"/>
      <c r="S25" s="61"/>
      <c r="T25" s="61"/>
      <c r="U25" s="60"/>
      <c r="V25" s="60"/>
      <c r="W25" s="60"/>
      <c r="X25" s="60"/>
    </row>
    <row r="26" spans="2:24">
      <c r="B26" s="60"/>
      <c r="C26" s="60"/>
      <c r="S26" s="61"/>
      <c r="T26" s="61"/>
      <c r="U26" s="60"/>
      <c r="V26" s="60"/>
      <c r="W26" s="60"/>
      <c r="X26" s="60"/>
    </row>
    <row r="27" spans="2:24">
      <c r="B27" s="60"/>
      <c r="C27" s="60"/>
      <c r="S27" s="61"/>
      <c r="T27" s="61"/>
      <c r="U27" s="60"/>
      <c r="V27" s="60"/>
      <c r="W27" s="60"/>
      <c r="X27" s="60"/>
    </row>
    <row r="28" spans="2:24">
      <c r="B28" s="60"/>
      <c r="C28" s="60"/>
      <c r="S28" s="61"/>
      <c r="T28" s="61"/>
      <c r="U28" s="60"/>
      <c r="V28" s="60"/>
      <c r="W28" s="60"/>
      <c r="X28" s="60"/>
    </row>
    <row r="29" spans="2:24">
      <c r="B29" s="60"/>
      <c r="C29" s="60"/>
      <c r="S29" s="61"/>
      <c r="T29" s="61"/>
      <c r="U29" s="60"/>
      <c r="V29" s="60"/>
      <c r="W29" s="60"/>
      <c r="X29" s="60"/>
    </row>
    <row r="30" spans="2:24">
      <c r="B30" s="60"/>
      <c r="C30" s="60"/>
      <c r="S30" s="61"/>
      <c r="T30" s="61"/>
      <c r="U30" s="60"/>
      <c r="V30" s="60"/>
      <c r="W30" s="60"/>
      <c r="X30" s="60"/>
    </row>
    <row r="31" spans="2:24">
      <c r="B31" s="60"/>
      <c r="C31" s="60"/>
      <c r="S31" s="61"/>
      <c r="T31" s="61"/>
      <c r="U31" s="60"/>
      <c r="V31" s="60"/>
      <c r="W31" s="60"/>
      <c r="X31" s="60"/>
    </row>
    <row r="32" spans="2:24">
      <c r="B32" s="60"/>
      <c r="C32" s="60"/>
      <c r="S32" s="61"/>
      <c r="T32" s="61"/>
      <c r="U32" s="60"/>
      <c r="V32" s="60"/>
      <c r="W32" s="60"/>
      <c r="X32" s="60"/>
    </row>
    <row r="33" spans="2:24">
      <c r="B33" s="60"/>
      <c r="C33" s="60"/>
      <c r="S33" s="61"/>
      <c r="T33" s="61"/>
      <c r="U33" s="60"/>
      <c r="V33" s="60"/>
      <c r="W33" s="60"/>
      <c r="X33" s="60"/>
    </row>
    <row r="34" spans="2:24">
      <c r="B34" s="60"/>
      <c r="C34" s="60"/>
      <c r="S34" s="61"/>
      <c r="T34" s="61"/>
      <c r="U34" s="60"/>
      <c r="V34" s="60"/>
      <c r="W34" s="60"/>
      <c r="X34" s="60"/>
    </row>
    <row r="35" spans="2:24">
      <c r="B35" s="60"/>
      <c r="C35" s="60"/>
      <c r="S35" s="61"/>
      <c r="T35" s="61"/>
      <c r="U35" s="60"/>
      <c r="V35" s="60"/>
      <c r="W35" s="60"/>
      <c r="X35" s="60"/>
    </row>
    <row r="36" spans="2:24">
      <c r="B36" s="60"/>
      <c r="C36" s="60"/>
      <c r="S36" s="61"/>
      <c r="T36" s="61"/>
      <c r="U36" s="60"/>
      <c r="V36" s="60"/>
      <c r="W36" s="60"/>
      <c r="X36" s="60"/>
    </row>
    <row r="37" spans="2:24">
      <c r="B37" s="60"/>
      <c r="C37" s="60"/>
      <c r="S37" s="61"/>
      <c r="T37" s="61"/>
      <c r="U37" s="60"/>
      <c r="V37" s="60"/>
      <c r="W37" s="60"/>
      <c r="X37" s="60"/>
    </row>
    <row r="38" spans="2:24">
      <c r="B38" s="60"/>
      <c r="C38" s="60"/>
      <c r="S38" s="61"/>
      <c r="T38" s="61"/>
      <c r="U38" s="60"/>
      <c r="V38" s="60"/>
      <c r="W38" s="60"/>
      <c r="X38" s="60"/>
    </row>
    <row r="39" spans="2:24">
      <c r="B39" s="60"/>
      <c r="C39" s="60"/>
      <c r="S39" s="61"/>
      <c r="T39" s="61"/>
      <c r="U39" s="60"/>
      <c r="V39" s="60"/>
      <c r="W39" s="60"/>
      <c r="X39" s="60"/>
    </row>
    <row r="40" spans="2:24">
      <c r="B40" s="60"/>
      <c r="C40" s="60"/>
      <c r="S40" s="61"/>
      <c r="T40" s="61"/>
      <c r="U40" s="60"/>
      <c r="V40" s="60"/>
      <c r="W40" s="60"/>
      <c r="X40" s="60"/>
    </row>
    <row r="41" spans="2:24">
      <c r="B41" s="60"/>
      <c r="C41" s="60"/>
      <c r="S41" s="61"/>
      <c r="T41" s="61"/>
      <c r="U41" s="60"/>
      <c r="V41" s="60"/>
      <c r="W41" s="60"/>
      <c r="X41" s="60"/>
    </row>
    <row r="42" spans="2:24">
      <c r="B42" s="60"/>
      <c r="C42" s="60"/>
      <c r="S42" s="61"/>
      <c r="T42" s="61"/>
      <c r="U42" s="60"/>
      <c r="V42" s="60"/>
      <c r="W42" s="60"/>
      <c r="X42" s="60"/>
    </row>
    <row r="43" spans="2:24">
      <c r="B43" s="60"/>
      <c r="C43" s="60"/>
      <c r="S43" s="61"/>
      <c r="T43" s="61"/>
      <c r="U43" s="60"/>
      <c r="V43" s="60"/>
      <c r="W43" s="60"/>
      <c r="X43" s="60"/>
    </row>
    <row r="44" spans="2:24">
      <c r="B44" s="60"/>
      <c r="C44" s="60"/>
      <c r="S44" s="61"/>
      <c r="T44" s="61"/>
      <c r="U44" s="60"/>
      <c r="V44" s="60"/>
      <c r="W44" s="60"/>
      <c r="X44" s="60"/>
    </row>
    <row r="45" spans="2:24">
      <c r="B45" s="60"/>
      <c r="C45" s="60"/>
      <c r="S45" s="61"/>
      <c r="T45" s="61"/>
      <c r="U45" s="60"/>
      <c r="V45" s="60"/>
      <c r="W45" s="60"/>
      <c r="X45" s="60"/>
    </row>
    <row r="46" spans="2:24">
      <c r="B46" s="60"/>
      <c r="C46" s="60"/>
      <c r="S46" s="61"/>
      <c r="T46" s="61"/>
      <c r="U46" s="60"/>
      <c r="V46" s="60"/>
      <c r="W46" s="60"/>
      <c r="X46" s="60"/>
    </row>
    <row r="47" spans="2:24">
      <c r="B47" s="60"/>
      <c r="C47" s="60"/>
      <c r="S47" s="61"/>
      <c r="T47" s="61"/>
      <c r="U47" s="60"/>
      <c r="V47" s="60"/>
      <c r="W47" s="60"/>
      <c r="X47" s="60"/>
    </row>
    <row r="48" spans="2:24">
      <c r="B48" s="60"/>
      <c r="C48" s="60"/>
      <c r="S48" s="61"/>
      <c r="T48" s="61"/>
      <c r="U48" s="60"/>
      <c r="V48" s="60"/>
      <c r="W48" s="60"/>
      <c r="X48" s="60"/>
    </row>
    <row r="49" spans="2:24">
      <c r="B49" s="60"/>
      <c r="C49" s="60"/>
      <c r="S49" s="61"/>
      <c r="T49" s="61"/>
      <c r="U49" s="60"/>
      <c r="V49" s="60"/>
      <c r="W49" s="60"/>
      <c r="X49" s="60"/>
    </row>
    <row r="50" spans="2:24">
      <c r="B50" s="66"/>
      <c r="C50" s="58"/>
      <c r="D50" s="65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67"/>
      <c r="T50" s="58"/>
      <c r="U50" s="58"/>
      <c r="V50" s="58"/>
      <c r="W50" s="58"/>
      <c r="X50" s="58"/>
    </row>
    <row r="51" spans="2:24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</row>
    <row r="52" spans="2:24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</row>
    <row r="53" spans="2:24"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</row>
    <row r="54" spans="2:24">
      <c r="B54" s="59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7"/>
      <c r="V54" s="58"/>
      <c r="W54" s="58"/>
      <c r="X54" s="58"/>
    </row>
    <row r="55" spans="2:24"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</row>
    <row r="56" spans="2:24"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</row>
    <row r="57" spans="2:24"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</row>
    <row r="58" spans="2:24"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</row>
    <row r="59" spans="2:24"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</row>
    <row r="60" spans="2:24"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</row>
    <row r="61" spans="2:24"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</row>
    <row r="62" spans="2:24"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</row>
    <row r="89" spans="2:24">
      <c r="B89" s="59"/>
      <c r="C89" s="59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7"/>
      <c r="V89" s="58"/>
      <c r="W89" s="58"/>
      <c r="X89" s="58"/>
    </row>
  </sheetData>
  <mergeCells count="13">
    <mergeCell ref="U89:X89"/>
    <mergeCell ref="B54:T62"/>
    <mergeCell ref="B10:C49"/>
    <mergeCell ref="S10:T49"/>
    <mergeCell ref="B89:T89"/>
    <mergeCell ref="U6:X53"/>
    <mergeCell ref="U54:X62"/>
    <mergeCell ref="D6:R9"/>
    <mergeCell ref="B6:C9"/>
    <mergeCell ref="S6:T9"/>
    <mergeCell ref="D50:R53"/>
    <mergeCell ref="B50:C53"/>
    <mergeCell ref="S50:T53"/>
  </mergeCells>
  <phoneticPr fontId="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Benchmark Bonds</vt:lpstr>
      <vt:lpstr>Help</vt:lpstr>
      <vt:lpstr>BNCH_Anchor</vt:lpstr>
      <vt:lpstr>HLPBRD_IR</vt:lpstr>
      <vt:lpstr>LQT2Data</vt:lpstr>
      <vt:lpstr>Measure_List</vt:lpstr>
      <vt:lpstr>Pricing_Source</vt:lpstr>
      <vt:lpstr>SPRateTable</vt:lpstr>
      <vt:lpstr>UpdateCounter</vt:lpstr>
      <vt:lpstr>Vals10Yr</vt:lpstr>
      <vt:lpstr>Vals30Yr</vt:lpstr>
      <vt:lpstr>Vals3Yr</vt:lpstr>
      <vt:lpstr>Vals5Yr</vt:lpstr>
      <vt:lpstr>YN_List</vt:lpstr>
      <vt:lpstr>Yr10Data</vt:lpstr>
      <vt:lpstr>Yr30Data</vt:lpstr>
      <vt:lpstr>Yr5Data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aking14</dc:creator>
  <cp:lastModifiedBy>Siqueira, Thiago</cp:lastModifiedBy>
  <dcterms:created xsi:type="dcterms:W3CDTF">2009-06-16T13:54:18Z</dcterms:created>
  <dcterms:modified xsi:type="dcterms:W3CDTF">2025-06-21T19:39:25Z</dcterms:modified>
</cp:coreProperties>
</file>