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drawings/drawing2.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style3.xml" ContentType="application/vnd.ms-office.chartstyle+xml"/>
  <Override PartName="/xl/charts/colors3.xml" ContentType="application/vnd.ms-office.chartcolorstyle+xml"/>
  <Override PartName="/xl/charts/chart9.xml" ContentType="application/vnd.openxmlformats-officedocument.drawingml.chart+xml"/>
  <Override PartName="/xl/charts/style4.xml" ContentType="application/vnd.ms-office.chartstyle+xml"/>
  <Override PartName="/xl/charts/colors4.xml" ContentType="application/vnd.ms-office.chartcolorstyle+xml"/>
  <Override PartName="/xl/charts/chart10.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bloomberglp-my.sharepoint.com/personal/tsiqueira4_bloomberg_com/Documents/Desktop/master_thesis_economics/referencias/Templates xls/"/>
    </mc:Choice>
  </mc:AlternateContent>
  <xr:revisionPtr revIDLastSave="0" documentId="8_{843E1697-A73F-47A5-B379-C029AD939E84}" xr6:coauthVersionLast="47" xr6:coauthVersionMax="47" xr10:uidLastSave="{00000000-0000-0000-0000-000000000000}"/>
  <bookViews>
    <workbookView xWindow="6165" yWindow="270" windowWidth="19425" windowHeight="11625" xr2:uid="{434067E3-5111-4481-B5AC-5F8B25F93A92}"/>
  </bookViews>
  <sheets>
    <sheet name="IPCA" sheetId="9" r:id="rId1"/>
    <sheet name="Comparison" sheetId="8" r:id="rId2"/>
    <sheet name="PERIODS" sheetId="19" state="hidden" r:id="rId3"/>
    <sheet name="DATA" sheetId="10" state="hidden" r:id="rId4"/>
    <sheet name="CALC" sheetId="12" state="hidden" r:id="rId5"/>
    <sheet name="CURVES" sheetId="14" state="hidden" r:id="rId6"/>
    <sheet name="FUT" sheetId="15" state="hidden" r:id="rId7"/>
    <sheet name="HELP" sheetId="18" r:id="rId8"/>
  </sheets>
  <definedNames>
    <definedName name="_xlnm._FilterDatabase" localSheetId="5" hidden="1">CURVES!$U$2:$V$19</definedName>
    <definedName name="per" localSheetId="3">DATA!#REF!</definedName>
    <definedName name="per">#REF!</definedName>
    <definedName name="Relative">PERIODS!$C$4:$C$45</definedName>
    <definedName name="SpreadsheetBuilder_1" localSheetId="3" hidden="1">#REF!</definedName>
    <definedName name="SpreadsheetBuilder_1"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2" i="9" l="1"/>
  <c r="B65" i="9"/>
  <c r="L7" i="15"/>
  <c r="R15" i="15"/>
  <c r="R14" i="15"/>
  <c r="R19" i="15"/>
  <c r="R10" i="15"/>
  <c r="R24" i="15"/>
  <c r="L8" i="15"/>
  <c r="R28" i="15"/>
  <c r="L27" i="15"/>
  <c r="L26" i="15"/>
  <c r="R27" i="15"/>
  <c r="R22" i="15"/>
  <c r="L11" i="15"/>
  <c r="L25" i="15"/>
  <c r="R23" i="15"/>
  <c r="R8" i="15"/>
  <c r="R16" i="15"/>
  <c r="R7" i="15"/>
  <c r="R11" i="15"/>
  <c r="L9" i="15"/>
  <c r="R9" i="15"/>
  <c r="L18" i="15"/>
  <c r="R20" i="15"/>
  <c r="R12" i="15"/>
  <c r="L24" i="15"/>
  <c r="R17" i="15"/>
  <c r="L19" i="15"/>
  <c r="R18" i="15"/>
  <c r="L16" i="15"/>
  <c r="L28" i="15"/>
  <c r="R25" i="15"/>
  <c r="R26" i="15"/>
  <c r="L12" i="15"/>
  <c r="L10" i="15"/>
  <c r="L22" i="15"/>
  <c r="L17" i="15"/>
  <c r="R21" i="15"/>
  <c r="L13" i="15"/>
  <c r="L23" i="15"/>
  <c r="L21" i="15"/>
  <c r="L15" i="15"/>
  <c r="R13" i="15"/>
  <c r="K7" i="15" a="1"/>
  <c r="Q11" i="15" a="1"/>
  <c r="L14" i="15"/>
  <c r="Q28" i="15" a="1"/>
  <c r="L20" i="15"/>
  <c r="Q15" i="15" a="1"/>
  <c r="K15" i="15" a="1"/>
  <c r="K17" i="15" a="1"/>
  <c r="Q23" i="15" a="1"/>
  <c r="K16" i="15" a="1"/>
  <c r="K18" i="15" a="1"/>
  <c r="K10" i="15" a="1"/>
  <c r="Q27" i="15" a="1"/>
  <c r="K24" i="15" a="1"/>
  <c r="Q9" i="15" a="1"/>
  <c r="K13" i="15" a="1"/>
  <c r="K19" i="15" a="1"/>
  <c r="P13" i="15" a="1"/>
  <c r="Q17" i="15" a="1"/>
  <c r="K20" i="15" a="1"/>
  <c r="P21" i="15" a="1"/>
  <c r="Q19" i="15" a="1"/>
  <c r="J25" i="15" a="1"/>
  <c r="K27" i="15" a="1"/>
  <c r="Q12" i="15" a="1"/>
  <c r="K12" i="15" a="1"/>
  <c r="Q13" i="15" a="1"/>
  <c r="J7" i="15" a="1"/>
  <c r="J24" i="15" a="1"/>
  <c r="J8" i="15" a="1"/>
  <c r="P18" i="15" a="1"/>
  <c r="P19" i="15" a="1"/>
  <c r="K9" i="15" a="1"/>
  <c r="J23" i="15" a="1"/>
  <c r="P10" i="15" a="1"/>
  <c r="P26" i="15" a="1"/>
  <c r="P12" i="15" a="1"/>
  <c r="K25" i="15" a="1"/>
  <c r="K28" i="15" a="1"/>
  <c r="P24" i="15" a="1"/>
  <c r="P7" i="15" a="1"/>
  <c r="P11" i="15" a="1"/>
  <c r="J18" i="15" a="1"/>
  <c r="Q7" i="15" a="1"/>
  <c r="Q21" i="15" a="1"/>
  <c r="Q10" i="15" a="1"/>
  <c r="P25" i="15" a="1"/>
  <c r="J28" i="15" a="1"/>
  <c r="K11" i="15" a="1"/>
  <c r="Q24" i="15" a="1"/>
  <c r="J27" i="15" a="1"/>
  <c r="J20" i="15" a="1"/>
  <c r="P17" i="15" a="1"/>
  <c r="P28" i="15" a="1"/>
  <c r="Y18" i="19"/>
  <c r="J15" i="15" a="1"/>
  <c r="J13" i="15" a="1"/>
  <c r="P20" i="15" a="1"/>
  <c r="K26" i="15" a="1"/>
  <c r="J19" i="15" a="1"/>
  <c r="K23" i="15" a="1"/>
  <c r="P27" i="15" a="1"/>
  <c r="J11" i="15" a="1"/>
  <c r="J22" i="15" a="1"/>
  <c r="Q22" i="15" a="1"/>
  <c r="Q26" i="15" a="1"/>
  <c r="P16" i="15" a="1"/>
  <c r="P15" i="15" a="1"/>
  <c r="J26" i="15" a="1"/>
  <c r="K14" i="15" a="1"/>
  <c r="Q8" i="15" a="1"/>
  <c r="Q14" i="15" a="1"/>
  <c r="P8" i="15" a="1"/>
  <c r="P22" i="15" a="1"/>
  <c r="K21" i="15" a="1"/>
  <c r="J21" i="15" a="1"/>
  <c r="Q16" i="15" a="1"/>
  <c r="J14" i="15" a="1"/>
  <c r="Q25" i="15" a="1"/>
  <c r="J16" i="15" a="1"/>
  <c r="K22" i="15" a="1"/>
  <c r="J10" i="15" a="1"/>
  <c r="P14" i="15" a="1"/>
  <c r="J9" i="15" a="1"/>
  <c r="P23" i="15" a="1"/>
  <c r="Q20" i="15" a="1"/>
  <c r="J17" i="15" a="1"/>
  <c r="Q18" i="15" a="1"/>
  <c r="J12" i="15" a="1"/>
  <c r="P9" i="15" a="1"/>
  <c r="K8" i="15" a="1"/>
  <c r="W39" i="19"/>
  <c r="P40" i="19"/>
  <c r="N12" i="19"/>
  <c r="W24" i="19"/>
  <c r="W6" i="19"/>
  <c r="P20" i="19"/>
  <c r="Y6" i="19"/>
  <c r="N20" i="19"/>
  <c r="P31" i="19"/>
  <c r="P21" i="19"/>
  <c r="P4" i="19"/>
  <c r="N36" i="19"/>
  <c r="W44" i="19"/>
  <c r="W27" i="19"/>
  <c r="W17" i="19"/>
  <c r="N8" i="19"/>
  <c r="Y12" i="19"/>
  <c r="N13" i="19"/>
  <c r="Y21" i="19"/>
  <c r="W21" i="19"/>
  <c r="Y29" i="19"/>
  <c r="W10" i="19"/>
  <c r="W25" i="19"/>
  <c r="N40" i="19"/>
  <c r="W22" i="19"/>
  <c r="Y25" i="19"/>
  <c r="N9" i="19"/>
  <c r="W35" i="19"/>
  <c r="P18" i="19"/>
  <c r="W40" i="19"/>
  <c r="Y40" i="19"/>
  <c r="N16" i="19"/>
  <c r="W32" i="19"/>
  <c r="P17" i="19"/>
  <c r="P25" i="19"/>
  <c r="P10" i="19"/>
  <c r="N38" i="19"/>
  <c r="P32" i="19"/>
  <c r="P8" i="19"/>
  <c r="N23" i="19"/>
  <c r="Y43" i="19"/>
  <c r="P26" i="19"/>
  <c r="N41" i="19"/>
  <c r="P15" i="19"/>
  <c r="Y30" i="19"/>
  <c r="Y5" i="19"/>
  <c r="N43" i="19"/>
  <c r="W20" i="19"/>
  <c r="P35" i="19"/>
  <c r="Y19" i="19"/>
  <c r="W13" i="19"/>
  <c r="Y32" i="19"/>
  <c r="P34" i="19"/>
  <c r="P7" i="19"/>
  <c r="W15" i="19"/>
  <c r="N22" i="19"/>
  <c r="W8" i="19"/>
  <c r="N6" i="19"/>
  <c r="W29" i="19"/>
  <c r="W16" i="19"/>
  <c r="P9" i="19"/>
  <c r="W5" i="19"/>
  <c r="P27" i="19"/>
  <c r="P41" i="19"/>
  <c r="N18" i="19"/>
  <c r="N32" i="19"/>
  <c r="W18" i="19"/>
  <c r="Y9" i="19"/>
  <c r="Y45" i="19"/>
  <c r="P6" i="19"/>
  <c r="N24" i="19"/>
  <c r="Y36" i="19"/>
  <c r="N34" i="19"/>
  <c r="N5" i="19"/>
  <c r="W28" i="19"/>
  <c r="P5" i="19"/>
  <c r="P23" i="19"/>
  <c r="W31" i="19"/>
  <c r="P45" i="19"/>
  <c r="N37" i="19"/>
  <c r="N45" i="19"/>
  <c r="W14" i="19"/>
  <c r="P28" i="19"/>
  <c r="P14" i="19"/>
  <c r="P30" i="19"/>
  <c r="N44" i="19"/>
  <c r="Y27" i="19"/>
  <c r="Y31" i="19"/>
  <c r="W19" i="19"/>
  <c r="N31" i="19"/>
  <c r="N10" i="19"/>
  <c r="Y42" i="19"/>
  <c r="W42" i="19"/>
  <c r="W4" i="19"/>
  <c r="W36" i="19"/>
  <c r="P22" i="19"/>
  <c r="Y28" i="19"/>
  <c r="N17" i="19"/>
  <c r="N35" i="19"/>
  <c r="N4" i="19"/>
  <c r="N11" i="19"/>
  <c r="W11" i="19"/>
  <c r="Y16" i="19"/>
  <c r="Y39" i="19"/>
  <c r="Y13" i="19"/>
  <c r="N7" i="19"/>
  <c r="Y41" i="19"/>
  <c r="P29" i="19"/>
  <c r="W30" i="19"/>
  <c r="Y33" i="19"/>
  <c r="P13" i="19"/>
  <c r="P11" i="19"/>
  <c r="Y4" i="19"/>
  <c r="W38" i="19"/>
  <c r="N21" i="19"/>
  <c r="Y17" i="19"/>
  <c r="N39" i="19"/>
  <c r="Y15" i="19"/>
  <c r="Y26" i="19"/>
  <c r="W33" i="19"/>
  <c r="W7" i="19"/>
  <c r="W37" i="19"/>
  <c r="W34" i="19"/>
  <c r="N42" i="19"/>
  <c r="N25" i="19"/>
  <c r="N15" i="19"/>
  <c r="W9" i="19"/>
  <c r="N33" i="19"/>
  <c r="Y34" i="19"/>
  <c r="Y11" i="19"/>
  <c r="Y10" i="19"/>
  <c r="Y24" i="19"/>
  <c r="P24" i="19"/>
  <c r="W23" i="19"/>
  <c r="P42" i="19"/>
  <c r="P36" i="19"/>
  <c r="Y37" i="19"/>
  <c r="N29" i="19"/>
  <c r="Y7" i="19"/>
  <c r="N30" i="19"/>
  <c r="W12" i="19"/>
  <c r="Y23" i="19"/>
  <c r="N28" i="19"/>
  <c r="Y8" i="19"/>
  <c r="Y35" i="19"/>
  <c r="P43" i="19"/>
  <c r="N27" i="19"/>
  <c r="W45" i="19"/>
  <c r="P19" i="19"/>
  <c r="W26" i="19"/>
  <c r="Y14" i="19"/>
  <c r="Y20" i="19"/>
  <c r="P38" i="19"/>
  <c r="Y38" i="19"/>
  <c r="N14" i="19"/>
  <c r="W43" i="19"/>
  <c r="P33" i="19"/>
  <c r="P39" i="19"/>
  <c r="P44" i="19"/>
  <c r="Y22" i="19"/>
  <c r="N19" i="19"/>
  <c r="Y44" i="19"/>
  <c r="W41" i="19"/>
  <c r="P12" i="19"/>
  <c r="P37" i="19"/>
  <c r="P16" i="19"/>
  <c r="N26" i="19"/>
  <c r="I15" i="15" a="1"/>
  <c r="G137" i="10"/>
  <c r="G134" i="10"/>
  <c r="G157" i="10"/>
  <c r="I10" i="15" a="1"/>
  <c r="G138" i="10"/>
  <c r="G150" i="10"/>
  <c r="I18" i="15" a="1"/>
  <c r="G145" i="10"/>
  <c r="G136" i="10"/>
  <c r="I13" i="15" a="1"/>
  <c r="G155" i="10"/>
  <c r="I16" i="15" a="1"/>
  <c r="G148" i="10"/>
  <c r="G143" i="10"/>
  <c r="I7" i="15" a="1"/>
  <c r="G162" i="10"/>
  <c r="I24" i="15" a="1"/>
  <c r="G153" i="10"/>
  <c r="I17" i="15" a="1"/>
  <c r="G129" i="10"/>
  <c r="G147" i="10"/>
  <c r="G158" i="10"/>
  <c r="G133" i="10"/>
  <c r="G130" i="10"/>
  <c r="G127" i="10"/>
  <c r="G140" i="10"/>
  <c r="G156" i="10"/>
  <c r="G83" i="10"/>
  <c r="G161" i="10"/>
  <c r="G66" i="10"/>
  <c r="G131" i="10"/>
  <c r="G70" i="10"/>
  <c r="G151" i="10"/>
  <c r="G144" i="10"/>
  <c r="O23" i="15" a="1"/>
  <c r="G102" i="10"/>
  <c r="G154" i="10"/>
  <c r="O13" i="15" a="1"/>
  <c r="G152" i="10"/>
  <c r="G142" i="10"/>
  <c r="G85" i="10"/>
  <c r="G93" i="10"/>
  <c r="O8" i="15" a="1"/>
  <c r="O28" i="15" a="1"/>
  <c r="G146" i="10"/>
  <c r="G128" i="10"/>
  <c r="G159" i="10"/>
  <c r="O25" i="15" a="1"/>
  <c r="G160" i="10"/>
  <c r="G126" i="10"/>
  <c r="G135" i="10"/>
  <c r="O16" i="15" a="1"/>
  <c r="G132" i="10"/>
  <c r="G141" i="10"/>
  <c r="G149" i="10"/>
  <c r="G139" i="10"/>
  <c r="G80" i="10"/>
  <c r="G100" i="10"/>
  <c r="G95" i="10"/>
  <c r="O11" i="15" a="1"/>
  <c r="I12" i="15" a="1"/>
  <c r="G86" i="10"/>
  <c r="G88" i="10"/>
  <c r="G79" i="10"/>
  <c r="G71" i="10"/>
  <c r="G99" i="10"/>
  <c r="O7" i="15" a="1"/>
  <c r="G91" i="10"/>
  <c r="G69" i="10"/>
  <c r="B125" i="10" a="1"/>
  <c r="G78" i="10"/>
  <c r="G75" i="10"/>
  <c r="I19" i="15" a="1"/>
  <c r="G96" i="10"/>
  <c r="O10" i="15" a="1"/>
  <c r="I28" i="15" a="1"/>
  <c r="G76" i="10"/>
  <c r="G101" i="10"/>
  <c r="G89" i="10"/>
  <c r="G84" i="10"/>
  <c r="G92" i="10"/>
  <c r="O15" i="15" a="1"/>
  <c r="G67" i="10"/>
  <c r="G97" i="10"/>
  <c r="G82" i="10"/>
  <c r="O22" i="15" a="1"/>
  <c r="G73" i="10"/>
  <c r="G72" i="10"/>
  <c r="O9" i="15" a="1"/>
  <c r="G74" i="10"/>
  <c r="G68" i="10"/>
  <c r="G87" i="10"/>
  <c r="O27" i="15" a="1"/>
  <c r="G98" i="10"/>
  <c r="G77" i="10"/>
  <c r="G90" i="10"/>
  <c r="O19" i="15" a="1"/>
  <c r="G81" i="10"/>
  <c r="G94" i="10"/>
  <c r="I27" i="15" a="1"/>
  <c r="I20" i="15" a="1"/>
  <c r="I14" i="15" a="1"/>
  <c r="I22" i="15" a="1"/>
  <c r="B65" i="10" a="1"/>
  <c r="I21" i="15" a="1"/>
  <c r="I25" i="15" a="1"/>
  <c r="I23" i="15" a="1"/>
  <c r="I11" i="15" a="1"/>
  <c r="I26" i="15" a="1"/>
  <c r="I8" i="15" a="1"/>
  <c r="I9" i="15" a="1"/>
  <c r="O17" i="15" a="1"/>
  <c r="O20" i="15" a="1"/>
  <c r="O18" i="15" a="1"/>
  <c r="O12" i="15" a="1"/>
  <c r="O14" i="15" a="1"/>
  <c r="O24" i="15" a="1"/>
  <c r="O26" i="15" a="1"/>
  <c r="O21" i="15" a="1"/>
  <c r="V3" i="14" a="1"/>
  <c r="L3" i="14" a="1"/>
  <c r="J3" i="14" a="1"/>
  <c r="T3" i="14" a="1"/>
  <c r="O5" i="12" a="1"/>
  <c r="W5" i="12" a="1"/>
  <c r="K125" i="10" a="1"/>
  <c r="K65" i="10" a="1"/>
  <c r="Q40" i="19" a="1"/>
  <c r="V5" i="12" a="1"/>
  <c r="X6" i="19" a="1"/>
  <c r="X39" i="19" a="1"/>
  <c r="O20" i="19" a="1"/>
  <c r="X24" i="19" a="1"/>
  <c r="Z18" i="19" a="1"/>
  <c r="X44" i="19" a="1"/>
  <c r="Q31" i="19" a="1"/>
  <c r="Q20" i="19" a="1"/>
  <c r="Z6" i="19" a="1"/>
  <c r="X17" i="19" a="1"/>
  <c r="O8" i="19" a="1"/>
  <c r="O36" i="19" a="1"/>
  <c r="O12" i="19" a="1"/>
  <c r="X21" i="19" a="1"/>
  <c r="Q17" i="19" a="1"/>
  <c r="Z21" i="19" a="1"/>
  <c r="O40" i="19" a="1"/>
  <c r="X27" i="19" a="1"/>
  <c r="X10" i="19" a="1"/>
  <c r="Q25" i="19" a="1"/>
  <c r="Q4" i="19" a="1"/>
  <c r="O9" i="19" a="1"/>
  <c r="Z29" i="19" a="1"/>
  <c r="X32" i="19" a="1"/>
  <c r="Z40" i="19" a="1"/>
  <c r="Q21" i="19" a="1"/>
  <c r="Z5" i="19" a="1"/>
  <c r="Q32" i="19" a="1"/>
  <c r="O13" i="19" a="1"/>
  <c r="X22" i="19" a="1"/>
  <c r="Q15" i="19" a="1"/>
  <c r="X20" i="19" a="1"/>
  <c r="Q35" i="19" a="1"/>
  <c r="O23" i="19" a="1"/>
  <c r="Z43" i="19" a="1"/>
  <c r="Z25" i="19" a="1"/>
  <c r="X25" i="19" a="1"/>
  <c r="O16" i="19" a="1"/>
  <c r="X35" i="19" a="1"/>
  <c r="X40" i="19" a="1"/>
  <c r="X29" i="19" a="1"/>
  <c r="O38" i="19" a="1"/>
  <c r="Q10" i="19" a="1"/>
  <c r="Z19" i="19" a="1"/>
  <c r="Z12" i="19" a="1"/>
  <c r="X13" i="19" a="1"/>
  <c r="X8" i="19" a="1"/>
  <c r="O41" i="19" a="1"/>
  <c r="Q18" i="19" a="1"/>
  <c r="O22" i="19" a="1"/>
  <c r="Q41" i="19" a="1"/>
  <c r="Q27" i="19" a="1"/>
  <c r="O43" i="19" a="1"/>
  <c r="Q8" i="19" a="1"/>
  <c r="O6" i="19" a="1"/>
  <c r="Q34" i="19" a="1"/>
  <c r="Z45" i="19" a="1"/>
  <c r="Q9" i="19" a="1"/>
  <c r="X18" i="19" a="1"/>
  <c r="Z36" i="19" a="1"/>
  <c r="Q26" i="19" a="1"/>
  <c r="X5" i="19" a="1"/>
  <c r="Z30" i="19" a="1"/>
  <c r="Z32" i="19" a="1"/>
  <c r="Q23" i="19" a="1"/>
  <c r="O18" i="19" a="1"/>
  <c r="X15" i="19" a="1"/>
  <c r="O32" i="19" a="1"/>
  <c r="Q6" i="19" a="1"/>
  <c r="Q7" i="19" a="1"/>
  <c r="Z27" i="19" a="1"/>
  <c r="O45" i="19" a="1"/>
  <c r="O34" i="19" a="1"/>
  <c r="X28" i="19" a="1"/>
  <c r="Q45" i="19" a="1"/>
  <c r="O31" i="19" a="1"/>
  <c r="X16" i="19" a="1"/>
  <c r="O5" i="19" a="1"/>
  <c r="Q22" i="19" a="1"/>
  <c r="X4" i="19" a="1"/>
  <c r="Z9" i="19" a="1"/>
  <c r="Q28" i="19" a="1"/>
  <c r="O44" i="19" a="1"/>
  <c r="O24" i="19" a="1"/>
  <c r="Z28" i="19" a="1"/>
  <c r="X42" i="19" a="1"/>
  <c r="Z31" i="19" a="1"/>
  <c r="X31" i="19" a="1"/>
  <c r="Z13" i="19" a="1"/>
  <c r="X36" i="19" a="1"/>
  <c r="Q14" i="19" a="1"/>
  <c r="O17" i="19" a="1"/>
  <c r="Q30" i="19" a="1"/>
  <c r="O11" i="19" a="1"/>
  <c r="O7" i="19" a="1"/>
  <c r="X11" i="19" a="1"/>
  <c r="O4" i="19" a="1"/>
  <c r="X14" i="19" a="1"/>
  <c r="O10" i="19" a="1"/>
  <c r="O35" i="19" a="1"/>
  <c r="X30" i="19" a="1"/>
  <c r="O37" i="19" a="1"/>
  <c r="X19" i="19" a="1"/>
  <c r="Q5" i="19" a="1"/>
  <c r="O42" i="19" a="1"/>
  <c r="X7" i="19" a="1"/>
  <c r="O21" i="19" a="1"/>
  <c r="Z42" i="19" a="1"/>
  <c r="Z15" i="19" a="1"/>
  <c r="O33" i="19" a="1"/>
  <c r="O39" i="19" a="1"/>
  <c r="Q29" i="19" a="1"/>
  <c r="Z4" i="19" a="1"/>
  <c r="O25" i="19" a="1"/>
  <c r="Z39" i="19" a="1"/>
  <c r="O15" i="19" a="1"/>
  <c r="X38" i="19" a="1"/>
  <c r="Z41" i="19" a="1"/>
  <c r="Z26" i="19" a="1"/>
  <c r="Q24" i="19" a="1"/>
  <c r="X9" i="19" a="1"/>
  <c r="Z11" i="19" a="1"/>
  <c r="Q13" i="19" a="1"/>
  <c r="X37" i="19" a="1"/>
  <c r="Z10" i="19" a="1"/>
  <c r="Z34" i="19" a="1"/>
  <c r="X33" i="19" a="1"/>
  <c r="Q11" i="19" a="1"/>
  <c r="Z16" i="19" a="1"/>
  <c r="Q36" i="19" a="1"/>
  <c r="X23" i="19" a="1"/>
  <c r="Z17" i="19" a="1"/>
  <c r="Z7" i="19" a="1"/>
  <c r="Z24" i="19" a="1"/>
  <c r="Q43" i="19" a="1"/>
  <c r="O27" i="19" a="1"/>
  <c r="Z33" i="19" a="1"/>
  <c r="Z8" i="19" a="1"/>
  <c r="X34" i="19" a="1"/>
  <c r="Z37" i="19" a="1"/>
  <c r="O28" i="19" a="1"/>
  <c r="Z14" i="19" a="1"/>
  <c r="Z35" i="19" a="1"/>
  <c r="Q33" i="19" a="1"/>
  <c r="Z23" i="19" a="1"/>
  <c r="X41" i="19" a="1"/>
  <c r="O29" i="19" a="1"/>
  <c r="Z44" i="19" a="1"/>
  <c r="X45" i="19" a="1"/>
  <c r="X43" i="19" a="1"/>
  <c r="Q44" i="19" a="1"/>
  <c r="Q37" i="19" a="1"/>
  <c r="X12" i="19" a="1"/>
  <c r="Z22" i="19" a="1"/>
  <c r="Q39" i="19" a="1"/>
  <c r="Q16" i="19" a="1"/>
  <c r="Q42" i="19" a="1"/>
  <c r="O14" i="19" a="1"/>
  <c r="O30" i="19" a="1"/>
  <c r="Q38" i="19" a="1"/>
  <c r="O26" i="19" a="1"/>
  <c r="Z20" i="19" a="1"/>
  <c r="Z38" i="19" a="1"/>
  <c r="Q19" i="19" a="1"/>
  <c r="Q12" i="19" a="1"/>
  <c r="O19" i="19" a="1"/>
  <c r="X26" i="19" a="1"/>
  <c r="A2" i="14" a="1"/>
  <c r="T6" i="9"/>
  <c r="C70" i="12" a="1"/>
  <c r="W5" i="9"/>
  <c r="W22" i="9"/>
  <c r="T14" i="9"/>
  <c r="T18" i="9"/>
  <c r="T22" i="9"/>
  <c r="T7" i="9"/>
  <c r="W19" i="9"/>
  <c r="W23" i="9"/>
  <c r="T15" i="9"/>
  <c r="W15" i="9"/>
  <c r="W14" i="9"/>
  <c r="T23" i="9"/>
  <c r="T5" i="9"/>
  <c r="W18" i="9"/>
  <c r="U16" i="10" a="1"/>
  <c r="U10" i="10" a="1"/>
  <c r="U18" i="10" a="1"/>
  <c r="T19" i="9"/>
  <c r="P167" i="10"/>
  <c r="P162" i="10"/>
  <c r="P161" i="10"/>
  <c r="G165" i="10"/>
  <c r="U16" i="8"/>
  <c r="U17" i="10" a="1"/>
  <c r="P165" i="10"/>
  <c r="Z16" i="8"/>
  <c r="P101" i="10"/>
  <c r="U9" i="10" a="1"/>
  <c r="U5" i="10" a="1"/>
  <c r="U4" i="10" a="1"/>
  <c r="K13" i="15" l="1"/>
  <c r="Q9" i="15"/>
  <c r="K24" i="15"/>
  <c r="Q27" i="15"/>
  <c r="K10" i="15"/>
  <c r="K18" i="15"/>
  <c r="K16" i="15"/>
  <c r="Q23" i="15"/>
  <c r="K17" i="15"/>
  <c r="K15" i="15"/>
  <c r="Q15" i="15"/>
  <c r="Q28" i="15"/>
  <c r="Q11" i="15"/>
  <c r="K7" i="15"/>
  <c r="K8" i="15"/>
  <c r="P9" i="15"/>
  <c r="J12" i="15"/>
  <c r="Q18" i="15"/>
  <c r="J17" i="15"/>
  <c r="Q20" i="15"/>
  <c r="P23" i="15"/>
  <c r="J9" i="15"/>
  <c r="P14" i="15"/>
  <c r="J10" i="15"/>
  <c r="K22" i="15"/>
  <c r="J16" i="15"/>
  <c r="Q25" i="15"/>
  <c r="J14" i="15"/>
  <c r="Q16" i="15"/>
  <c r="J21" i="15"/>
  <c r="K21" i="15"/>
  <c r="P22" i="15"/>
  <c r="P8" i="15"/>
  <c r="Q14" i="15"/>
  <c r="Q8" i="15"/>
  <c r="K14" i="15"/>
  <c r="J26" i="15"/>
  <c r="P15" i="15"/>
  <c r="P16" i="15"/>
  <c r="Q26" i="15"/>
  <c r="Q22" i="15"/>
  <c r="J22" i="15"/>
  <c r="J11" i="15"/>
  <c r="P27" i="15"/>
  <c r="K23" i="15"/>
  <c r="J19" i="15"/>
  <c r="K26" i="15"/>
  <c r="P20" i="15"/>
  <c r="J13" i="15"/>
  <c r="J15" i="15"/>
  <c r="P28" i="15"/>
  <c r="P17" i="15"/>
  <c r="J20" i="15"/>
  <c r="J27" i="15"/>
  <c r="Q24" i="15"/>
  <c r="K11" i="15"/>
  <c r="J28" i="15"/>
  <c r="P25" i="15"/>
  <c r="Q10" i="15"/>
  <c r="Q21" i="15"/>
  <c r="Q7" i="15"/>
  <c r="J18" i="15"/>
  <c r="P11" i="15"/>
  <c r="P7" i="15"/>
  <c r="P24" i="15"/>
  <c r="K28" i="15"/>
  <c r="K25" i="15"/>
  <c r="P12" i="15"/>
  <c r="P26" i="15"/>
  <c r="P10" i="15"/>
  <c r="J23" i="15"/>
  <c r="K9" i="15"/>
  <c r="P19" i="15"/>
  <c r="P18" i="15"/>
  <c r="J8" i="15"/>
  <c r="J24" i="15"/>
  <c r="J7" i="15"/>
  <c r="Q13" i="15"/>
  <c r="K12" i="15"/>
  <c r="Q12" i="15"/>
  <c r="K27" i="15"/>
  <c r="J25" i="15"/>
  <c r="Q19" i="15"/>
  <c r="P21" i="15"/>
  <c r="K20" i="15"/>
  <c r="Q17" i="15"/>
  <c r="P13" i="15"/>
  <c r="K19" i="15"/>
  <c r="I17" i="15"/>
  <c r="I24" i="15"/>
  <c r="I7" i="15"/>
  <c r="I16" i="15"/>
  <c r="I13" i="15"/>
  <c r="I18" i="15"/>
  <c r="I10" i="15"/>
  <c r="I15" i="15"/>
  <c r="O16" i="15"/>
  <c r="O25" i="15"/>
  <c r="O28" i="15"/>
  <c r="O8" i="15"/>
  <c r="O13" i="15"/>
  <c r="O23" i="15"/>
  <c r="I27" i="15"/>
  <c r="O19" i="15"/>
  <c r="O27" i="15"/>
  <c r="O9" i="15"/>
  <c r="O22" i="15"/>
  <c r="O15" i="15"/>
  <c r="I28" i="15"/>
  <c r="O10" i="15"/>
  <c r="I19" i="15"/>
  <c r="B125" i="10"/>
  <c r="O7" i="15"/>
  <c r="I12" i="15"/>
  <c r="O11" i="15"/>
  <c r="I9" i="15"/>
  <c r="I8" i="15"/>
  <c r="I26" i="15"/>
  <c r="I11" i="15"/>
  <c r="I23" i="15"/>
  <c r="I25" i="15"/>
  <c r="I21" i="15"/>
  <c r="B65" i="10"/>
  <c r="I22" i="15"/>
  <c r="I14" i="15"/>
  <c r="I20" i="15"/>
  <c r="O21" i="15"/>
  <c r="O26" i="15"/>
  <c r="O24" i="15"/>
  <c r="O14" i="15"/>
  <c r="O12" i="15"/>
  <c r="O18" i="15"/>
  <c r="O20" i="15"/>
  <c r="O17" i="15"/>
  <c r="V3" i="14"/>
  <c r="D65" i="9"/>
  <c r="L3" i="14"/>
  <c r="J3" i="14"/>
  <c r="T3" i="14"/>
  <c r="W16" i="14"/>
  <c r="W17" i="14"/>
  <c r="C65" i="9"/>
  <c r="W18" i="14"/>
  <c r="W19" i="14"/>
  <c r="W4" i="14"/>
  <c r="W5" i="14"/>
  <c r="W6" i="14"/>
  <c r="W7" i="14"/>
  <c r="E65" i="9" s="1"/>
  <c r="W8" i="14"/>
  <c r="W9" i="14"/>
  <c r="W10" i="14"/>
  <c r="W11" i="14"/>
  <c r="W12" i="14"/>
  <c r="W13" i="14"/>
  <c r="W14" i="14"/>
  <c r="W15" i="14"/>
  <c r="W5" i="12"/>
  <c r="O5" i="12"/>
  <c r="K65" i="10"/>
  <c r="K125" i="10"/>
  <c r="X6" i="19"/>
  <c r="V5" i="12"/>
  <c r="Q40" i="19"/>
  <c r="Z18" i="19"/>
  <c r="X24" i="19"/>
  <c r="O20" i="19"/>
  <c r="X39" i="19"/>
  <c r="Q31" i="19"/>
  <c r="X44" i="19"/>
  <c r="O12" i="19"/>
  <c r="O36" i="19"/>
  <c r="O8" i="19"/>
  <c r="X17" i="19"/>
  <c r="Z6" i="19"/>
  <c r="Q20" i="19"/>
  <c r="Z29" i="19"/>
  <c r="O9" i="19"/>
  <c r="Q4" i="19"/>
  <c r="Q25" i="19"/>
  <c r="X10" i="19"/>
  <c r="X27" i="19"/>
  <c r="O40" i="19"/>
  <c r="Z21" i="19"/>
  <c r="Q17" i="19"/>
  <c r="X21" i="19"/>
  <c r="Q21" i="19"/>
  <c r="Z40" i="19"/>
  <c r="X32" i="19"/>
  <c r="Q15" i="19"/>
  <c r="X22" i="19"/>
  <c r="O13" i="19"/>
  <c r="Q32" i="19"/>
  <c r="Z5" i="19"/>
  <c r="X35" i="19"/>
  <c r="O16" i="19"/>
  <c r="X25" i="19"/>
  <c r="Z25" i="19"/>
  <c r="Z43" i="19"/>
  <c r="O23" i="19"/>
  <c r="Q35" i="19"/>
  <c r="X20" i="19"/>
  <c r="X13" i="19"/>
  <c r="Z12" i="19"/>
  <c r="Z19" i="19"/>
  <c r="Q10" i="19"/>
  <c r="O38" i="19"/>
  <c r="X29" i="19"/>
  <c r="X40" i="19"/>
  <c r="O22" i="19"/>
  <c r="Q18" i="19"/>
  <c r="O41" i="19"/>
  <c r="X8" i="19"/>
  <c r="Q8" i="19"/>
  <c r="O43" i="19"/>
  <c r="Q27" i="19"/>
  <c r="Q41" i="19"/>
  <c r="Q26" i="19"/>
  <c r="Z36" i="19"/>
  <c r="X18" i="19"/>
  <c r="Q9" i="19"/>
  <c r="Z45" i="19"/>
  <c r="Q34" i="19"/>
  <c r="O6" i="19"/>
  <c r="Z32" i="19"/>
  <c r="Z30" i="19"/>
  <c r="X5" i="19"/>
  <c r="O32" i="19"/>
  <c r="X15" i="19"/>
  <c r="O18" i="19"/>
  <c r="Q23" i="19"/>
  <c r="Q45" i="19"/>
  <c r="X28" i="19"/>
  <c r="O34" i="19"/>
  <c r="O45" i="19"/>
  <c r="Z27" i="19"/>
  <c r="Q7" i="19"/>
  <c r="Q6" i="19"/>
  <c r="X42" i="19"/>
  <c r="Z28" i="19"/>
  <c r="O24" i="19"/>
  <c r="O44" i="19"/>
  <c r="Q28" i="19"/>
  <c r="Z9" i="19"/>
  <c r="X4" i="19"/>
  <c r="Q22" i="19"/>
  <c r="O5" i="19"/>
  <c r="X16" i="19"/>
  <c r="O31" i="19"/>
  <c r="X36" i="19"/>
  <c r="Z13" i="19"/>
  <c r="X31" i="19"/>
  <c r="Z31" i="19"/>
  <c r="X14" i="19"/>
  <c r="O4" i="19"/>
  <c r="X11" i="19"/>
  <c r="O7" i="19"/>
  <c r="O11" i="19"/>
  <c r="Q30" i="19"/>
  <c r="O17" i="19"/>
  <c r="Q14" i="19"/>
  <c r="Q5" i="19"/>
  <c r="X19" i="19"/>
  <c r="O37" i="19"/>
  <c r="X30" i="19"/>
  <c r="O35" i="19"/>
  <c r="O10" i="19"/>
  <c r="X7" i="19"/>
  <c r="O42" i="19"/>
  <c r="O15" i="19"/>
  <c r="Z39" i="19"/>
  <c r="O25" i="19"/>
  <c r="Z4" i="19"/>
  <c r="Q29" i="19"/>
  <c r="O39" i="19"/>
  <c r="O33" i="19"/>
  <c r="Z15" i="19"/>
  <c r="Z42" i="19"/>
  <c r="O21" i="19"/>
  <c r="X37" i="19"/>
  <c r="Q13" i="19"/>
  <c r="Z11" i="19"/>
  <c r="X9" i="19"/>
  <c r="Q24" i="19"/>
  <c r="Z26" i="19"/>
  <c r="Z41" i="19"/>
  <c r="X38" i="19"/>
  <c r="X23" i="19"/>
  <c r="Q36" i="19"/>
  <c r="Z16" i="19"/>
  <c r="Q11" i="19"/>
  <c r="X33" i="19"/>
  <c r="Z34" i="19"/>
  <c r="Z10" i="19"/>
  <c r="Z24" i="19"/>
  <c r="Z7" i="19"/>
  <c r="Z17" i="19"/>
  <c r="X34" i="19"/>
  <c r="Z8" i="19"/>
  <c r="Z33" i="19"/>
  <c r="O27" i="19"/>
  <c r="Q43" i="19"/>
  <c r="Z14" i="19"/>
  <c r="O28" i="19"/>
  <c r="Z37" i="19"/>
  <c r="X45" i="19"/>
  <c r="Z44" i="19"/>
  <c r="O29" i="19"/>
  <c r="X41" i="19"/>
  <c r="Z23" i="19"/>
  <c r="Q33" i="19"/>
  <c r="Z35" i="19"/>
  <c r="Q44" i="19"/>
  <c r="X43" i="19"/>
  <c r="Q12" i="19"/>
  <c r="Q19" i="19"/>
  <c r="Z38" i="19"/>
  <c r="Z20" i="19"/>
  <c r="O26" i="19"/>
  <c r="Q38" i="19"/>
  <c r="O30" i="19"/>
  <c r="O14" i="19"/>
  <c r="Q42" i="19"/>
  <c r="Q16" i="19"/>
  <c r="Q39" i="19"/>
  <c r="Z22" i="19"/>
  <c r="X12" i="19"/>
  <c r="Q37" i="19"/>
  <c r="X26" i="19"/>
  <c r="O19" i="19"/>
  <c r="A2" i="14"/>
  <c r="C70" i="12"/>
  <c r="U10" i="10"/>
  <c r="U16" i="10"/>
  <c r="U9" i="10"/>
  <c r="U17" i="10"/>
  <c r="U18" i="10"/>
  <c r="U4" i="10"/>
  <c r="W3" i="14"/>
  <c r="U5" i="10"/>
  <c r="U54" i="12"/>
  <c r="U55" i="12"/>
  <c r="U56" i="12"/>
  <c r="U57" i="12"/>
  <c r="U58" i="12"/>
  <c r="U53" i="12"/>
  <c r="L54" i="12"/>
  <c r="L55" i="12"/>
  <c r="L56" i="12"/>
  <c r="L57" i="12"/>
  <c r="L58" i="12"/>
  <c r="L53" i="12"/>
  <c r="N5" i="12" a="1"/>
  <c r="B45" i="8"/>
  <c r="N5" i="12" l="1"/>
  <c r="C106" i="12"/>
  <c r="C105" i="12"/>
  <c r="C104" i="12"/>
  <c r="C103" i="12"/>
  <c r="C102" i="12"/>
  <c r="C101" i="12"/>
  <c r="C100" i="12"/>
  <c r="C99" i="12"/>
  <c r="C98" i="12"/>
  <c r="C97" i="12"/>
  <c r="C96" i="12"/>
  <c r="C95" i="12"/>
  <c r="U1" i="19" l="1"/>
  <c r="L1" i="19"/>
  <c r="S5" i="9"/>
  <c r="I9" i="8" l="1"/>
  <c r="I11" i="8"/>
  <c r="V4" i="9"/>
  <c r="S4" i="9"/>
  <c r="U9" i="12" l="1"/>
  <c r="Z20" i="8" s="1"/>
  <c r="L38" i="12"/>
  <c r="U49" i="8" s="1"/>
  <c r="L11" i="12"/>
  <c r="U22" i="8" s="1"/>
  <c r="L49" i="12"/>
  <c r="U60" i="8" s="1"/>
  <c r="L10" i="12"/>
  <c r="U21" i="8" s="1"/>
  <c r="U43" i="12"/>
  <c r="Z54" i="8" s="1"/>
  <c r="L40" i="12"/>
  <c r="U51" i="8" s="1"/>
  <c r="U28" i="12"/>
  <c r="Z39" i="8" s="1"/>
  <c r="L20" i="12"/>
  <c r="U31" i="8" s="1"/>
  <c r="U24" i="12"/>
  <c r="Z35" i="8" s="1"/>
  <c r="L43" i="12"/>
  <c r="U54" i="8" s="1"/>
  <c r="L48" i="12"/>
  <c r="U59" i="8" s="1"/>
  <c r="U42" i="12"/>
  <c r="Z53" i="8" s="1"/>
  <c r="U14" i="12"/>
  <c r="Z25" i="8" s="1"/>
  <c r="L9" i="12"/>
  <c r="U20" i="8" s="1"/>
  <c r="L28" i="12"/>
  <c r="U39" i="8" s="1"/>
  <c r="L34" i="12"/>
  <c r="U45" i="8" s="1"/>
  <c r="L45" i="12"/>
  <c r="U56" i="8" s="1"/>
  <c r="L14" i="12"/>
  <c r="U25" i="8" s="1"/>
  <c r="L17" i="12"/>
  <c r="U28" i="8" s="1"/>
  <c r="U23" i="12"/>
  <c r="Z34" i="8" s="1"/>
  <c r="U18" i="12"/>
  <c r="Z29" i="8" s="1"/>
  <c r="L22" i="12"/>
  <c r="U33" i="8" s="1"/>
  <c r="L47" i="12"/>
  <c r="U58" i="8" s="1"/>
  <c r="U38" i="12"/>
  <c r="Z49" i="8" s="1"/>
  <c r="L26" i="12"/>
  <c r="U37" i="8" s="1"/>
  <c r="L16" i="12"/>
  <c r="U27" i="8" s="1"/>
  <c r="L23" i="12"/>
  <c r="U34" i="8" s="1"/>
  <c r="U40" i="12"/>
  <c r="Z51" i="8" s="1"/>
  <c r="U46" i="12"/>
  <c r="Z57" i="8" s="1"/>
  <c r="U11" i="12"/>
  <c r="Z22" i="8" s="1"/>
  <c r="L24" i="12"/>
  <c r="U35" i="8" s="1"/>
  <c r="L31" i="12"/>
  <c r="U42" i="8" s="1"/>
  <c r="L44" i="12"/>
  <c r="U55" i="8" s="1"/>
  <c r="U31" i="12"/>
  <c r="Z42" i="8" s="1"/>
  <c r="L25" i="12"/>
  <c r="U36" i="8" s="1"/>
  <c r="L18" i="12"/>
  <c r="U29" i="8" s="1"/>
  <c r="U13" i="12"/>
  <c r="Z24" i="8" s="1"/>
  <c r="U35" i="12"/>
  <c r="Z46" i="8" s="1"/>
  <c r="L19" i="12"/>
  <c r="U30" i="8" s="1"/>
  <c r="L41" i="12"/>
  <c r="U52" i="8" s="1"/>
  <c r="Z18" i="8"/>
  <c r="U18" i="8"/>
  <c r="S27" i="9"/>
  <c r="H150" i="10" l="1"/>
  <c r="Q150" i="10"/>
  <c r="Q88" i="10"/>
  <c r="H88" i="10"/>
  <c r="Q134" i="10"/>
  <c r="H134" i="10"/>
  <c r="H140" i="10"/>
  <c r="Q140" i="10"/>
  <c r="H94" i="10"/>
  <c r="Q94" i="10"/>
  <c r="H152" i="10"/>
  <c r="Q152" i="10"/>
  <c r="Q97" i="10"/>
  <c r="H97" i="10"/>
  <c r="H166" i="10"/>
  <c r="Q166" i="10"/>
  <c r="Q144" i="10"/>
  <c r="H144" i="10"/>
  <c r="Q73" i="10"/>
  <c r="H73" i="10"/>
  <c r="Q72" i="10"/>
  <c r="H72" i="10"/>
  <c r="H101" i="10"/>
  <c r="Q101" i="10"/>
  <c r="Q155" i="10"/>
  <c r="H155" i="10"/>
  <c r="Q154" i="10"/>
  <c r="H154" i="10"/>
  <c r="H85" i="10"/>
  <c r="Q85" i="10"/>
  <c r="Q163" i="10"/>
  <c r="H163" i="10"/>
  <c r="H145" i="10"/>
  <c r="Q145" i="10"/>
  <c r="H133" i="10"/>
  <c r="Q133" i="10"/>
  <c r="H137" i="10"/>
  <c r="Q137" i="10"/>
  <c r="Q147" i="10"/>
  <c r="H147" i="10"/>
  <c r="H87" i="10"/>
  <c r="Q87" i="10"/>
  <c r="Q159" i="10"/>
  <c r="H159" i="10"/>
  <c r="H91" i="10"/>
  <c r="Q91" i="10"/>
  <c r="H70" i="10"/>
  <c r="Q70" i="10"/>
  <c r="H92" i="10"/>
  <c r="Q92" i="10"/>
  <c r="Q79" i="10"/>
  <c r="H79" i="10"/>
  <c r="Q105" i="10"/>
  <c r="H105" i="10"/>
  <c r="Q135" i="10"/>
  <c r="H135" i="10"/>
  <c r="Q80" i="10"/>
  <c r="H80" i="10"/>
  <c r="Q151" i="10"/>
  <c r="H151" i="10"/>
  <c r="Q90" i="10"/>
  <c r="H90" i="10"/>
  <c r="Q93" i="10"/>
  <c r="H93" i="10"/>
  <c r="H142" i="10"/>
  <c r="Q142" i="10"/>
  <c r="Q66" i="10"/>
  <c r="H66" i="10"/>
  <c r="Q77" i="10"/>
  <c r="H77" i="10"/>
  <c r="Q104" i="10"/>
  <c r="H104" i="10"/>
  <c r="H146" i="10"/>
  <c r="Q146" i="10"/>
  <c r="Q84" i="10"/>
  <c r="H84" i="10"/>
  <c r="H143" i="10"/>
  <c r="Q143" i="10"/>
  <c r="Q100" i="10"/>
  <c r="H100" i="10"/>
  <c r="Q74" i="10"/>
  <c r="H74" i="10"/>
  <c r="H86" i="10"/>
  <c r="Q86" i="10"/>
  <c r="H149" i="10"/>
  <c r="Q149" i="10"/>
  <c r="Q76" i="10"/>
  <c r="H76" i="10"/>
  <c r="H69" i="10"/>
  <c r="Q69" i="10"/>
  <c r="Q103" i="10"/>
  <c r="H103" i="10"/>
  <c r="H83" i="10"/>
  <c r="Q83" i="10"/>
  <c r="H99" i="10"/>
  <c r="Q99" i="10"/>
  <c r="Q75" i="10"/>
  <c r="H75" i="10"/>
  <c r="Q153" i="10"/>
  <c r="H153" i="10"/>
  <c r="Q167" i="10"/>
  <c r="H167" i="10"/>
  <c r="Q162" i="10"/>
  <c r="H162" i="10"/>
  <c r="Q95" i="10"/>
  <c r="H95" i="10"/>
  <c r="Q68" i="10"/>
  <c r="H68" i="10"/>
  <c r="Q96" i="10"/>
  <c r="H96" i="10"/>
  <c r="Q81" i="10"/>
  <c r="H81" i="10"/>
  <c r="H78" i="10"/>
  <c r="Q78" i="10"/>
  <c r="Q98" i="10"/>
  <c r="H98" i="10"/>
  <c r="Q164" i="10"/>
  <c r="H164" i="10"/>
  <c r="H161" i="10"/>
  <c r="Q161" i="10"/>
  <c r="H158" i="10"/>
  <c r="Q158" i="10"/>
  <c r="Q102" i="10"/>
  <c r="H102" i="10"/>
  <c r="Q67" i="10"/>
  <c r="H67" i="10"/>
  <c r="H141" i="10"/>
  <c r="Q141" i="10"/>
  <c r="Q82" i="10"/>
  <c r="H82" i="10"/>
  <c r="Q160" i="10"/>
  <c r="H160" i="10"/>
  <c r="H156" i="10"/>
  <c r="Q156" i="10"/>
  <c r="Q89" i="10"/>
  <c r="H89" i="10"/>
  <c r="U39" i="12"/>
  <c r="Z50" i="8" s="1"/>
  <c r="U32" i="12"/>
  <c r="Z43" i="8" s="1"/>
  <c r="L30" i="12"/>
  <c r="U41" i="8" s="1"/>
  <c r="U16" i="12"/>
  <c r="Z27" i="8" s="1"/>
  <c r="U22" i="12"/>
  <c r="Z33" i="8" s="1"/>
  <c r="L36" i="12"/>
  <c r="U47" i="8" s="1"/>
  <c r="U20" i="12"/>
  <c r="Z31" i="8" s="1"/>
  <c r="L39" i="12"/>
  <c r="U50" i="8" s="1"/>
  <c r="U36" i="12"/>
  <c r="Z47" i="8" s="1"/>
  <c r="U47" i="12"/>
  <c r="Z58" i="8" s="1"/>
  <c r="U45" i="12"/>
  <c r="Z56" i="8" s="1"/>
  <c r="U27" i="12"/>
  <c r="Z38" i="8" s="1"/>
  <c r="U19" i="12"/>
  <c r="Z30" i="8" s="1"/>
  <c r="U29" i="12"/>
  <c r="Z40" i="8" s="1"/>
  <c r="U41" i="12"/>
  <c r="Z52" i="8" s="1"/>
  <c r="L33" i="12"/>
  <c r="U44" i="8" s="1"/>
  <c r="L21" i="12"/>
  <c r="U32" i="8" s="1"/>
  <c r="L27" i="12"/>
  <c r="U38" i="8" s="1"/>
  <c r="U12" i="12"/>
  <c r="Z23" i="8" s="1"/>
  <c r="U17" i="12"/>
  <c r="Z28" i="8" s="1"/>
  <c r="U33" i="12"/>
  <c r="Z44" i="8" s="1"/>
  <c r="L29" i="12"/>
  <c r="U40" i="8" s="1"/>
  <c r="L12" i="12"/>
  <c r="U23" i="8" s="1"/>
  <c r="L15" i="12"/>
  <c r="U26" i="8" s="1"/>
  <c r="U34" i="12"/>
  <c r="Z45" i="8" s="1"/>
  <c r="L13" i="12"/>
  <c r="U24" i="8" s="1"/>
  <c r="U8" i="12"/>
  <c r="Z19" i="8" s="1"/>
  <c r="U26" i="12"/>
  <c r="Z37" i="8" s="1"/>
  <c r="L32" i="12"/>
  <c r="U43" i="8" s="1"/>
  <c r="U30" i="12"/>
  <c r="Z41" i="8" s="1"/>
  <c r="U48" i="12"/>
  <c r="Z59" i="8" s="1"/>
  <c r="L8" i="12"/>
  <c r="U19" i="8" s="1"/>
  <c r="L35" i="12"/>
  <c r="U46" i="8" s="1"/>
  <c r="U15" i="12"/>
  <c r="Z26" i="8" s="1"/>
  <c r="U37" i="12"/>
  <c r="Z48" i="8" s="1"/>
  <c r="L46" i="12"/>
  <c r="U57" i="8" s="1"/>
  <c r="U49" i="12"/>
  <c r="Z60" i="8" s="1"/>
  <c r="U10" i="12"/>
  <c r="Z21" i="8" s="1"/>
  <c r="U44" i="12"/>
  <c r="Z55" i="8" s="1"/>
  <c r="L37" i="12"/>
  <c r="U48" i="8" s="1"/>
  <c r="U21" i="12"/>
  <c r="Z32" i="8" s="1"/>
  <c r="U25" i="12"/>
  <c r="Z36" i="8" s="1"/>
  <c r="L42" i="12"/>
  <c r="U53" i="8" s="1"/>
  <c r="Q71" i="10"/>
  <c r="H71" i="10"/>
  <c r="Q136" i="10"/>
  <c r="H136" i="10"/>
  <c r="Q131" i="10"/>
  <c r="H131" i="10"/>
  <c r="Q129" i="10"/>
  <c r="H129" i="10"/>
  <c r="Q128" i="10"/>
  <c r="H128" i="10"/>
  <c r="Q148" i="10"/>
  <c r="H148" i="10"/>
  <c r="Q106" i="10"/>
  <c r="H106" i="10"/>
  <c r="Q138" i="10"/>
  <c r="H138" i="10"/>
  <c r="H107" i="10"/>
  <c r="Q107" i="10"/>
  <c r="H165" i="10"/>
  <c r="Q165" i="10"/>
  <c r="H157" i="10"/>
  <c r="Q157" i="10"/>
  <c r="Q139" i="10"/>
  <c r="H139" i="10"/>
  <c r="Q132" i="10"/>
  <c r="H132" i="10"/>
  <c r="Q126" i="10"/>
  <c r="H126" i="10"/>
  <c r="Q127" i="10"/>
  <c r="H127" i="10"/>
  <c r="Q130" i="10"/>
  <c r="H130" i="10"/>
  <c r="D71" i="9"/>
  <c r="C71" i="9"/>
  <c r="B71" i="9"/>
  <c r="D70" i="9"/>
  <c r="C70" i="9"/>
  <c r="B70" i="9"/>
  <c r="D69" i="9"/>
  <c r="C69" i="9"/>
  <c r="B69" i="9"/>
  <c r="D68" i="9"/>
  <c r="C68" i="9"/>
  <c r="B68" i="9"/>
  <c r="D67" i="9"/>
  <c r="C67" i="9"/>
  <c r="B67" i="9"/>
  <c r="D66" i="9"/>
  <c r="C66" i="9"/>
  <c r="B66" i="9"/>
  <c r="D64" i="9"/>
  <c r="C64" i="9"/>
  <c r="B64" i="9"/>
  <c r="D63" i="9"/>
  <c r="C63" i="9"/>
  <c r="B63" i="9"/>
  <c r="B62" i="9"/>
  <c r="E61" i="9"/>
  <c r="D61" i="9"/>
  <c r="C61" i="9"/>
  <c r="B61" i="9"/>
  <c r="B59" i="9"/>
  <c r="D57" i="9"/>
  <c r="C57" i="9"/>
  <c r="B57" i="9"/>
  <c r="D56" i="9"/>
  <c r="C56" i="9"/>
  <c r="B56" i="9"/>
  <c r="D55" i="9"/>
  <c r="C55" i="9"/>
  <c r="B55" i="9"/>
  <c r="D54" i="9"/>
  <c r="C54" i="9"/>
  <c r="B54" i="9"/>
  <c r="D53" i="9"/>
  <c r="C53" i="9"/>
  <c r="B53" i="9"/>
  <c r="D52" i="9"/>
  <c r="C52" i="9"/>
  <c r="B52" i="9"/>
  <c r="B51" i="9"/>
  <c r="P65" i="9"/>
  <c r="O65" i="9"/>
  <c r="E50" i="9"/>
  <c r="D50" i="9"/>
  <c r="C50" i="9"/>
  <c r="B50" i="9"/>
  <c r="B48" i="9"/>
  <c r="C5" i="9"/>
  <c r="V5" i="9" s="1"/>
  <c r="V6" i="9" s="1"/>
  <c r="V7" i="9" s="1"/>
  <c r="K121" i="10" l="1"/>
  <c r="B121" i="10"/>
  <c r="K61" i="10"/>
  <c r="B61" i="10"/>
  <c r="H7" i="9" l="1"/>
  <c r="M9" i="8" s="1"/>
  <c r="C51" i="9"/>
  <c r="D62" i="9"/>
  <c r="D51" i="9"/>
  <c r="C62" i="9"/>
  <c r="H9" i="9"/>
  <c r="M11" i="8" s="1"/>
  <c r="I4" i="15"/>
  <c r="O4" i="15"/>
  <c r="L62" i="10"/>
  <c r="C62" i="10"/>
  <c r="L122" i="10"/>
  <c r="C122" i="10"/>
  <c r="U2" i="10"/>
  <c r="K2" i="10"/>
  <c r="B2" i="10"/>
  <c r="U6" i="10" a="1"/>
  <c r="B124" i="10"/>
  <c r="K124" i="10"/>
  <c r="P151" i="10"/>
  <c r="P129" i="10"/>
  <c r="P106" i="10"/>
  <c r="P130" i="10"/>
  <c r="P140" i="10"/>
  <c r="P127" i="10"/>
  <c r="P97" i="10"/>
  <c r="P66" i="10"/>
  <c r="P166" i="10"/>
  <c r="P83" i="10"/>
  <c r="P93" i="10"/>
  <c r="G163" i="10"/>
  <c r="K64" i="10"/>
  <c r="P82" i="10"/>
  <c r="P133" i="10"/>
  <c r="P152" i="10"/>
  <c r="P73" i="10"/>
  <c r="P90" i="10"/>
  <c r="B63" i="10"/>
  <c r="P147" i="10"/>
  <c r="P131" i="10"/>
  <c r="P158" i="10"/>
  <c r="P91" i="10"/>
  <c r="G106" i="10"/>
  <c r="P160" i="10"/>
  <c r="P143" i="10"/>
  <c r="P104" i="10"/>
  <c r="P144" i="10"/>
  <c r="P128" i="10"/>
  <c r="G107" i="10"/>
  <c r="P92" i="10"/>
  <c r="P74" i="10"/>
  <c r="G164" i="10"/>
  <c r="P105" i="10"/>
  <c r="P80" i="10"/>
  <c r="G167" i="10"/>
  <c r="P136" i="10"/>
  <c r="P141" i="10"/>
  <c r="P159" i="10"/>
  <c r="P69" i="10"/>
  <c r="P150" i="10"/>
  <c r="B123" i="10"/>
  <c r="P67" i="10"/>
  <c r="P154" i="10"/>
  <c r="P153" i="10"/>
  <c r="P71" i="10"/>
  <c r="P68" i="10"/>
  <c r="P107" i="10"/>
  <c r="P78" i="10"/>
  <c r="P75" i="10"/>
  <c r="P88" i="10"/>
  <c r="P148" i="10"/>
  <c r="P81" i="10"/>
  <c r="P89" i="10"/>
  <c r="P132" i="10"/>
  <c r="P100" i="10"/>
  <c r="P94" i="10"/>
  <c r="P102" i="10"/>
  <c r="P77" i="10"/>
  <c r="G104" i="10"/>
  <c r="P138" i="10"/>
  <c r="P99" i="10"/>
  <c r="G105" i="10"/>
  <c r="P87" i="10"/>
  <c r="P96" i="10"/>
  <c r="P155" i="10"/>
  <c r="P72" i="10"/>
  <c r="P137" i="10"/>
  <c r="P139" i="10"/>
  <c r="P156" i="10"/>
  <c r="P142" i="10"/>
  <c r="P149" i="10"/>
  <c r="P85" i="10"/>
  <c r="B64" i="10"/>
  <c r="G166" i="10"/>
  <c r="P157" i="10"/>
  <c r="P126" i="10"/>
  <c r="G103" i="10"/>
  <c r="P163" i="10"/>
  <c r="P145" i="10"/>
  <c r="P86" i="10"/>
  <c r="P95" i="10"/>
  <c r="P164" i="10"/>
  <c r="P76" i="10"/>
  <c r="P70" i="10"/>
  <c r="P135" i="10"/>
  <c r="P84" i="10"/>
  <c r="P103" i="10"/>
  <c r="P146" i="10"/>
  <c r="P134" i="10"/>
  <c r="P79" i="10"/>
  <c r="P98" i="10"/>
  <c r="U6" i="10" l="1"/>
  <c r="W6" i="9"/>
  <c r="F5" i="12" a="1"/>
  <c r="G5" i="12" a="1"/>
  <c r="N70" i="9"/>
  <c r="G5" i="12" l="1"/>
  <c r="F5" i="12"/>
  <c r="C11" i="9"/>
  <c r="C9" i="9"/>
  <c r="C7" i="9"/>
  <c r="C1" i="19"/>
  <c r="C3" i="10"/>
  <c r="L3" i="10"/>
  <c r="C4" i="15"/>
  <c r="W7" i="9"/>
  <c r="D97" i="12"/>
  <c r="D106" i="12"/>
  <c r="D96" i="12"/>
  <c r="D104" i="12"/>
  <c r="D105" i="12"/>
  <c r="B5" i="10"/>
  <c r="B6" i="10" s="1" a="1"/>
  <c r="D103" i="12"/>
  <c r="D101" i="12"/>
  <c r="D102" i="12"/>
  <c r="D95" i="12"/>
  <c r="D100" i="12"/>
  <c r="B4" i="10"/>
  <c r="D99" i="12"/>
  <c r="D98" i="12"/>
  <c r="K5" i="10"/>
  <c r="K6" i="10" s="1" a="1"/>
  <c r="P16" i="10"/>
  <c r="P37" i="10"/>
  <c r="P36" i="10"/>
  <c r="P22" i="10"/>
  <c r="P27" i="10"/>
  <c r="P9" i="10"/>
  <c r="P35" i="10"/>
  <c r="P38" i="10"/>
  <c r="P14" i="10"/>
  <c r="P32" i="10"/>
  <c r="P29" i="10"/>
  <c r="P33" i="10"/>
  <c r="P34" i="10"/>
  <c r="P46" i="10"/>
  <c r="P20" i="10"/>
  <c r="P42" i="10"/>
  <c r="P31" i="10"/>
  <c r="P43" i="10"/>
  <c r="G48" i="10"/>
  <c r="P45" i="10"/>
  <c r="P15" i="10"/>
  <c r="P18" i="10"/>
  <c r="P7" i="10"/>
  <c r="P40" i="10"/>
  <c r="G45" i="10"/>
  <c r="P41" i="10"/>
  <c r="P12" i="10"/>
  <c r="P47" i="10"/>
  <c r="G47" i="10"/>
  <c r="P44" i="10"/>
  <c r="P8" i="10"/>
  <c r="P21" i="10"/>
  <c r="G46" i="10"/>
  <c r="P30" i="10"/>
  <c r="P10" i="10"/>
  <c r="P24" i="10"/>
  <c r="P11" i="10"/>
  <c r="P28" i="10"/>
  <c r="P25" i="10"/>
  <c r="P26" i="10"/>
  <c r="P17" i="10"/>
  <c r="P39" i="10"/>
  <c r="P19" i="10"/>
  <c r="P48" i="10"/>
  <c r="P23" i="10"/>
  <c r="P13" i="10"/>
  <c r="G19" i="10"/>
  <c r="G44" i="10"/>
  <c r="G23" i="10"/>
  <c r="G20" i="10"/>
  <c r="G33" i="10"/>
  <c r="G36" i="10"/>
  <c r="G15" i="10"/>
  <c r="G24" i="10"/>
  <c r="G9" i="10"/>
  <c r="G22" i="10"/>
  <c r="G27" i="10"/>
  <c r="G31" i="10"/>
  <c r="G29" i="10"/>
  <c r="G43" i="10"/>
  <c r="G37" i="10"/>
  <c r="G32" i="10"/>
  <c r="G14" i="10"/>
  <c r="G35" i="10"/>
  <c r="G40" i="10"/>
  <c r="G21" i="10"/>
  <c r="G25" i="10"/>
  <c r="G30" i="10"/>
  <c r="G42" i="10"/>
  <c r="G13" i="10"/>
  <c r="G28" i="10"/>
  <c r="G34" i="10"/>
  <c r="G39" i="10"/>
  <c r="G41" i="10"/>
  <c r="G26" i="10"/>
  <c r="G18" i="10"/>
  <c r="G38" i="10"/>
  <c r="G12" i="10"/>
  <c r="B6" i="10" l="1"/>
  <c r="K6" i="10"/>
  <c r="M9" i="14"/>
  <c r="E57" i="9" s="1"/>
  <c r="M8" i="14"/>
  <c r="E56" i="9" s="1"/>
  <c r="M7" i="14"/>
  <c r="E55" i="9" s="1"/>
  <c r="M6" i="14"/>
  <c r="E54" i="9" s="1"/>
  <c r="M5" i="14"/>
  <c r="E53" i="9" s="1"/>
  <c r="M4" i="14"/>
  <c r="E52" i="9" s="1"/>
  <c r="E85" i="12"/>
  <c r="E84" i="12"/>
  <c r="E83" i="12"/>
  <c r="E82" i="12"/>
  <c r="E81" i="12"/>
  <c r="C12" i="15" a="1"/>
  <c r="C8" i="15" a="1"/>
  <c r="C11" i="15" a="1"/>
  <c r="C9" i="15" a="1"/>
  <c r="C20" i="15" a="1"/>
  <c r="C24" i="15" a="1"/>
  <c r="C23" i="15" a="1"/>
  <c r="C25" i="15" a="1"/>
  <c r="C17" i="15" a="1"/>
  <c r="C13" i="15" a="1"/>
  <c r="C27" i="15" a="1"/>
  <c r="C14" i="15" a="1"/>
  <c r="C26" i="15" a="1"/>
  <c r="C18" i="15" a="1"/>
  <c r="C19" i="15" a="1"/>
  <c r="C28" i="15" a="1"/>
  <c r="C16" i="15" a="1"/>
  <c r="C22" i="15" a="1"/>
  <c r="C21" i="15" a="1"/>
  <c r="C7" i="15" a="1"/>
  <c r="C15" i="15" a="1"/>
  <c r="C10" i="15" a="1"/>
  <c r="H11" i="19" a="1"/>
  <c r="F12" i="19" a="1"/>
  <c r="H8" i="19" a="1"/>
  <c r="H12" i="19" a="1"/>
  <c r="H27" i="19" a="1"/>
  <c r="F8" i="19" a="1"/>
  <c r="F35" i="19" a="1"/>
  <c r="F42" i="19" a="1"/>
  <c r="F31" i="19" a="1"/>
  <c r="F20" i="19" a="1"/>
  <c r="H45" i="19" a="1"/>
  <c r="H35" i="19" a="1"/>
  <c r="F11" i="19" a="1"/>
  <c r="H21" i="19" a="1"/>
  <c r="H18" i="19" a="1"/>
  <c r="F9" i="19" a="1"/>
  <c r="F5" i="19" a="1"/>
  <c r="F34" i="19" a="1"/>
  <c r="F29" i="19" a="1"/>
  <c r="H17" i="19" a="1"/>
  <c r="F26" i="19" a="1"/>
  <c r="F16" i="19" a="1"/>
  <c r="H37" i="19" a="1"/>
  <c r="H31" i="19" a="1"/>
  <c r="H9" i="19" a="1"/>
  <c r="F28" i="19" a="1"/>
  <c r="H15" i="19" a="1"/>
  <c r="F25" i="19" a="1"/>
  <c r="F13" i="19" a="1"/>
  <c r="H23" i="19" a="1"/>
  <c r="H25" i="19" a="1"/>
  <c r="F37" i="19" a="1"/>
  <c r="H29" i="19" a="1"/>
  <c r="F15" i="19" a="1"/>
  <c r="H14" i="19" a="1"/>
  <c r="H33" i="19" a="1"/>
  <c r="H6" i="19" a="1"/>
  <c r="F19" i="19" a="1"/>
  <c r="H42" i="19" a="1"/>
  <c r="F43" i="19" a="1"/>
  <c r="F40" i="19" a="1"/>
  <c r="F38" i="19" a="1"/>
  <c r="H22" i="19" a="1"/>
  <c r="F39" i="19" a="1"/>
  <c r="H20" i="19" a="1"/>
  <c r="H24" i="19" a="1"/>
  <c r="F7" i="19" a="1"/>
  <c r="F45" i="19" a="1"/>
  <c r="H44" i="19" a="1"/>
  <c r="F17" i="19" a="1"/>
  <c r="H40" i="19" a="1"/>
  <c r="F36" i="19" a="1"/>
  <c r="H26" i="19" a="1"/>
  <c r="H10" i="19" a="1"/>
  <c r="H13" i="19" a="1"/>
  <c r="F44" i="19" a="1"/>
  <c r="H41" i="19" a="1"/>
  <c r="H5" i="19" a="1"/>
  <c r="H38" i="19" a="1"/>
  <c r="H43" i="19" a="1"/>
  <c r="F23" i="19" a="1"/>
  <c r="F6" i="19" a="1"/>
  <c r="H19" i="19" a="1"/>
  <c r="H32" i="19" a="1"/>
  <c r="F30" i="19" a="1"/>
  <c r="H36" i="19" a="1"/>
  <c r="F41" i="19" a="1"/>
  <c r="H16" i="19" a="1"/>
  <c r="F21" i="19" a="1"/>
  <c r="H28" i="19" a="1"/>
  <c r="H39" i="19" a="1"/>
  <c r="F18" i="19" a="1"/>
  <c r="F4" i="19" a="1"/>
  <c r="H7" i="19" a="1"/>
  <c r="F14" i="19" a="1"/>
  <c r="F27" i="19" a="1"/>
  <c r="H34" i="19" a="1"/>
  <c r="F33" i="19" a="1"/>
  <c r="F10" i="19" a="1"/>
  <c r="F22" i="19" a="1"/>
  <c r="F24" i="19" a="1"/>
  <c r="F32" i="19" a="1"/>
  <c r="H30" i="19" a="1"/>
  <c r="H4" i="19" a="1"/>
  <c r="G7" i="10"/>
  <c r="G17" i="10"/>
  <c r="G16" i="10"/>
  <c r="G11" i="10"/>
  <c r="G10" i="10"/>
  <c r="G8" i="10"/>
  <c r="C25" i="15" l="1"/>
  <c r="C23" i="15"/>
  <c r="C24" i="15"/>
  <c r="C20" i="15"/>
  <c r="C9" i="15"/>
  <c r="C11" i="15"/>
  <c r="C8" i="15"/>
  <c r="C12" i="15"/>
  <c r="C10" i="15"/>
  <c r="C15" i="15"/>
  <c r="C7" i="15"/>
  <c r="C21" i="15"/>
  <c r="C22" i="15"/>
  <c r="C16" i="15"/>
  <c r="C28" i="15"/>
  <c r="C19" i="15"/>
  <c r="C18" i="15"/>
  <c r="C26" i="15"/>
  <c r="C14" i="15"/>
  <c r="C27" i="15"/>
  <c r="C13" i="15"/>
  <c r="C17" i="15"/>
  <c r="H4" i="19"/>
  <c r="H30" i="19"/>
  <c r="F32" i="19"/>
  <c r="F24" i="19"/>
  <c r="F22" i="19"/>
  <c r="F10" i="19"/>
  <c r="F33" i="19"/>
  <c r="H34" i="19"/>
  <c r="C38" i="12" s="1"/>
  <c r="S58" i="9" s="1"/>
  <c r="F27" i="19"/>
  <c r="F14" i="19"/>
  <c r="H7" i="19"/>
  <c r="F4" i="19"/>
  <c r="F18" i="19"/>
  <c r="H39" i="19"/>
  <c r="H28" i="19"/>
  <c r="F21" i="19"/>
  <c r="H16" i="19"/>
  <c r="F41" i="19"/>
  <c r="H36" i="19"/>
  <c r="F30" i="19"/>
  <c r="H32" i="19"/>
  <c r="H19" i="19"/>
  <c r="F6" i="19"/>
  <c r="F23" i="19"/>
  <c r="H43" i="19"/>
  <c r="H38" i="19"/>
  <c r="H5" i="19"/>
  <c r="H41" i="19"/>
  <c r="F44" i="19"/>
  <c r="H13" i="19"/>
  <c r="H10" i="19"/>
  <c r="H26" i="19"/>
  <c r="F36" i="19"/>
  <c r="H40" i="19"/>
  <c r="F17" i="19"/>
  <c r="H44" i="19"/>
  <c r="F45" i="19"/>
  <c r="F7" i="19"/>
  <c r="H24" i="19"/>
  <c r="H20" i="19"/>
  <c r="F39" i="19"/>
  <c r="H22" i="19"/>
  <c r="F38" i="19"/>
  <c r="F40" i="19"/>
  <c r="F43" i="19"/>
  <c r="H42" i="19"/>
  <c r="F19" i="19"/>
  <c r="H6" i="19"/>
  <c r="H33" i="19"/>
  <c r="H14" i="19"/>
  <c r="F15" i="19"/>
  <c r="H29" i="19"/>
  <c r="F37" i="19"/>
  <c r="H25" i="19"/>
  <c r="H23" i="19"/>
  <c r="F13" i="19"/>
  <c r="F25" i="19"/>
  <c r="H15" i="19"/>
  <c r="F28" i="19"/>
  <c r="H9" i="19"/>
  <c r="H31" i="19"/>
  <c r="H37" i="19"/>
  <c r="F16" i="19"/>
  <c r="F26" i="19"/>
  <c r="H17" i="19"/>
  <c r="F29" i="19"/>
  <c r="F34" i="19"/>
  <c r="F5" i="19"/>
  <c r="F9" i="19"/>
  <c r="H18" i="19"/>
  <c r="H21" i="19"/>
  <c r="F11" i="19"/>
  <c r="H35" i="19"/>
  <c r="H45" i="19"/>
  <c r="F20" i="19"/>
  <c r="F31" i="19"/>
  <c r="F42" i="19"/>
  <c r="F35" i="19"/>
  <c r="F8" i="19"/>
  <c r="H27" i="19"/>
  <c r="H12" i="19"/>
  <c r="H8" i="19"/>
  <c r="C12" i="12" s="1"/>
  <c r="S32" i="9" s="1"/>
  <c r="F12" i="19"/>
  <c r="H11" i="19"/>
  <c r="C25" i="12"/>
  <c r="S45" i="9" s="1"/>
  <c r="F9" i="8"/>
  <c r="F11" i="8"/>
  <c r="M3" i="14"/>
  <c r="E51" i="9" s="1"/>
  <c r="E63" i="9"/>
  <c r="E64" i="9"/>
  <c r="E66" i="9"/>
  <c r="E67" i="9"/>
  <c r="E68" i="9"/>
  <c r="E69" i="9"/>
  <c r="E70" i="9"/>
  <c r="E71" i="9"/>
  <c r="E25" i="15" a="1"/>
  <c r="D25" i="15" a="1"/>
  <c r="E18" i="15" a="1"/>
  <c r="D18" i="15" a="1"/>
  <c r="E23" i="15" a="1"/>
  <c r="D23" i="15" a="1"/>
  <c r="E20" i="15" a="1"/>
  <c r="D20" i="15" a="1"/>
  <c r="E9" i="15" a="1"/>
  <c r="E11" i="15" a="1"/>
  <c r="D11" i="15" a="1"/>
  <c r="E17" i="15" a="1"/>
  <c r="D17" i="15" a="1"/>
  <c r="E8" i="15" a="1"/>
  <c r="E12" i="15" a="1"/>
  <c r="D12" i="15" a="1"/>
  <c r="E10" i="15" a="1"/>
  <c r="D10" i="15" a="1"/>
  <c r="E15" i="15" a="1"/>
  <c r="D15" i="15" a="1"/>
  <c r="E7" i="15" a="1"/>
  <c r="E21" i="15" a="1"/>
  <c r="D21" i="15" a="1"/>
  <c r="E22" i="15" a="1"/>
  <c r="D22" i="15" a="1"/>
  <c r="E16" i="15" a="1"/>
  <c r="D16" i="15" a="1"/>
  <c r="E19" i="15" a="1"/>
  <c r="D19" i="15" a="1"/>
  <c r="E26" i="15" a="1"/>
  <c r="D26" i="15" a="1"/>
  <c r="E24" i="15" a="1"/>
  <c r="D24" i="15" a="1"/>
  <c r="E14" i="15" a="1"/>
  <c r="D14" i="15" a="1"/>
  <c r="E27" i="15" a="1"/>
  <c r="D27" i="15" a="1"/>
  <c r="E13" i="15" a="1"/>
  <c r="D13" i="15" a="1"/>
  <c r="E36" i="19"/>
  <c r="G33" i="19"/>
  <c r="E37" i="19"/>
  <c r="G24" i="19"/>
  <c r="G38" i="19"/>
  <c r="G45" i="19"/>
  <c r="G42" i="19"/>
  <c r="G37" i="19"/>
  <c r="E35" i="19"/>
  <c r="G30" i="19"/>
  <c r="E41" i="19"/>
  <c r="G40" i="19"/>
  <c r="E29" i="19"/>
  <c r="E30" i="19"/>
  <c r="G32" i="19"/>
  <c r="G21" i="19"/>
  <c r="G34" i="19"/>
  <c r="E32" i="19"/>
  <c r="G36" i="19"/>
  <c r="E34" i="19"/>
  <c r="G44" i="19"/>
  <c r="G29" i="19"/>
  <c r="E45" i="19"/>
  <c r="E38" i="19"/>
  <c r="E28" i="19"/>
  <c r="G41" i="19"/>
  <c r="E40" i="19"/>
  <c r="E31" i="19"/>
  <c r="E44" i="19"/>
  <c r="E43" i="19"/>
  <c r="G31" i="19"/>
  <c r="E42" i="19"/>
  <c r="G26" i="19"/>
  <c r="E26" i="19"/>
  <c r="G43" i="19"/>
  <c r="G35" i="19"/>
  <c r="G28" i="19"/>
  <c r="G4" i="19"/>
  <c r="G16" i="19"/>
  <c r="G17" i="19"/>
  <c r="G12" i="19"/>
  <c r="E13" i="19"/>
  <c r="G27" i="19"/>
  <c r="G14" i="19"/>
  <c r="G8" i="19"/>
  <c r="E39" i="19"/>
  <c r="E17" i="19"/>
  <c r="E15" i="19"/>
  <c r="E12" i="19"/>
  <c r="E11" i="19"/>
  <c r="G39" i="19"/>
  <c r="G13" i="19"/>
  <c r="E19" i="19"/>
  <c r="E24" i="19"/>
  <c r="E5" i="19"/>
  <c r="G11" i="19"/>
  <c r="E22" i="19"/>
  <c r="E9" i="19"/>
  <c r="E10" i="19"/>
  <c r="G19" i="19"/>
  <c r="E7" i="19"/>
  <c r="G25" i="19"/>
  <c r="G18" i="19"/>
  <c r="E33" i="19"/>
  <c r="E6" i="19"/>
  <c r="G23" i="19"/>
  <c r="E23" i="19"/>
  <c r="G20" i="19"/>
  <c r="G10" i="19"/>
  <c r="G6" i="19"/>
  <c r="E27" i="19"/>
  <c r="E25" i="19"/>
  <c r="E14" i="19"/>
  <c r="G22" i="19"/>
  <c r="G15" i="19"/>
  <c r="G7" i="19"/>
  <c r="G5" i="19"/>
  <c r="E20" i="19"/>
  <c r="E16" i="19"/>
  <c r="E8" i="19"/>
  <c r="E4" i="19"/>
  <c r="G9" i="19"/>
  <c r="E18" i="19"/>
  <c r="E21" i="19"/>
  <c r="D8" i="15" a="1"/>
  <c r="D7" i="15" a="1"/>
  <c r="D9" i="15" a="1"/>
  <c r="D28" i="15"/>
  <c r="E28" i="15"/>
  <c r="D13" i="15" l="1"/>
  <c r="E13" i="15"/>
  <c r="D27" i="15"/>
  <c r="E27" i="15"/>
  <c r="D14" i="15"/>
  <c r="E14" i="15"/>
  <c r="D24" i="15"/>
  <c r="E24" i="15"/>
  <c r="D26" i="15"/>
  <c r="E26" i="15"/>
  <c r="D19" i="15"/>
  <c r="E19" i="15"/>
  <c r="D16" i="15"/>
  <c r="E16" i="15"/>
  <c r="D22" i="15"/>
  <c r="E22" i="15"/>
  <c r="D21" i="15"/>
  <c r="E21" i="15"/>
  <c r="E7" i="15"/>
  <c r="D15" i="15"/>
  <c r="E15" i="15"/>
  <c r="D10" i="15"/>
  <c r="E10" i="15"/>
  <c r="D12" i="15"/>
  <c r="E12" i="15"/>
  <c r="E8" i="15"/>
  <c r="D17" i="15"/>
  <c r="E17" i="15"/>
  <c r="D11" i="15"/>
  <c r="E11" i="15"/>
  <c r="E9" i="15"/>
  <c r="D20" i="15"/>
  <c r="E20" i="15"/>
  <c r="D23" i="15"/>
  <c r="E23" i="15"/>
  <c r="D18" i="15"/>
  <c r="E18" i="15"/>
  <c r="D25" i="15"/>
  <c r="E25" i="15"/>
  <c r="C14" i="12"/>
  <c r="S34" i="9" s="1"/>
  <c r="C15" i="12"/>
  <c r="S35" i="9" s="1"/>
  <c r="D9" i="15"/>
  <c r="D7" i="15"/>
  <c r="D8" i="15"/>
  <c r="C39" i="12"/>
  <c r="S59" i="9" s="1"/>
  <c r="H34" i="10"/>
  <c r="Q34" i="10"/>
  <c r="D35" i="12" s="1"/>
  <c r="H13" i="10"/>
  <c r="Q13" i="10"/>
  <c r="D14" i="12" s="1"/>
  <c r="H10" i="10"/>
  <c r="Q10" i="10"/>
  <c r="D11" i="12" s="1"/>
  <c r="H9" i="10"/>
  <c r="Q9" i="10"/>
  <c r="D10" i="12" s="1"/>
  <c r="H39" i="10"/>
  <c r="Q39" i="10"/>
  <c r="D40" i="12" s="1"/>
  <c r="C35" i="12"/>
  <c r="S55" i="9" s="1"/>
  <c r="C11" i="12"/>
  <c r="S31" i="9" s="1"/>
  <c r="C10" i="12"/>
  <c r="S30" i="9" s="1"/>
  <c r="C40" i="12"/>
  <c r="S60" i="9" s="1"/>
  <c r="H22" i="10"/>
  <c r="Q22" i="10"/>
  <c r="D23" i="12" s="1"/>
  <c r="C23" i="12"/>
  <c r="S43" i="9" s="1"/>
  <c r="H24" i="10"/>
  <c r="Q24" i="10"/>
  <c r="D25" i="12" s="1"/>
  <c r="Q7" i="10"/>
  <c r="D8" i="12" s="1"/>
  <c r="C53" i="12" s="1"/>
  <c r="H7" i="10"/>
  <c r="C8" i="12"/>
  <c r="S28" i="9" s="1"/>
  <c r="Q43" i="10"/>
  <c r="D44" i="12" s="1"/>
  <c r="H43" i="10"/>
  <c r="C44" i="12"/>
  <c r="S64" i="9" s="1"/>
  <c r="H29" i="10"/>
  <c r="Q29" i="10"/>
  <c r="D30" i="12" s="1"/>
  <c r="C30" i="12"/>
  <c r="S50" i="9" s="1"/>
  <c r="H14" i="10"/>
  <c r="Q14" i="10"/>
  <c r="D15" i="12" s="1"/>
  <c r="Q19" i="10"/>
  <c r="D20" i="12" s="1"/>
  <c r="H19" i="10"/>
  <c r="Q21" i="10"/>
  <c r="D22" i="12" s="1"/>
  <c r="H21" i="10"/>
  <c r="H44" i="10"/>
  <c r="Q44" i="10"/>
  <c r="D45" i="12" s="1"/>
  <c r="C20" i="12"/>
  <c r="S40" i="9" s="1"/>
  <c r="C22" i="12"/>
  <c r="S42" i="9" s="1"/>
  <c r="C45" i="12"/>
  <c r="S65" i="9" s="1"/>
  <c r="H31" i="10"/>
  <c r="Q31" i="10"/>
  <c r="D32" i="12" s="1"/>
  <c r="C32" i="12"/>
  <c r="S52" i="9" s="1"/>
  <c r="H37" i="10"/>
  <c r="Q37" i="10"/>
  <c r="D38" i="12" s="1"/>
  <c r="H23" i="10"/>
  <c r="Q23" i="10"/>
  <c r="D24" i="12" s="1"/>
  <c r="C24" i="12"/>
  <c r="S44" i="9" s="1"/>
  <c r="H38" i="10"/>
  <c r="Q38" i="10"/>
  <c r="D39" i="12" s="1"/>
  <c r="Q28" i="10"/>
  <c r="D29" i="12" s="1"/>
  <c r="H28" i="10"/>
  <c r="C29" i="12"/>
  <c r="S49" i="9" s="1"/>
  <c r="Q41" i="10"/>
  <c r="D42" i="12" s="1"/>
  <c r="H41" i="10"/>
  <c r="H26" i="10"/>
  <c r="Q26" i="10"/>
  <c r="D27" i="12" s="1"/>
  <c r="H30" i="10"/>
  <c r="Q30" i="10"/>
  <c r="D31" i="12" s="1"/>
  <c r="C55" i="12" s="1"/>
  <c r="H45" i="10"/>
  <c r="Q45" i="10"/>
  <c r="D46" i="12" s="1"/>
  <c r="Q36" i="10"/>
  <c r="D37" i="12" s="1"/>
  <c r="H36" i="10"/>
  <c r="Q17" i="10"/>
  <c r="D18" i="12" s="1"/>
  <c r="H17" i="10"/>
  <c r="H12" i="10"/>
  <c r="Q12" i="10"/>
  <c r="D13" i="12" s="1"/>
  <c r="Q27" i="10"/>
  <c r="D28" i="12" s="1"/>
  <c r="H27" i="10"/>
  <c r="H35" i="10"/>
  <c r="Q35" i="10"/>
  <c r="D36" i="12" s="1"/>
  <c r="H20" i="10"/>
  <c r="Q20" i="10"/>
  <c r="D21" i="12" s="1"/>
  <c r="Q33" i="10"/>
  <c r="D34" i="12" s="1"/>
  <c r="H33" i="10"/>
  <c r="H18" i="10"/>
  <c r="Q18" i="10"/>
  <c r="D19" i="12" s="1"/>
  <c r="C54" i="12" s="1"/>
  <c r="H46" i="10"/>
  <c r="Q46" i="10"/>
  <c r="D47" i="12" s="1"/>
  <c r="H40" i="10"/>
  <c r="Q40" i="10"/>
  <c r="D41" i="12" s="1"/>
  <c r="Q15" i="10"/>
  <c r="D16" i="12" s="1"/>
  <c r="H15" i="10"/>
  <c r="Q11" i="10"/>
  <c r="D12" i="12" s="1"/>
  <c r="H11" i="10"/>
  <c r="H25" i="10"/>
  <c r="Q25" i="10"/>
  <c r="D26" i="12" s="1"/>
  <c r="Q32" i="10"/>
  <c r="D33" i="12" s="1"/>
  <c r="H32" i="10"/>
  <c r="H8" i="10"/>
  <c r="Q8" i="10"/>
  <c r="D9" i="12" s="1"/>
  <c r="Q42" i="10"/>
  <c r="D43" i="12" s="1"/>
  <c r="C56" i="12" s="1"/>
  <c r="H42" i="10"/>
  <c r="Q16" i="10"/>
  <c r="D17" i="12" s="1"/>
  <c r="H16" i="10"/>
  <c r="C42" i="12"/>
  <c r="S62" i="9" s="1"/>
  <c r="C27" i="12"/>
  <c r="S47" i="9" s="1"/>
  <c r="C31" i="12"/>
  <c r="S51" i="9" s="1"/>
  <c r="C46" i="12"/>
  <c r="S66" i="9" s="1"/>
  <c r="C37" i="12"/>
  <c r="S57" i="9" s="1"/>
  <c r="C13" i="12"/>
  <c r="S33" i="9" s="1"/>
  <c r="C28" i="12"/>
  <c r="S48" i="9" s="1"/>
  <c r="C36" i="12"/>
  <c r="S56" i="9" s="1"/>
  <c r="C21" i="12"/>
  <c r="S41" i="9" s="1"/>
  <c r="C34" i="12"/>
  <c r="S54" i="9" s="1"/>
  <c r="C19" i="12"/>
  <c r="S39" i="9" s="1"/>
  <c r="C47" i="12"/>
  <c r="S67" i="9" s="1"/>
  <c r="C41" i="12"/>
  <c r="S61" i="9" s="1"/>
  <c r="C16" i="12"/>
  <c r="S36" i="9" s="1"/>
  <c r="C26" i="12"/>
  <c r="S46" i="9" s="1"/>
  <c r="C33" i="12"/>
  <c r="S53" i="9" s="1"/>
  <c r="C18" i="12"/>
  <c r="S38" i="9" s="1"/>
  <c r="C9" i="12"/>
  <c r="S29" i="9" s="1"/>
  <c r="C43" i="12"/>
  <c r="S63" i="9" s="1"/>
  <c r="C17" i="12"/>
  <c r="S37" i="9" s="1"/>
  <c r="Q48" i="10"/>
  <c r="D49" i="12" s="1"/>
  <c r="C58" i="12" s="1"/>
  <c r="H48" i="10"/>
  <c r="H47" i="10"/>
  <c r="Q47" i="10"/>
  <c r="D48" i="12" s="1"/>
  <c r="C57" i="12" s="1"/>
  <c r="C49" i="12"/>
  <c r="S69" i="9" s="1"/>
  <c r="C48" i="12"/>
  <c r="S68" i="9" s="1"/>
  <c r="E62" i="9"/>
  <c r="F13" i="15"/>
  <c r="F21" i="15"/>
  <c r="F23" i="15"/>
  <c r="F22" i="15"/>
  <c r="F27" i="15"/>
  <c r="F16" i="15"/>
  <c r="F15" i="15"/>
  <c r="F18" i="15"/>
  <c r="F14" i="15"/>
  <c r="F10" i="15"/>
  <c r="F25" i="15"/>
  <c r="F24" i="15"/>
  <c r="F12" i="15"/>
  <c r="F11" i="15"/>
  <c r="F26" i="15"/>
  <c r="F19" i="15"/>
  <c r="F17" i="15"/>
  <c r="F20" i="15"/>
  <c r="F9" i="15"/>
  <c r="F8" i="15"/>
  <c r="F7" i="15"/>
  <c r="I71" i="10"/>
  <c r="I81" i="10"/>
  <c r="I148" i="10"/>
  <c r="I77" i="10"/>
  <c r="I42" i="10"/>
  <c r="I130" i="10"/>
  <c r="I142" i="10"/>
  <c r="I40" i="10"/>
  <c r="I37" i="10"/>
  <c r="I20" i="10"/>
  <c r="I47" i="10"/>
  <c r="I100" i="10"/>
  <c r="I16" i="10"/>
  <c r="I88" i="10"/>
  <c r="I135" i="10"/>
  <c r="I167" i="10"/>
  <c r="I166" i="10"/>
  <c r="I73" i="10"/>
  <c r="I21" i="10"/>
  <c r="I34" i="10"/>
  <c r="I8" i="10"/>
  <c r="I128" i="10"/>
  <c r="I147" i="10"/>
  <c r="I32" i="10"/>
  <c r="I152" i="10"/>
  <c r="I82" i="10"/>
  <c r="I126" i="10"/>
  <c r="I9" i="10"/>
  <c r="I7" i="10"/>
  <c r="I144" i="10"/>
  <c r="I13" i="10"/>
  <c r="I91" i="10"/>
  <c r="I10" i="10"/>
  <c r="I94" i="10"/>
  <c r="I137" i="10"/>
  <c r="I33" i="10"/>
  <c r="I95" i="10"/>
  <c r="I134" i="10"/>
  <c r="F28" i="15"/>
  <c r="I41" i="10"/>
  <c r="I25" i="10"/>
  <c r="I155" i="10"/>
  <c r="I132" i="10"/>
  <c r="I76" i="10"/>
  <c r="I96" i="10"/>
  <c r="I18" i="10"/>
  <c r="I102" i="10"/>
  <c r="I89" i="10"/>
  <c r="I28" i="10"/>
  <c r="I45" i="10"/>
  <c r="I46" i="10"/>
  <c r="I15" i="10"/>
  <c r="I39" i="10"/>
  <c r="I129" i="10"/>
  <c r="I11" i="10"/>
  <c r="I104" i="10"/>
  <c r="I27" i="10"/>
  <c r="I24" i="10"/>
  <c r="I22" i="10"/>
  <c r="I143" i="10"/>
  <c r="I17" i="10"/>
  <c r="I160" i="10"/>
  <c r="I138" i="10"/>
  <c r="I103" i="10"/>
  <c r="I72" i="10"/>
  <c r="I154" i="10"/>
  <c r="I44" i="10"/>
  <c r="I163" i="10"/>
  <c r="I141" i="10"/>
  <c r="I14" i="10"/>
  <c r="I69" i="10"/>
  <c r="I74" i="10"/>
  <c r="I156" i="10"/>
  <c r="I133" i="10"/>
  <c r="I85" i="10"/>
  <c r="I29" i="10"/>
  <c r="I106" i="10"/>
  <c r="I145" i="10"/>
  <c r="I153" i="10"/>
  <c r="I67" i="10"/>
  <c r="I158" i="10"/>
  <c r="I98" i="10"/>
  <c r="I107" i="10"/>
  <c r="I161" i="10"/>
  <c r="I146" i="10"/>
  <c r="I159" i="10"/>
  <c r="I79" i="10"/>
  <c r="I80" i="10"/>
  <c r="I66" i="10"/>
  <c r="I165" i="10"/>
  <c r="I31" i="10"/>
  <c r="I90" i="10"/>
  <c r="I68" i="10"/>
  <c r="I30" i="10"/>
  <c r="I162" i="10"/>
  <c r="I136" i="10"/>
  <c r="I149" i="10"/>
  <c r="I131" i="10"/>
  <c r="I151" i="10"/>
  <c r="I23" i="10"/>
  <c r="I38" i="10"/>
  <c r="I150" i="10"/>
  <c r="I139" i="10"/>
  <c r="I93" i="10"/>
  <c r="I83" i="10"/>
  <c r="I70" i="10"/>
  <c r="I97" i="10"/>
  <c r="I86" i="10"/>
  <c r="I140" i="10"/>
  <c r="I12" i="10"/>
  <c r="I78" i="10"/>
  <c r="I36" i="10"/>
  <c r="I105" i="10"/>
  <c r="I26" i="10"/>
  <c r="I19" i="10"/>
  <c r="I35" i="10"/>
  <c r="I84" i="10"/>
  <c r="I101" i="10"/>
  <c r="I127" i="10"/>
  <c r="I157" i="10"/>
  <c r="I99" i="10"/>
  <c r="I164" i="10"/>
  <c r="I48" i="10"/>
  <c r="I92" i="10"/>
  <c r="I75" i="10"/>
  <c r="I43" i="10"/>
  <c r="I87" i="10"/>
  <c r="T34" i="9" l="1"/>
  <c r="T36" i="9"/>
  <c r="T38" i="9"/>
  <c r="T47" i="9"/>
  <c r="T60" i="9"/>
  <c r="T37" i="9"/>
  <c r="T50" i="9"/>
  <c r="T39" i="9"/>
  <c r="T51" i="9"/>
  <c r="T63" i="9"/>
  <c r="T46" i="9"/>
  <c r="T35" i="9"/>
  <c r="T62" i="9"/>
  <c r="T28" i="9"/>
  <c r="T40" i="9"/>
  <c r="T52" i="9"/>
  <c r="T64" i="9"/>
  <c r="T58" i="9"/>
  <c r="T61" i="9"/>
  <c r="T53" i="9"/>
  <c r="T65" i="9"/>
  <c r="T41" i="9"/>
  <c r="T30" i="9"/>
  <c r="T42" i="9"/>
  <c r="T54" i="9"/>
  <c r="T66" i="9"/>
  <c r="T59" i="9"/>
  <c r="T48" i="9"/>
  <c r="T43" i="9"/>
  <c r="T67" i="9"/>
  <c r="T49" i="9"/>
  <c r="T31" i="9"/>
  <c r="T32" i="9"/>
  <c r="T44" i="9"/>
  <c r="T56" i="9"/>
  <c r="T68" i="9"/>
  <c r="T29" i="9"/>
  <c r="T55" i="9"/>
  <c r="T33" i="9"/>
  <c r="T45" i="9"/>
  <c r="T57" i="9"/>
  <c r="T69" i="9"/>
  <c r="AA37" i="8"/>
  <c r="V32" i="8"/>
  <c r="V21" i="8"/>
  <c r="V45" i="8"/>
  <c r="V57" i="8"/>
  <c r="AA27" i="8"/>
  <c r="AA39" i="8"/>
  <c r="AA51" i="8"/>
  <c r="AA25" i="8"/>
  <c r="AA38" i="8"/>
  <c r="V46" i="8"/>
  <c r="V58" i="8"/>
  <c r="AA28" i="8"/>
  <c r="AA40" i="8"/>
  <c r="AA52" i="8"/>
  <c r="V55" i="8"/>
  <c r="V20" i="8"/>
  <c r="V23" i="8"/>
  <c r="V35" i="8"/>
  <c r="V47" i="8"/>
  <c r="V59" i="8"/>
  <c r="AA29" i="8"/>
  <c r="AA41" i="8"/>
  <c r="AA53" i="8"/>
  <c r="V43" i="8"/>
  <c r="V24" i="8"/>
  <c r="V36" i="8"/>
  <c r="V48" i="8"/>
  <c r="V60" i="8"/>
  <c r="AA30" i="8"/>
  <c r="AA42" i="8"/>
  <c r="AA54" i="8"/>
  <c r="V44" i="8"/>
  <c r="V33" i="8"/>
  <c r="V25" i="8"/>
  <c r="V37" i="8"/>
  <c r="V49" i="8"/>
  <c r="AA19" i="8"/>
  <c r="AA31" i="8"/>
  <c r="AA43" i="8"/>
  <c r="AA55" i="8"/>
  <c r="AA26" i="8"/>
  <c r="V26" i="8"/>
  <c r="V38" i="8"/>
  <c r="V50" i="8"/>
  <c r="AA20" i="8"/>
  <c r="AA32" i="8"/>
  <c r="AA44" i="8"/>
  <c r="AA56" i="8"/>
  <c r="V31" i="8"/>
  <c r="V56" i="8"/>
  <c r="V22" i="8"/>
  <c r="V27" i="8"/>
  <c r="V39" i="8"/>
  <c r="V51" i="8"/>
  <c r="AA21" i="8"/>
  <c r="AA33" i="8"/>
  <c r="AA45" i="8"/>
  <c r="AA57" i="8"/>
  <c r="AA49" i="8"/>
  <c r="V34" i="8"/>
  <c r="V52" i="8"/>
  <c r="AA22" i="8"/>
  <c r="AA34" i="8"/>
  <c r="AA46" i="8"/>
  <c r="AA58" i="8"/>
  <c r="V19" i="8"/>
  <c r="AA50" i="8"/>
  <c r="V40" i="8"/>
  <c r="V29" i="8"/>
  <c r="V41" i="8"/>
  <c r="V53" i="8"/>
  <c r="AA23" i="8"/>
  <c r="AA35" i="8"/>
  <c r="AA47" i="8"/>
  <c r="AA59" i="8"/>
  <c r="V28" i="8"/>
  <c r="V30" i="8"/>
  <c r="V42" i="8"/>
  <c r="V54" i="8"/>
  <c r="AA24" i="8"/>
  <c r="AA36" i="8"/>
  <c r="AA48" i="8"/>
  <c r="AA60" i="8"/>
  <c r="R107" i="10"/>
  <c r="R15" i="10"/>
  <c r="R154" i="10"/>
  <c r="R105" i="10"/>
  <c r="R46" i="10"/>
  <c r="R141" i="10"/>
  <c r="R164" i="10"/>
  <c r="R39" i="10"/>
  <c r="R47" i="10"/>
  <c r="R27" i="10"/>
  <c r="R95" i="10"/>
  <c r="R72" i="10"/>
  <c r="R18" i="10"/>
  <c r="R86" i="10"/>
  <c r="R89" i="10"/>
  <c r="R76" i="10"/>
  <c r="R10" i="10"/>
  <c r="R157" i="10"/>
  <c r="R87" i="10"/>
  <c r="R20" i="10"/>
  <c r="R8" i="10"/>
  <c r="R16" i="10"/>
  <c r="R82" i="10"/>
  <c r="R153" i="10"/>
  <c r="R81" i="10"/>
  <c r="R7" i="10"/>
  <c r="R70" i="10"/>
  <c r="R30" i="10"/>
  <c r="R9" i="10"/>
  <c r="R155" i="10"/>
  <c r="R162" i="10"/>
  <c r="R106" i="10"/>
  <c r="R128" i="10"/>
  <c r="R73" i="10"/>
  <c r="R127" i="10"/>
  <c r="P69" i="9"/>
  <c r="O68" i="9"/>
  <c r="R158" i="10"/>
  <c r="R40" i="10"/>
  <c r="O67" i="9"/>
  <c r="R143" i="10"/>
  <c r="R68" i="10"/>
  <c r="R133" i="10"/>
  <c r="R31" i="10"/>
  <c r="R149" i="10"/>
  <c r="R101" i="10"/>
  <c r="R85" i="10"/>
  <c r="R21" i="10"/>
  <c r="R32" i="10"/>
  <c r="R99" i="10"/>
  <c r="R91" i="10"/>
  <c r="R146" i="10"/>
  <c r="R23" i="10"/>
  <c r="R100" i="10"/>
  <c r="R97" i="10"/>
  <c r="R130" i="10"/>
  <c r="R161" i="10"/>
  <c r="R132" i="10"/>
  <c r="R129" i="10"/>
  <c r="P68" i="9"/>
  <c r="R66" i="10"/>
  <c r="R34" i="10"/>
  <c r="R35" i="10"/>
  <c r="R25" i="10"/>
  <c r="R102" i="10"/>
  <c r="R93" i="10"/>
  <c r="R71" i="10"/>
  <c r="R11" i="10"/>
  <c r="R84" i="10"/>
  <c r="R151" i="10"/>
  <c r="R41" i="10"/>
  <c r="R134" i="10"/>
  <c r="R92" i="10"/>
  <c r="R104" i="10"/>
  <c r="R165" i="10"/>
  <c r="R79" i="10"/>
  <c r="R22" i="10"/>
  <c r="R44" i="10"/>
  <c r="O66" i="9"/>
  <c r="R137" i="10"/>
  <c r="R29" i="10"/>
  <c r="R88" i="10"/>
  <c r="R142" i="10"/>
  <c r="P66" i="9"/>
  <c r="R42" i="10"/>
  <c r="R37" i="10"/>
  <c r="R77" i="10"/>
  <c r="R24" i="10"/>
  <c r="R13" i="10"/>
  <c r="R75" i="10"/>
  <c r="R33" i="10"/>
  <c r="R138" i="10"/>
  <c r="R156" i="10"/>
  <c r="R147" i="10"/>
  <c r="R74" i="10"/>
  <c r="R78" i="10"/>
  <c r="R96" i="10"/>
  <c r="R159" i="10"/>
  <c r="R148" i="10"/>
  <c r="R131" i="10"/>
  <c r="O69" i="9"/>
  <c r="R140" i="10"/>
  <c r="R166" i="10"/>
  <c r="R126" i="10"/>
  <c r="R28" i="10"/>
  <c r="R38" i="10"/>
  <c r="R12" i="10"/>
  <c r="P67" i="9"/>
  <c r="R48" i="10"/>
  <c r="R36" i="10"/>
  <c r="R136" i="10"/>
  <c r="R139" i="10"/>
  <c r="R90" i="10"/>
  <c r="R135" i="10"/>
  <c r="R83" i="10"/>
  <c r="R150" i="10"/>
  <c r="R26" i="10"/>
  <c r="R67" i="10"/>
  <c r="R167" i="10"/>
  <c r="R144" i="10"/>
  <c r="R69" i="10"/>
  <c r="R45" i="10"/>
  <c r="R17" i="10"/>
  <c r="R152" i="10"/>
  <c r="R145" i="10"/>
  <c r="R103" i="10"/>
  <c r="R14" i="10"/>
  <c r="R163" i="10"/>
  <c r="R98" i="10"/>
  <c r="R43" i="10"/>
  <c r="R80" i="10"/>
  <c r="R94" i="10"/>
  <c r="R160" i="10"/>
  <c r="R19" i="10"/>
  <c r="Q66" i="9" l="1"/>
  <c r="Q69" i="9"/>
  <c r="Q68" i="9"/>
  <c r="Q67" i="9"/>
  <c r="V60" i="9"/>
  <c r="E40" i="12"/>
  <c r="F40" i="12"/>
  <c r="V68" i="9"/>
  <c r="E48" i="12"/>
  <c r="F48" i="12"/>
  <c r="V69" i="9"/>
  <c r="E49" i="12"/>
  <c r="F49" i="12"/>
  <c r="V47" i="9"/>
  <c r="F27" i="12"/>
  <c r="E27" i="12"/>
  <c r="V41" i="9"/>
  <c r="F21" i="12"/>
  <c r="E21" i="12"/>
  <c r="E18" i="12"/>
  <c r="F18" i="12"/>
  <c r="V38" i="9"/>
  <c r="V43" i="9"/>
  <c r="F23" i="12"/>
  <c r="E23" i="12"/>
  <c r="V56" i="9"/>
  <c r="F36" i="12"/>
  <c r="E36" i="12"/>
  <c r="V35" i="9"/>
  <c r="F15" i="12"/>
  <c r="E15" i="12"/>
  <c r="F39" i="12"/>
  <c r="E39" i="12"/>
  <c r="V59" i="9"/>
  <c r="E11" i="12"/>
  <c r="F11" i="12"/>
  <c r="V31" i="9"/>
  <c r="F47" i="12"/>
  <c r="V67" i="9"/>
  <c r="E47" i="12"/>
  <c r="F25" i="12"/>
  <c r="E25" i="12"/>
  <c r="V45" i="9"/>
  <c r="E22" i="12"/>
  <c r="F22" i="12"/>
  <c r="V42" i="9"/>
  <c r="V46" i="9"/>
  <c r="F26" i="12"/>
  <c r="E26" i="12"/>
  <c r="V28" i="9"/>
  <c r="E8" i="12"/>
  <c r="F8" i="12"/>
  <c r="F28" i="12"/>
  <c r="E28" i="12"/>
  <c r="V48" i="9"/>
  <c r="V36" i="9"/>
  <c r="E16" i="12"/>
  <c r="F16" i="12"/>
  <c r="E33" i="12"/>
  <c r="V53" i="9"/>
  <c r="F33" i="12"/>
  <c r="E29" i="12"/>
  <c r="F29" i="12"/>
  <c r="V49" i="9"/>
  <c r="F38" i="12"/>
  <c r="E38" i="12"/>
  <c r="V58" i="9"/>
  <c r="V62" i="9"/>
  <c r="F42" i="12"/>
  <c r="E42" i="12"/>
  <c r="V39" i="9"/>
  <c r="E19" i="12"/>
  <c r="F19" i="12"/>
  <c r="F12" i="12"/>
  <c r="E12" i="12"/>
  <c r="V32" i="9"/>
  <c r="E31" i="12"/>
  <c r="F31" i="12"/>
  <c r="V51" i="9"/>
  <c r="F20" i="12"/>
  <c r="E20" i="12"/>
  <c r="V40" i="9"/>
  <c r="F17" i="12"/>
  <c r="E17" i="12"/>
  <c r="V37" i="9"/>
  <c r="F32" i="12"/>
  <c r="V52" i="9"/>
  <c r="E32" i="12"/>
  <c r="V50" i="9"/>
  <c r="F30" i="12"/>
  <c r="E30" i="12"/>
  <c r="V44" i="9"/>
  <c r="F24" i="12"/>
  <c r="E24" i="12"/>
  <c r="V66" i="9"/>
  <c r="E46" i="12"/>
  <c r="F46" i="12"/>
  <c r="V65" i="9"/>
  <c r="E45" i="12"/>
  <c r="F45" i="12"/>
  <c r="E44" i="12"/>
  <c r="V64" i="9"/>
  <c r="F44" i="12"/>
  <c r="F43" i="12"/>
  <c r="V63" i="9"/>
  <c r="E43" i="12"/>
  <c r="E14" i="12"/>
  <c r="F14" i="12"/>
  <c r="V34" i="9"/>
  <c r="E9" i="12"/>
  <c r="F9" i="12"/>
  <c r="V29" i="9"/>
  <c r="F35" i="12"/>
  <c r="E35" i="12"/>
  <c r="V55" i="9"/>
  <c r="F41" i="12"/>
  <c r="E41" i="12"/>
  <c r="V61" i="9"/>
  <c r="E37" i="12"/>
  <c r="F37" i="12"/>
  <c r="V57" i="9"/>
  <c r="F13" i="12"/>
  <c r="E13" i="12"/>
  <c r="V33" i="9"/>
  <c r="V54" i="9"/>
  <c r="F34" i="12"/>
  <c r="E34" i="12"/>
  <c r="V30" i="9"/>
  <c r="E10" i="12"/>
  <c r="F10" i="12"/>
  <c r="X35" i="12"/>
  <c r="W35" i="12"/>
  <c r="AC46" i="8" s="1"/>
  <c r="AB46" i="8"/>
  <c r="X18" i="12"/>
  <c r="AB29" i="8"/>
  <c r="W18" i="12"/>
  <c r="AC29" i="8" s="1"/>
  <c r="AB40" i="8"/>
  <c r="W29" i="12"/>
  <c r="AC40" i="8" s="1"/>
  <c r="X29" i="12"/>
  <c r="X37" i="12"/>
  <c r="W37" i="12"/>
  <c r="AC48" i="8" s="1"/>
  <c r="AB48" i="8"/>
  <c r="X46" i="12"/>
  <c r="AB57" i="8"/>
  <c r="W46" i="12"/>
  <c r="AC57" i="8" s="1"/>
  <c r="W11" i="12"/>
  <c r="AC22" i="8" s="1"/>
  <c r="X11" i="12"/>
  <c r="AB22" i="8"/>
  <c r="X41" i="12"/>
  <c r="AB52" i="8"/>
  <c r="W41" i="12"/>
  <c r="AC52" i="8" s="1"/>
  <c r="X24" i="12"/>
  <c r="W24" i="12"/>
  <c r="AC35" i="8" s="1"/>
  <c r="AB35" i="8"/>
  <c r="X9" i="12"/>
  <c r="AB20" i="8"/>
  <c r="W9" i="12"/>
  <c r="AC20" i="8" s="1"/>
  <c r="X14" i="12"/>
  <c r="AB25" i="8"/>
  <c r="W14" i="12"/>
  <c r="AC25" i="8" s="1"/>
  <c r="W31" i="12"/>
  <c r="X31" i="12"/>
  <c r="AB42" i="8"/>
  <c r="AB41" i="8"/>
  <c r="W30" i="12"/>
  <c r="AC41" i="8" s="1"/>
  <c r="X30" i="12"/>
  <c r="X45" i="12"/>
  <c r="W45" i="12"/>
  <c r="AC56" i="8" s="1"/>
  <c r="AB56" i="8"/>
  <c r="AB44" i="8"/>
  <c r="W33" i="12"/>
  <c r="AC44" i="8" s="1"/>
  <c r="X33" i="12"/>
  <c r="W23" i="12"/>
  <c r="AC34" i="8" s="1"/>
  <c r="X23" i="12"/>
  <c r="AB34" i="8"/>
  <c r="X17" i="12"/>
  <c r="W17" i="12"/>
  <c r="AC28" i="8" s="1"/>
  <c r="AB28" i="8"/>
  <c r="W27" i="12"/>
  <c r="AC38" i="8" s="1"/>
  <c r="X27" i="12"/>
  <c r="AB38" i="8"/>
  <c r="X22" i="12"/>
  <c r="AB33" i="8"/>
  <c r="W22" i="12"/>
  <c r="AC33" i="8" s="1"/>
  <c r="W13" i="12"/>
  <c r="AC24" i="8" s="1"/>
  <c r="AB24" i="8"/>
  <c r="X13" i="12"/>
  <c r="W10" i="12"/>
  <c r="AC21" i="8" s="1"/>
  <c r="X10" i="12"/>
  <c r="AB21" i="8"/>
  <c r="W26" i="12"/>
  <c r="AC37" i="8" s="1"/>
  <c r="AB37" i="8"/>
  <c r="X26" i="12"/>
  <c r="AB54" i="8"/>
  <c r="X43" i="12"/>
  <c r="W43" i="12"/>
  <c r="W25" i="12"/>
  <c r="AC36" i="8" s="1"/>
  <c r="X25" i="12"/>
  <c r="AB36" i="8"/>
  <c r="W12" i="12"/>
  <c r="AC23" i="8" s="1"/>
  <c r="AB23" i="8"/>
  <c r="X12" i="12"/>
  <c r="AB27" i="8"/>
  <c r="W16" i="12"/>
  <c r="AC27" i="8" s="1"/>
  <c r="X16" i="12"/>
  <c r="X40" i="12"/>
  <c r="AB51" i="8"/>
  <c r="W40" i="12"/>
  <c r="AC51" i="8" s="1"/>
  <c r="X19" i="12"/>
  <c r="AB30" i="8"/>
  <c r="W19" i="12"/>
  <c r="AB58" i="8"/>
  <c r="W47" i="12"/>
  <c r="AC58" i="8" s="1"/>
  <c r="X47" i="12"/>
  <c r="AB39" i="8"/>
  <c r="W28" i="12"/>
  <c r="AC39" i="8" s="1"/>
  <c r="X28" i="12"/>
  <c r="W48" i="12"/>
  <c r="AB59" i="8"/>
  <c r="X48" i="12"/>
  <c r="AB43" i="8"/>
  <c r="X32" i="12"/>
  <c r="W32" i="12"/>
  <c r="AC43" i="8" s="1"/>
  <c r="X49" i="12"/>
  <c r="W49" i="12"/>
  <c r="AB60" i="8"/>
  <c r="X44" i="12"/>
  <c r="W44" i="12"/>
  <c r="AC55" i="8" s="1"/>
  <c r="AB55" i="8"/>
  <c r="AB26" i="8"/>
  <c r="W15" i="12"/>
  <c r="AC26" i="8" s="1"/>
  <c r="X15" i="12"/>
  <c r="X34" i="12"/>
  <c r="W34" i="12"/>
  <c r="AC45" i="8" s="1"/>
  <c r="AB45" i="8"/>
  <c r="AB19" i="8"/>
  <c r="W8" i="12"/>
  <c r="X8" i="12"/>
  <c r="AB32" i="8"/>
  <c r="W21" i="12"/>
  <c r="AC32" i="8" s="1"/>
  <c r="X21" i="12"/>
  <c r="X38" i="12"/>
  <c r="W38" i="12"/>
  <c r="AC49" i="8" s="1"/>
  <c r="AB49" i="8"/>
  <c r="W20" i="12"/>
  <c r="AC31" i="8" s="1"/>
  <c r="X20" i="12"/>
  <c r="AB31" i="8"/>
  <c r="W42" i="12"/>
  <c r="AC53" i="8" s="1"/>
  <c r="AB53" i="8"/>
  <c r="X42" i="12"/>
  <c r="W39" i="12"/>
  <c r="AC50" i="8" s="1"/>
  <c r="AB50" i="8"/>
  <c r="X39" i="12"/>
  <c r="AB47" i="8"/>
  <c r="W36" i="12"/>
  <c r="AC47" i="8" s="1"/>
  <c r="X36" i="12"/>
  <c r="N49" i="12"/>
  <c r="W60" i="8"/>
  <c r="O49" i="12"/>
  <c r="W52" i="8"/>
  <c r="O41" i="12"/>
  <c r="N41" i="12"/>
  <c r="X52" i="8" s="1"/>
  <c r="O28" i="12"/>
  <c r="W39" i="8"/>
  <c r="N28" i="12"/>
  <c r="X39" i="8" s="1"/>
  <c r="N12" i="12"/>
  <c r="X23" i="8" s="1"/>
  <c r="W23" i="8"/>
  <c r="O12" i="12"/>
  <c r="O14" i="12"/>
  <c r="W25" i="8"/>
  <c r="N14" i="12"/>
  <c r="X25" i="8" s="1"/>
  <c r="N17" i="12"/>
  <c r="X28" i="8" s="1"/>
  <c r="O17" i="12"/>
  <c r="W28" i="8"/>
  <c r="W50" i="8"/>
  <c r="N39" i="12"/>
  <c r="X50" i="8" s="1"/>
  <c r="O39" i="12"/>
  <c r="N16" i="12"/>
  <c r="X27" i="8" s="1"/>
  <c r="W27" i="8"/>
  <c r="O16" i="12"/>
  <c r="W58" i="8"/>
  <c r="N47" i="12"/>
  <c r="X58" i="8" s="1"/>
  <c r="O47" i="12"/>
  <c r="W29" i="8"/>
  <c r="N18" i="12"/>
  <c r="X29" i="8" s="1"/>
  <c r="O18" i="12"/>
  <c r="N29" i="12"/>
  <c r="X40" i="8" s="1"/>
  <c r="O29" i="12"/>
  <c r="W40" i="8"/>
  <c r="N43" i="12"/>
  <c r="O43" i="12"/>
  <c r="W54" i="8"/>
  <c r="N42" i="12"/>
  <c r="X53" i="8" s="1"/>
  <c r="W53" i="8"/>
  <c r="O42" i="12"/>
  <c r="O20" i="12"/>
  <c r="W31" i="8"/>
  <c r="N20" i="12"/>
  <c r="X31" i="8" s="1"/>
  <c r="W22" i="8"/>
  <c r="N11" i="12"/>
  <c r="X22" i="8" s="1"/>
  <c r="O11" i="12"/>
  <c r="N31" i="12"/>
  <c r="O31" i="12"/>
  <c r="W42" i="8"/>
  <c r="O19" i="12"/>
  <c r="W30" i="8"/>
  <c r="N19" i="12"/>
  <c r="N22" i="12"/>
  <c r="X33" i="8" s="1"/>
  <c r="W33" i="8"/>
  <c r="O22" i="12"/>
  <c r="O35" i="12"/>
  <c r="N35" i="12"/>
  <c r="X46" i="8" s="1"/>
  <c r="W46" i="8"/>
  <c r="N8" i="12"/>
  <c r="W19" i="8"/>
  <c r="O8" i="12"/>
  <c r="W56" i="8"/>
  <c r="O45" i="12"/>
  <c r="N45" i="12"/>
  <c r="X56" i="8" s="1"/>
  <c r="W55" i="8"/>
  <c r="N44" i="12"/>
  <c r="X55" i="8" s="1"/>
  <c r="O44" i="12"/>
  <c r="W44" i="8"/>
  <c r="O33" i="12"/>
  <c r="N33" i="12"/>
  <c r="X44" i="8" s="1"/>
  <c r="O40" i="12"/>
  <c r="W51" i="8"/>
  <c r="N40" i="12"/>
  <c r="X51" i="8" s="1"/>
  <c r="W32" i="8"/>
  <c r="O21" i="12"/>
  <c r="N21" i="12"/>
  <c r="X32" i="8" s="1"/>
  <c r="N27" i="12"/>
  <c r="X38" i="8" s="1"/>
  <c r="W38" i="8"/>
  <c r="O27" i="12"/>
  <c r="O15" i="12"/>
  <c r="W26" i="8"/>
  <c r="N15" i="12"/>
  <c r="X26" i="8" s="1"/>
  <c r="N9" i="12"/>
  <c r="X20" i="8" s="1"/>
  <c r="O9" i="12"/>
  <c r="W20" i="8"/>
  <c r="O34" i="12"/>
  <c r="W45" i="8"/>
  <c r="N34" i="12"/>
  <c r="X45" i="8" s="1"/>
  <c r="N38" i="12"/>
  <c r="X49" i="8" s="1"/>
  <c r="W49" i="8"/>
  <c r="O38" i="12"/>
  <c r="N26" i="12"/>
  <c r="X37" i="8" s="1"/>
  <c r="O26" i="12"/>
  <c r="W37" i="8"/>
  <c r="O37" i="12"/>
  <c r="N37" i="12"/>
  <c r="X48" i="8" s="1"/>
  <c r="W48" i="8"/>
  <c r="W36" i="8"/>
  <c r="O25" i="12"/>
  <c r="N25" i="12"/>
  <c r="X36" i="8" s="1"/>
  <c r="N13" i="12"/>
  <c r="X24" i="8" s="1"/>
  <c r="O13" i="12"/>
  <c r="W24" i="8"/>
  <c r="W43" i="8"/>
  <c r="N32" i="12"/>
  <c r="X43" i="8" s="1"/>
  <c r="O32" i="12"/>
  <c r="O36" i="12"/>
  <c r="W47" i="8"/>
  <c r="N36" i="12"/>
  <c r="X47" i="8" s="1"/>
  <c r="O30" i="12"/>
  <c r="W41" i="8"/>
  <c r="N30" i="12"/>
  <c r="X41" i="8" s="1"/>
  <c r="O48" i="12"/>
  <c r="W59" i="8"/>
  <c r="N48" i="12"/>
  <c r="N24" i="12"/>
  <c r="X35" i="8" s="1"/>
  <c r="O24" i="12"/>
  <c r="W35" i="8"/>
  <c r="W57" i="8"/>
  <c r="N46" i="12"/>
  <c r="X57" i="8" s="1"/>
  <c r="O46" i="12"/>
  <c r="O23" i="12"/>
  <c r="W34" i="8"/>
  <c r="N23" i="12"/>
  <c r="X34" i="8" s="1"/>
  <c r="O10" i="12"/>
  <c r="N10" i="12"/>
  <c r="X21" i="8" s="1"/>
  <c r="W21" i="8"/>
  <c r="M53" i="12" l="1"/>
  <c r="X19" i="8"/>
  <c r="M57" i="12"/>
  <c r="X59" i="8"/>
  <c r="V53" i="12"/>
  <c r="AC19" i="8"/>
  <c r="M55" i="12"/>
  <c r="X42" i="8"/>
  <c r="V56" i="12"/>
  <c r="AC54" i="8"/>
  <c r="M54" i="12"/>
  <c r="X30" i="8"/>
  <c r="V54" i="12"/>
  <c r="AC30" i="8"/>
  <c r="V57" i="12"/>
  <c r="AC59" i="8"/>
  <c r="M56" i="12"/>
  <c r="X54" i="8"/>
  <c r="M58" i="12"/>
  <c r="X60" i="8"/>
  <c r="V58" i="12"/>
  <c r="AC60" i="8"/>
  <c r="V55" i="12"/>
  <c r="AC42" i="8"/>
  <c r="D54" i="12"/>
  <c r="D58" i="12"/>
  <c r="D56" i="12"/>
  <c r="D57" i="12"/>
  <c r="D55" i="12"/>
  <c r="D53" i="12"/>
  <c r="AC34" i="12"/>
  <c r="P19" i="12"/>
  <c r="O54" i="12" s="1"/>
  <c r="Q19" i="12"/>
  <c r="Q17" i="12"/>
  <c r="P17" i="12"/>
  <c r="AC28" i="12"/>
  <c r="Q46" i="12"/>
  <c r="P46" i="12"/>
  <c r="Q48" i="12"/>
  <c r="P48" i="12"/>
  <c r="O57" i="12" s="1"/>
  <c r="AC38" i="12"/>
  <c r="AC35" i="12"/>
  <c r="P20" i="12"/>
  <c r="Q20" i="12"/>
  <c r="P29" i="12"/>
  <c r="Q29" i="12"/>
  <c r="P16" i="12"/>
  <c r="Q16" i="12"/>
  <c r="AC17" i="12"/>
  <c r="Y36" i="12"/>
  <c r="Z36" i="12"/>
  <c r="Z15" i="12"/>
  <c r="Y15" i="12"/>
  <c r="Y49" i="12"/>
  <c r="X58" i="12" s="1"/>
  <c r="Z49" i="12"/>
  <c r="AC40" i="12"/>
  <c r="Z17" i="12"/>
  <c r="Y17" i="12"/>
  <c r="AC45" i="12"/>
  <c r="Y24" i="12"/>
  <c r="Z24" i="12"/>
  <c r="AC18" i="12"/>
  <c r="G37" i="12"/>
  <c r="H37" i="12"/>
  <c r="W57" i="9" s="1"/>
  <c r="G43" i="12"/>
  <c r="F56" i="12" s="1"/>
  <c r="H43" i="12"/>
  <c r="W63" i="9" s="1"/>
  <c r="G20" i="12"/>
  <c r="H20" i="12"/>
  <c r="W40" i="9" s="1"/>
  <c r="G26" i="12"/>
  <c r="H26" i="12"/>
  <c r="W46" i="9" s="1"/>
  <c r="G39" i="12"/>
  <c r="H39" i="12"/>
  <c r="W59" i="9" s="1"/>
  <c r="H23" i="12"/>
  <c r="W43" i="9" s="1"/>
  <c r="G23" i="12"/>
  <c r="AC36" i="12"/>
  <c r="AC48" i="12"/>
  <c r="Q36" i="12"/>
  <c r="P36" i="12"/>
  <c r="Q25" i="12"/>
  <c r="P25" i="12"/>
  <c r="P38" i="12"/>
  <c r="Q38" i="12"/>
  <c r="P21" i="12"/>
  <c r="Q21" i="12"/>
  <c r="AC8" i="12"/>
  <c r="AC12" i="12"/>
  <c r="Y38" i="12"/>
  <c r="Z38" i="12"/>
  <c r="AC14" i="12"/>
  <c r="Q28" i="12"/>
  <c r="P28" i="12"/>
  <c r="AC15" i="12"/>
  <c r="AC32" i="12"/>
  <c r="AC26" i="12"/>
  <c r="Z45" i="12"/>
  <c r="Y45" i="12"/>
  <c r="AC41" i="12"/>
  <c r="Y46" i="12"/>
  <c r="Z46" i="12"/>
  <c r="H9" i="12"/>
  <c r="W29" i="9" s="1"/>
  <c r="G9" i="12"/>
  <c r="G44" i="12"/>
  <c r="H44" i="12"/>
  <c r="W64" i="9" s="1"/>
  <c r="G29" i="12"/>
  <c r="H29" i="12"/>
  <c r="W49" i="9" s="1"/>
  <c r="H27" i="12"/>
  <c r="W47" i="9" s="1"/>
  <c r="G27" i="12"/>
  <c r="G40" i="12"/>
  <c r="H40" i="12"/>
  <c r="W60" i="9" s="1"/>
  <c r="Q23" i="12"/>
  <c r="P23" i="12"/>
  <c r="P32" i="12"/>
  <c r="Q32" i="12"/>
  <c r="AC30" i="12"/>
  <c r="Q31" i="12"/>
  <c r="P31" i="12"/>
  <c r="O55" i="12" s="1"/>
  <c r="Q37" i="12"/>
  <c r="P37" i="12"/>
  <c r="AC31" i="12"/>
  <c r="Z20" i="12"/>
  <c r="Y20" i="12"/>
  <c r="Y8" i="12"/>
  <c r="X53" i="12" s="1"/>
  <c r="Z8" i="12"/>
  <c r="Y32" i="12"/>
  <c r="Z32" i="12"/>
  <c r="Z47" i="12"/>
  <c r="Y47" i="12"/>
  <c r="Z40" i="12"/>
  <c r="Y40" i="12"/>
  <c r="Z25" i="12"/>
  <c r="Y25" i="12"/>
  <c r="Y22" i="12"/>
  <c r="Z22" i="12"/>
  <c r="Y23" i="12"/>
  <c r="Z23" i="12"/>
  <c r="Y30" i="12"/>
  <c r="Z30" i="12"/>
  <c r="Y14" i="12"/>
  <c r="Z14" i="12"/>
  <c r="Y18" i="12"/>
  <c r="Z18" i="12"/>
  <c r="G34" i="12"/>
  <c r="H34" i="12"/>
  <c r="W54" i="9" s="1"/>
  <c r="H32" i="12"/>
  <c r="W52" i="9" s="1"/>
  <c r="G32" i="12"/>
  <c r="G31" i="12"/>
  <c r="F55" i="12" s="1"/>
  <c r="H31" i="12"/>
  <c r="W51" i="9" s="1"/>
  <c r="G47" i="12"/>
  <c r="H47" i="12"/>
  <c r="W67" i="9" s="1"/>
  <c r="H15" i="12"/>
  <c r="W35" i="9" s="1"/>
  <c r="G15" i="12"/>
  <c r="P15" i="12"/>
  <c r="Q15" i="12"/>
  <c r="Q35" i="12"/>
  <c r="P35" i="12"/>
  <c r="Q42" i="12"/>
  <c r="P42" i="12"/>
  <c r="Q27" i="12"/>
  <c r="P27" i="12"/>
  <c r="P40" i="12"/>
  <c r="Q40" i="12"/>
  <c r="P45" i="12"/>
  <c r="Q45" i="12"/>
  <c r="Q22" i="12"/>
  <c r="P22" i="12"/>
  <c r="Q18" i="12"/>
  <c r="P18" i="12"/>
  <c r="Q30" i="12"/>
  <c r="P30" i="12"/>
  <c r="P13" i="12"/>
  <c r="Q13" i="12"/>
  <c r="P34" i="12"/>
  <c r="Q34" i="12"/>
  <c r="P11" i="12"/>
  <c r="Q11" i="12"/>
  <c r="AC42" i="12"/>
  <c r="P39" i="12"/>
  <c r="Q39" i="12"/>
  <c r="P14" i="12"/>
  <c r="Q14" i="12"/>
  <c r="P41" i="12"/>
  <c r="Q41" i="12"/>
  <c r="Z39" i="12"/>
  <c r="Y39" i="12"/>
  <c r="AC20" i="12"/>
  <c r="AC47" i="12"/>
  <c r="Y16" i="12"/>
  <c r="Z16" i="12"/>
  <c r="AC25" i="12"/>
  <c r="Y10" i="12"/>
  <c r="Z10" i="12"/>
  <c r="AC23" i="12"/>
  <c r="AC9" i="12"/>
  <c r="Y41" i="12"/>
  <c r="Z41" i="12"/>
  <c r="AC37" i="12"/>
  <c r="G24" i="12"/>
  <c r="H24" i="12"/>
  <c r="W44" i="9" s="1"/>
  <c r="H42" i="12"/>
  <c r="W62" i="9" s="1"/>
  <c r="G42" i="12"/>
  <c r="H33" i="12"/>
  <c r="W53" i="9" s="1"/>
  <c r="G33" i="12"/>
  <c r="H28" i="12"/>
  <c r="W48" i="9" s="1"/>
  <c r="G28" i="12"/>
  <c r="H22" i="12"/>
  <c r="W42" i="9" s="1"/>
  <c r="G22" i="12"/>
  <c r="G18" i="12"/>
  <c r="H18" i="12"/>
  <c r="W38" i="9" s="1"/>
  <c r="G49" i="12"/>
  <c r="F58" i="12" s="1"/>
  <c r="H49" i="12"/>
  <c r="W69" i="9" s="1"/>
  <c r="P10" i="12"/>
  <c r="Q10" i="12"/>
  <c r="P26" i="12"/>
  <c r="Q26" i="12"/>
  <c r="Q33" i="12"/>
  <c r="P33" i="12"/>
  <c r="Q8" i="12"/>
  <c r="P8" i="12"/>
  <c r="O53" i="12" s="1"/>
  <c r="AC22" i="12"/>
  <c r="AC11" i="12"/>
  <c r="Q12" i="12"/>
  <c r="P12" i="12"/>
  <c r="AC44" i="12"/>
  <c r="Z48" i="12"/>
  <c r="Y48" i="12"/>
  <c r="X57" i="12" s="1"/>
  <c r="AC16" i="12"/>
  <c r="AC43" i="12"/>
  <c r="AC10" i="12"/>
  <c r="Z27" i="12"/>
  <c r="Y27" i="12"/>
  <c r="Y33" i="12"/>
  <c r="Z33" i="12"/>
  <c r="Y37" i="12"/>
  <c r="Z37" i="12"/>
  <c r="H41" i="12"/>
  <c r="W61" i="9" s="1"/>
  <c r="G41" i="12"/>
  <c r="G14" i="12"/>
  <c r="H14" i="12"/>
  <c r="W34" i="9" s="1"/>
  <c r="G45" i="12"/>
  <c r="H45" i="12"/>
  <c r="W65" i="9" s="1"/>
  <c r="G8" i="12"/>
  <c r="F53" i="12" s="1"/>
  <c r="H8" i="12"/>
  <c r="W28" i="9" s="1"/>
  <c r="G11" i="12"/>
  <c r="H11" i="12"/>
  <c r="W31" i="9" s="1"/>
  <c r="P24" i="12"/>
  <c r="Q24" i="12"/>
  <c r="Q9" i="12"/>
  <c r="P9" i="12"/>
  <c r="AC21" i="12"/>
  <c r="AC19" i="12"/>
  <c r="P43" i="12"/>
  <c r="O56" i="12" s="1"/>
  <c r="Q43" i="12"/>
  <c r="Q47" i="12"/>
  <c r="P47" i="12"/>
  <c r="Q49" i="12"/>
  <c r="P49" i="12"/>
  <c r="O58" i="12" s="1"/>
  <c r="AC39" i="12"/>
  <c r="Z44" i="12"/>
  <c r="Y44" i="12"/>
  <c r="Z43" i="12"/>
  <c r="Y43" i="12"/>
  <c r="X56" i="12" s="1"/>
  <c r="Z13" i="12"/>
  <c r="Y13" i="12"/>
  <c r="AC27" i="12"/>
  <c r="AC33" i="12"/>
  <c r="Y9" i="12"/>
  <c r="Z9" i="12"/>
  <c r="Z11" i="12"/>
  <c r="Y11" i="12"/>
  <c r="Z29" i="12"/>
  <c r="Y29" i="12"/>
  <c r="Y35" i="12"/>
  <c r="Z35" i="12"/>
  <c r="G17" i="12"/>
  <c r="H17" i="12"/>
  <c r="W37" i="9" s="1"/>
  <c r="G36" i="12"/>
  <c r="H36" i="12"/>
  <c r="W56" i="9" s="1"/>
  <c r="Z12" i="12"/>
  <c r="Y12" i="12"/>
  <c r="Z31" i="12"/>
  <c r="Y31" i="12"/>
  <c r="X55" i="12" s="1"/>
  <c r="AC29" i="12"/>
  <c r="G10" i="12"/>
  <c r="H10" i="12"/>
  <c r="W30" i="9" s="1"/>
  <c r="H13" i="12"/>
  <c r="W33" i="9" s="1"/>
  <c r="G13" i="12"/>
  <c r="G30" i="12"/>
  <c r="H30" i="12"/>
  <c r="W50" i="9" s="1"/>
  <c r="G12" i="12"/>
  <c r="H12" i="12"/>
  <c r="W32" i="9" s="1"/>
  <c r="H16" i="12"/>
  <c r="W36" i="9" s="1"/>
  <c r="G16" i="12"/>
  <c r="H21" i="12"/>
  <c r="W41" i="9" s="1"/>
  <c r="G21" i="12"/>
  <c r="H48" i="12"/>
  <c r="W68" i="9" s="1"/>
  <c r="G48" i="12"/>
  <c r="F57" i="12" s="1"/>
  <c r="P44" i="12"/>
  <c r="Q44" i="12"/>
  <c r="Z42" i="12"/>
  <c r="Y42" i="12"/>
  <c r="AC49" i="12"/>
  <c r="Z21" i="12"/>
  <c r="Y21" i="12"/>
  <c r="Z34" i="12"/>
  <c r="Y34" i="12"/>
  <c r="Z28" i="12"/>
  <c r="Y28" i="12"/>
  <c r="Y19" i="12"/>
  <c r="X54" i="12" s="1"/>
  <c r="Z19" i="12"/>
  <c r="Y26" i="12"/>
  <c r="Z26" i="12"/>
  <c r="AC13" i="12"/>
  <c r="AC24" i="12"/>
  <c r="AC46" i="12"/>
  <c r="G35" i="12"/>
  <c r="H35" i="12"/>
  <c r="W55" i="9" s="1"/>
  <c r="G46" i="12"/>
  <c r="H46" i="12"/>
  <c r="W66" i="9" s="1"/>
  <c r="H19" i="12"/>
  <c r="W39" i="9" s="1"/>
  <c r="G19" i="12"/>
  <c r="F54" i="12" s="1"/>
  <c r="H38" i="12"/>
  <c r="W58" i="9" s="1"/>
  <c r="G38" i="12"/>
  <c r="G25" i="12"/>
  <c r="H25" i="12"/>
  <c r="W45" i="9" s="1"/>
  <c r="R30" i="12" l="1"/>
  <c r="R44" i="12"/>
  <c r="I46" i="12"/>
  <c r="AA47" i="12"/>
  <c r="R47" i="12"/>
  <c r="AA25" i="12"/>
  <c r="AA12" i="12"/>
  <c r="AA34" i="12"/>
  <c r="I40" i="12"/>
  <c r="AA11" i="12"/>
  <c r="R24" i="12"/>
  <c r="AA33" i="12"/>
  <c r="R15" i="12"/>
  <c r="AA46" i="12"/>
  <c r="AA23" i="12"/>
  <c r="R38" i="12"/>
  <c r="R35" i="12"/>
  <c r="R39" i="12"/>
  <c r="AA37" i="12"/>
  <c r="AA39" i="12"/>
  <c r="R26" i="12"/>
  <c r="R21" i="12"/>
  <c r="AA26" i="12"/>
  <c r="AA16" i="12"/>
  <c r="R40" i="12"/>
  <c r="R46" i="12"/>
  <c r="AA9" i="12"/>
  <c r="AA42" i="12"/>
  <c r="R32" i="12"/>
  <c r="R25" i="12"/>
  <c r="I16" i="12"/>
  <c r="I13" i="12"/>
  <c r="I29" i="12"/>
  <c r="I11" i="12"/>
  <c r="I44" i="12"/>
  <c r="I33" i="12"/>
  <c r="I27" i="12"/>
  <c r="I38" i="12"/>
  <c r="I41" i="12"/>
  <c r="I45" i="12"/>
  <c r="I32" i="12"/>
  <c r="I30" i="12"/>
  <c r="I25" i="12"/>
  <c r="I35" i="12"/>
  <c r="I21" i="12"/>
  <c r="I24" i="12"/>
  <c r="R8" i="12"/>
  <c r="R43" i="12"/>
  <c r="R42" i="12"/>
  <c r="I19" i="12"/>
  <c r="AA22" i="12"/>
  <c r="AA21" i="12"/>
  <c r="AA35" i="12"/>
  <c r="R10" i="12"/>
  <c r="R9" i="12"/>
  <c r="I49" i="12"/>
  <c r="AA10" i="12"/>
  <c r="R14" i="12"/>
  <c r="R34" i="12"/>
  <c r="I47" i="12"/>
  <c r="AA18" i="12"/>
  <c r="AA32" i="12"/>
  <c r="AA45" i="12"/>
  <c r="R28" i="12"/>
  <c r="I23" i="12"/>
  <c r="R18" i="12"/>
  <c r="R17" i="12"/>
  <c r="R23" i="12"/>
  <c r="R22" i="12"/>
  <c r="AA19" i="12"/>
  <c r="AA30" i="12"/>
  <c r="AA29" i="12"/>
  <c r="AA44" i="12"/>
  <c r="I8" i="12"/>
  <c r="R12" i="12"/>
  <c r="R33" i="12"/>
  <c r="I43" i="12"/>
  <c r="I42" i="12"/>
  <c r="R37" i="12"/>
  <c r="R36" i="12"/>
  <c r="I20" i="12"/>
  <c r="AA24" i="12"/>
  <c r="AA49" i="12"/>
  <c r="R16" i="12"/>
  <c r="I12" i="12"/>
  <c r="I36" i="12"/>
  <c r="I18" i="12"/>
  <c r="AA41" i="12"/>
  <c r="R13" i="12"/>
  <c r="R45" i="12"/>
  <c r="E56" i="12"/>
  <c r="I31" i="12"/>
  <c r="AA14" i="12"/>
  <c r="AA8" i="12"/>
  <c r="R31" i="12"/>
  <c r="I10" i="12"/>
  <c r="I9" i="12"/>
  <c r="AA15" i="12"/>
  <c r="R48" i="12"/>
  <c r="I48" i="12"/>
  <c r="AA13" i="12"/>
  <c r="I22" i="12"/>
  <c r="AA40" i="12"/>
  <c r="AA20" i="12"/>
  <c r="I39" i="12"/>
  <c r="F83" i="12"/>
  <c r="R29" i="12"/>
  <c r="R19" i="12"/>
  <c r="AA17" i="12"/>
  <c r="AA31" i="12"/>
  <c r="AA43" i="12"/>
  <c r="R49" i="12"/>
  <c r="I14" i="12"/>
  <c r="AA48" i="12"/>
  <c r="I28" i="12"/>
  <c r="R27" i="12"/>
  <c r="I15" i="12"/>
  <c r="AA38" i="12"/>
  <c r="I26" i="12"/>
  <c r="I37" i="12"/>
  <c r="AA36" i="12"/>
  <c r="R20" i="12"/>
  <c r="AA28" i="12"/>
  <c r="AA27" i="12"/>
  <c r="I17" i="12"/>
  <c r="R41" i="12"/>
  <c r="R11" i="12"/>
  <c r="I34" i="12"/>
  <c r="N54" i="12" l="1"/>
  <c r="W55" i="12"/>
  <c r="N55" i="12"/>
  <c r="W56" i="12"/>
  <c r="J67" i="9"/>
  <c r="F84" i="12"/>
  <c r="K68" i="9"/>
  <c r="K67" i="9"/>
  <c r="E57" i="12"/>
  <c r="K66" i="9"/>
  <c r="N58" i="12"/>
  <c r="N57" i="12"/>
  <c r="N56" i="12"/>
  <c r="W57" i="12"/>
  <c r="F82" i="12"/>
  <c r="I66" i="9"/>
  <c r="E55" i="12"/>
  <c r="L67" i="9"/>
  <c r="F85" i="12"/>
  <c r="L66" i="9"/>
  <c r="L69" i="9"/>
  <c r="L68" i="9"/>
  <c r="E58" i="12"/>
  <c r="F81" i="12"/>
  <c r="E54" i="12"/>
  <c r="W54" i="12"/>
  <c r="J66" i="9"/>
  <c r="W58" i="12"/>
  <c r="F106" i="12"/>
  <c r="E102" i="12"/>
  <c r="F100" i="12"/>
  <c r="E95" i="12"/>
  <c r="E98" i="12"/>
  <c r="E103" i="12"/>
  <c r="E105" i="12"/>
  <c r="F98" i="12"/>
  <c r="E97" i="12"/>
  <c r="F97" i="12"/>
  <c r="F104" i="12"/>
  <c r="E100" i="12"/>
  <c r="F105" i="12"/>
  <c r="F95" i="12"/>
  <c r="E104" i="12"/>
  <c r="E106" i="12"/>
  <c r="F101" i="12"/>
  <c r="F96" i="12"/>
  <c r="F103" i="12"/>
  <c r="E101" i="12"/>
  <c r="E99" i="12"/>
  <c r="E96" i="12"/>
  <c r="F99" i="12"/>
  <c r="F102" i="12"/>
  <c r="G97" i="12" l="1"/>
  <c r="G96" i="12"/>
  <c r="G104" i="12"/>
  <c r="G103" i="12"/>
  <c r="G102" i="12"/>
  <c r="G101" i="12"/>
  <c r="G98" i="12"/>
  <c r="G106" i="12"/>
  <c r="G100" i="12"/>
  <c r="G105" i="12"/>
  <c r="G99" i="12"/>
  <c r="G95"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Levy Oliveira</author>
    <author>loliveira81</author>
  </authors>
  <commentList>
    <comment ref="G7" authorId="0" shapeId="0" xr:uid="{9F688329-F206-4C17-8E7D-40F086E91BA3}">
      <text>
        <r>
          <rPr>
            <b/>
            <i/>
            <sz val="9"/>
            <color indexed="81"/>
            <rFont val="Tahoma"/>
            <family val="2"/>
          </rPr>
          <t>Select the Curve A.</t>
        </r>
      </text>
    </comment>
    <comment ref="B9" authorId="1" shapeId="0" xr:uid="{027946A9-5815-4ECE-B3E5-BC201063EF93}">
      <text>
        <r>
          <rPr>
            <i/>
            <sz val="10"/>
            <color indexed="81"/>
            <rFont val="Calibri"/>
            <family val="2"/>
            <scheme val="minor"/>
          </rPr>
          <t>BZPIIPCA Index</t>
        </r>
      </text>
    </comment>
    <comment ref="G9" authorId="0" shapeId="0" xr:uid="{E8D61A58-6D10-49B9-B935-03D139F88F46}">
      <text>
        <r>
          <rPr>
            <b/>
            <i/>
            <sz val="11"/>
            <color indexed="81"/>
            <rFont val="Calibri"/>
            <family val="2"/>
            <scheme val="minor"/>
          </rPr>
          <t>Select the Curve B.</t>
        </r>
      </text>
    </comment>
    <comment ref="B11" authorId="1" shapeId="0" xr:uid="{9DA188A3-DCD8-4D76-BED4-DCB78D4DC758}">
      <text>
        <r>
          <rPr>
            <i/>
            <sz val="10"/>
            <color indexed="81"/>
            <rFont val="Calibri"/>
            <family val="2"/>
            <scheme val="minor"/>
          </rPr>
          <t>BZCLVLUE Index</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<sst xmlns="http://schemas.openxmlformats.org/spreadsheetml/2006/main" count="473" uniqueCount="216">
  <si>
    <t>1M</t>
  </si>
  <si>
    <t>2M</t>
  </si>
  <si>
    <t>3M</t>
  </si>
  <si>
    <t>4M</t>
  </si>
  <si>
    <t>5M</t>
  </si>
  <si>
    <t>6M</t>
  </si>
  <si>
    <t>7M</t>
  </si>
  <si>
    <t>8M</t>
  </si>
  <si>
    <t>9M</t>
  </si>
  <si>
    <t>10M</t>
  </si>
  <si>
    <t>11M</t>
  </si>
  <si>
    <t>1Y</t>
  </si>
  <si>
    <t>15M</t>
  </si>
  <si>
    <t>21M</t>
  </si>
  <si>
    <t>2Y</t>
  </si>
  <si>
    <t>27M</t>
  </si>
  <si>
    <t>33M</t>
  </si>
  <si>
    <t>3Y</t>
  </si>
  <si>
    <t>39M</t>
  </si>
  <si>
    <t>4Y</t>
  </si>
  <si>
    <t>5Y</t>
  </si>
  <si>
    <t>YCSW0089 Index</t>
  </si>
  <si>
    <t>YCGT0372 Index</t>
  </si>
  <si>
    <t>Curve Date:</t>
  </si>
  <si>
    <t>BD</t>
  </si>
  <si>
    <t>Date</t>
  </si>
  <si>
    <t>IPCA Index</t>
  </si>
  <si>
    <t>MoM</t>
  </si>
  <si>
    <t>YoY</t>
  </si>
  <si>
    <t>Date 1</t>
  </si>
  <si>
    <t>Date 2</t>
  </si>
  <si>
    <t>BVIS1138 Index</t>
  </si>
  <si>
    <t>DATE 1</t>
  </si>
  <si>
    <t>DATE 2</t>
  </si>
  <si>
    <t>Today</t>
  </si>
  <si>
    <t>MAIN</t>
  </si>
  <si>
    <t>IPCA</t>
  </si>
  <si>
    <t>IGP-M</t>
  </si>
  <si>
    <t>Tenor</t>
  </si>
  <si>
    <t>Term</t>
  </si>
  <si>
    <t>1 Y</t>
  </si>
  <si>
    <t>2 Y</t>
  </si>
  <si>
    <t>3 Y</t>
  </si>
  <si>
    <t>4 Y</t>
  </si>
  <si>
    <t>5 Y</t>
  </si>
  <si>
    <t>IPCA MoM</t>
  </si>
  <si>
    <t>IGP-M MoM</t>
  </si>
  <si>
    <t>IPCA YoY</t>
  </si>
  <si>
    <t>IGP-M YoY</t>
  </si>
  <si>
    <t>IGP-DI</t>
  </si>
  <si>
    <t>INPC</t>
  </si>
  <si>
    <t>IGP-DI MoM</t>
  </si>
  <si>
    <t>INPC MoM</t>
  </si>
  <si>
    <t>IGP-DI YoY</t>
  </si>
  <si>
    <t>INPC YoY</t>
  </si>
  <si>
    <t>IPC</t>
  </si>
  <si>
    <t>IPC / FIPE</t>
  </si>
  <si>
    <t>IPC MoM</t>
  </si>
  <si>
    <t>IPC/FIPE MoM</t>
  </si>
  <si>
    <t>IPC YoY</t>
  </si>
  <si>
    <t>IPC/FIPE YoY</t>
  </si>
  <si>
    <t>Interpol</t>
  </si>
  <si>
    <t>Periods</t>
  </si>
  <si>
    <t>13M</t>
  </si>
  <si>
    <t>14M</t>
  </si>
  <si>
    <t>16M</t>
  </si>
  <si>
    <t>17M</t>
  </si>
  <si>
    <t>19M</t>
  </si>
  <si>
    <t>20M</t>
  </si>
  <si>
    <t>22M</t>
  </si>
  <si>
    <t>23M</t>
  </si>
  <si>
    <t>25M</t>
  </si>
  <si>
    <t>26M</t>
  </si>
  <si>
    <t>28M</t>
  </si>
  <si>
    <t>29M</t>
  </si>
  <si>
    <t>31M</t>
  </si>
  <si>
    <t>32M</t>
  </si>
  <si>
    <t>34M</t>
  </si>
  <si>
    <t>35M</t>
  </si>
  <si>
    <t>37M</t>
  </si>
  <si>
    <t>38M</t>
  </si>
  <si>
    <t>40M</t>
  </si>
  <si>
    <t>1.5Y</t>
  </si>
  <si>
    <t>2.5Y</t>
  </si>
  <si>
    <t>BZPIIPCA Index</t>
  </si>
  <si>
    <t>Inflation Index</t>
  </si>
  <si>
    <t>Implied Inflation</t>
  </si>
  <si>
    <t>Index</t>
  </si>
  <si>
    <t>Main Curve</t>
  </si>
  <si>
    <t>BCIVCSWA Curncy</t>
  </si>
  <si>
    <t>BCIVCSWB Curncy</t>
  </si>
  <si>
    <t>BCIVCSWD Curncy</t>
  </si>
  <si>
    <t>BCIVCSWE Curncy</t>
  </si>
  <si>
    <t>BCIVCSWH Curncy</t>
  </si>
  <si>
    <t>BCIVCSWI Curncy</t>
  </si>
  <si>
    <t>BCIVCSWJ Curncy</t>
  </si>
  <si>
    <t>BCIVCSWK Curncy</t>
  </si>
  <si>
    <t>BCIVCSW1 Curncy</t>
  </si>
  <si>
    <t>BCIVCSW2 Curncy</t>
  </si>
  <si>
    <t>BCIVCSW3 Curncy</t>
  </si>
  <si>
    <t>BCIVCSW5 Curncy</t>
  </si>
  <si>
    <t>BCIVCSW6 Curncy</t>
  </si>
  <si>
    <t>BCIVCSW7 Curncy</t>
  </si>
  <si>
    <t>BCIVCSW8 Curncy</t>
  </si>
  <si>
    <t>BCIVCSW9 Curncy</t>
  </si>
  <si>
    <t>BCIVCSW0 Curncy</t>
  </si>
  <si>
    <t>BCSFAPDV Curncy</t>
  </si>
  <si>
    <t>BCSFBPDV Curncy</t>
  </si>
  <si>
    <t>BCSFDPDV Curncy</t>
  </si>
  <si>
    <t>BCSFEPDV Curncy</t>
  </si>
  <si>
    <t>BCSFHPDV Curncy</t>
  </si>
  <si>
    <t>BCSFIPDV Curncy</t>
  </si>
  <si>
    <t>BCSFJPDV Curncy</t>
  </si>
  <si>
    <t>BCSFKPDV Curncy</t>
  </si>
  <si>
    <t>BCSFLPDV Curncy</t>
  </si>
  <si>
    <t>BCSFPPDV Curncy</t>
  </si>
  <si>
    <t>BCSFQPDV Curncy</t>
  </si>
  <si>
    <t>BCSFSPDV Curncy</t>
  </si>
  <si>
    <t>BCSFTPDV Curncy</t>
  </si>
  <si>
    <t>BCSFUPDV Curncy</t>
  </si>
  <si>
    <t>BCSFVPDV Curncy</t>
  </si>
  <si>
    <t>BCSFWPDV Curncy</t>
  </si>
  <si>
    <t>BCSFXPDV Curncy</t>
  </si>
  <si>
    <t xml:space="preserve"> ETTJ IPCA </t>
  </si>
  <si>
    <t>Imp Inflation</t>
  </si>
  <si>
    <t>BZAA05 Index</t>
  </si>
  <si>
    <t>BZAD6M Index</t>
  </si>
  <si>
    <t>BZAA1 Index</t>
  </si>
  <si>
    <t>BZAD1Y Index</t>
  </si>
  <si>
    <t>BZAD2Y Index</t>
  </si>
  <si>
    <t>BZAA2Y Index</t>
  </si>
  <si>
    <t>BZAD3Y Index</t>
  </si>
  <si>
    <t>BZAD4Y Index</t>
  </si>
  <si>
    <t>BZAA3Y Index</t>
  </si>
  <si>
    <t>BZAD5Y Index</t>
  </si>
  <si>
    <t>BZAD10Y Index</t>
  </si>
  <si>
    <t>BZAA4 Index</t>
  </si>
  <si>
    <t>BZAA5Y Index</t>
  </si>
  <si>
    <t>BZAA10Y Index</t>
  </si>
  <si>
    <t>ANBIMA</t>
  </si>
  <si>
    <t xml:space="preserve">IDxIPCA FUTURE </t>
  </si>
  <si>
    <t>Imp Inflation Index</t>
  </si>
  <si>
    <t>Accumulated</t>
  </si>
  <si>
    <t>Latest update</t>
  </si>
  <si>
    <t>{ANBI &lt;GO&gt;}</t>
  </si>
  <si>
    <t>*business days (interpolated tenors)</t>
  </si>
  <si>
    <t>IMPLIED INFLATION CURVE ANALYSIS</t>
  </si>
  <si>
    <t>INTERPOLATE</t>
  </si>
  <si>
    <t>FORWARD TO FORWARD (Up to 5Y)</t>
  </si>
  <si>
    <t>IMPLIED</t>
  </si>
  <si>
    <t>CUSTOMIZED DATES:</t>
  </si>
  <si>
    <t>Spread</t>
  </si>
  <si>
    <t>Date 1 - Date 2</t>
  </si>
  <si>
    <t>*Set your custom dates</t>
  </si>
  <si>
    <t>WLA Index</t>
  </si>
  <si>
    <t>YCGT0393 Index</t>
  </si>
  <si>
    <t>Ticker</t>
  </si>
  <si>
    <t>WL</t>
  </si>
  <si>
    <t>Active</t>
  </si>
  <si>
    <t>Generic</t>
  </si>
  <si>
    <t>Maturity</t>
  </si>
  <si>
    <t>Yield</t>
  </si>
  <si>
    <t>A</t>
  </si>
  <si>
    <t>B</t>
  </si>
  <si>
    <t>SELECT CURVES</t>
  </si>
  <si>
    <t>WL1 Index</t>
  </si>
  <si>
    <t>WL2 Index</t>
  </si>
  <si>
    <t>WL3 Index</t>
  </si>
  <si>
    <t>WL4 Index</t>
  </si>
  <si>
    <t>WL5 Index</t>
  </si>
  <si>
    <t>WL6 Index</t>
  </si>
  <si>
    <t>WL7 Index</t>
  </si>
  <si>
    <t>WL8 Index</t>
  </si>
  <si>
    <t>WL9 Index</t>
  </si>
  <si>
    <t>WL10 Index</t>
  </si>
  <si>
    <t>WL11 Index</t>
  </si>
  <si>
    <t>WL12 Index</t>
  </si>
  <si>
    <t>WL13 Index</t>
  </si>
  <si>
    <t>WL14 Index</t>
  </si>
  <si>
    <t>WL15 Index</t>
  </si>
  <si>
    <t>WL16 Index</t>
  </si>
  <si>
    <t>WL17 Index</t>
  </si>
  <si>
    <t>WL18 Index</t>
  </si>
  <si>
    <t>WL19 Index</t>
  </si>
  <si>
    <t>WL20 Index</t>
  </si>
  <si>
    <t>WL21 Index</t>
  </si>
  <si>
    <t>WL22 Index</t>
  </si>
  <si>
    <t>CURVES</t>
  </si>
  <si>
    <t>Curve A</t>
  </si>
  <si>
    <t>Curve B</t>
  </si>
  <si>
    <t>Implied</t>
  </si>
  <si>
    <t>INFLATION PRICE INDICES</t>
  </si>
  <si>
    <t>*Comparing the difference of the de-annualized cumulative rate at future tenors.</t>
  </si>
  <si>
    <t>12M</t>
  </si>
  <si>
    <t>24M</t>
  </si>
  <si>
    <t>PRE-DI</t>
  </si>
  <si>
    <t>Zero Coupon</t>
  </si>
  <si>
    <r>
      <t xml:space="preserve">CENTRAL BANK - </t>
    </r>
    <r>
      <rPr>
        <b/>
        <i/>
        <sz val="11"/>
        <color rgb="FFFFFFFF"/>
        <rFont val="Calibri"/>
        <family val="2"/>
      </rPr>
      <t>FOCUS MARKET READOUT</t>
    </r>
  </si>
  <si>
    <t>ETTJ Pre</t>
  </si>
  <si>
    <t>BZCLVLUE Index</t>
  </si>
  <si>
    <t>ANBIMA Index</t>
  </si>
  <si>
    <t>SWAP PRE-DI x INFLATION SWAP</t>
  </si>
  <si>
    <t>Settlement</t>
  </si>
  <si>
    <t>Relative</t>
  </si>
  <si>
    <t>Months</t>
  </si>
  <si>
    <t>End of Month</t>
  </si>
  <si>
    <t>*interpolated tenors</t>
  </si>
  <si>
    <t>Imp. Inflation</t>
  </si>
  <si>
    <t>Cumulative</t>
  </si>
  <si>
    <t>Annualized</t>
  </si>
  <si>
    <t>SELECT DATA TYPE</t>
  </si>
  <si>
    <t>TENOR</t>
  </si>
  <si>
    <t>*Applies only to the table view.</t>
  </si>
  <si>
    <t>RATE*</t>
  </si>
  <si>
    <t>Select the type of frequency.</t>
  </si>
  <si>
    <t>Click on the tickers to select your curve.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</si>
</sst>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409]d\-mmm\-yy;@"/>
    <numFmt numFmtId="165" formatCode="yyyy\-mm\-dd;@"/>
    <numFmt numFmtId="166" formatCode="0.0000"/>
    <numFmt numFmtId="167" formatCode="0.000000"/>
    <numFmt numFmtId="168" formatCode="0.000"/>
  </numFmts>
  <fonts count="31" x14ac:knownFonts="1">
    <font>
      <sz val="11"/>
      <color theme="1"/>
      <name val="Calibri"/>
      <family val="2"/>
      <scheme val="minor"/>
    </font>
    <font>
      <sz val="11"/>
      <color theme="1"/>
      <name val="Calibri"/>
      <family val="2"/>
      <scheme val="minor"/>
    </font>
    <font>
      <b/>
      <sz val="11"/>
      <color theme="1"/>
      <name val="Calibri"/>
      <family val="2"/>
      <scheme val="minor"/>
    </font>
    <font>
      <b/>
      <sz val="11"/>
      <color rgb="FFFF0000"/>
      <name val="Calibri"/>
      <family val="2"/>
      <scheme val="minor"/>
    </font>
    <font>
      <b/>
      <sz val="11"/>
      <color rgb="FFFFFFFF"/>
      <name val="Calibri"/>
      <family val="2"/>
      <scheme val="minor"/>
    </font>
    <font>
      <b/>
      <sz val="11"/>
      <color rgb="FF000000"/>
      <name val="Calibri"/>
      <family val="2"/>
      <scheme val="minor"/>
    </font>
    <font>
      <sz val="11"/>
      <color rgb="FF000000"/>
      <name val="Calibri"/>
      <family val="2"/>
      <scheme val="minor"/>
    </font>
    <font>
      <sz val="11"/>
      <name val="Calibri"/>
      <family val="2"/>
      <scheme val="minor"/>
    </font>
    <font>
      <b/>
      <sz val="11"/>
      <name val="Calibri"/>
      <family val="2"/>
      <scheme val="minor"/>
    </font>
    <font>
      <b/>
      <sz val="11"/>
      <color theme="0"/>
      <name val="Calibri"/>
      <family val="2"/>
      <scheme val="minor"/>
    </font>
    <font>
      <sz val="11"/>
      <color theme="0"/>
      <name val="Calibri"/>
      <family val="2"/>
      <scheme val="minor"/>
    </font>
    <font>
      <b/>
      <sz val="10"/>
      <color rgb="FF000000"/>
      <name val="Calibri"/>
      <family val="2"/>
      <scheme val="minor"/>
    </font>
    <font>
      <sz val="10"/>
      <color theme="1"/>
      <name val="Calibri"/>
      <family val="2"/>
      <scheme val="minor"/>
    </font>
    <font>
      <b/>
      <sz val="11"/>
      <color rgb="FFFFFFFF"/>
      <name val="Calibri"/>
      <family val="2"/>
    </font>
    <font>
      <b/>
      <sz val="10.5"/>
      <color rgb="FFFFFFFF"/>
      <name val="Calibri"/>
      <family val="2"/>
    </font>
    <font>
      <i/>
      <sz val="11"/>
      <color theme="2" tint="-0.749992370372631"/>
      <name val="Calibri"/>
      <family val="2"/>
      <scheme val="minor"/>
    </font>
    <font>
      <i/>
      <sz val="11"/>
      <color rgb="FF000000"/>
      <name val="Calibri"/>
      <family val="2"/>
      <scheme val="minor"/>
    </font>
    <font>
      <sz val="8"/>
      <name val="Calibri"/>
      <family val="2"/>
      <scheme val="minor"/>
    </font>
    <font>
      <i/>
      <sz val="10"/>
      <name val="Calibri"/>
      <family val="2"/>
      <scheme val="minor"/>
    </font>
    <font>
      <i/>
      <sz val="10"/>
      <color theme="2" tint="-0.749992370372631"/>
      <name val="Calibri"/>
      <family val="2"/>
      <scheme val="minor"/>
    </font>
    <font>
      <b/>
      <sz val="11"/>
      <color indexed="9"/>
      <name val="Calibri"/>
      <family val="2"/>
    </font>
    <font>
      <i/>
      <sz val="11"/>
      <color theme="1" tint="0.34998626667073579"/>
      <name val="Calibri"/>
      <family val="2"/>
      <scheme val="minor"/>
    </font>
    <font>
      <b/>
      <i/>
      <sz val="11"/>
      <color rgb="FFFFFFFF"/>
      <name val="Calibri"/>
      <family val="2"/>
    </font>
    <font>
      <i/>
      <sz val="9"/>
      <color theme="2" tint="-0.749992370372631"/>
      <name val="Calibri"/>
      <family val="2"/>
      <scheme val="minor"/>
    </font>
    <font>
      <i/>
      <sz val="10"/>
      <color indexed="81"/>
      <name val="Calibri"/>
      <family val="2"/>
      <scheme val="minor"/>
    </font>
    <font>
      <b/>
      <i/>
      <sz val="11"/>
      <color theme="1" tint="0.249977111117893"/>
      <name val="Calibri"/>
      <family val="2"/>
      <scheme val="minor"/>
    </font>
    <font>
      <b/>
      <sz val="11"/>
      <color theme="1" tint="0.249977111117893"/>
      <name val="Calibri"/>
      <family val="2"/>
      <scheme val="minor"/>
    </font>
    <font>
      <b/>
      <i/>
      <sz val="9"/>
      <color indexed="81"/>
      <name val="Tahoma"/>
      <family val="2"/>
    </font>
    <font>
      <b/>
      <i/>
      <sz val="11"/>
      <color indexed="81"/>
      <name val="Calibri"/>
      <family val="2"/>
      <scheme val="minor"/>
    </font>
    <font>
      <sz val="11"/>
      <color rgb="FF0E4056"/>
      <name val="Calibri"/>
      <family val="2"/>
      <scheme val="minor"/>
    </font>
    <font>
      <b/>
      <sz val="10"/>
      <color rgb="FFFFFFFF"/>
      <name val="Calibri"/>
      <family val="2"/>
    </font>
  </fonts>
  <fills count="15">
    <fill>
      <patternFill patternType="none"/>
    </fill>
    <fill>
      <patternFill patternType="gray125"/>
    </fill>
    <fill>
      <patternFill patternType="solid">
        <fgColor theme="8" tint="0.39997558519241921"/>
        <bgColor indexed="64"/>
      </patternFill>
    </fill>
    <fill>
      <patternFill patternType="solid">
        <fgColor rgb="FFFFFF00"/>
        <bgColor indexed="64"/>
      </patternFill>
    </fill>
    <fill>
      <gradientFill>
        <stop position="0">
          <color rgb="FF1F497D"/>
        </stop>
        <stop position="0.5">
          <color rgb="FF4F81BD"/>
        </stop>
        <stop position="1">
          <color rgb="FF1F497D"/>
        </stop>
      </gradientFill>
    </fill>
    <fill>
      <gradientFill>
        <stop position="0">
          <color rgb="FFFCD5B4"/>
        </stop>
        <stop position="0.5">
          <color rgb="FFFDE9D9"/>
        </stop>
        <stop position="1">
          <color rgb="FFFCD5B4"/>
        </stop>
      </gradientFill>
    </fill>
    <fill>
      <patternFill patternType="solid">
        <fgColor theme="0"/>
        <bgColor indexed="64"/>
      </patternFill>
    </fill>
    <fill>
      <gradientFill>
        <stop position="0">
          <color rgb="FF8DB4E2"/>
        </stop>
        <stop position="0.5">
          <color rgb="FFC5D9F1"/>
        </stop>
        <stop position="1">
          <color rgb="FF8DB4E2"/>
        </stop>
      </gradientFill>
    </fill>
    <fill>
      <gradientFill>
        <stop position="0">
          <color rgb="FFFABF8F"/>
        </stop>
        <stop position="0.5">
          <color rgb="FFFCD5B4"/>
        </stop>
        <stop position="1">
          <color rgb="FFFABF8F"/>
        </stop>
      </gradientFill>
    </fill>
    <fill>
      <patternFill patternType="solid">
        <fgColor theme="8" tint="0.79998168889431442"/>
        <bgColor indexed="64"/>
      </patternFill>
    </fill>
    <fill>
      <gradientFill>
        <stop position="0">
          <color rgb="FF156082"/>
        </stop>
        <stop position="0.5">
          <color rgb="FF1C7FAC"/>
        </stop>
        <stop position="1">
          <color rgb="FF156082"/>
        </stop>
      </gradientFill>
    </fill>
    <fill>
      <gradientFill degree="90">
        <stop position="0">
          <color rgb="FFB3DFF3"/>
        </stop>
        <stop position="0.5">
          <color rgb="FFCAE8F6"/>
        </stop>
        <stop position="1">
          <color rgb="FFB3DFF3"/>
        </stop>
      </gradientFill>
    </fill>
    <fill>
      <gradientFill degree="90">
        <stop position="0">
          <color rgb="FFCAE8F6"/>
        </stop>
        <stop position="0.5">
          <color rgb="FFDFF1F9"/>
        </stop>
        <stop position="1">
          <color rgb="FFCAE8F6"/>
        </stop>
      </gradientFill>
    </fill>
    <fill>
      <gradientFill>
        <stop position="0">
          <color theme="0" tint="-0.1490218817712943"/>
        </stop>
        <stop position="0.5">
          <color theme="0" tint="-5.0965910824915313E-2"/>
        </stop>
        <stop position="1">
          <color theme="0" tint="-0.1490218817712943"/>
        </stop>
      </gradientFill>
    </fill>
    <fill>
      <patternFill patternType="solid">
        <fgColor rgb="FF4F81BD"/>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8"/>
      </left>
      <right style="thin">
        <color indexed="9"/>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9"/>
      </left>
      <right/>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style="thin">
        <color theme="0"/>
      </top>
      <bottom style="thin">
        <color theme="0"/>
      </bottom>
      <diagonal/>
    </border>
    <border>
      <left/>
      <right/>
      <top style="thin">
        <color theme="0"/>
      </top>
      <bottom/>
      <diagonal/>
    </border>
    <border>
      <left style="thin">
        <color theme="0"/>
      </left>
      <right/>
      <top/>
      <bottom/>
      <diagonal/>
    </border>
    <border>
      <left style="thin">
        <color indexed="64"/>
      </left>
      <right/>
      <top/>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left>
      <right/>
      <top style="thin">
        <color theme="0"/>
      </top>
      <bottom style="thin">
        <color theme="0"/>
      </bottom>
      <diagonal/>
    </border>
    <border>
      <left style="thin">
        <color indexed="64"/>
      </left>
      <right/>
      <top style="thin">
        <color indexed="64"/>
      </top>
      <bottom style="thin">
        <color indexed="64"/>
      </bottom>
      <diagonal/>
    </border>
    <border>
      <left style="thin">
        <color theme="1"/>
      </left>
      <right style="thin">
        <color theme="1"/>
      </right>
      <top style="thin">
        <color theme="1"/>
      </top>
      <bottom style="thin">
        <color theme="1"/>
      </bottom>
      <diagonal/>
    </border>
    <border>
      <left/>
      <right/>
      <top/>
      <bottom style="thin">
        <color theme="0"/>
      </bottom>
      <diagonal/>
    </border>
    <border>
      <left/>
      <right/>
      <top style="thin">
        <color theme="0"/>
      </top>
      <bottom style="thin">
        <color theme="0"/>
      </bottom>
      <diagonal/>
    </border>
    <border>
      <left/>
      <right style="thin">
        <color theme="0"/>
      </right>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0" fillId="14" borderId="0"/>
  </cellStyleXfs>
  <cellXfs count="179">
    <xf numFmtId="0" fontId="0" fillId="0" borderId="0" xfId="0"/>
    <xf numFmtId="14" fontId="0" fillId="0" borderId="0" xfId="0" applyNumberFormat="1"/>
    <xf numFmtId="0" fontId="0" fillId="0" borderId="2" xfId="0" applyBorder="1"/>
    <xf numFmtId="0" fontId="0" fillId="0" borderId="3" xfId="0" applyBorder="1" applyAlignment="1">
      <alignment horizontal="center"/>
    </xf>
    <xf numFmtId="0" fontId="0" fillId="0" borderId="4" xfId="0" applyBorder="1"/>
    <xf numFmtId="0" fontId="0" fillId="0" borderId="0" xfId="0" applyAlignment="1">
      <alignment horizontal="center"/>
    </xf>
    <xf numFmtId="0" fontId="0" fillId="0" borderId="3" xfId="0" applyBorder="1"/>
    <xf numFmtId="0" fontId="3" fillId="0" borderId="0" xfId="0" applyFont="1" applyAlignment="1">
      <alignment horizontal="center"/>
    </xf>
    <xf numFmtId="2" fontId="0" fillId="0" borderId="4" xfId="0" applyNumberFormat="1" applyBorder="1" applyAlignment="1">
      <alignment horizontal="center"/>
    </xf>
    <xf numFmtId="1" fontId="0" fillId="0" borderId="6" xfId="0" applyNumberFormat="1" applyBorder="1" applyAlignment="1">
      <alignment horizontal="center"/>
    </xf>
    <xf numFmtId="2" fontId="0" fillId="0" borderId="7" xfId="0" applyNumberFormat="1" applyBorder="1" applyAlignment="1">
      <alignment horizontal="center"/>
    </xf>
    <xf numFmtId="0" fontId="4" fillId="4" borderId="8" xfId="0" applyFont="1" applyFill="1" applyBorder="1" applyAlignment="1">
      <alignment horizontal="left" vertical="center"/>
    </xf>
    <xf numFmtId="164" fontId="5" fillId="5" borderId="9" xfId="0" applyNumberFormat="1" applyFont="1" applyFill="1" applyBorder="1" applyAlignment="1">
      <alignment horizontal="center" vertical="top"/>
    </xf>
    <xf numFmtId="0" fontId="0" fillId="6" borderId="0" xfId="0" applyFill="1"/>
    <xf numFmtId="165" fontId="0" fillId="0" borderId="0" xfId="0" applyNumberFormat="1"/>
    <xf numFmtId="0" fontId="0" fillId="6" borderId="0" xfId="0" applyFill="1" applyAlignment="1">
      <alignment horizontal="center"/>
    </xf>
    <xf numFmtId="0" fontId="0" fillId="6" borderId="0" xfId="0" applyFill="1" applyAlignment="1">
      <alignment vertical="center"/>
    </xf>
    <xf numFmtId="164" fontId="0" fillId="6" borderId="0" xfId="0" applyNumberFormat="1" applyFill="1" applyAlignment="1">
      <alignment vertical="center"/>
    </xf>
    <xf numFmtId="2" fontId="0" fillId="0" borderId="5" xfId="0" applyNumberFormat="1" applyBorder="1" applyAlignment="1">
      <alignment horizontal="center"/>
    </xf>
    <xf numFmtId="0" fontId="10" fillId="0" borderId="3" xfId="0" applyFont="1" applyBorder="1" applyAlignment="1">
      <alignment horizontal="left"/>
    </xf>
    <xf numFmtId="0" fontId="7" fillId="0" borderId="3" xfId="0" applyFont="1" applyBorder="1" applyAlignment="1">
      <alignment horizontal="center"/>
    </xf>
    <xf numFmtId="164" fontId="0" fillId="6" borderId="0" xfId="0" applyNumberFormat="1" applyFill="1" applyAlignment="1">
      <alignment horizontal="center"/>
    </xf>
    <xf numFmtId="0" fontId="2" fillId="6" borderId="0" xfId="0" applyFont="1" applyFill="1"/>
    <xf numFmtId="0" fontId="2" fillId="6" borderId="0" xfId="0" applyFont="1" applyFill="1" applyAlignment="1">
      <alignment horizontal="center"/>
    </xf>
    <xf numFmtId="0" fontId="3" fillId="6" borderId="0" xfId="0" applyFont="1" applyFill="1"/>
    <xf numFmtId="10" fontId="3" fillId="6" borderId="0" xfId="2" applyNumberFormat="1" applyFont="1" applyFill="1" applyBorder="1" applyAlignment="1">
      <alignment horizontal="center"/>
    </xf>
    <xf numFmtId="0" fontId="0" fillId="6" borderId="0" xfId="0" applyFill="1" applyAlignment="1">
      <alignment horizontal="center" vertical="center"/>
    </xf>
    <xf numFmtId="0" fontId="10" fillId="6" borderId="0" xfId="0" applyFont="1" applyFill="1" applyAlignment="1">
      <alignment horizontal="center" vertical="center"/>
    </xf>
    <xf numFmtId="0" fontId="2" fillId="6" borderId="0" xfId="0" applyFont="1" applyFill="1" applyAlignment="1">
      <alignment horizontal="center" vertical="center"/>
    </xf>
    <xf numFmtId="0" fontId="8" fillId="6" borderId="0" xfId="0" applyFont="1" applyFill="1" applyAlignment="1">
      <alignment vertical="center"/>
    </xf>
    <xf numFmtId="0" fontId="7" fillId="6" borderId="0" xfId="0" applyFont="1" applyFill="1"/>
    <xf numFmtId="0" fontId="4" fillId="4" borderId="8" xfId="0" applyFont="1" applyFill="1" applyBorder="1" applyAlignment="1">
      <alignment horizontal="center" vertical="center"/>
    </xf>
    <xf numFmtId="0" fontId="4" fillId="4" borderId="0" xfId="0" applyFont="1" applyFill="1" applyAlignment="1">
      <alignment horizontal="center" vertical="center"/>
    </xf>
    <xf numFmtId="2" fontId="0" fillId="0" borderId="0" xfId="0" applyNumberFormat="1" applyAlignment="1">
      <alignment horizontal="center"/>
    </xf>
    <xf numFmtId="2" fontId="0" fillId="0" borderId="0" xfId="0" applyNumberFormat="1"/>
    <xf numFmtId="0" fontId="0" fillId="0" borderId="14" xfId="0" applyBorder="1"/>
    <xf numFmtId="0" fontId="9" fillId="0" borderId="0" xfId="0" applyFont="1" applyAlignment="1">
      <alignment horizontal="center"/>
    </xf>
    <xf numFmtId="1" fontId="0" fillId="0" borderId="0" xfId="0" applyNumberFormat="1" applyAlignment="1">
      <alignment horizontal="center"/>
    </xf>
    <xf numFmtId="0" fontId="10" fillId="0" borderId="0" xfId="0" applyFont="1" applyAlignment="1">
      <alignment horizontal="left"/>
    </xf>
    <xf numFmtId="14" fontId="0" fillId="0" borderId="0" xfId="0" applyNumberFormat="1" applyAlignment="1">
      <alignment horizontal="center"/>
    </xf>
    <xf numFmtId="0" fontId="2" fillId="3" borderId="15" xfId="0" applyFont="1" applyFill="1" applyBorder="1" applyAlignment="1">
      <alignment horizontal="center"/>
    </xf>
    <xf numFmtId="0" fontId="4" fillId="4" borderId="3" xfId="0" applyFont="1" applyFill="1" applyBorder="1" applyAlignment="1">
      <alignment horizontal="left" vertical="center"/>
    </xf>
    <xf numFmtId="0" fontId="9" fillId="0" borderId="4" xfId="0" applyFont="1" applyBorder="1" applyAlignment="1">
      <alignment horizontal="center"/>
    </xf>
    <xf numFmtId="0" fontId="0" fillId="0" borderId="4" xfId="0" applyBorder="1" applyAlignment="1">
      <alignment horizontal="center"/>
    </xf>
    <xf numFmtId="0" fontId="2" fillId="2" borderId="15" xfId="0" applyFont="1" applyFill="1" applyBorder="1" applyAlignment="1">
      <alignment horizontal="center"/>
    </xf>
    <xf numFmtId="167" fontId="0" fillId="0" borderId="0" xfId="0" applyNumberFormat="1" applyAlignment="1">
      <alignment horizontal="center"/>
    </xf>
    <xf numFmtId="166" fontId="0" fillId="0" borderId="0" xfId="0" applyNumberFormat="1" applyAlignment="1">
      <alignment horizontal="center"/>
    </xf>
    <xf numFmtId="2" fontId="0" fillId="0" borderId="0" xfId="0" quotePrefix="1" applyNumberFormat="1"/>
    <xf numFmtId="0" fontId="2" fillId="9" borderId="0" xfId="0" applyFont="1" applyFill="1" applyAlignment="1">
      <alignment horizont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10" fontId="0" fillId="0" borderId="4" xfId="2" applyNumberFormat="1" applyFont="1" applyBorder="1"/>
    <xf numFmtId="0" fontId="0" fillId="0" borderId="5" xfId="0" applyBorder="1"/>
    <xf numFmtId="167" fontId="0" fillId="0" borderId="6" xfId="0" applyNumberFormat="1" applyBorder="1" applyAlignment="1">
      <alignment horizontal="center"/>
    </xf>
    <xf numFmtId="166" fontId="0" fillId="0" borderId="6" xfId="0" applyNumberFormat="1" applyBorder="1" applyAlignment="1">
      <alignment horizontal="center"/>
    </xf>
    <xf numFmtId="2" fontId="0" fillId="0" borderId="6" xfId="0" applyNumberFormat="1" applyBorder="1"/>
    <xf numFmtId="10" fontId="0" fillId="0" borderId="7" xfId="2" applyNumberFormat="1" applyFont="1" applyBorder="1"/>
    <xf numFmtId="0" fontId="0" fillId="0" borderId="5" xfId="0" applyBorder="1" applyAlignment="1">
      <alignment horizontal="center"/>
    </xf>
    <xf numFmtId="0" fontId="0" fillId="0" borderId="6" xfId="0" applyBorder="1" applyAlignment="1">
      <alignment horizontal="center"/>
    </xf>
    <xf numFmtId="0" fontId="4" fillId="4" borderId="15"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14" xfId="0" applyFont="1" applyFill="1" applyBorder="1" applyAlignment="1">
      <alignment horizontal="center" vertical="center"/>
    </xf>
    <xf numFmtId="16" fontId="0" fillId="0" borderId="0" xfId="0" applyNumberFormat="1"/>
    <xf numFmtId="17" fontId="0" fillId="0" borderId="0" xfId="0" applyNumberFormat="1"/>
    <xf numFmtId="14" fontId="5" fillId="8" borderId="3" xfId="0" applyNumberFormat="1" applyFont="1" applyFill="1" applyBorder="1" applyAlignment="1">
      <alignment vertical="center"/>
    </xf>
    <xf numFmtId="0" fontId="4" fillId="4" borderId="10" xfId="0" applyFont="1" applyFill="1" applyBorder="1" applyAlignment="1">
      <alignment horizontal="center" vertical="center"/>
    </xf>
    <xf numFmtId="0" fontId="4" fillId="4" borderId="1" xfId="0" applyFont="1" applyFill="1" applyBorder="1" applyAlignment="1">
      <alignment horizontal="center" vertical="center"/>
    </xf>
    <xf numFmtId="168" fontId="0" fillId="0" borderId="0" xfId="0" applyNumberFormat="1"/>
    <xf numFmtId="166" fontId="0" fillId="0" borderId="0" xfId="0" applyNumberFormat="1"/>
    <xf numFmtId="14" fontId="6" fillId="7" borderId="16" xfId="2" applyNumberFormat="1" applyFont="1" applyFill="1" applyBorder="1" applyAlignment="1">
      <alignment horizontal="center" vertical="center"/>
    </xf>
    <xf numFmtId="2" fontId="5" fillId="8" borderId="16" xfId="0" applyNumberFormat="1" applyFont="1" applyFill="1" applyBorder="1" applyAlignment="1">
      <alignment vertical="center"/>
    </xf>
    <xf numFmtId="14" fontId="6" fillId="7" borderId="17" xfId="2" applyNumberFormat="1" applyFont="1" applyFill="1" applyBorder="1" applyAlignment="1">
      <alignment horizontal="center" vertical="center"/>
    </xf>
    <xf numFmtId="2" fontId="5" fillId="7" borderId="16" xfId="2" applyNumberFormat="1" applyFont="1" applyFill="1" applyBorder="1" applyAlignment="1">
      <alignment horizontal="right" vertical="center"/>
    </xf>
    <xf numFmtId="2" fontId="5" fillId="7" borderId="17" xfId="2" applyNumberFormat="1" applyFont="1" applyFill="1" applyBorder="1" applyAlignment="1">
      <alignment horizontal="right" vertical="center"/>
    </xf>
    <xf numFmtId="10" fontId="0" fillId="0" borderId="0" xfId="0" applyNumberFormat="1" applyAlignment="1">
      <alignment horizontal="center"/>
    </xf>
    <xf numFmtId="10" fontId="0" fillId="0" borderId="6" xfId="0" applyNumberFormat="1" applyBorder="1" applyAlignment="1">
      <alignment horizontal="center"/>
    </xf>
    <xf numFmtId="14" fontId="5" fillId="8" borderId="5" xfId="0" applyNumberFormat="1" applyFont="1" applyFill="1" applyBorder="1" applyAlignment="1">
      <alignment vertical="center"/>
    </xf>
    <xf numFmtId="2" fontId="5" fillId="8" borderId="17" xfId="0" applyNumberFormat="1" applyFont="1" applyFill="1" applyBorder="1" applyAlignment="1">
      <alignment vertical="center"/>
    </xf>
    <xf numFmtId="10" fontId="0" fillId="0" borderId="0" xfId="2" applyNumberFormat="1" applyFont="1" applyBorder="1" applyAlignment="1">
      <alignment horizontal="center"/>
    </xf>
    <xf numFmtId="10" fontId="0" fillId="0" borderId="6" xfId="2" applyNumberFormat="1" applyFont="1" applyBorder="1" applyAlignment="1">
      <alignment horizontal="center"/>
    </xf>
    <xf numFmtId="0" fontId="12" fillId="6" borderId="0" xfId="0" applyFont="1" applyFill="1"/>
    <xf numFmtId="0" fontId="12" fillId="6" borderId="0" xfId="0" applyFont="1" applyFill="1" applyAlignment="1">
      <alignment horizontal="center"/>
    </xf>
    <xf numFmtId="1" fontId="0" fillId="6" borderId="0" xfId="0" applyNumberFormat="1" applyFill="1"/>
    <xf numFmtId="2" fontId="5" fillId="11" borderId="12" xfId="2" applyNumberFormat="1" applyFont="1" applyFill="1" applyBorder="1" applyAlignment="1">
      <alignment horizontal="center" vertical="center"/>
    </xf>
    <xf numFmtId="2" fontId="5" fillId="12" borderId="12" xfId="2" applyNumberFormat="1" applyFont="1" applyFill="1" applyBorder="1" applyAlignment="1">
      <alignment horizontal="center" vertical="center"/>
    </xf>
    <xf numFmtId="0" fontId="15" fillId="6" borderId="0" xfId="0" applyFont="1" applyFill="1"/>
    <xf numFmtId="0" fontId="14" fillId="10" borderId="12" xfId="0" applyFont="1" applyFill="1" applyBorder="1" applyAlignment="1">
      <alignment horizontal="center" vertical="center"/>
    </xf>
    <xf numFmtId="0" fontId="13" fillId="10" borderId="12" xfId="0" applyFont="1" applyFill="1" applyBorder="1" applyAlignment="1">
      <alignment horizontal="center" vertical="center"/>
    </xf>
    <xf numFmtId="10" fontId="6" fillId="13" borderId="12" xfId="2" applyNumberFormat="1" applyFont="1" applyFill="1" applyBorder="1" applyAlignment="1">
      <alignment horizontal="center" vertical="center"/>
    </xf>
    <xf numFmtId="10" fontId="6" fillId="11" borderId="12" xfId="2" applyNumberFormat="1" applyFont="1" applyFill="1" applyBorder="1" applyAlignment="1">
      <alignment horizontal="center" vertical="center"/>
    </xf>
    <xf numFmtId="10" fontId="16" fillId="12" borderId="12" xfId="2" applyNumberFormat="1" applyFont="1" applyFill="1" applyBorder="1" applyAlignment="1">
      <alignment horizontal="center" vertical="center"/>
    </xf>
    <xf numFmtId="10" fontId="6" fillId="12" borderId="12" xfId="2" applyNumberFormat="1" applyFont="1" applyFill="1" applyBorder="1" applyAlignment="1">
      <alignment horizontal="center" vertical="center"/>
    </xf>
    <xf numFmtId="14" fontId="17" fillId="6" borderId="0" xfId="0" applyNumberFormat="1" applyFont="1" applyFill="1" applyAlignment="1">
      <alignment horizontal="left" vertical="center"/>
    </xf>
    <xf numFmtId="0" fontId="18" fillId="6" borderId="0" xfId="0" applyFont="1" applyFill="1" applyAlignment="1">
      <alignment vertical="center"/>
    </xf>
    <xf numFmtId="2" fontId="6" fillId="12" borderId="12" xfId="2" applyNumberFormat="1" applyFont="1" applyFill="1" applyBorder="1" applyAlignment="1">
      <alignment horizontal="center" vertical="center"/>
    </xf>
    <xf numFmtId="2" fontId="6" fillId="12" borderId="20" xfId="2" applyNumberFormat="1" applyFont="1" applyFill="1" applyBorder="1" applyAlignment="1">
      <alignment horizontal="center" vertical="center"/>
    </xf>
    <xf numFmtId="0" fontId="16" fillId="8" borderId="12" xfId="0" applyFont="1" applyFill="1" applyBorder="1" applyAlignment="1">
      <alignment horizontal="center" vertical="center"/>
    </xf>
    <xf numFmtId="0" fontId="16" fillId="5" borderId="12" xfId="0" applyFont="1" applyFill="1" applyBorder="1" applyAlignment="1">
      <alignment horizontal="center" vertical="center"/>
    </xf>
    <xf numFmtId="1" fontId="16" fillId="11" borderId="12" xfId="2" applyNumberFormat="1" applyFont="1" applyFill="1" applyBorder="1" applyAlignment="1">
      <alignment horizontal="center" vertical="center"/>
    </xf>
    <xf numFmtId="2" fontId="6" fillId="11" borderId="12" xfId="2" applyNumberFormat="1" applyFont="1" applyFill="1" applyBorder="1" applyAlignment="1">
      <alignment horizontal="center" vertical="center"/>
    </xf>
    <xf numFmtId="0" fontId="1" fillId="6" borderId="0" xfId="0" applyFont="1" applyFill="1"/>
    <xf numFmtId="1" fontId="16" fillId="12" borderId="12" xfId="2" applyNumberFormat="1" applyFont="1" applyFill="1" applyBorder="1" applyAlignment="1">
      <alignment horizontal="center" vertical="center"/>
    </xf>
    <xf numFmtId="0" fontId="13" fillId="10" borderId="11" xfId="0" applyFont="1" applyFill="1" applyBorder="1" applyAlignment="1">
      <alignment horizontal="center" vertical="center"/>
    </xf>
    <xf numFmtId="164" fontId="5" fillId="5" borderId="0" xfId="0" applyNumberFormat="1" applyFont="1" applyFill="1" applyAlignment="1">
      <alignment horizontal="center" vertical="top"/>
    </xf>
    <xf numFmtId="0" fontId="4" fillId="4" borderId="16" xfId="0" applyFont="1" applyFill="1" applyBorder="1" applyAlignment="1">
      <alignment horizontal="center" vertical="center"/>
    </xf>
    <xf numFmtId="164" fontId="5" fillId="5" borderId="24" xfId="0" applyNumberFormat="1" applyFont="1" applyFill="1" applyBorder="1" applyAlignment="1">
      <alignment horizontal="center" vertical="center"/>
    </xf>
    <xf numFmtId="167" fontId="0" fillId="0" borderId="16" xfId="0" applyNumberFormat="1" applyBorder="1" applyAlignment="1">
      <alignment horizontal="center"/>
    </xf>
    <xf numFmtId="167" fontId="0" fillId="0" borderId="17" xfId="0" applyNumberFormat="1" applyBorder="1" applyAlignment="1">
      <alignment horizontal="center"/>
    </xf>
    <xf numFmtId="1" fontId="5" fillId="12" borderId="12" xfId="2" applyNumberFormat="1" applyFont="1" applyFill="1" applyBorder="1" applyAlignment="1">
      <alignment horizontal="center" vertical="center"/>
    </xf>
    <xf numFmtId="0" fontId="0" fillId="0" borderId="15" xfId="0" applyBorder="1"/>
    <xf numFmtId="0" fontId="0" fillId="0" borderId="7" xfId="0" applyBorder="1"/>
    <xf numFmtId="14" fontId="0" fillId="0" borderId="6" xfId="0" applyNumberFormat="1" applyBorder="1"/>
    <xf numFmtId="0" fontId="15" fillId="6" borderId="0" xfId="0" applyFont="1" applyFill="1" applyAlignment="1">
      <alignment horizontal="left"/>
    </xf>
    <xf numFmtId="0" fontId="15" fillId="6" borderId="0" xfId="0" applyFont="1" applyFill="1" applyAlignment="1">
      <alignment horizontal="center"/>
    </xf>
    <xf numFmtId="0" fontId="13" fillId="10" borderId="28" xfId="0" applyFont="1" applyFill="1" applyBorder="1" applyAlignment="1">
      <alignment horizontal="center" vertical="center"/>
    </xf>
    <xf numFmtId="2" fontId="5" fillId="12" borderId="29" xfId="2" applyNumberFormat="1" applyFont="1" applyFill="1" applyBorder="1" applyAlignment="1">
      <alignment horizontal="center" vertical="center"/>
    </xf>
    <xf numFmtId="0" fontId="21" fillId="6" borderId="0" xfId="0" applyFont="1" applyFill="1"/>
    <xf numFmtId="14" fontId="0" fillId="6" borderId="0" xfId="0" applyNumberFormat="1" applyFill="1"/>
    <xf numFmtId="0" fontId="15" fillId="6" borderId="0" xfId="0" applyFont="1" applyFill="1" applyAlignment="1">
      <alignment horizontal="left" vertical="top"/>
    </xf>
    <xf numFmtId="1" fontId="25" fillId="12" borderId="12" xfId="2" applyNumberFormat="1" applyFont="1" applyFill="1" applyBorder="1" applyAlignment="1">
      <alignment horizontal="center" vertical="center"/>
    </xf>
    <xf numFmtId="10" fontId="25" fillId="12" borderId="27" xfId="2" applyNumberFormat="1" applyFont="1" applyFill="1" applyBorder="1" applyAlignment="1">
      <alignment horizontal="center" vertical="center"/>
    </xf>
    <xf numFmtId="1" fontId="26" fillId="12" borderId="12" xfId="2" applyNumberFormat="1" applyFont="1" applyFill="1" applyBorder="1" applyAlignment="1">
      <alignment horizontal="center" vertical="center"/>
    </xf>
    <xf numFmtId="1" fontId="25" fillId="11" borderId="12" xfId="2" applyNumberFormat="1" applyFont="1" applyFill="1" applyBorder="1" applyAlignment="1">
      <alignment horizontal="center" vertical="center"/>
    </xf>
    <xf numFmtId="10" fontId="25" fillId="11" borderId="12" xfId="2" applyNumberFormat="1" applyFont="1" applyFill="1" applyBorder="1" applyAlignment="1">
      <alignment horizontal="center" vertical="center"/>
    </xf>
    <xf numFmtId="1" fontId="26" fillId="11" borderId="12" xfId="2" applyNumberFormat="1" applyFont="1" applyFill="1" applyBorder="1" applyAlignment="1">
      <alignment horizontal="center" vertical="center"/>
    </xf>
    <xf numFmtId="0" fontId="26" fillId="6" borderId="0" xfId="0" applyFont="1" applyFill="1"/>
    <xf numFmtId="0" fontId="15" fillId="6" borderId="30" xfId="0" applyFont="1" applyFill="1" applyBorder="1"/>
    <xf numFmtId="0" fontId="5" fillId="5" borderId="22" xfId="0" applyFont="1" applyFill="1" applyBorder="1" applyAlignment="1">
      <alignment horizontal="center" vertical="top"/>
    </xf>
    <xf numFmtId="14" fontId="0" fillId="0" borderId="2" xfId="0" applyNumberFormat="1" applyBorder="1"/>
    <xf numFmtId="2" fontId="0" fillId="0" borderId="2" xfId="0" applyNumberFormat="1" applyBorder="1"/>
    <xf numFmtId="2" fontId="0" fillId="0" borderId="14" xfId="0" applyNumberFormat="1" applyBorder="1"/>
    <xf numFmtId="2" fontId="0" fillId="0" borderId="4" xfId="0" applyNumberFormat="1" applyBorder="1"/>
    <xf numFmtId="0" fontId="0" fillId="0" borderId="6" xfId="0" applyBorder="1"/>
    <xf numFmtId="2" fontId="0" fillId="0" borderId="7" xfId="0" applyNumberFormat="1" applyBorder="1"/>
    <xf numFmtId="1" fontId="0" fillId="0" borderId="3" xfId="0" applyNumberFormat="1" applyBorder="1" applyAlignment="1">
      <alignment horizontal="center"/>
    </xf>
    <xf numFmtId="1" fontId="0" fillId="0" borderId="5" xfId="0" applyNumberFormat="1" applyBorder="1" applyAlignment="1">
      <alignment horizontal="center"/>
    </xf>
    <xf numFmtId="0" fontId="0" fillId="0" borderId="16" xfId="0" applyBorder="1" applyAlignment="1">
      <alignment horizontal="center"/>
    </xf>
    <xf numFmtId="14" fontId="0" fillId="0" borderId="4" xfId="0" applyNumberFormat="1" applyBorder="1" applyAlignment="1">
      <alignment horizontal="center"/>
    </xf>
    <xf numFmtId="0" fontId="0" fillId="0" borderId="17" xfId="0" applyBorder="1" applyAlignment="1">
      <alignment horizontal="center"/>
    </xf>
    <xf numFmtId="0" fontId="0" fillId="0" borderId="7" xfId="0" applyBorder="1" applyAlignment="1">
      <alignment horizontal="center"/>
    </xf>
    <xf numFmtId="14" fontId="0" fillId="0" borderId="7" xfId="0" applyNumberFormat="1" applyBorder="1" applyAlignment="1">
      <alignment horizontal="center"/>
    </xf>
    <xf numFmtId="0" fontId="29" fillId="0" borderId="0" xfId="0" applyFont="1"/>
    <xf numFmtId="164" fontId="16" fillId="12" borderId="29" xfId="2" applyNumberFormat="1" applyFont="1" applyFill="1" applyBorder="1" applyAlignment="1">
      <alignment horizontal="center" vertical="center"/>
    </xf>
    <xf numFmtId="0" fontId="22" fillId="10" borderId="11" xfId="0" applyFont="1" applyFill="1" applyBorder="1" applyAlignment="1">
      <alignment horizontal="center" vertical="center"/>
    </xf>
    <xf numFmtId="0" fontId="30" fillId="10" borderId="12" xfId="0" applyFont="1" applyFill="1" applyBorder="1" applyAlignment="1">
      <alignment horizontal="center" vertical="center"/>
    </xf>
    <xf numFmtId="10" fontId="5" fillId="11" borderId="12" xfId="2" applyNumberFormat="1" applyFont="1" applyFill="1" applyBorder="1" applyAlignment="1">
      <alignment horizontal="center" vertical="center"/>
    </xf>
    <xf numFmtId="10" fontId="5" fillId="12" borderId="12" xfId="2" applyNumberFormat="1" applyFont="1" applyFill="1" applyBorder="1" applyAlignment="1">
      <alignment horizontal="center" vertical="center"/>
    </xf>
    <xf numFmtId="0" fontId="23" fillId="6" borderId="0" xfId="0" applyFont="1" applyFill="1" applyAlignment="1">
      <alignment horizontal="center" vertical="center"/>
    </xf>
    <xf numFmtId="0" fontId="15" fillId="6" borderId="0" xfId="0" applyFont="1" applyFill="1" applyAlignment="1">
      <alignment horizontal="left" vertical="center"/>
    </xf>
    <xf numFmtId="0" fontId="13" fillId="10" borderId="0" xfId="0" applyFont="1" applyFill="1" applyAlignment="1">
      <alignment horizontal="center" vertical="center"/>
    </xf>
    <xf numFmtId="0" fontId="15" fillId="6" borderId="21" xfId="0" applyFont="1" applyFill="1" applyBorder="1" applyAlignment="1">
      <alignment horizontal="left" vertical="top"/>
    </xf>
    <xf numFmtId="0" fontId="13" fillId="10" borderId="22" xfId="0" applyFont="1" applyFill="1" applyBorder="1" applyAlignment="1">
      <alignment horizontal="center" vertical="center"/>
    </xf>
    <xf numFmtId="0" fontId="15" fillId="6" borderId="0" xfId="0" applyFont="1" applyFill="1" applyAlignment="1">
      <alignment horizontal="left"/>
    </xf>
    <xf numFmtId="1" fontId="5" fillId="12" borderId="27" xfId="2" applyNumberFormat="1" applyFont="1" applyFill="1" applyBorder="1" applyAlignment="1">
      <alignment horizontal="center" vertical="center"/>
    </xf>
    <xf numFmtId="1" fontId="5" fillId="12" borderId="31" xfId="2" applyNumberFormat="1" applyFont="1" applyFill="1" applyBorder="1" applyAlignment="1">
      <alignment horizontal="center" vertical="center"/>
    </xf>
    <xf numFmtId="1" fontId="5" fillId="12" borderId="20" xfId="2" applyNumberFormat="1" applyFont="1" applyFill="1" applyBorder="1" applyAlignment="1">
      <alignment horizontal="center" vertical="center"/>
    </xf>
    <xf numFmtId="0" fontId="0" fillId="6" borderId="0" xfId="0" applyFill="1" applyAlignment="1">
      <alignment horizontal="center"/>
    </xf>
    <xf numFmtId="0" fontId="5" fillId="5" borderId="22" xfId="0" applyFont="1" applyFill="1" applyBorder="1" applyAlignment="1">
      <alignment horizontal="center" vertical="top"/>
    </xf>
    <xf numFmtId="0" fontId="5" fillId="5" borderId="0" xfId="0" applyFont="1" applyFill="1" applyAlignment="1">
      <alignment horizontal="center" vertical="top"/>
    </xf>
    <xf numFmtId="0" fontId="15" fillId="6" borderId="0" xfId="0" applyFont="1" applyFill="1" applyAlignment="1">
      <alignment horizontal="center" vertical="center"/>
    </xf>
    <xf numFmtId="0" fontId="13" fillId="10" borderId="32" xfId="0" applyFont="1" applyFill="1" applyBorder="1" applyAlignment="1">
      <alignment horizontal="center" vertical="center"/>
    </xf>
    <xf numFmtId="0" fontId="19" fillId="6" borderId="0" xfId="0" applyFont="1" applyFill="1" applyAlignment="1">
      <alignment horizontal="center" vertical="center"/>
    </xf>
    <xf numFmtId="0" fontId="13" fillId="10" borderId="27" xfId="0" applyFont="1" applyFill="1" applyBorder="1" applyAlignment="1">
      <alignment horizontal="center" vertical="center"/>
    </xf>
    <xf numFmtId="0" fontId="13" fillId="10" borderId="20" xfId="0" applyFont="1" applyFill="1" applyBorder="1" applyAlignment="1">
      <alignment horizontal="center" vertical="center"/>
    </xf>
    <xf numFmtId="0" fontId="13" fillId="10" borderId="18" xfId="0" applyFont="1" applyFill="1" applyBorder="1" applyAlignment="1">
      <alignment horizontal="center" vertical="center"/>
    </xf>
    <xf numFmtId="0" fontId="13" fillId="10" borderId="19" xfId="0" applyFont="1" applyFill="1" applyBorder="1" applyAlignment="1">
      <alignment horizontal="center" vertical="center"/>
    </xf>
    <xf numFmtId="1" fontId="16" fillId="12" borderId="27" xfId="2" applyNumberFormat="1" applyFont="1" applyFill="1" applyBorder="1" applyAlignment="1">
      <alignment horizontal="center" vertical="center"/>
    </xf>
    <xf numFmtId="1" fontId="16" fillId="12" borderId="31" xfId="2" applyNumberFormat="1" applyFont="1" applyFill="1" applyBorder="1" applyAlignment="1">
      <alignment horizontal="center" vertical="center"/>
    </xf>
    <xf numFmtId="1" fontId="16" fillId="12" borderId="20" xfId="2" applyNumberFormat="1" applyFont="1" applyFill="1" applyBorder="1" applyAlignment="1">
      <alignment horizontal="center" vertical="center"/>
    </xf>
    <xf numFmtId="0" fontId="19" fillId="6" borderId="0" xfId="0" applyFont="1" applyFill="1" applyAlignment="1">
      <alignment horizontal="left"/>
    </xf>
    <xf numFmtId="0" fontId="13" fillId="10" borderId="23" xfId="0" applyFont="1" applyFill="1" applyBorder="1" applyAlignment="1">
      <alignment horizontal="center" vertical="center"/>
    </xf>
    <xf numFmtId="0" fontId="4" fillId="4" borderId="10" xfId="0" applyFont="1" applyFill="1" applyBorder="1" applyAlignment="1">
      <alignment horizontal="center" vertical="center"/>
    </xf>
    <xf numFmtId="0" fontId="4" fillId="4" borderId="26" xfId="0" applyFont="1" applyFill="1" applyBorder="1" applyAlignment="1">
      <alignment horizontal="center" vertical="center"/>
    </xf>
    <xf numFmtId="164" fontId="11" fillId="5" borderId="13" xfId="0" applyNumberFormat="1" applyFont="1" applyFill="1" applyBorder="1" applyAlignment="1">
      <alignment horizontal="center" vertical="top"/>
    </xf>
    <xf numFmtId="164" fontId="11" fillId="5" borderId="0" xfId="0" applyNumberFormat="1" applyFont="1" applyFill="1" applyAlignment="1">
      <alignment horizontal="center" vertical="top"/>
    </xf>
    <xf numFmtId="164" fontId="5" fillId="5" borderId="10" xfId="0" applyNumberFormat="1" applyFont="1" applyFill="1" applyBorder="1" applyAlignment="1">
      <alignment horizontal="center" vertical="center"/>
    </xf>
    <xf numFmtId="164" fontId="5" fillId="5" borderId="25" xfId="0" applyNumberFormat="1" applyFont="1" applyFill="1" applyBorder="1" applyAlignment="1">
      <alignment horizontal="center" vertical="center"/>
    </xf>
    <xf numFmtId="164" fontId="5" fillId="5" borderId="26" xfId="0" applyNumberFormat="1" applyFont="1" applyFill="1" applyBorder="1" applyAlignment="1">
      <alignment horizontal="center" vertical="center"/>
    </xf>
    <xf numFmtId="0" fontId="0" fillId="0" borderId="0" xfId="0" applyAlignment="1">
      <alignment horizontal="center"/>
    </xf>
  </cellXfs>
  <cellStyles count="4">
    <cellStyle name="blp_column_header" xfId="3" xr:uid="{C7B34817-5B32-465B-B8DF-A37493C56E11}"/>
    <cellStyle name="Comma 2" xfId="1" xr:uid="{D5C2CCCD-16DF-446E-8F1D-C8E1EF8B45BA}"/>
    <cellStyle name="Normal" xfId="0" builtinId="0"/>
    <cellStyle name="Percent" xfId="2" builtinId="5"/>
  </cellStyles>
  <dxfs count="12">
    <dxf>
      <font>
        <b/>
        <i/>
        <color rgb="FFC00000"/>
      </font>
      <fill>
        <gradientFill degree="90">
          <stop position="0">
            <color rgb="FFCAE8F6"/>
          </stop>
          <stop position="0.5">
            <color rgb="FFDFF1F9"/>
          </stop>
          <stop position="1">
            <color rgb="FFCAE8F6"/>
          </stop>
        </gradientFill>
      </fill>
    </dxf>
    <dxf>
      <font>
        <b/>
        <i/>
        <color rgb="FF00A84C"/>
      </font>
      <fill>
        <gradientFill degree="90">
          <stop position="0">
            <color rgb="FFCAE8F6"/>
          </stop>
          <stop position="0.5">
            <color rgb="FFDFF1F9"/>
          </stop>
          <stop position="1">
            <color rgb="FFCAE8F6"/>
          </stop>
        </gradientFill>
      </fill>
    </dxf>
    <dxf>
      <font>
        <b/>
        <i/>
        <color rgb="FFC00000"/>
      </font>
      <fill>
        <gradientFill degree="90">
          <stop position="0">
            <color rgb="FFCAE8F6"/>
          </stop>
          <stop position="0.5">
            <color rgb="FFDFF1F9"/>
          </stop>
          <stop position="1">
            <color rgb="FFCAE8F6"/>
          </stop>
        </gradientFill>
      </fill>
    </dxf>
    <dxf>
      <font>
        <b/>
        <i/>
        <color rgb="FF00A84C"/>
      </font>
      <fill>
        <gradientFill degree="90">
          <stop position="0">
            <color rgb="FFCAE8F6"/>
          </stop>
          <stop position="0.5">
            <color rgb="FFDFF1F9"/>
          </stop>
          <stop position="1">
            <color rgb="FFCAE8F6"/>
          </stop>
        </gradientFill>
      </fill>
    </dxf>
    <dxf>
      <font>
        <b/>
        <i/>
        <color rgb="FFC00000"/>
      </font>
      <fill>
        <gradientFill degree="90">
          <stop position="0">
            <color rgb="FFCAE8F6"/>
          </stop>
          <stop position="0.5">
            <color rgb="FFDFF1F9"/>
          </stop>
          <stop position="1">
            <color rgb="FFCAE8F6"/>
          </stop>
        </gradientFill>
      </fill>
    </dxf>
    <dxf>
      <font>
        <b/>
        <i/>
        <color rgb="FF00A84C"/>
      </font>
      <fill>
        <gradientFill degree="90">
          <stop position="0">
            <color rgb="FFCAE8F6"/>
          </stop>
          <stop position="0.5">
            <color rgb="FFDFF1F9"/>
          </stop>
          <stop position="1">
            <color rgb="FFCAE8F6"/>
          </stop>
        </gradientFill>
      </fill>
    </dxf>
    <dxf>
      <font>
        <b/>
        <i/>
        <color rgb="FFC00000"/>
      </font>
      <fill>
        <gradientFill degree="90">
          <stop position="0">
            <color rgb="FFCAE8F6"/>
          </stop>
          <stop position="0.5">
            <color rgb="FFDFF1F9"/>
          </stop>
          <stop position="1">
            <color rgb="FFCAE8F6"/>
          </stop>
        </gradientFill>
      </fill>
    </dxf>
    <dxf>
      <font>
        <b/>
        <i/>
        <color rgb="FF00A84C"/>
      </font>
      <fill>
        <gradientFill degree="90">
          <stop position="0">
            <color rgb="FFCAE8F6"/>
          </stop>
          <stop position="0.5">
            <color rgb="FFDFF1F9"/>
          </stop>
          <stop position="1">
            <color rgb="FFCAE8F6"/>
          </stop>
        </gradientFill>
      </fill>
    </dxf>
    <dxf>
      <font>
        <b/>
        <i/>
        <color rgb="FFC00000"/>
      </font>
      <fill>
        <gradientFill degree="90">
          <stop position="0">
            <color rgb="FFCAE8F6"/>
          </stop>
          <stop position="0.5">
            <color rgb="FFDFF1F9"/>
          </stop>
          <stop position="1">
            <color rgb="FFCAE8F6"/>
          </stop>
        </gradientFill>
      </fill>
    </dxf>
    <dxf>
      <font>
        <b/>
        <i/>
        <color rgb="FF00A84C"/>
      </font>
      <fill>
        <gradientFill degree="90">
          <stop position="0">
            <color rgb="FFCAE8F6"/>
          </stop>
          <stop position="0.5">
            <color rgb="FFDFF1F9"/>
          </stop>
          <stop position="1">
            <color rgb="FFCAE8F6"/>
          </stop>
        </gradientFill>
      </fill>
    </dxf>
    <dxf>
      <font>
        <b/>
        <i/>
        <color rgb="FFC00000"/>
      </font>
      <fill>
        <gradientFill degree="90">
          <stop position="0">
            <color rgb="FFCAE8F6"/>
          </stop>
          <stop position="0.5">
            <color rgb="FFDFF1F9"/>
          </stop>
          <stop position="1">
            <color rgb="FFCAE8F6"/>
          </stop>
        </gradientFill>
      </fill>
    </dxf>
    <dxf>
      <font>
        <b/>
        <i/>
        <color rgb="FF00A84C"/>
      </font>
      <fill>
        <gradientFill degree="90">
          <stop position="0">
            <color rgb="FFCAE8F6"/>
          </stop>
          <stop position="0.5">
            <color rgb="FFDFF1F9"/>
          </stop>
          <stop position="1">
            <color rgb="FFCAE8F6"/>
          </stop>
        </gradientFill>
      </fill>
    </dxf>
  </dxfs>
  <tableStyles count="0" defaultTableStyle="TableStyleMedium2" defaultPivotStyle="PivotStyleLight16"/>
  <colors>
    <mruColors>
      <color rgb="FFDF6613"/>
      <color rgb="FF156082"/>
      <color rgb="FF0E4056"/>
      <color rgb="FF104760"/>
      <color rgb="FF81CAEB"/>
      <color rgb="FFD5D000"/>
      <color rgb="FF8A0000"/>
      <color rgb="FF00A84C"/>
      <color rgb="FFDFF1F9"/>
      <color rgb="FFCAE8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Requesting Data...4008107305</v>
        <stp/>
        <stp>BQL|12245897216362633319</stp>
        <tr r="U10" s="10"/>
      </tp>
    </main>
    <main first="bofaddin.rtdserver">
      <tp t="s">
        <v>#N/A Requesting Data...4120630616</v>
        <stp/>
        <stp>BQL|17716020292961419973</stp>
        <tr r="A2" s="14"/>
      </tp>
      <tp t="s">
        <v>#N/A N/A</v>
        <stp/>
        <stp>BQL|17591962159855583804</stp>
        <tr r="G5" s="12"/>
      </tp>
    </main>
    <main first="bofaddin.rtdserver">
      <tp t="s">
        <v>#N/A N/A</v>
        <stp/>
        <stp>BQL|12302855787171722081</stp>
        <tr r="O5" s="12"/>
      </tp>
    </main>
    <main first="bofaddin.rtdserver">
      <tp t="s">
        <v>#N/A N/A</v>
        <stp/>
        <stp>BDH|18092264060632206453</stp>
        <tr r="Q15" s="15"/>
      </tp>
      <tp t="s">
        <v>#N/A N/A</v>
        <stp/>
        <stp>BADDPERIODS|18392001568060041071</stp>
        <tr r="H18" s="19"/>
      </tp>
      <tp t="s">
        <v>#N/A N/A</v>
        <stp/>
        <stp>BADDPERIODS|10293912869629693827</stp>
        <tr r="O16" s="19"/>
      </tp>
      <tp t="s">
        <v>#N/A N/A</v>
        <stp/>
        <stp>BADDPERIODS|17415712647113240995</stp>
        <tr r="F44" s="19"/>
      </tp>
      <tp t="s">
        <v>#N/A N/A</v>
        <stp/>
        <stp>BADDPERIODS|15945985252411869615</stp>
        <tr r="Z13" s="19"/>
      </tp>
      <tp t="s">
        <v>#N/A N/A</v>
        <stp/>
        <stp>BDH|16005943518482014641</stp>
        <tr r="I27" s="15"/>
      </tp>
      <tp t="s">
        <v>#N/A N/A</v>
        <stp/>
        <stp>BADDPERIODS|13423633487213309035</stp>
        <tr r="Q44" s="19"/>
      </tp>
      <tp t="s">
        <v>#N/A N/A</v>
        <stp/>
        <stp>BDH|12529251981521051214</stp>
        <tr r="C11" s="15"/>
      </tp>
      <tp t="s">
        <v>#N/A N/A</v>
        <stp/>
        <stp>BADDPERIODS|10846659305388417124</stp>
        <tr r="Q19" s="19"/>
      </tp>
      <tp t="s">
        <v>#N/A N/A</v>
        <stp/>
        <stp>BADDPERIODS|15101629201715454988</stp>
        <tr r="X19" s="19"/>
      </tp>
      <tp t="s">
        <v>#N/A N/A</v>
        <stp/>
        <stp>BDH|12536302225509530127</stp>
        <tr r="E10" s="15"/>
      </tp>
      <tp t="s">
        <v>#N/A N/A</v>
        <stp/>
        <stp>BADDPERIODS|11488731557615722931</stp>
        <tr r="Q42" s="19"/>
      </tp>
      <tp t="s">
        <v>#N/A N/A</v>
        <stp/>
        <stp>BDH|11738361645378846568</stp>
        <tr r="Q24" s="15"/>
      </tp>
      <tp t="s">
        <v>#N/A N/A</v>
        <stp/>
        <stp>BDH|14195114924655736994</stp>
        <tr r="I12" s="15"/>
      </tp>
      <tp t="s">
        <v>#N/A N/A</v>
        <stp/>
        <stp>BADDPERIODS|10979158336398366584</stp>
        <tr r="O30" s="19"/>
      </tp>
      <tp t="s">
        <v>#N/A N/A</v>
        <stp/>
        <stp>BDH|11691233121812323888</stp>
        <tr r="Q11" s="15"/>
      </tp>
      <tp t="s">
        <v>#N/A N/A</v>
        <stp/>
        <stp>BDH|14046151555458740392</stp>
        <tr r="Q27" s="15"/>
      </tp>
    </main>
    <main first="bofaddin.rtdserver">
      <tp t="s">
        <v>#N/A N/A</v>
        <stp/>
        <stp>BDP|11844003529963070896</stp>
        <tr r="J13" s="15"/>
        <tr r="P19" s="15"/>
      </tp>
    </main>
    <main first="bofaddin.rtdserver">
      <tp t="s">
        <v>#N/A N/A</v>
        <stp/>
        <stp>BDP|11210107149924314879</stp>
        <tr r="P10" s="15"/>
      </tp>
    </main>
    <main first="bofaddin.rtdserver">
      <tp t="s">
        <v>#N/A N/A</v>
        <stp/>
        <stp>BDP|15387907225974148258</stp>
        <tr r="D12" s="15"/>
      </tp>
    </main>
    <main first="bofaddin.rtdserver">
      <tp t="s">
        <v>#N/A N/A</v>
        <stp/>
        <stp>BADDPERIODS|10820931521911363663</stp>
        <tr r="Q34" s="19"/>
      </tp>
      <tp t="s">
        <v>#N/A N/A</v>
        <stp/>
        <stp>BADDPERIODS|15939821136997074551</stp>
        <tr r="O4" s="19"/>
      </tp>
      <tp t="s">
        <v>#N/A N/A</v>
        <stp/>
        <stp>BADDPERIODS|17223355122389996357</stp>
        <tr r="F15" s="19"/>
      </tp>
    </main>
    <main first="bofaddin.rtdserver">
      <tp t="s">
        <v>#N/A N/A</v>
        <stp/>
        <stp>BDH|13040478661881926852</stp>
        <tr r="K8" s="15"/>
      </tp>
      <tp t="s">
        <v>#N/A N/A</v>
        <stp/>
        <stp>BADDPERIODS|16299948024267743622</stp>
        <tr r="H27" s="19"/>
      </tp>
    </main>
    <main first="bofaddin.rtdserver">
      <tp t="s">
        <v>#N/A N/A</v>
        <stp/>
        <stp>BADDPERIODS|18385037490594684968</stp>
        <tr r="O5" s="19"/>
      </tp>
      <tp t="s">
        <v>#N/A N/A</v>
        <stp/>
        <stp>BADDPERIODS|13010130494336691113</stp>
        <tr r="H15" s="19"/>
      </tp>
    </main>
    <main first="bofaddin.rtdserver">
      <tp t="s">
        <v>#N/A N/A</v>
        <stp/>
        <stp>BDP|12064599692476854199</stp>
        <tr r="D15" s="15"/>
      </tp>
      <tp t="s">
        <v>#N/A N/A</v>
        <stp/>
        <stp>BDP|17049284086827049337</stp>
        <tr r="J12" s="15"/>
        <tr r="P18" s="15"/>
      </tp>
      <tp t="s">
        <v>#N/A N/A</v>
        <stp/>
        <stp>BADDPERIODS|18381981143489655101</stp>
        <tr r="H44" s="19"/>
      </tp>
      <tp t="s">
        <v>#N/A N/A</v>
        <stp/>
        <stp>BADDPERIODS|15847387649838022733</stp>
        <tr r="H38" s="19"/>
      </tp>
      <tp t="s">
        <v>#N/A N/A</v>
        <stp/>
        <stp>BADDPERIODS|17557279285042584281</stp>
        <tr r="U6" s="10"/>
      </tp>
      <tp t="s">
        <v>#N/A N/A</v>
        <stp/>
        <stp>BDH|12905605897582118664</stp>
        <tr r="I15" s="15"/>
      </tp>
      <tp t="s">
        <v>#N/A N/A</v>
        <stp/>
        <stp>BADDPERIODS|17816299283645563572</stp>
        <tr r="H28" s="19"/>
      </tp>
      <tp t="s">
        <v>#N/A N/A</v>
        <stp/>
        <stp>BADDPERIODS|10725773411939850282</stp>
        <tr r="X36" s="19"/>
      </tp>
      <tp t="s">
        <v>#N/A N/A</v>
        <stp/>
        <stp>BADDPERIODS|10200371646663768955</stp>
        <tr r="X8" s="19"/>
      </tp>
      <tp t="s">
        <v>#N/A N/A</v>
        <stp/>
        <stp>BDH|12860337113380121967</stp>
        <tr r="E15" s="15"/>
      </tp>
      <tp t="s">
        <v>#N/A N/A</v>
        <stp/>
        <stp>BADDPERIODS|11635962338246846029</stp>
        <tr r="O36" s="19"/>
      </tp>
      <tp t="s">
        <v>#N/A N/A</v>
        <stp/>
        <stp>BADDPERIODS|11646213080961227763</stp>
        <tr r="Q28" s="19"/>
      </tp>
      <tp t="s">
        <v>#N/A N/A</v>
        <stp/>
        <stp>BDP|14977664487920205479</stp>
        <tr r="D27" s="15"/>
      </tp>
      <tp t="s">
        <v>#N/A Requesting Data...4190285847</v>
        <stp/>
        <stp>BDP|12618139311828365450</stp>
        <tr r="T5" s="9"/>
        <tr r="T5" s="9"/>
      </tp>
      <tp t="s">
        <v>#N/A N/A</v>
        <stp/>
        <stp>BDP|16874902938910517229</stp>
        <tr r="J23" s="15"/>
      </tp>
      <tp t="s">
        <v>#N/A N/A</v>
        <stp/>
        <stp>BADDPERIODS|10313280704820921883</stp>
        <tr r="F10" s="19"/>
      </tp>
      <tp t="s">
        <v>#N/A N/A</v>
        <stp/>
        <stp>BADDPERIODS|12269601322399725593</stp>
        <tr r="O23" s="19"/>
      </tp>
      <tp t="s">
        <v>#N/A N/A</v>
        <stp/>
        <stp>BADDPERIODS|14838487706033053993</stp>
        <tr r="H7" s="19"/>
      </tp>
      <tp t="s">
        <v>#N/A N/A</v>
        <stp/>
        <stp>BADDPERIODS|16195110561102998910</stp>
        <tr r="X27" s="19"/>
      </tp>
      <tp t="s">
        <v>#N/A N/A</v>
        <stp/>
        <stp>BDH|11709704420943461983</stp>
        <tr r="Q14" s="15"/>
      </tp>
      <tp t="s">
        <v>#N/A N/A</v>
        <stp/>
        <stp>BADDPERIODS|11932092543728704749</stp>
        <tr r="F33" s="19"/>
      </tp>
      <tp t="s">
        <v>#N/A N/A</v>
        <stp/>
        <stp>BADDPERIODS|11326466130175208973</stp>
        <tr r="X35" s="19"/>
      </tp>
      <tp t="s">
        <v>#N/A N/A</v>
        <stp/>
        <stp>BDP|15531309474847845987</stp>
        <tr r="P11" s="15"/>
      </tp>
      <tp t="s">
        <v>#N/A N/A</v>
        <stp/>
        <stp>BADDPERIODS|16274370412259891638</stp>
        <tr r="F5" s="19"/>
      </tp>
      <tp t="s">
        <v>#N/A N/A</v>
        <stp/>
        <stp>BADDPERIODS|12751896271260431671</stp>
        <tr r="F43" s="19"/>
      </tp>
      <tp t="s">
        <v>#N/A N/A</v>
        <stp/>
        <stp>BDH|11792527202662228912</stp>
        <tr r="I17" s="15"/>
      </tp>
      <tp t="s">
        <v>#N/A N/A</v>
        <stp/>
        <stp>BDH|17077185992515753590</stp>
        <tr r="O8" s="15"/>
      </tp>
      <tp t="s">
        <v>#N/A N/A</v>
        <stp/>
        <stp>BADDPERIODS|13123683474289360078</stp>
        <tr r="H35" s="19"/>
      </tp>
      <tp t="s">
        <v>#N/A N/A</v>
        <stp/>
        <stp>BADDPERIODS|12252893130507743567</stp>
        <tr r="Q30" s="19"/>
      </tp>
      <tp t="s">
        <v>#N/A N/A</v>
        <stp/>
        <stp>BADDPERIODS|14784474059358847658</stp>
        <tr r="H23" s="19"/>
      </tp>
      <tp t="s">
        <v>#N/A N/A</v>
        <stp/>
        <stp>BDH|13398543598869616974</stp>
        <tr r="I14" s="15"/>
      </tp>
      <tp t="s">
        <v>#N/A N/A</v>
        <stp/>
        <stp>BADDPERIODS|13752707680006730133</stp>
        <tr r="Q18" s="19"/>
      </tp>
    </main>
    <main first="bofaddin.rtdserver">
      <tp t="s">
        <v>#N/A N/A</v>
        <stp/>
        <stp>BDP|15380643658569685342</stp>
        <tr r="P7" s="15"/>
      </tp>
      <tp t="s">
        <v>#N/A N/A</v>
        <stp/>
        <stp>BADDPERIODS|16418583197124669638</stp>
        <tr r="X37" s="19"/>
      </tp>
      <tp t="s">
        <v>#N/A N/A</v>
        <stp/>
        <stp>BDH|15215309885835142732</stp>
        <tr r="E17" s="15"/>
      </tp>
      <tp t="s">
        <v>#N/A N/A</v>
        <stp/>
        <stp>BADDPERIODS|12670460288195603364</stp>
        <tr r="Z6" s="19"/>
      </tp>
      <tp t="s">
        <v>#N/A N/A</v>
        <stp/>
        <stp>BADDPERIODS|13940251385962327317</stp>
        <tr r="Z29" s="19"/>
      </tp>
      <tp t="s">
        <v>#N/A N/A</v>
        <stp/>
        <stp>BADDPERIODS|10070871866153742535</stp>
        <tr r="O33" s="19"/>
      </tp>
      <tp t="s">
        <v>#N/A N/A</v>
        <stp/>
        <stp>BADDPERIODS|14576250792860720740</stp>
        <tr r="X29" s="19"/>
      </tp>
      <tp t="s">
        <v>#N/A N/A</v>
        <stp/>
        <stp>BDH|16872313881546699706</stp>
        <tr r="Q12" s="15"/>
      </tp>
      <tp t="s">
        <v>#N/A N/A</v>
        <stp/>
        <stp>BADDPERIODS|10440808446272493652</stp>
        <tr r="F39" s="19"/>
      </tp>
      <tp t="s">
        <v>#N/A N/A</v>
        <stp/>
        <stp>BADDPERIODS|14266502625089429204</stp>
        <tr r="X25" s="19"/>
      </tp>
    </main>
    <main first="bofaddin.rtdserver">
      <tp t="s">
        <v>#N/A Requesting Data...4266875471</v>
        <stp/>
        <stp>BDP|10707837059952135239</stp>
        <tr r="T6" s="9"/>
        <tr r="T6" s="9"/>
      </tp>
      <tp t="s">
        <v>#N/A N/A</v>
        <stp/>
        <stp>BDH|13048472032479453007</stp>
        <tr r="E16" s="15"/>
      </tp>
      <tp t="s">
        <v>#N/A N/A</v>
        <stp/>
        <stp>BDH|15768884991939646099</stp>
        <tr r="C19" s="15"/>
      </tp>
      <tp t="s">
        <v>#N/A N/A</v>
        <stp/>
        <stp>BADDPERIODS|11991925156621215522</stp>
        <tr r="Q26" s="19"/>
      </tp>
      <tp t="s">
        <v>#N/A N/A</v>
        <stp/>
        <stp>BDH|13601557518968063291</stp>
        <tr r="I20" s="15"/>
      </tp>
      <tp t="s">
        <v>#N/A N/A</v>
        <stp/>
        <stp>BDH|16427868372560184450</stp>
        <tr r="I19" s="15"/>
      </tp>
      <tp t="s">
        <v>#N/A N/A</v>
        <stp/>
        <stp>BADDPERIODS|16334952172614619584</stp>
        <tr r="H34" s="19"/>
      </tp>
      <tp t="s">
        <v>#N/A N/A</v>
        <stp/>
        <stp>BADDPERIODS|11177662985701080793</stp>
        <tr r="H33" s="19"/>
      </tp>
      <tp t="s">
        <v>#N/A N/A</v>
        <stp/>
        <stp>BADDPERIODS|15801928603334381114</stp>
        <tr r="F24" s="19"/>
      </tp>
      <tp t="s">
        <v>#N/A N/A</v>
        <stp/>
        <stp>BADDPERIODS|13321981636140168076</stp>
        <tr r="Q21" s="19"/>
      </tp>
      <tp t="s">
        <v>#N/A N/A</v>
        <stp/>
        <stp>BADDPERIODS|17611961943073077044</stp>
        <tr r="Q33" s="19"/>
      </tp>
      <tp t="s">
        <v>#N/A N/A</v>
        <stp/>
        <stp>BDH|11147548401688978101</stp>
        <tr r="E19" s="15"/>
      </tp>
      <tp t="s">
        <v>#N/A N/A</v>
        <stp/>
        <stp>BADDPERIODS|12407751242288530079</stp>
        <tr r="X22" s="19"/>
      </tp>
      <tp t="s">
        <v>#N/A N/A</v>
        <stp/>
        <stp>BADDPERIODS|18440345858522109585</stp>
        <tr r="F41" s="19"/>
      </tp>
      <tp t="s">
        <v>#N/A N/A</v>
        <stp/>
        <stp>BDH|16205684140240548919</stp>
        <tr r="E18" s="15"/>
      </tp>
      <tp t="s">
        <v>#N/A N/A</v>
        <stp/>
        <stp>BDH|10568031887844936167</stp>
        <tr r="C25" s="15"/>
      </tp>
      <tp t="s">
        <v>#N/A N/A</v>
        <stp/>
        <stp>BADDPERIODS|11023344767929066401</stp>
        <tr r="H26" s="19"/>
      </tp>
      <tp t="s">
        <v>#N/A N/A</v>
        <stp/>
        <stp>BDP|13925691556585165722</stp>
        <tr r="J21" s="15"/>
        <tr r="P27" s="15"/>
      </tp>
      <tp t="s">
        <v>#N/A Requesting Data...4148561539</v>
        <stp/>
        <stp>BDP|10434162482013250876</stp>
        <tr r="W5" s="9"/>
        <tr r="W5" s="9"/>
      </tp>
      <tp t="s">
        <v>#N/A N/A</v>
        <stp/>
        <stp>BDH|12351169679163903545</stp>
        <tr r="O13" s="15"/>
      </tp>
      <tp t="s">
        <v>#N/A N/A</v>
        <stp/>
        <stp>BADDPERIODS|17498921233948018389</stp>
        <tr r="Z14" s="19"/>
      </tp>
      <tp t="s">
        <v>#N/A N/A</v>
        <stp/>
        <stp>BADDPERIODS|10176834798690330764</stp>
        <tr r="F26" s="19"/>
      </tp>
      <tp t="s">
        <v>#N/A N/A</v>
        <stp/>
        <stp>BDH|10191007261157634330</stp>
        <tr r="K17" s="15"/>
      </tp>
      <tp t="s">
        <v>#N/A N/A</v>
        <stp/>
        <stp>BDH|12006250050297448055</stp>
        <tr r="E26" s="15"/>
      </tp>
      <tp t="s">
        <v>#N/A N/A</v>
        <stp/>
        <stp>BDH|16623347318640541687</stp>
        <tr r="Q9" s="15"/>
      </tp>
      <tp t="s">
        <v>#N/A N/A</v>
        <stp/>
        <stp>BADDPERIODS|15024507721854804022</stp>
        <tr r="X11" s="19"/>
      </tp>
      <tp t="s">
        <v>#N/A N/A</v>
        <stp/>
        <stp>BADDPERIODS|13039098374414702617</stp>
        <tr r="X32" s="19"/>
      </tp>
      <tp t="s">
        <v>#N/A N/A</v>
        <stp/>
        <stp>BADDPERIODS|11872062037622338616</stp>
        <tr r="Q10" s="19"/>
      </tp>
      <tp t="s">
        <v>#N/A N/A</v>
        <stp/>
        <stp>BDH|13128718709334431276</stp>
        <tr r="I18" s="15"/>
      </tp>
      <tp t="s">
        <v>#N/A N/A</v>
        <stp/>
        <stp>BADDPERIODS|11611803602838210752</stp>
        <tr r="H16" s="19"/>
      </tp>
    </main>
    <main first="bofaddin.rtdserver">
      <tp t="s">
        <v>#N/A N/A</v>
        <stp/>
        <stp>BDP|10519799854425261498</stp>
        <tr r="J11" s="15"/>
        <tr r="P17" s="15"/>
      </tp>
      <tp t="s">
        <v>#N/A N/A</v>
        <stp/>
        <stp>BDP|11680234472981503613</stp>
        <tr r="D20" s="15"/>
      </tp>
      <tp t="s">
        <v>#N/A N/A</v>
        <stp/>
        <stp>BDP|14731309884685319966</stp>
        <tr r="P8" s="15"/>
      </tp>
      <tp t="s">
        <v>#N/A N/A</v>
        <stp/>
        <stp>BDH|12199536090504325916</stp>
        <tr r="O27" s="15"/>
      </tp>
      <tp t="s">
        <v>#N/A N/A</v>
        <stp/>
        <stp>BADDPERIODS|16357678754921583384</stp>
        <tr r="Z43" s="19"/>
      </tp>
      <tp t="s">
        <v>#N/A N/A</v>
        <stp/>
        <stp>BADDPERIODS|17506427899455520859</stp>
        <tr r="O25" s="19"/>
      </tp>
      <tp t="s">
        <v>#N/A N/A</v>
        <stp/>
        <stp>BADDPERIODS|17083019700421875176</stp>
        <tr r="F40" s="19"/>
      </tp>
      <tp t="s">
        <v>#N/A N/A</v>
        <stp/>
        <stp>BADDPERIODS|13384251518976491152</stp>
        <tr r="O15" s="19"/>
      </tp>
      <tp t="s">
        <v>#N/A N/A</v>
        <stp/>
        <stp>BDH|10636329900712210226</stp>
        <tr r="I10" s="15"/>
      </tp>
      <tp t="s">
        <v>#N/A N/A</v>
        <stp/>
        <stp>BADDPERIODS|17968140799859823174</stp>
        <tr r="Q27" s="19"/>
      </tp>
      <tp t="s">
        <v>#N/A N/A</v>
        <stp/>
        <stp>BADDPERIODS|15754108977581077548</stp>
        <tr r="O22" s="19"/>
      </tp>
      <tp t="s">
        <v>#N/A N/A</v>
        <stp/>
        <stp>BADDPERIODS|15639558164400414166</stp>
        <tr r="F25" s="19"/>
      </tp>
      <tp t="s">
        <v>#N/A N/A</v>
        <stp/>
        <stp>BADDPERIODS|18439729252574441965</stp>
        <tr r="O19" s="19"/>
      </tp>
      <tp t="s">
        <v>#N/A N/A</v>
        <stp/>
        <stp>BADDPERIODS|10338392053099927875</stp>
        <tr r="O34" s="19"/>
      </tp>
      <tp t="s">
        <v>#N/A N/A</v>
        <stp/>
        <stp>BADDPERIODS|12694524325241528347</stp>
        <tr r="Q32" s="19"/>
      </tp>
      <tp t="s">
        <v>#N/A N/A</v>
        <stp/>
        <stp>BADDPERIODS|14546687541431447083</stp>
        <tr r="X23" s="19"/>
      </tp>
      <tp t="s">
        <v>#N/A N/A</v>
        <stp/>
        <stp>BDH|18027844861453912602</stp>
        <tr r="I28" s="15"/>
      </tp>
      <tp t="s">
        <v>#N/A N/A</v>
        <stp/>
        <stp>BADDPERIODS|15301445828440613484</stp>
        <tr r="Q15" s="19"/>
      </tp>
      <tp t="s">
        <v>#N/A N/A</v>
        <stp/>
        <stp>BDH|13392423248073416337</stp>
        <tr r="O28" s="15"/>
      </tp>
      <tp t="s">
        <v>#N/A N/A</v>
        <stp/>
        <stp>BADDPERIODS|13140295125857653384</stp>
        <tr r="O9" s="19"/>
      </tp>
      <tp t="s">
        <v>#N/A N/A</v>
        <stp/>
        <stp>BADDPERIODS|16959878884893042294</stp>
        <tr r="Z7" s="19"/>
      </tp>
      <tp t="s">
        <v>#N/A N/A</v>
        <stp/>
        <stp>BADDPERIODS|18238521689253340195</stp>
        <tr r="Z39" s="19"/>
      </tp>
    </main>
    <main first="bofaddin.rtdserver">
      <tp t="s">
        <v>#N/A Requesting Data...4220142277</v>
        <stp/>
        <stp>BDP|10794355924012190340</stp>
        <tr r="T23" s="9"/>
        <tr r="T23" s="9"/>
      </tp>
      <tp t="s">
        <v>#N/A N/A</v>
        <stp/>
        <stp>BDP|10842271506411840352</stp>
        <tr r="J18" s="15"/>
        <tr r="P24" s="15"/>
      </tp>
      <tp t="s">
        <v>#N/A N/A</v>
        <stp/>
        <stp>BDP|17990979467299733189</stp>
        <tr r="D8" s="15"/>
        <tr r="J27" s="15"/>
      </tp>
      <tp t="s">
        <v>#N/A N/A</v>
        <stp/>
        <stp>BDH|12849647389325266950</stp>
        <tr r="C8" s="15"/>
      </tp>
      <tp t="s">
        <v>#N/A N/A</v>
        <stp/>
        <stp>BADDPERIODS|11890080821766614185</stp>
        <tr r="Q11" s="19"/>
      </tp>
      <tp t="s">
        <v>#N/A N/A</v>
        <stp/>
        <stp>BADDPERIODS|11359200508154202363</stp>
        <tr r="F21" s="19"/>
      </tp>
      <tp t="s">
        <v>#N/A N/A</v>
        <stp/>
        <stp>BADDPERIODS|17198025801961994249</stp>
        <tr r="F30" s="19"/>
      </tp>
      <tp t="s">
        <v>#N/A N/A</v>
        <stp/>
        <stp>BDH|10187278101231469360</stp>
        <tr r="E24" s="15"/>
      </tp>
      <tp t="s">
        <v>#N/A N/A</v>
        <stp/>
        <stp>BADDPERIODS|13781312218315350098</stp>
        <tr r="Z11" s="19"/>
      </tp>
      <tp t="s">
        <v>#N/A N/A</v>
        <stp/>
        <stp>BDH|16965440775076202313</stp>
        <tr r="Q23" s="15"/>
      </tp>
      <tp t="s">
        <v>#N/A N/A</v>
        <stp/>
        <stp>BADDPERIODS|13933089153226216462</stp>
        <tr r="F35" s="19"/>
      </tp>
      <tp t="s">
        <v>#N/A N/A</v>
        <stp/>
        <stp>BADDPERIODS|17539011245843718414</stp>
        <tr r="X12" s="19"/>
      </tp>
      <tp t="s">
        <v>#N/A N/A</v>
        <stp/>
        <stp>BADDPERIODS|17730293362950900724</stp>
        <tr r="X13" s="19"/>
      </tp>
      <tp t="s">
        <v>#N/A N/A</v>
        <stp/>
        <stp>BADDPERIODS|15785234712416216434</stp>
        <tr r="X41" s="19"/>
      </tp>
      <tp t="s">
        <v>#N/A N/A</v>
        <stp/>
        <stp>BADDPERIODS|13534730007821427120</stp>
        <tr r="Q39" s="19"/>
      </tp>
      <tp t="s">
        <v>#N/A N/A</v>
        <stp/>
        <stp>BADDPERIODS|11893630659247170134</stp>
        <tr r="O6" s="19"/>
      </tp>
      <tp t="s">
        <v>#N/A N/A</v>
        <stp/>
        <stp>BADDPERIODS|14077121216645113540</stp>
        <tr r="H36" s="19"/>
      </tp>
    </main>
    <main first="bofaddin.rtdserver">
      <tp t="s">
        <v>#N/A N/A</v>
        <stp/>
        <stp>BDP|13226678620917492186</stp>
        <tr r="D22" s="15"/>
      </tp>
      <tp t="s">
        <v>#N/A Requesting Data...4239266964</v>
        <stp/>
        <stp>BDP|17579102278988091845</stp>
        <tr r="W14" s="9"/>
        <tr r="W14" s="9"/>
      </tp>
      <tp t="s">
        <v>#N/A N/A</v>
        <stp/>
        <stp>BDP|14323360248731287385</stp>
        <tr r="D13" s="15"/>
      </tp>
      <tp t="s">
        <v>#N/A N/A</v>
        <stp/>
        <stp>BADDPERIODS|11958815300815053960</stp>
        <tr r="H20" s="19"/>
      </tp>
      <tp t="s">
        <v>#N/A N/A</v>
        <stp/>
        <stp>BDH|11990066009362394275</stp>
        <tr r="I24" s="15"/>
      </tp>
      <tp t="s">
        <v>#N/A N/A</v>
        <stp/>
        <stp>BADDPERIODS|12470134356960047392</stp>
        <tr r="F11" s="19"/>
      </tp>
      <tp t="s">
        <v>#N/A N/A</v>
        <stp/>
        <stp>BADDPERIODS|17845616267493644106</stp>
        <tr r="H39" s="19"/>
      </tp>
      <tp t="s">
        <v>#N/A N/A</v>
        <stp/>
        <stp>BADDPERIODS|17610443645204860657</stp>
        <tr r="X30" s="19"/>
      </tp>
      <tp t="s">
        <v>#N/A N/A</v>
        <stp/>
        <stp>BDH|11747401523386146030</stp>
        <tr r="E7" s="15"/>
      </tp>
      <tp t="s">
        <v>#N/A N/A</v>
        <stp/>
        <stp>BADDPERIODS|11779496043015762111</stp>
        <tr r="Z19" s="19"/>
      </tp>
      <tp t="s">
        <v>#N/A N/A</v>
        <stp/>
        <stp>BDH|16935249700930522518</stp>
        <tr r="Q28" s="15"/>
      </tp>
      <tp t="s">
        <v>#N/A N/A</v>
        <stp/>
        <stp>BADDPERIODS|14504244760113450614</stp>
        <tr r="Q12" s="19"/>
      </tp>
      <tp t="s">
        <v>#N/A N/A</v>
        <stp/>
        <stp>BADDPERIODS|11861206936710207587</stp>
        <tr r="O14" s="19"/>
      </tp>
      <tp t="s">
        <v>#N/A N/A</v>
        <stp/>
        <stp>BADDPERIODS|17513850799163895047</stp>
        <tr r="F37" s="19"/>
      </tp>
      <tp t="s">
        <v>#N/A N/A</v>
        <stp/>
        <stp>BADDPERIODS|14412111905269259973</stp>
        <tr r="F17" s="19"/>
      </tp>
    </main>
    <main first="bofaddin.rtdserver">
      <tp t="s">
        <v>#N/A N/A</v>
        <stp/>
        <stp>BDP|11768313830306097183</stp>
        <tr r="D24" s="15"/>
      </tp>
      <tp t="s">
        <v>#N/A N/A</v>
        <stp/>
        <stp>BDP|16264347529776484794</stp>
        <tr r="J10" s="15"/>
        <tr r="P16" s="15"/>
      </tp>
      <tp t="s">
        <v>#N/A N/A</v>
        <stp/>
        <stp>BDP|15997880993845114715</stp>
        <tr r="P12" s="15"/>
      </tp>
      <tp t="s">
        <v>#N/A N/A</v>
        <stp/>
        <stp>BDH|10444224416363955687</stp>
        <tr r="O7" s="15"/>
      </tp>
      <tp t="s">
        <v>#N/A N/A</v>
        <stp/>
        <stp>BADDPERIODS|12141180289771786888</stp>
        <tr r="X4" s="19"/>
      </tp>
      <tp t="s">
        <v>#N/A N/A</v>
        <stp/>
        <stp>BDH|13401178536681113614</stp>
        <tr r="O16" s="15"/>
      </tp>
      <tp t="s">
        <v>#N/A N/A</v>
        <stp/>
        <stp>BADDPERIODS|18100655582194701097</stp>
        <tr r="Q4" s="19"/>
      </tp>
      <tp t="s">
        <v>#N/A N/A</v>
        <stp/>
        <stp>BADDPERIODS|14506066781326898801</stp>
        <tr r="O17" s="19"/>
      </tp>
      <tp t="s">
        <v>#N/A N/A</v>
        <stp/>
        <stp>BADDPERIODS|15996379468512405066</stp>
        <tr r="Q7" s="19"/>
      </tp>
      <tp t="s">
        <v>#N/A N/A</v>
        <stp/>
        <stp>BADDPERIODS|17159678132589689943</stp>
        <tr r="F13" s="19"/>
      </tp>
      <tp t="s">
        <v>#N/A N/A</v>
        <stp/>
        <stp>BDH|11253768240423970709</stp>
        <tr r="K9" s="15"/>
      </tp>
      <tp t="s">
        <v>#N/A N/A</v>
        <stp/>
        <stp>BDH|14251356628632466164</stp>
        <tr r="C14" s="15"/>
      </tp>
      <tp t="s">
        <v>#N/A N/A</v>
        <stp/>
        <stp>BDP|12078114379486804584</stp>
        <tr r="J20" s="15"/>
        <tr r="P26" s="15"/>
      </tp>
      <tp t="s">
        <v>#N/A N/A</v>
        <stp/>
        <stp>BDP|11760620821843702191</stp>
        <tr r="J25" s="15"/>
      </tp>
      <tp t="s">
        <v>#N/A N/A</v>
        <stp/>
        <stp>BDP|13708005801991483512</stp>
        <tr r="P14" s="15"/>
        <tr r="J8" s="15"/>
      </tp>
      <tp t="s">
        <v>#N/A N/A</v>
        <stp/>
        <stp>BDP|14877795644962631268</stp>
        <tr r="D7" s="15"/>
        <tr r="J26" s="15"/>
      </tp>
      <tp t="s">
        <v>#N/A N/A</v>
        <stp/>
        <stp>BADDPERIODS|14398765348540804486</stp>
        <tr r="H8" s="19"/>
      </tp>
      <tp t="s">
        <v>#N/A N/A</v>
        <stp/>
        <stp>BADDPERIODS|13300040647695501180</stp>
        <tr r="F20" s="19"/>
      </tp>
      <tp t="s">
        <v>#N/A N/A</v>
        <stp/>
        <stp>BDH|14396256275456938099</stp>
        <tr r="C21" s="15"/>
      </tp>
      <tp t="s">
        <v>#N/A N/A</v>
        <stp/>
        <stp>BADDPERIODS|11805256823150046215</stp>
        <tr r="H4" s="19"/>
      </tp>
      <tp t="s">
        <v>#N/A N/A</v>
        <stp/>
        <stp>BADDPERIODS|13868157721914468704</stp>
        <tr r="Z45" s="19"/>
      </tp>
      <tp t="s">
        <v>#N/A N/A</v>
        <stp/>
        <stp>BADDPERIODS|10502790865973333121</stp>
        <tr r="H22" s="19"/>
      </tp>
      <tp t="s">
        <v>#N/A N/A</v>
        <stp/>
        <stp>BADDPERIODS|10351083072694625071</stp>
        <tr r="Z44" s="19"/>
      </tp>
      <tp t="s">
        <v>#N/A N/A</v>
        <stp/>
        <stp>BADDPERIODS|12365558046131083186</stp>
        <tr r="O39" s="19"/>
      </tp>
      <tp t="s">
        <v>#N/A N/A</v>
        <stp/>
        <stp>BDH|17306424739911411652</stp>
        <tr r="O25" s="15"/>
      </tp>
      <tp t="s">
        <v>#N/A N/A</v>
        <stp/>
        <stp>BADDPERIODS|15289682578135404232</stp>
        <tr r="F4" s="19"/>
      </tp>
      <tp t="s">
        <v>#N/A N/A</v>
        <stp/>
        <stp>BADDPERIODS|12046042866775318240</stp>
        <tr r="F8" s="19"/>
      </tp>
      <tp t="s">
        <v>#N/A N/A</v>
        <stp/>
        <stp>BADDPERIODS|11553430397166753930</stp>
        <tr r="X26" s="19"/>
      </tp>
      <tp t="s">
        <v>#N/A N/A</v>
        <stp/>
        <stp>BADDPERIODS|11182339915992015211</stp>
        <tr r="O12" s="19"/>
      </tp>
      <tp t="s">
        <v>#N/A N/A</v>
        <stp/>
        <stp>BADDPERIODS|15976388738565829316</stp>
        <tr r="O27" s="19"/>
      </tp>
      <tp t="s">
        <v>#N/A N/A</v>
        <stp/>
        <stp>BADDPERIODS|15767400352207648036</stp>
        <tr r="Z42" s="19"/>
      </tp>
      <tp t="s">
        <v>#N/A N/A</v>
        <stp/>
        <stp>BDH|14460734748160591056</stp>
        <tr r="C16" s="15"/>
      </tp>
      <tp t="s">
        <v>#N/A N/A</v>
        <stp/>
        <stp>BDH|17349188654491031510</stp>
        <tr r="K16" s="15"/>
      </tp>
      <tp t="s">
        <v>#N/A N/A</v>
        <stp/>
        <stp>BDP|14246142642422477798</stp>
        <tr r="J7" s="15"/>
        <tr r="P13" s="15"/>
      </tp>
      <tp t="s">
        <v>#N/A N/A</v>
        <stp/>
        <stp>BDP|11836745799459221260</stp>
        <tr r="J19" s="15"/>
        <tr r="P25" s="15"/>
      </tp>
      <tp t="s">
        <v>#N/A N/A</v>
        <stp/>
        <stp>BDP|18007139043531189852</stp>
        <tr r="D18" s="15"/>
      </tp>
      <tp t="s">
        <v>#N/A Requesting Data...4284979404</v>
        <stp/>
        <stp>BADDPERIODS|16989473650461552674</stp>
        <tr r="U4" s="10"/>
      </tp>
      <tp t="s">
        <v>#N/A N/A</v>
        <stp/>
        <stp>BDH|13484506864165730170</stp>
        <tr r="C26" s="15"/>
      </tp>
      <tp t="s">
        <v>#N/A N/A</v>
        <stp/>
        <stp>BADDPERIODS|14265535381120937945</stp>
        <tr r="Q5" s="19"/>
      </tp>
      <tp t="s">
        <v>#N/A N/A</v>
        <stp/>
        <stp>BDH|12049411142901074700</stp>
        <tr r="K19" s="15"/>
      </tp>
      <tp t="s">
        <v>#N/A N/A</v>
        <stp/>
        <stp>BADDPERIODS|16381961431818925443</stp>
        <tr r="Z9" s="19"/>
      </tp>
      <tp t="s">
        <v>#N/A N/A</v>
        <stp/>
        <stp>BADDPERIODS|10176443156825017498</stp>
        <tr r="Q9" s="19"/>
      </tp>
      <tp t="s">
        <v>#N/A N/A</v>
        <stp/>
        <stp>BADDPERIODS|17330388092848243507</stp>
        <tr r="F29" s="19"/>
      </tp>
      <tp t="s">
        <v>#N/A N/A</v>
        <stp/>
        <stp>BADDPERIODS|16951227839871410621</stp>
        <tr r="Q29" s="19"/>
      </tp>
      <tp t="s">
        <v>#N/A N/A</v>
        <stp/>
        <stp>BADDPERIODS|11052368019170283395</stp>
        <tr r="Z33" s="19"/>
      </tp>
      <tp t="s">
        <v>#N/A N/A</v>
        <stp/>
        <stp>BADDPERIODS|13450520347575105764</stp>
        <tr r="X31" s="19"/>
      </tp>
      <tp t="s">
        <v>#N/A N/A</v>
        <stp/>
        <stp>BADDPERIODS|17051212950131417170</stp>
        <tr r="F28" s="19"/>
      </tp>
      <tp t="s">
        <v>#N/A N/A</v>
        <stp/>
        <stp>BADDPERIODS|16942390129437816024</stp>
        <tr r="Z35" s="19"/>
      </tp>
    </main>
    <main first="bofaddin.rtdserver">
      <tp t="s">
        <v>#N/A Requesting Data...1971773213</v>
        <stp/>
        <stp>BDP|10765120869001386365</stp>
        <tr r="W23" s="9"/>
        <tr r="W23" s="9"/>
      </tp>
      <tp t="s">
        <v>#N/A Requesting Data...4170567094</v>
        <stp/>
        <stp>BDP|17739613369894687638</stp>
        <tr r="W15" s="9"/>
        <tr r="W15" s="9"/>
      </tp>
      <tp t="s">
        <v>#N/A N/A</v>
        <stp/>
        <stp>BDH|13620085667164126488</stp>
        <tr r="O23" s="15"/>
      </tp>
      <tp t="s">
        <v>#N/A N/A</v>
        <stp/>
        <stp>BADDPERIODS|17254013490148697783</stp>
        <tr r="O11" s="19"/>
      </tp>
      <tp t="s">
        <v>#N/A N/A</v>
        <stp/>
        <stp>BADDPERIODS|15143676319400567377</stp>
        <tr r="X17" s="19"/>
      </tp>
      <tp t="s">
        <v>#N/A N/A</v>
        <stp/>
        <stp>BADDPERIODS|15069363549650001305</stp>
        <tr r="H45" s="19"/>
      </tp>
      <tp t="s">
        <v>#N/A N/A</v>
        <stp/>
        <stp>BADDPERIODS|11082502548808166961</stp>
        <tr r="H24" s="19"/>
      </tp>
      <tp t="s">
        <v>#N/A N/A</v>
        <stp/>
        <stp>BADDPERIODS|16254599607717454517</stp>
        <tr r="H13" s="19"/>
      </tp>
      <tp t="s">
        <v>#N/A N/A</v>
        <stp/>
        <stp>BADDPERIODS|10016118241583019799</stp>
        <tr r="X15" s="19"/>
      </tp>
      <tp t="s">
        <v>#N/A N/A</v>
        <stp/>
        <stp>BDH|11134334920897568200</stp>
        <tr r="I7" s="15"/>
      </tp>
      <tp t="s">
        <v>#N/A N/A</v>
        <stp/>
        <stp>BDH|14531652777608238822</stp>
        <tr r="E13" s="15"/>
      </tp>
      <tp t="s">
        <v>#N/A N/A</v>
        <stp/>
        <stp>BDH|16596733932950885753</stp>
        <tr r="C15" s="15"/>
      </tp>
      <tp t="s">
        <v>#N/A N/A</v>
        <stp/>
        <stp>BADDPERIODS|18021620226104701956</stp>
        <tr r="Z38" s="19"/>
      </tp>
      <tp t="s">
        <v>#N/A N/A</v>
        <stp/>
        <stp>BADDPERIODS|18120420534167022900</stp>
        <tr r="X43" s="19"/>
      </tp>
      <tp t="s">
        <v>#N/A N/A</v>
        <stp/>
        <stp>BADDPERIODS|15991196461202960185</stp>
        <tr r="X14" s="19"/>
      </tp>
      <tp t="s">
        <v>#N/A N/A</v>
        <stp/>
        <stp>BADDPERIODS|12869212260143925404</stp>
        <tr r="F38" s="19"/>
      </tp>
      <tp t="s">
        <v>#N/A N/A</v>
        <stp/>
        <stp>BADDPERIODS|13522806113339417238</stp>
        <tr r="F6" s="19"/>
      </tp>
      <tp t="s">
        <v>#N/A N/A</v>
        <stp/>
        <stp>BADDPERIODS|11340131210202274237</stp>
        <tr r="H40" s="19"/>
      </tp>
      <tp t="s">
        <v>#N/A N/A</v>
        <stp/>
        <stp>BADDPERIODS|12665407654735400757</stp>
        <tr r="Z40" s="19"/>
      </tp>
    </main>
    <main first="bofaddin.rtdserver">
      <tp t="s">
        <v>#N/A N/A</v>
        <stp/>
        <stp>BQL.DATE|16398455366880851508</stp>
        <tr r="Q16" s="19"/>
      </tp>
      <tp t="s">
        <v>#N/A N/A</v>
        <stp/>
        <stp>BQL.DATE|14120339152063373086</stp>
        <tr r="O9" s="19"/>
        <tr r="X15" s="19"/>
      </tp>
      <tp t="s">
        <v>#N/A N/A</v>
        <stp/>
        <stp>BQL.DATE|10598852834962909818</stp>
        <tr r="H19" s="19"/>
        <tr r="Z43" s="19"/>
        <tr r="Q37" s="19"/>
      </tp>
      <tp t="s">
        <v>#N/A N/A</v>
        <stp/>
        <stp>BQL.DATE|16608390116803165784</stp>
        <tr r="O12" s="19"/>
        <tr r="X18" s="19"/>
      </tp>
      <tp t="s">
        <v>#N/A N/A</v>
        <stp/>
        <stp>BQL.DATE|15961670465952975702</stp>
        <tr r="F43" s="19"/>
      </tp>
      <tp t="s">
        <v>#N/A N/A</v>
        <stp/>
        <stp>BQL.DATE|13327916886907335509</stp>
        <tr r="H12" s="19"/>
        <tr r="Z36" s="19"/>
      </tp>
      <tp t="e">
        <v>#N/A</v>
        <stp/>
        <stp>BQL.LIST|11830199366387242613</stp>
        <tr r="T3" s="14"/>
      </tp>
      <tp t="s">
        <v>#N/A N/A</v>
        <stp/>
        <stp>BQL.DATE|17930127011467700350</stp>
        <tr r="H21" s="19"/>
      </tp>
      <tp t="s">
        <v>#N/A N/A</v>
        <stp/>
        <stp>BQL.DATE|16999067291909466500</stp>
        <tr r="X21" s="19"/>
        <tr r="O15" s="19"/>
      </tp>
      <tp t="s">
        <v>#N/A N/A</v>
        <stp/>
        <stp>BQL.DATE|11249262329823624194</stp>
        <tr r="F22" s="19"/>
        <tr r="O40" s="19"/>
      </tp>
      <tp t="s">
        <v>#N/A N/A</v>
        <stp/>
        <stp>BQL.DATE|11379377456655233152</stp>
        <tr r="F27" s="19"/>
        <tr r="X44" s="19"/>
      </tp>
      <tp t="s">
        <v>#N/A N/A</v>
        <stp/>
        <stp>BQL.DATE|15755973699153775593</stp>
        <tr r="Q45" s="19"/>
      </tp>
      <tp t="s">
        <v>#N/A N/A</v>
        <stp/>
        <stp>BQL.DATE|11682713475280271388</stp>
        <tr r="Z14" s="19"/>
      </tp>
      <tp t="s">
        <v>#N/A N/A</v>
        <stp/>
        <stp>BQL.DATE|10369090564692393677</stp>
        <tr r="H5" s="19"/>
        <tr r="Z29" s="19"/>
        <tr r="Q23" s="19"/>
      </tp>
      <tp t="s">
        <v>#N/A N/A</v>
        <stp/>
        <stp>BQL.DATE|12685587663301535266</stp>
        <tr r="H10" s="19"/>
        <tr r="Q28" s="19"/>
        <tr r="Z34" s="19"/>
      </tp>
      <tp t="s">
        <v>#N/A N/A</v>
        <stp/>
        <stp>BQL.DATE|10436285650627097297</stp>
        <tr r="H8" s="19"/>
        <tr r="Q26" s="19"/>
        <tr r="Z32" s="19"/>
      </tp>
      <tp t="s">
        <v>#N/A N/A</v>
        <stp/>
        <stp>BQL.DATE|15528163759127744376</stp>
        <tr r="K5" s="10"/>
        <tr r="B4" s="10"/>
        <tr r="B5" s="10"/>
        <tr r="N70" s="9"/>
        <tr r="G5" s="12"/>
        <tr r="F5" s="12"/>
      </tp>
      <tp t="s">
        <v>#N/A N/A</v>
        <stp/>
        <stp>BQL.DATE|11065627121481276151</stp>
        <tr r="Q5" s="19"/>
        <tr r="Z11" s="19"/>
      </tp>
      <tp t="s">
        <v>#N/A N/A</v>
        <stp/>
        <stp>BQL.DATE|12194012744976573579</stp>
        <tr r="Q27" s="19"/>
      </tp>
      <tp t="s">
        <v>#N/A N/A</v>
        <stp/>
        <stp>BQL.DATE|11371474618483741307</stp>
        <tr r="H22" s="19"/>
        <tr r="Q40" s="19"/>
      </tp>
      <tp t="s">
        <v>#N/A N/A</v>
        <stp/>
        <stp>BQL.DATE|17167627054171982151</stp>
        <tr r="O5" s="12"/>
        <tr r="U16" s="8"/>
        <tr r="B64" s="10"/>
        <tr r="B63" s="10"/>
        <tr r="K64" s="10"/>
        <tr r="B45" s="8"/>
        <tr r="N5" s="12"/>
      </tp>
      <tp t="s">
        <v>#N/A N/A</v>
        <stp/>
        <stp>BQL.DATE|10870238176475408433</stp>
        <tr r="F19" s="19"/>
        <tr r="O37" s="19"/>
        <tr r="X43" s="19"/>
      </tp>
      <tp t="s">
        <v>#N/A N/A</v>
        <stp/>
        <stp>BQL.DATE|17806408132480770403</stp>
        <tr r="F39" s="19"/>
        <tr r="X45" s="19"/>
      </tp>
      <tp t="s">
        <v>#N/A N/A</v>
        <stp/>
        <stp>BQL.DATE|14766636344247894568</stp>
        <tr r="X25" s="19"/>
        <tr r="O19" s="19"/>
      </tp>
      <tp t="s">
        <v>#N/A N/A</v>
        <stp/>
        <stp>BQL.DATE|12383040340815135757</stp>
        <tr r="X10" s="19"/>
        <tr r="O4" s="19"/>
      </tp>
      <tp t="s">
        <v>#N/A N/A</v>
        <stp/>
        <stp>BQL.DATE|10945453976781836535</stp>
        <tr r="Q14" s="19"/>
        <tr r="Z20" s="19"/>
      </tp>
      <tp t="s">
        <v>#N/A N/A</v>
        <stp/>
        <stp>BQL.DATE|16647501627404719269</stp>
        <tr r="Z6" s="19"/>
      </tp>
      <tp t="s">
        <v>#N/A N/A</v>
        <stp/>
        <stp>BQL.DATE|10352436921269216863</stp>
        <tr r="F5" s="19"/>
        <tr r="O23" s="19"/>
        <tr r="X29" s="19"/>
      </tp>
      <tp t="s">
        <v>#N/A N/A</v>
        <stp/>
        <stp>BQL.DATE|10538451020521095067</stp>
        <tr r="Z7" s="19"/>
      </tp>
      <tp t="s">
        <v>#N/A N/A</v>
        <stp/>
        <stp>BQL.DATE|16777724865116970714</stp>
        <tr r="X5" s="19"/>
      </tp>
      <tp t="s">
        <v>#N/A N/A</v>
        <stp/>
        <stp>BQL.DATE|15415024097188314290</stp>
        <tr r="Q11" s="19"/>
        <tr r="Z17" s="19"/>
      </tp>
      <tp t="s">
        <v>#N/A N/A</v>
        <stp/>
        <stp>BQL.DATE|10646396072235445730</stp>
        <tr r="H29" s="19"/>
      </tp>
      <tp t="s">
        <v>#N/A N/A</v>
        <stp/>
        <stp>BQL.DATE|17873632715275585360</stp>
        <tr r="X7" s="19"/>
      </tp>
      <tp t="s">
        <v>#N/A N/A</v>
        <stp/>
        <stp>BQL.DATE|14156083637803568276</stp>
        <tr r="F37" s="19"/>
      </tp>
      <tp t="s">
        <v>#N/A N/A</v>
        <stp/>
        <stp>BQL.DATE|16516473865861991310</stp>
        <tr r="F4" s="19"/>
        <tr r="O22" s="19"/>
        <tr r="X28" s="19"/>
      </tp>
      <tp t="s">
        <v>#N/A N/A</v>
        <stp/>
        <stp>BQL.DATE|17050670763728690961</stp>
        <tr r="F36" s="19"/>
      </tp>
      <tp t="s">
        <v>#N/A N/A</v>
        <stp/>
        <stp>BQL.DATE|13497799067434809052</stp>
        <tr r="Q44" s="19"/>
      </tp>
      <tp t="e">
        <v>#N/A</v>
        <stp/>
        <stp>BQL.LIST|12091518896216640607</stp>
        <tr r="L3" s="14"/>
      </tp>
      <tp t="s">
        <v>#N/A N/A</v>
        <stp/>
        <stp>BQL.DATE|15196480742089318404</stp>
        <tr r="F8" s="19"/>
        <tr r="X32" s="19"/>
        <tr r="O26" s="19"/>
      </tp>
      <tp t="s">
        <v>#N/A N/A</v>
        <stp/>
        <stp>BQL.DATE|17766204419635655957</stp>
        <tr r="Q30" s="19"/>
      </tp>
      <tp t="s">
        <v>#N/A N/A</v>
        <stp/>
        <stp>BQL.DATE|10916724453942421824</stp>
        <tr r="Q17" s="19"/>
        <tr r="Z23" s="19"/>
      </tp>
      <tp t="s">
        <v>#N/A N/A</v>
        <stp/>
        <stp>BQL.DATE|11572578020926662845</stp>
        <tr r="Q9" s="19"/>
        <tr r="Z15" s="19"/>
      </tp>
      <tp t="s">
        <v>#N/A N/A</v>
        <stp/>
        <stp>BQL.DATE|12884535213587190991</stp>
        <tr r="O45" s="19"/>
      </tp>
      <tp t="s">
        <v>#N/A N/A</v>
        <stp/>
        <stp>BQL.DATE|14717331590044034249</stp>
        <tr r="H20" s="19"/>
        <tr r="Q38" s="19"/>
      </tp>
      <tp t="s">
        <v>#N/A N/A</v>
        <stp/>
        <stp>BQL.DATE|12063503248312927953</stp>
        <tr r="H36" s="19"/>
      </tp>
      <tp t="s">
        <v>#N/A N/A</v>
        <stp/>
        <stp>BQL.DATE|10752627962260363820</stp>
        <tr r="H4" s="19"/>
        <tr r="Z28" s="19"/>
      </tp>
      <tp t="s">
        <v>#N/A N/A</v>
        <stp/>
        <stp>BQL.DATE|12511845548402278722</stp>
        <tr r="H25" s="19"/>
        <tr r="Q43" s="19"/>
      </tp>
      <tp t="s">
        <v>#N/A N/A</v>
        <stp/>
        <stp>BQL.DATE|16426978376123159052</stp>
        <tr r="Q22" s="19"/>
      </tp>
      <tp t="s">
        <v>#N/A N/A</v>
        <stp/>
        <stp>BQL.DATE|10891742585197881344</stp>
        <tr r="H42" s="19"/>
      </tp>
      <tp t="s">
        <v>#N/A N/A</v>
        <stp/>
        <stp>BQL.DATE|15752943273792220382</stp>
        <tr r="Z10" s="19"/>
      </tp>
      <tp t="s">
        <v>#N/A N/A</v>
        <stp/>
        <stp>BQL.DATE|12447433054528072197</stp>
        <tr r="F34" s="19"/>
      </tp>
      <tp t="s">
        <v>#N/A N/A</v>
        <stp/>
        <stp>BQL.DATE|11959398345294228843</stp>
        <tr r="F31" s="19"/>
      </tp>
      <tp t="s">
        <v>#N/A N/A</v>
        <stp/>
        <stp>BQL.DATE|17704454095160066056</stp>
        <tr r="H45" s="19"/>
      </tp>
      <tp t="s">
        <v>#N/A N/A</v>
        <stp/>
        <stp>BQL.DATE|11446215609938077191</stp>
        <tr r="Z8" s="19"/>
      </tp>
      <tp t="s">
        <v>#N/A N/A</v>
        <stp/>
        <stp>BQL.DATE|12751415877624956804</stp>
        <tr r="H18" s="19"/>
        <tr r="Z42" s="19"/>
        <tr r="Q36" s="19"/>
      </tp>
      <tp t="s">
        <v>#N/A N/A</v>
        <stp/>
        <stp>BQL.DATE|10760497464636544940</stp>
        <tr r="Z16" s="19"/>
      </tp>
      <tp t="s">
        <v>#N/A N/A</v>
        <stp/>
        <stp>BQL.DATE|15944208386711746377</stp>
        <tr r="Z24" s="19"/>
      </tp>
      <tp t="s">
        <v>#N/A N/A</v>
        <stp/>
        <stp>BQL.DATE|18000168521366204057</stp>
        <tr r="X8" s="19"/>
      </tp>
      <tp t="s">
        <v>#N/A N/A</v>
        <stp/>
        <stp>BQL.DATE|18306213676071781115</stp>
        <tr r="Z5" s="19"/>
      </tp>
      <tp t="s">
        <v>#N/A N/A</v>
        <stp/>
        <stp>BQL.DATE|13151071590840019546</stp>
        <tr r="O5" s="19"/>
        <tr r="X11" s="19"/>
      </tp>
      <tp t="s">
        <v>#N/A N/A</v>
        <stp/>
        <stp>BQL.DATE|17121806165256701195</stp>
        <tr r="Q34" s="19"/>
      </tp>
      <tp t="s">
        <v>#N/A N/A</v>
        <stp/>
        <stp>BQL.DATE|15852836470933847797</stp>
        <tr r="Z19" s="19"/>
      </tp>
    </main>
    <main first="bofaddin.rtdserver">
      <tp t="s">
        <v>#N/A N/A</v>
        <stp/>
        <stp>BCOUNTPERIODS|85549148982621723</stp>
        <tr r="D100" s="12"/>
      </tp>
    </main>
    <main first="bofaddin.rtdserver">
      <tp t="s">
        <v>#N/A N/A</v>
        <stp/>
        <stp>BCOUNTPERIODS|73439719884894991</stp>
        <tr r="R28" s="15"/>
      </tp>
    </main>
    <main first="bofaddin.rtdserver">
      <tp t="s">
        <v>#N/A N/A</v>
        <stp/>
        <stp>BCOUNTPERIODS|82021627479371440</stp>
        <tr r="P6" s="19"/>
      </tp>
    </main>
    <main first="bofaddin.rtdserver">
      <tp t="s">
        <v>#N/A N/A</v>
        <stp/>
        <stp>BCOUNTPERIODS|11158518015199758519</stp>
        <tr r="W35" s="19"/>
      </tp>
      <tp t="s">
        <v>#N/A N/A</v>
        <stp/>
        <stp>BCOUNTPERIODS|11134195828639353217</stp>
        <tr r="W24" s="19"/>
      </tp>
      <tp t="s">
        <v>#N/A N/A</v>
        <stp/>
        <stp>BCOUNTPERIODS|10562741914777098827</stp>
        <tr r="Y17" s="19"/>
      </tp>
      <tp t="s">
        <v>#N/A N/A</v>
        <stp/>
        <stp>BCOUNTPERIODS|10490760204897468950</stp>
        <tr r="N8" s="19"/>
      </tp>
      <tp t="s">
        <v>#N/A N/A</v>
        <stp/>
        <stp>BCOUNTPERIODS|18141098501161632095</stp>
        <tr r="G21" s="19"/>
      </tp>
      <tp t="s">
        <v>#N/A N/A</v>
        <stp/>
        <stp>BCOUNTPERIODS|14729025966663725811</stp>
        <tr r="G77" s="10"/>
      </tp>
      <tp t="s">
        <v>#N/A N/A</v>
        <stp/>
        <stp>BCOUNTPERIODS|15889984046249897851</stp>
        <tr r="R15" s="15"/>
      </tp>
      <tp t="s">
        <v>#N/A N/A</v>
        <stp/>
        <stp>BCOUNTPERIODS|14157796192665608655</stp>
        <tr r="G138" s="10"/>
      </tp>
      <tp t="s">
        <v>#N/A N/A</v>
        <stp/>
        <stp>BCOUNTPERIODS|18251118703069047999</stp>
        <tr r="Y5" s="19"/>
      </tp>
      <tp t="s">
        <v>#N/A N/A</v>
        <stp/>
        <stp>BCOUNTPERIODS|10695972109948495843</stp>
        <tr r="L16" s="15"/>
      </tp>
      <tp t="s">
        <v>#N/A N/A</v>
        <stp/>
        <stp>BCOUNTPERIODS|18011943388248630841</stp>
        <tr r="Y27" s="19"/>
      </tp>
      <tp t="s">
        <v>#N/A N/A</v>
        <stp/>
        <stp>BDH|2984963870163326369</stp>
        <tr r="C18" s="15"/>
      </tp>
      <tp t="s">
        <v>#N/A N/A</v>
        <stp/>
        <stp>BDP|9994619804636627520</stp>
        <tr r="J24" s="15"/>
      </tp>
      <tp t="s">
        <v>#N/A N/A</v>
        <stp/>
        <stp>BDH|2533862009627068152</stp>
        <tr r="K14" s="15"/>
      </tp>
      <tp t="s">
        <v>#N/A N/A</v>
        <stp/>
        <stp>BDH|2052689489402451261</stp>
        <tr r="E20" s="15"/>
      </tp>
      <tp t="s">
        <v>#N/A N/A</v>
        <stp/>
        <stp>BDH|6164692964009325394</stp>
        <tr r="Q10" s="15"/>
      </tp>
      <tp t="s">
        <v>#N/A N/A</v>
        <stp/>
        <stp>BDH|5008996560072733481</stp>
        <tr r="C22" s="15"/>
      </tp>
      <tp t="s">
        <v>#N/A N/A</v>
        <stp/>
        <stp>BDP|2499041230658621515</stp>
        <tr r="D14" s="15"/>
      </tp>
      <tp t="s">
        <v>#N/A N/A</v>
        <stp/>
        <stp>BQL.DATE|1079036374420043839</stp>
        <tr r="O17" s="19"/>
        <tr r="X23" s="19"/>
      </tp>
      <tp t="s">
        <v>#N/A N/A</v>
        <stp/>
        <stp>BQL.DATE|4686253581571110172</stp>
        <tr r="O6" s="19"/>
        <tr r="X12" s="19"/>
      </tp>
      <tp t="s">
        <v>#N/A N/A</v>
        <stp/>
        <stp>BQL.DATE|9351368062375540747</stp>
        <tr r="W5" s="12"/>
        <tr r="V5" s="12"/>
        <tr r="Z16" s="8"/>
        <tr r="B123" s="10"/>
        <tr r="K124" s="10"/>
        <tr r="B124" s="10"/>
        <tr r="B45" s="8"/>
      </tp>
      <tp t="s">
        <v>#N/A N/A</v>
        <stp/>
        <stp>BQL.DATE|3664702779358205549</stp>
        <tr r="H17" s="19"/>
        <tr r="Z41" s="19"/>
      </tp>
    </main>
    <main first="bofaddin.rtdserver">
      <tp t="s">
        <v>#N/A N/A</v>
        <stp/>
        <stp>BCOUNTPERIODS|18078019701196749671</stp>
        <tr r="G94" s="10"/>
      </tp>
      <tp t="s">
        <v>#N/A N/A</v>
        <stp/>
        <stp>BCOUNTPERIODS|14570464932619635214</stp>
        <tr r="G147" s="10"/>
      </tp>
      <tp t="s">
        <v>#N/A N/A</v>
        <stp/>
        <stp>BCOUNTPERIODS|11741974987761629976</stp>
        <tr r="Y21" s="19"/>
      </tp>
      <tp t="s">
        <v>#N/A N/A</v>
        <stp/>
        <stp>BCOUNTPERIODS|13757136183873167137</stp>
        <tr r="W9" s="19"/>
      </tp>
      <tp t="s">
        <v>#N/A N/A</v>
        <stp/>
        <stp>BCOUNTPERIODS|18441715423514358114</stp>
        <tr r="G66" s="10"/>
      </tp>
      <tp t="s">
        <v>#N/A N/A</v>
        <stp/>
        <stp>BCOUNTPERIODS|13105281446788159509</stp>
        <tr r="Y31" s="19"/>
      </tp>
      <tp t="s">
        <v>#N/A N/A</v>
        <stp/>
        <stp>BQL|3865146653173552986</stp>
        <tr r="V5" s="12"/>
      </tp>
      <tp t="s">
        <v>#N/A N/A</v>
        <stp/>
        <stp>BCOUNTPERIODS|10115002499312371374</stp>
        <tr r="P33" s="19"/>
      </tp>
      <tp t="s">
        <v>#N/A N/A</v>
        <stp/>
        <stp>BDP|3114733849868084502</stp>
        <tr r="D17" s="15"/>
      </tp>
      <tp t="s">
        <v>#N/A N/A</v>
        <stp/>
        <stp>BDP|9056782555183369553</stp>
        <tr r="D9" s="15"/>
        <tr r="J28" s="15"/>
      </tp>
      <tp t="s">
        <v>#N/A N/A</v>
        <stp/>
        <stp>BDH|9051235673130498181</stp>
        <tr r="I13" s="15"/>
      </tp>
      <tp t="s">
        <v>#N/A N/A</v>
        <stp/>
        <stp>BDH|7664272132502021911</stp>
        <tr r="E22" s="15"/>
      </tp>
      <tp t="s">
        <v>#N/A N/A</v>
        <stp/>
        <stp>BDH|3435208452021010818</stp>
        <tr r="E14" s="15"/>
      </tp>
      <tp t="s">
        <v>#N/A N/A</v>
        <stp/>
        <stp>BDH|3171803529553409780</stp>
        <tr r="K13" s="15"/>
      </tp>
      <tp t="s">
        <v>#N/A N/A</v>
        <stp/>
        <stp>BDH|8911554207677914772</stp>
        <tr r="I16" s="15"/>
      </tp>
      <tp t="s">
        <v>#N/A N/A</v>
        <stp/>
        <stp>BQL.DATE|2293690745396684983</stp>
        <tr r="H15" s="19"/>
        <tr r="Z39" s="19"/>
        <tr r="Q33" s="19"/>
      </tp>
      <tp t="s">
        <v>#N/A N/A</v>
        <stp/>
        <stp>BQL.DATE|7601033461628656627</stp>
        <tr r="Q18" s="19"/>
      </tp>
      <tp t="s">
        <v>#N/A N/A</v>
        <stp/>
        <stp>BQL.DATE|8227045831276415248</stp>
        <tr r="Q35" s="19"/>
      </tp>
      <tp t="s">
        <v>#N/A N/A</v>
        <stp/>
        <stp>BQL.DATE|2136988242049990998</stp>
        <tr r="H13" s="19"/>
        <tr r="Q31" s="19"/>
        <tr r="Z37" s="19"/>
      </tp>
      <tp t="s">
        <v>#N/A N/A</v>
        <stp/>
        <stp>BCOUNTPERIODS|781988491035088874</stp>
        <tr r="P19" s="19"/>
      </tp>
      <tp t="s">
        <v>#N/A N/A</v>
        <stp/>
        <stp>BCOUNTPERIODS|393634400448857381</stp>
        <tr r="W42" s="19"/>
      </tp>
      <tp t="s">
        <v>#N/A N/A</v>
        <stp/>
        <stp>BCOUNTPERIODS|907490745898122574</stp>
        <tr r="P31" s="19"/>
      </tp>
      <tp t="s">
        <v>#N/A N/A</v>
        <stp/>
        <stp>BCOUNTPERIODS|616744684350068207</stp>
        <tr r="P101" s="10"/>
        <tr r="P98" s="10"/>
        <tr r="P79" s="10"/>
        <tr r="P103" s="10"/>
        <tr r="P84" s="10"/>
        <tr r="P70" s="10"/>
        <tr r="P76" s="10"/>
        <tr r="P95" s="10"/>
        <tr r="P86" s="10"/>
        <tr r="G103" s="10"/>
        <tr r="P85" s="10"/>
        <tr r="P72" s="10"/>
        <tr r="P96" s="10"/>
        <tr r="P87" s="10"/>
        <tr r="G105" s="10"/>
        <tr r="P99" s="10"/>
        <tr r="G104" s="10"/>
        <tr r="P77" s="10"/>
        <tr r="P102" s="10"/>
        <tr r="P94" s="10"/>
        <tr r="P100" s="10"/>
        <tr r="P89" s="10"/>
        <tr r="P81" s="10"/>
        <tr r="P88" s="10"/>
        <tr r="P75" s="10"/>
        <tr r="P78" s="10"/>
        <tr r="P107" s="10"/>
        <tr r="P68" s="10"/>
        <tr r="P71" s="10"/>
        <tr r="P67" s="10"/>
        <tr r="P69" s="10"/>
        <tr r="P80" s="10"/>
        <tr r="P105" s="10"/>
        <tr r="P74" s="10"/>
        <tr r="P92" s="10"/>
        <tr r="G107" s="10"/>
        <tr r="P104" s="10"/>
        <tr r="G106" s="10"/>
        <tr r="P91" s="10"/>
        <tr r="P90" s="10"/>
        <tr r="P73" s="10"/>
        <tr r="P82" s="10"/>
        <tr r="P93" s="10"/>
        <tr r="P83" s="10"/>
        <tr r="P66" s="10"/>
        <tr r="P97" s="10"/>
        <tr r="P106" s="10"/>
      </tp>
      <tp t="s">
        <v>#N/A N/A</v>
        <stp/>
        <stp>BCOUNTPERIODS|13747311488317803456</stp>
        <tr r="E40" s="19"/>
      </tp>
      <tp t="s">
        <v>#N/A N/A</v>
        <stp/>
        <stp>BCOUNTPERIODS|14500474015508702220</stp>
        <tr r="N43" s="19"/>
      </tp>
      <tp t="s">
        <v>#N/A N/A</v>
        <stp/>
        <stp>BCOUNTPERIODS|15908866675175947429</stp>
        <tr r="W19" s="19"/>
      </tp>
      <tp t="s">
        <v>#N/A N/A</v>
        <stp/>
        <stp>BCOUNTPERIODS|17462895719535692025</stp>
        <tr r="L14" s="15"/>
      </tp>
      <tp t="s">
        <v>#N/A N/A</v>
        <stp/>
        <stp>BCOUNTPERIODS|12983719093062281592</stp>
        <tr r="N21" s="19"/>
      </tp>
      <tp t="s">
        <v>#N/A N/A</v>
        <stp/>
        <stp>BCOUNTPERIODS|16244629228331677880</stp>
        <tr r="N38" s="19"/>
      </tp>
      <tp t="s">
        <v>#N/A N/A</v>
        <stp/>
        <stp>BCOUNTPERIODS|12062194022393535983</stp>
        <tr r="E10" s="19"/>
      </tp>
      <tp t="s">
        <v>#N/A N/A</v>
        <stp/>
        <stp>BQL|6370368568394087943</stp>
        <tr r="V3" s="14"/>
      </tp>
      <tp t="s">
        <v>#N/A N/A</v>
        <stp/>
        <stp>BCOUNTPERIODS|16052505433989806207</stp>
        <tr r="G157" s="10"/>
      </tp>
      <tp t="s">
        <v>#N/A N/A</v>
        <stp/>
        <stp>BCOUNTPERIODS|11002822803182228086</stp>
        <tr r="G38" s="10"/>
      </tp>
      <tp t="s">
        <v>#N/A N/A</v>
        <stp/>
        <stp>BCOUNTPERIODS|10207512908036560815</stp>
        <tr r="R21" s="15"/>
      </tp>
      <tp t="s">
        <v>#N/A N/A</v>
        <stp/>
        <stp>BCOUNTPERIODS|14067970809512217409</stp>
        <tr r="P37" s="19"/>
      </tp>
      <tp t="s">
        <v>#N/A N/A</v>
        <stp/>
        <stp>BDH|1140968498758605730</stp>
        <tr r="C10" s="15"/>
      </tp>
      <tp t="s">
        <v>#N/A N/A</v>
        <stp/>
        <stp>BDH|5283711781834362096</stp>
        <tr r="K15" s="15"/>
      </tp>
      <tp t="s">
        <v>#N/A N/A</v>
        <stp/>
        <stp>BDH|3532812588375441875</stp>
        <tr r="E25" s="15"/>
      </tp>
      <tp t="s">
        <v>#N/A Requesting Data...2592951224</v>
        <stp/>
        <stp>BDP|4779107544609116603</stp>
        <tr r="T22" s="9"/>
        <tr r="T22" s="9"/>
      </tp>
      <tp t="s">
        <v>#N/A N/A</v>
        <stp/>
        <stp>BDP|1840174619626295975</stp>
        <tr r="P9" s="15"/>
      </tp>
      <tp t="s">
        <v>#N/A N/A</v>
        <stp/>
        <stp>BDH|5290321700711267958</stp>
        <tr r="C12" s="15"/>
      </tp>
      <tp t="s">
        <v>#N/A N/A</v>
        <stp/>
        <stp>BDH|3851794586224515651</stp>
        <tr r="E11" s="15"/>
      </tp>
      <tp t="s">
        <v>#N/A N/A</v>
        <stp/>
        <stp>BQL.DATE|4635845570630796741</stp>
        <tr r="F28" s="19"/>
      </tp>
      <tp t="s">
        <v>#N/A N/A</v>
        <stp/>
        <stp>BQL.DATE|6550409157062082902</stp>
        <tr r="F41" s="19"/>
      </tp>
      <tp t="s">
        <v>#N/A N/A</v>
        <stp/>
        <stp>BQL.DATE|9453446549276466381</stp>
        <tr r="F7" s="19"/>
        <tr r="X31" s="19"/>
        <tr r="O25" s="19"/>
      </tp>
      <tp t="s">
        <v>#N/A N/A</v>
        <stp/>
        <stp>BQL.DATE|2892620466019188741</stp>
        <tr r="X17" s="19"/>
        <tr r="O11" s="19"/>
      </tp>
      <tp t="s">
        <v>#N/A N/A</v>
        <stp/>
        <stp>BQL.DATE|8187784300576792509</stp>
        <tr r="F18" s="19"/>
        <tr r="O36" s="19"/>
        <tr r="X42" s="19"/>
      </tp>
    </main>
    <main first="bofaddin.rtdserver">
      <tp t="s">
        <v>#N/A N/A</v>
        <stp/>
        <stp>BQL|9706714368445400233</stp>
        <tr r="W5" s="12"/>
      </tp>
      <tp t="s">
        <v>#N/A N/A</v>
        <stp/>
        <stp>BCOUNTPERIODS|12265231548359482796</stp>
        <tr r="G26" s="10"/>
      </tp>
      <tp t="s">
        <v>#N/A N/A</v>
        <stp/>
        <stp>BCOUNTPERIODS|10607638984072882625</stp>
        <tr r="E29" s="19"/>
      </tp>
      <tp t="s">
        <v>#N/A N/A</v>
        <stp/>
        <stp>BCOUNTPERIODS|11489082007248962382</stp>
        <tr r="F11" s="15"/>
      </tp>
      <tp t="s">
        <v>#N/A N/A</v>
        <stp/>
        <stp>BCOUNTPERIODS|12483124992107100783</stp>
        <tr r="L25" s="15"/>
      </tp>
      <tp t="s">
        <v>#N/A N/A</v>
        <stp/>
        <stp>BCOUNTPERIODS|12940748604536547901</stp>
        <tr r="G27" s="10"/>
      </tp>
      <tp t="s">
        <v>#N/A N/A</v>
        <stp/>
        <stp>BDH|9886356490079019560</stp>
        <tr r="K24" s="15"/>
      </tp>
      <tp t="s">
        <v>#N/A N/A</v>
        <stp/>
        <stp>BDH|2127616579155133952</stp>
        <tr r="E23" s="15"/>
      </tp>
      <tp t="s">
        <v>#N/A N/A</v>
        <stp/>
        <stp>BDP|7526424990963756617</stp>
        <tr r="J15" s="15"/>
        <tr r="P21" s="15"/>
      </tp>
      <tp t="s">
        <v>#N/A N/A</v>
        <stp/>
        <stp>BDH|2265168160813680975</stp>
        <tr r="O14" s="15"/>
      </tp>
      <tp t="s">
        <v>#N/A N/A</v>
        <stp/>
        <stp>BQL.DATE|2650201911705046927</stp>
        <tr r="Q10" s="19"/>
      </tp>
      <tp t="s">
        <v>#N/A N/A</v>
        <stp/>
        <stp>BQL.DATE|2402161323559466523</stp>
        <tr r="F30" s="19"/>
      </tp>
      <tp t="s">
        <v>#N/A N/A</v>
        <stp/>
        <stp>BQL.DATE|6565914465802242659</stp>
        <tr r="F11" s="19"/>
        <tr r="X35" s="19"/>
        <tr r="O29" s="19"/>
      </tp>
      <tp t="s">
        <v>#N/A N/A</v>
        <stp/>
        <stp>BQL.DATE|6988307787402916296</stp>
        <tr r="F44" s="19"/>
      </tp>
      <tp t="s">
        <v>#N/A N/A</v>
        <stp/>
        <stp>BCOUNTPERIODS|15466826631836004555</stp>
        <tr r="F10" s="15"/>
      </tp>
      <tp t="s">
        <v>#N/A Requesting Data...3384506606</v>
        <stp/>
        <stp>BQL|1542491072913039938</stp>
        <tr r="U18" s="10"/>
      </tp>
      <tp t="s">
        <v>#N/A N/A</v>
        <stp/>
        <stp>BCOUNTPERIODS|12541922667806461640</stp>
        <tr r="F26" s="15"/>
      </tp>
      <tp t="s">
        <v>#N/A N/A</v>
        <stp/>
        <stp>BCOUNTPERIODS|14923869288620064924</stp>
        <tr r="G92" s="10"/>
      </tp>
      <tp t="s">
        <v>#N/A N/A</v>
        <stp/>
        <stp>BCOUNTPERIODS|18091314273010371152</stp>
        <tr r="E7" s="19"/>
      </tp>
      <tp t="s">
        <v>#N/A N/A</v>
        <stp/>
        <stp>BCOUNTPERIODS|14951095318480116830</stp>
        <tr r="L27" s="15"/>
      </tp>
      <tp t="s">
        <v>#N/A N/A</v>
        <stp/>
        <stp>BCOUNTPERIODS|18397250032565997149</stp>
        <tr r="G13" s="10"/>
      </tp>
      <tp t="s">
        <v>#N/A N/A</v>
        <stp/>
        <stp>BCOUNTPERIODS|17221306489780335108</stp>
        <tr r="Y38" s="19"/>
      </tp>
      <tp t="s">
        <v>#N/A N/A</v>
        <stp/>
        <stp>BCOUNTPERIODS|13427493006182263862</stp>
        <tr r="G83" s="10"/>
      </tp>
      <tp t="s">
        <v>#N/A N/A</v>
        <stp/>
        <stp>BCOUNTPERIODS|12190352709768778441</stp>
        <tr r="G33" s="10"/>
      </tp>
      <tp t="s">
        <v>#N/A N/A</v>
        <stp/>
        <stp>BCOUNTPERIODS|16982949978404278199</stp>
        <tr r="G28" s="19"/>
      </tp>
      <tp t="s">
        <v>#N/A N/A</v>
        <stp/>
        <stp>BCOUNTPERIODS|16632897543707648044</stp>
        <tr r="E31" s="19"/>
      </tp>
      <tp t="s">
        <v>#N/A N/A</v>
        <stp/>
        <stp>BCOUNTPERIODS|16972371533733854883</stp>
        <tr r="P13" s="10"/>
        <tr r="P23" s="10"/>
        <tr r="P48" s="10"/>
        <tr r="P19" s="10"/>
        <tr r="P39" s="10"/>
        <tr r="P17" s="10"/>
        <tr r="P26" s="10"/>
        <tr r="P25" s="10"/>
        <tr r="P28" s="10"/>
        <tr r="P11" s="10"/>
        <tr r="P24" s="10"/>
        <tr r="P10" s="10"/>
        <tr r="P30" s="10"/>
        <tr r="G46" s="10"/>
        <tr r="P21" s="10"/>
        <tr r="P8" s="10"/>
        <tr r="P44" s="10"/>
        <tr r="G47" s="10"/>
        <tr r="P47" s="10"/>
        <tr r="P12" s="10"/>
        <tr r="P41" s="10"/>
        <tr r="G45" s="10"/>
        <tr r="P40" s="10"/>
        <tr r="P7" s="10"/>
        <tr r="P18" s="10"/>
        <tr r="P15" s="10"/>
        <tr r="P45" s="10"/>
        <tr r="G48" s="10"/>
        <tr r="P43" s="10"/>
        <tr r="P31" s="10"/>
        <tr r="P42" s="10"/>
        <tr r="P20" s="10"/>
        <tr r="P46" s="10"/>
        <tr r="P34" s="10"/>
        <tr r="P33" s="10"/>
        <tr r="P29" s="10"/>
        <tr r="P32" s="10"/>
        <tr r="P14" s="10"/>
        <tr r="P38" s="10"/>
        <tr r="P35" s="10"/>
        <tr r="P9" s="10"/>
        <tr r="P27" s="10"/>
        <tr r="P22" s="10"/>
        <tr r="P36" s="10"/>
        <tr r="P37" s="10"/>
        <tr r="P16" s="10"/>
      </tp>
      <tp t="s">
        <v>#N/A N/A</v>
        <stp/>
        <stp>BCOUNTPERIODS|10822966843972265229</stp>
        <tr r="G30" s="10"/>
      </tp>
      <tp t="s">
        <v>#N/A N/A</v>
        <stp/>
        <stp>BCOUNTPERIODS|17938200574698684774</stp>
        <tr r="Y34" s="19"/>
      </tp>
      <tp t="s">
        <v>#N/A N/A</v>
        <stp/>
        <stp>BDH|5995183207138636495</stp>
        <tr r="I26" s="15"/>
      </tp>
      <tp t="s">
        <v>#N/A N/A</v>
        <stp/>
        <stp>BDP|8647704492068454621</stp>
        <tr r="J9" s="15"/>
        <tr r="P15" s="15"/>
      </tp>
      <tp t="s">
        <v>#N/A N/A</v>
        <stp/>
        <stp>BDH|4462810391429746409</stp>
        <tr r="K21" s="15"/>
      </tp>
      <tp t="s">
        <v>#N/A N/A</v>
        <stp/>
        <stp>BDH|6758488112922898909</stp>
        <tr r="Q8" s="15"/>
      </tp>
      <tp t="s">
        <v>#N/A N/A</v>
        <stp/>
        <stp>BQL.DATE|2007447004584969884</stp>
        <tr r="Z18" s="19"/>
        <tr r="Q12" s="19"/>
      </tp>
      <tp t="s">
        <v>#N/A N/A</v>
        <stp/>
        <stp>BQL.DATE|4871372943229972078</stp>
        <tr r="F26" s="19"/>
      </tp>
      <tp t="s">
        <v>#N/A N/A</v>
        <stp/>
        <stp>BQL.DATE|4888468397767236423</stp>
        <tr r="H39" s="19"/>
        <tr r="Z45" s="19"/>
      </tp>
      <tp t="e">
        <v>#N/A</v>
        <stp/>
        <stp>BQL.LIST|4910691660720830615</stp>
        <tr r="J3" s="14"/>
      </tp>
      <tp t="s">
        <v>#N/A N/A</v>
        <stp/>
        <stp>BCOUNTPERIODS|214170128632006978</stp>
        <tr r="G150" s="10"/>
      </tp>
      <tp t="s">
        <v>#N/A N/A</v>
        <stp/>
        <stp>BCOUNTPERIODS|12818807064717562785</stp>
        <tr r="G137" s="10"/>
      </tp>
      <tp t="s">
        <v>#N/A N/A</v>
        <stp/>
        <stp>BCOUNTPERIODS|14625642097107443066</stp>
        <tr r="G40" s="10"/>
      </tp>
      <tp t="s">
        <v>#N/A N/A</v>
        <stp/>
        <stp>BCOUNTPERIODS|14046928413257215756</stp>
        <tr r="N17" s="19"/>
      </tp>
      <tp t="s">
        <v>#N/A N/A</v>
        <stp/>
        <stp>BCOUNTPERIODS|13076846660796950773</stp>
        <tr r="G81" s="10"/>
      </tp>
      <tp t="s">
        <v>#N/A N/A</v>
        <stp/>
        <stp>BCOUNTPERIODS|10234548052674755898</stp>
        <tr r="W31" s="19"/>
      </tp>
      <tp t="s">
        <v>#N/A N/A</v>
        <stp/>
        <stp>BCOUNTPERIODS|11396466680313474295</stp>
        <tr r="N24" s="19"/>
      </tp>
      <tp t="s">
        <v>#N/A N/A</v>
        <stp/>
        <stp>BQL|3015469764099115109</stp>
        <tr r="F5" s="12"/>
      </tp>
      <tp t="s">
        <v>#N/A N/A</v>
        <stp/>
        <stp>BCOUNTPERIODS|15859552866412201866</stp>
        <tr r="E6" s="19"/>
      </tp>
      <tp t="s">
        <v>#N/A N/A</v>
        <stp/>
        <stp>BCOUNTPERIODS|13401537191226120584</stp>
        <tr r="E21" s="19"/>
      </tp>
      <tp t="s">
        <v>#N/A N/A</v>
        <stp/>
        <stp>BCOUNTPERIODS|18259121725410951719</stp>
        <tr r="Y9" s="19"/>
      </tp>
      <tp t="s">
        <v>#N/A N/A</v>
        <stp/>
        <stp>BCOUNTPERIODS|12339138058309774330</stp>
        <tr r="N42" s="19"/>
      </tp>
      <tp t="s">
        <v>#N/A N/A</v>
        <stp/>
        <stp>BCOUNTPERIODS|17471077775474871826</stp>
        <tr r="N26" s="19"/>
      </tp>
      <tp t="s">
        <v>#N/A N/A</v>
        <stp/>
        <stp>BQL|5101325943432641969</stp>
        <tr r="L3" s="14"/>
      </tp>
      <tp t="s">
        <v>#N/A N/A</v>
        <stp/>
        <stp>BCOUNTPERIODS|11040443632863283984</stp>
        <tr r="P23" s="19"/>
      </tp>
      <tp t="s">
        <v>#N/A N/A</v>
        <stp/>
        <stp>BDH|6976154767350795876</stp>
        <tr r="E9" s="15"/>
      </tp>
      <tp t="s">
        <v>#N/A N/A</v>
        <stp/>
        <stp>BDH|1246312596497948511</stp>
        <tr r="Q16" s="15"/>
      </tp>
      <tp t="s">
        <v>#N/A N/A</v>
        <stp/>
        <stp>BDP|9424764970568561842</stp>
        <tr r="D25" s="15"/>
      </tp>
      <tp t="s">
        <v>#N/A N/A</v>
        <stp/>
        <stp>BDH|5888042781592497680</stp>
        <tr r="O11" s="15"/>
      </tp>
      <tp t="s">
        <v>#N/A N/A</v>
        <stp/>
        <stp>BQL.DATE|2078222447618771724</stp>
        <tr r="Q25" s="19"/>
      </tp>
      <tp t="s">
        <v>#N/A N/A</v>
        <stp/>
        <stp>BQL.DATE|6102029596056244236</stp>
        <tr r="F38" s="19"/>
      </tp>
      <tp t="s">
        <v>#N/A N/A</v>
        <stp/>
        <stp>BQL.DATE|6853771483567443536</stp>
        <tr r="F23" s="19"/>
        <tr r="O41" s="19"/>
      </tp>
      <tp t="s">
        <v>#N/A N/A</v>
        <stp/>
        <stp>BQL.DATE|5755231187885961140</stp>
        <tr r="F25" s="19"/>
        <tr r="O43" s="19"/>
      </tp>
      <tp t="s">
        <v>#N/A N/A</v>
        <stp/>
        <stp>BCOUNTPERIODS|591202031558805078</stp>
        <tr r="E36" s="19"/>
      </tp>
      <tp t="s">
        <v>#N/A N/A</v>
        <stp/>
        <stp>BCOUNTPERIODS|961613875801835961</stp>
        <tr r="L15" s="15"/>
      </tp>
      <tp t="s">
        <v>#N/A N/A</v>
        <stp/>
        <stp>BCOUNTPERIODS|12338234051492075820</stp>
        <tr r="G15" s="10"/>
      </tp>
      <tp t="s">
        <v>#N/A N/A</v>
        <stp/>
        <stp>BCOUNTPERIODS|11256635901391510948</stp>
        <tr r="N20" s="19"/>
      </tp>
      <tp t="s">
        <v>#N/A N/A</v>
        <stp/>
        <stp>BCOUNTPERIODS|13466307742513376854</stp>
        <tr r="N9" s="19"/>
      </tp>
      <tp t="s">
        <v>#N/A N/A</v>
        <stp/>
        <stp>BCOUNTPERIODS|14359898201942562198</stp>
        <tr r="P5" s="19"/>
      </tp>
      <tp t="s">
        <v>#N/A N/A</v>
        <stp/>
        <stp>BCOUNTPERIODS|17513519497604158076</stp>
        <tr r="E23" s="19"/>
      </tp>
      <tp t="s">
        <v>#N/A N/A</v>
        <stp/>
        <stp>BCOUNTPERIODS|13511117696550597422</stp>
        <tr r="W29" s="19"/>
      </tp>
      <tp t="s">
        <v>#N/A N/A</v>
        <stp/>
        <stp>BCOUNTPERIODS|10195875640977240400</stp>
        <tr r="G43" s="10"/>
      </tp>
      <tp t="s">
        <v>#N/A N/A</v>
        <stp/>
        <stp>BCOUNTPERIODS|12633791886067728556</stp>
        <tr r="G11" s="19"/>
      </tp>
      <tp t="s">
        <v>#N/A N/A</v>
        <stp/>
        <stp>BCOUNTPERIODS|12146322281323147590</stp>
        <tr r="E28" s="19"/>
      </tp>
      <tp t="s">
        <v>#N/A N/A</v>
        <stp/>
        <stp>BCOUNTPERIODS|13288994321566438166</stp>
        <tr r="G29" s="10"/>
      </tp>
      <tp t="s">
        <v>#N/A N/A</v>
        <stp/>
        <stp>BCOUNTPERIODS|10890503176188965588</stp>
        <tr r="F12" s="15"/>
      </tp>
      <tp t="s">
        <v>#N/A N/A</v>
        <stp/>
        <stp>BDH|9985621796278218446</stp>
        <tr r="K26" s="15"/>
      </tp>
      <tp t="s">
        <v>#N/A N/A</v>
        <stp/>
        <stp>BDP|5318455515313834951</stp>
        <tr r="J22" s="15"/>
        <tr r="P28" s="15"/>
      </tp>
      <tp t="s">
        <v>#N/A N/A</v>
        <stp/>
        <stp>BDH|8884965060379712456</stp>
        <tr r="I25" s="15"/>
      </tp>
      <tp t="s">
        <v>#N/A Requesting Data...3898093003</v>
        <stp/>
        <stp>BDP|5293816908470704718</stp>
        <tr r="W22" s="9"/>
        <tr r="W22" s="9"/>
      </tp>
      <tp t="s">
        <v>#N/A N/A</v>
        <stp/>
        <stp>BDH|8594873386491958303</stp>
        <tr r="O10" s="15"/>
      </tp>
      <tp t="s">
        <v>#N/A N/A</v>
        <stp/>
        <stp>BDH|2072378887415115639</stp>
        <tr r="Q18" s="15"/>
      </tp>
      <tp t="s">
        <v>#N/A N/A</v>
        <stp/>
        <stp>BDH|4814060304516845821</stp>
        <tr r="O21" s="15"/>
      </tp>
      <tp t="s">
        <v>#N/A N/A</v>
        <stp/>
        <stp>BQL.DATE|7581976637632739739</stp>
        <tr r="F6" s="19"/>
        <tr r="O24" s="19"/>
        <tr r="X30" s="19"/>
      </tp>
      <tp t="s">
        <v>#N/A N/A</v>
        <stp/>
        <stp>BQL.DATE|6294423921719465115</stp>
        <tr r="F32" s="19"/>
      </tp>
      <tp t="s">
        <v>#N/A N/A</v>
        <stp/>
        <stp>BQL.DATE|6427610876436002958</stp>
        <tr r="F35" s="19"/>
      </tp>
      <tp t="s">
        <v>#N/A N/A</v>
        <stp/>
        <stp>BQL.DATE|4909894525075537399</stp>
        <tr r="X9" s="19"/>
      </tp>
      <tp t="s">
        <v>#N/A N/A</v>
        <stp/>
        <stp>BQL.DATE|3994766047531570979</stp>
        <tr r="H16" s="19"/>
        <tr r="Z40" s="19"/>
      </tp>
      <tp t="s">
        <v>#N/A N/A</v>
        <stp/>
        <stp>BQL.DATE|869673947778315833</stp>
        <tr r="Q21" s="19"/>
        <tr r="Z27" s="19"/>
      </tp>
      <tp t="s">
        <v>#N/A N/A</v>
        <stp/>
        <stp>BCOUNTPERIODS|274364596516112664</stp>
        <tr r="N14" s="19"/>
      </tp>
      <tp t="s">
        <v>#N/A N/A</v>
        <stp/>
        <stp>BCOUNTPERIODS|411949575134197000</stp>
        <tr r="G156" s="10"/>
      </tp>
      <tp t="s">
        <v>#N/A N/A</v>
        <stp/>
        <stp>BCOUNTPERIODS|17920279388984656721</stp>
        <tr r="F27" s="15"/>
      </tp>
      <tp t="s">
        <v>#N/A N/A</v>
        <stp/>
        <stp>BCOUNTPERIODS|17144056814001030912</stp>
        <tr r="Y8" s="19"/>
      </tp>
      <tp t="s">
        <v>#N/A N/A</v>
        <stp/>
        <stp>BCOUNTPERIODS|12374683298742134120</stp>
        <tr r="E32" s="19"/>
      </tp>
      <tp t="s">
        <v>#N/A N/A</v>
        <stp/>
        <stp>BCOUNTPERIODS|10373896229837745320</stp>
        <tr r="G74" s="10"/>
      </tp>
      <tp t="s">
        <v>#N/A N/A</v>
        <stp/>
        <stp>BCOUNTPERIODS|12464150932008367660</stp>
        <tr r="P10" s="19"/>
      </tp>
      <tp t="s">
        <v>#N/A N/A</v>
        <stp/>
        <stp>BCOUNTPERIODS|15086909239884787555</stp>
        <tr r="G18" s="10"/>
      </tp>
      <tp t="s">
        <v>#N/A N/A</v>
        <stp/>
        <stp>BCOUNTPERIODS|15341138911118005385</stp>
        <tr r="N5" s="19"/>
      </tp>
      <tp t="s">
        <v>#N/A N/A</v>
        <stp/>
        <stp>BCOUNTPERIODS|15451223784827908653</stp>
        <tr r="W20" s="19"/>
      </tp>
      <tp t="s">
        <v>#N/A N/A</v>
        <stp/>
        <stp>BCOUNTPERIODS|12074805641738831877</stp>
        <tr r="Y11" s="19"/>
      </tp>
      <tp t="s">
        <v>#N/A N/A</v>
        <stp/>
        <stp>BDP|7906912610690713456</stp>
        <tr r="J16" s="15"/>
        <tr r="P22" s="15"/>
      </tp>
      <tp t="s">
        <v>#N/A N/A</v>
        <stp/>
        <stp>BDH|8939265055893615767</stp>
        <tr r="E21" s="15"/>
      </tp>
      <tp t="s">
        <v>#N/A N/A</v>
        <stp/>
        <stp>BDP|2386297093271604378</stp>
        <tr r="D10" s="15"/>
      </tp>
      <tp t="s">
        <v>#N/A N/A</v>
        <stp/>
        <stp>BDH|4207135589194985297</stp>
        <tr r="Q21" s="15"/>
      </tp>
      <tp t="s">
        <v>#N/A N/A</v>
        <stp/>
        <stp>BDH|7770702958047044914</stp>
        <tr r="Q26" s="15"/>
      </tp>
      <tp t="s">
        <v>#N/A N/A</v>
        <stp/>
        <stp>BDP|8490440533977947365</stp>
        <tr r="D23" s="15"/>
      </tp>
      <tp t="s">
        <v>#N/A N/A</v>
        <stp/>
        <stp>BDH|9514140146934779335</stp>
        <tr r="C9" s="15"/>
      </tp>
      <tp t="s">
        <v>#N/A Requesting Data...1321253292</v>
        <stp/>
        <stp>BDP|5055614693045288470</stp>
        <tr r="T18" s="9"/>
        <tr r="T18" s="9"/>
      </tp>
      <tp t="s">
        <v>#N/A N/A</v>
        <stp/>
        <stp>BDH|2231468954500588828</stp>
        <tr r="I22" s="15"/>
      </tp>
      <tp t="s">
        <v>#N/A N/A</v>
        <stp/>
        <stp>BDH|2265194622542468890</stp>
        <tr r="E27" s="15"/>
      </tp>
      <tp t="s">
        <v>#N/A N/A</v>
        <stp/>
        <stp>BQL.DATE|9263604277131560000</stp>
        <tr r="F45" s="19"/>
      </tp>
      <tp t="s">
        <v>#N/A N/A</v>
        <stp/>
        <stp>BQL.DATE|6679191989487545168</stp>
        <tr r="Q20" s="19"/>
        <tr r="Z26" s="19"/>
      </tp>
      <tp t="s">
        <v>#N/A N/A</v>
        <stp/>
        <stp>BQL.DATE|2243199774694911925</stp>
        <tr r="Q13" s="19"/>
      </tp>
      <tp t="s">
        <v>#N/A N/A</v>
        <stp/>
        <stp>BQL.DATE|3315899495523541837</stp>
        <tr r="Q15" s="19"/>
      </tp>
      <tp t="s">
        <v>#N/A N/A</v>
        <stp/>
        <stp>BQL.DATE|8137381463804459015</stp>
        <tr r="H9" s="19"/>
        <tr r="Z33" s="19"/>
      </tp>
      <tp t="s">
        <v>#N/A N/A</v>
        <stp/>
        <stp>BQL.DATE|720754503522901624</stp>
        <tr r="X13" s="19"/>
        <tr r="O7" s="19"/>
      </tp>
      <tp t="s">
        <v>#N/A N/A</v>
        <stp/>
        <stp>BQL.DATE|594557419922959522</stp>
        <tr r="H32" s="19"/>
      </tp>
      <tp t="s">
        <v>#N/A N/A</v>
        <stp/>
        <stp>BCOUNTPERIODS|110328438052724965</stp>
        <tr r="W32" s="19"/>
      </tp>
      <tp t="s">
        <v>#N/A N/A</v>
        <stp/>
        <stp>BQL|1014466227320580399</stp>
        <tr r="J3" s="14"/>
      </tp>
      <tp t="s">
        <v>#N/A N/A</v>
        <stp/>
        <stp>BCOUNTPERIODS|12712679931967889185</stp>
        <tr r="R22" s="15"/>
      </tp>
      <tp t="s">
        <v>#N/A N/A</v>
        <stp/>
        <stp>BCOUNTPERIODS|16339020601104945389</stp>
        <tr r="G38" s="19"/>
      </tp>
      <tp t="s">
        <v>#N/A N/A</v>
        <stp/>
        <stp>BQL|4043494551572717333</stp>
        <tr r="T3" s="14"/>
      </tp>
      <tp t="s">
        <v>#N/A N/A</v>
        <stp/>
        <stp>BCOUNTPERIODS|12692387165281441795</stp>
        <tr r="G99" s="10"/>
      </tp>
      <tp t="s">
        <v>#N/A N/A</v>
        <stp/>
        <stp>BCOUNTPERIODS|10852203530791969178</stp>
        <tr r="P14" s="19"/>
      </tp>
      <tp t="s">
        <v>#N/A N/A</v>
        <stp/>
        <stp>BCOUNTPERIODS|17642422142954329201</stp>
        <tr r="W17" s="19"/>
      </tp>
      <tp t="s">
        <v>#N/A N/A</v>
        <stp/>
        <stp>BCOUNTPERIODS|17806062496228422787</stp>
        <tr r="P44" s="19"/>
      </tp>
      <tp t="s">
        <v>#N/A N/A</v>
        <stp/>
        <stp>BCOUNTPERIODS|12083664642794899582</stp>
        <tr r="E12" s="19"/>
      </tp>
      <tp t="s">
        <v>#N/A N/A</v>
        <stp/>
        <stp>BCOUNTPERIODS|18187980355544940118</stp>
        <tr r="D103" s="12"/>
      </tp>
      <tp t="s">
        <v>#N/A N/A</v>
        <stp/>
        <stp>BCOUNTPERIODS|12594852381060337386</stp>
        <tr r="N23" s="19"/>
      </tp>
      <tp t="s">
        <v>#N/A N/A</v>
        <stp/>
        <stp>BCOUNTPERIODS|18367837073432869418</stp>
        <tr r="R18" s="15"/>
      </tp>
      <tp t="s">
        <v>#N/A N/A</v>
        <stp/>
        <stp>BCOUNTPERIODS|14507667029561570072</stp>
        <tr r="W37" s="19"/>
      </tp>
      <tp t="s">
        <v>#N/A N/A</v>
        <stp/>
        <stp>BCOUNTPERIODS|14919355761486497667</stp>
        <tr r="L9" s="15"/>
      </tp>
      <tp t="s">
        <v>#N/A N/A</v>
        <stp/>
        <stp>BCOUNTPERIODS|11792464655154259584</stp>
        <tr r="G76" s="10"/>
      </tp>
      <tp t="s">
        <v>#N/A N/A</v>
        <stp/>
        <stp>BCOUNTPERIODS|15514072055612095394</stp>
        <tr r="W10" s="19"/>
      </tp>
      <tp t="s">
        <v>#N/A N/A</v>
        <stp/>
        <stp>BCOUNTPERIODS|11019104459402490602</stp>
        <tr r="G34" s="19"/>
      </tp>
      <tp t="s">
        <v>#N/A N/A</v>
        <stp/>
        <stp>BDP|2025310729656778154</stp>
        <tr r="J14" s="15"/>
        <tr r="P20" s="15"/>
      </tp>
      <tp t="s">
        <v>#N/A N/A</v>
        <stp/>
        <stp>BDH|6942238115038718907</stp>
        <tr r="O19" s="15"/>
      </tp>
      <tp t="s">
        <v>#N/A N/A</v>
        <stp/>
        <stp>BDH|4556530719672149673</stp>
        <tr r="Q13" s="15"/>
      </tp>
      <tp t="s">
        <v>#N/A N/A</v>
        <stp/>
        <stp>BDH|8887057208499439585</stp>
        <tr r="I9" s="15"/>
      </tp>
      <tp t="s">
        <v>#N/A N/A</v>
        <stp/>
        <stp>BDH|7960549753607164438</stp>
        <tr r="K18" s="15"/>
      </tp>
      <tp t="s">
        <v>#N/A N/A</v>
        <stp/>
        <stp>BDH|4920260763453798789</stp>
        <tr r="C27" s="15"/>
      </tp>
      <tp t="s">
        <v>#N/A N/A</v>
        <stp/>
        <stp>BDH|1945431008215707424</stp>
        <tr r="O26" s="15"/>
      </tp>
      <tp t="s">
        <v>#N/A N/A</v>
        <stp/>
        <stp>BQL.DATE|9464853223640590557</stp>
        <tr r="F16" s="19"/>
        <tr r="X40" s="19"/>
        <tr r="O34" s="19"/>
      </tp>
      <tp t="s">
        <v>#N/A N/A</v>
        <stp/>
        <stp>BQL.DATE|9536119896067223067</stp>
        <tr r="Q39" s="19"/>
      </tp>
      <tp t="s">
        <v>#N/A N/A</v>
        <stp/>
        <stp>BQL.DATE|9230804112857800163</stp>
        <tr r="Z12" s="19"/>
        <tr r="Q6" s="19"/>
      </tp>
      <tp t="s">
        <v>#N/A N/A</v>
        <stp/>
        <stp>BCOUNTPERIODS|670114765004325781</stp>
        <tr r="E38" s="19"/>
      </tp>
      <tp t="s">
        <v>#N/A N/A</v>
        <stp/>
        <stp>BCOUNTPERIODS|722907441458877149</stp>
        <tr r="P27" s="19"/>
      </tp>
      <tp t="s">
        <v>#N/A N/A</v>
        <stp/>
        <stp>BCOUNTPERIODS|193493077343477441</stp>
        <tr r="G141" s="10"/>
      </tp>
      <tp t="s">
        <v>#N/A N/A</v>
        <stp/>
        <stp>BCOUNTPERIODS|240866279258114331</stp>
        <tr r="Y39" s="19"/>
      </tp>
      <tp t="s">
        <v>#N/A N/A</v>
        <stp/>
        <stp>BCOUNTPERIODS|12775133063830411502</stp>
        <tr r="G17" s="19"/>
      </tp>
      <tp t="s">
        <v>#N/A N/A</v>
        <stp/>
        <stp>BCOUNTPERIODS|12470195590702928850</stp>
        <tr r="G160" s="10"/>
      </tp>
      <tp t="s">
        <v>#N/A N/A</v>
        <stp/>
        <stp>BCOUNTPERIODS|16642860183102686425</stp>
        <tr r="G43" s="19"/>
      </tp>
      <tp t="s">
        <v>#N/A N/A</v>
        <stp/>
        <stp>BCOUNTPERIODS|15973458876632815458</stp>
        <tr r="G36" s="10"/>
      </tp>
      <tp t="s">
        <v>#N/A N/A</v>
        <stp/>
        <stp>BCOUNTPERIODS|14229648457703516420</stp>
        <tr r="W23" s="19"/>
      </tp>
      <tp t="s">
        <v>#N/A N/A</v>
        <stp/>
        <stp>BCOUNTPERIODS|12525179766746621342</stp>
        <tr r="G8" s="19"/>
      </tp>
      <tp t="s">
        <v>#N/A Requesting Data...1498007745</v>
        <stp/>
        <stp>BQL|6521392077136268102</stp>
        <tr r="U16" s="10"/>
      </tp>
      <tp t="s">
        <v>#N/A N/A</v>
        <stp/>
        <stp>BCOUNTPERIODS|11985729557347844415</stp>
        <tr r="G152" s="10"/>
      </tp>
      <tp t="s">
        <v>#N/A N/A</v>
        <stp/>
        <stp>BCOUNTPERIODS|16561393234610328608</stp>
        <tr r="R9" s="15"/>
      </tp>
      <tp t="s">
        <v>#N/A N/A</v>
        <stp/>
        <stp>BCOUNTPERIODS|16834457163433157768</stp>
        <tr r="P20" s="19"/>
      </tp>
      <tp t="s">
        <v>#N/A N/A</v>
        <stp/>
        <stp>BCOUNTPERIODS|17373847033424836852</stp>
        <tr r="W36" s="19"/>
      </tp>
      <tp t="s">
        <v>#N/A N/A</v>
        <stp/>
        <stp>BCOUNTPERIODS|11276647041443653083</stp>
        <tr r="N10" s="19"/>
      </tp>
      <tp t="s">
        <v>#N/A N/A</v>
        <stp/>
        <stp>BCOUNTPERIODS|11452442464102859129</stp>
        <tr r="G17" s="10"/>
        <tr r="D105" s="12"/>
      </tp>
      <tp t="s">
        <v>#N/A N/A</v>
        <stp/>
        <stp>BCOUNTPERIODS|17607706289360755855</stp>
        <tr r="E4" s="19"/>
      </tp>
      <tp t="s">
        <v>#N/A N/A</v>
        <stp/>
        <stp>BDH|4838586788685980992</stp>
        <tr r="O17" s="15"/>
      </tp>
      <tp t="s">
        <v>#N/A N/A</v>
        <stp/>
        <stp>BDH|2496420776053059785</stp>
        <tr r="Q19" s="15"/>
      </tp>
      <tp t="s">
        <v>#N/A N/A</v>
        <stp/>
        <stp>BDH|5957197817936632685</stp>
        <tr r="K23" s="15"/>
      </tp>
      <tp t="s">
        <v>#N/A N/A</v>
        <stp/>
        <stp>BDH|5808830147754131848</stp>
        <tr r="Q22" s="15"/>
      </tp>
      <tp t="s">
        <v>#N/A N/A</v>
        <stp/>
        <stp>BDH|3632692830822978189</stp>
        <tr r="E8" s="15"/>
      </tp>
      <tp t="s">
        <v>#N/A N/A</v>
        <stp/>
        <stp>BDH|4555570091299897457</stp>
        <tr r="I23" s="15"/>
      </tp>
      <tp t="s">
        <v>#N/A N/A</v>
        <stp/>
        <stp>BDH|2010396540569663934</stp>
        <tr r="K28" s="15"/>
      </tp>
      <tp t="s">
        <v>#N/A N/A</v>
        <stp/>
        <stp>BDH|5910507613096092289</stp>
        <tr r="E12" s="15"/>
      </tp>
      <tp t="s">
        <v>#N/A N/A</v>
        <stp/>
        <stp>BQL.DATE|1800546886499880235</stp>
        <tr r="H41" s="19"/>
      </tp>
      <tp t="s">
        <v>#N/A N/A</v>
        <stp/>
        <stp>BQL.DATE|1656153245886695517</stp>
        <tr r="H44" s="19"/>
      </tp>
      <tp t="s">
        <v>#N/A N/A</v>
        <stp/>
        <stp>BQL.DATE|5513934697275557750</stp>
        <tr r="H11" s="19"/>
        <tr r="Q29" s="19"/>
        <tr r="Z35" s="19"/>
      </tp>
      <tp t="s">
        <v>#N/A N/A</v>
        <stp/>
        <stp>BQL.DATE|9649265445699108152</stp>
        <tr r="H38" s="19"/>
      </tp>
      <tp t="s">
        <v>#N/A N/A</v>
        <stp/>
        <stp>BQL.DATE|1415460799178168399</stp>
        <tr r="F42" s="19"/>
      </tp>
      <tp t="s">
        <v>#N/A N/A</v>
        <stp/>
        <stp>BQL.DATE|9642047477481504821</stp>
        <tr r="Z9" s="19"/>
      </tp>
      <tp t="s">
        <v>#N/A N/A</v>
        <stp/>
        <stp>BQL.DATE|2273075146995127456</stp>
        <tr r="Q7" s="19"/>
        <tr r="Z13" s="19"/>
      </tp>
      <tp t="s">
        <v>#N/A N/A</v>
        <stp/>
        <stp>BQL.DATE|7101102442955760025</stp>
        <tr r="F13" s="19"/>
        <tr r="O31" s="19"/>
        <tr r="X37" s="19"/>
      </tp>
      <tp t="s">
        <v>#N/A N/A</v>
        <stp/>
        <stp>BQL.DATE|5846829562655044911</stp>
        <tr r="Z4" s="19"/>
      </tp>
      <tp t="s">
        <v>#N/A N/A</v>
        <stp/>
        <stp>BQL.DATE|8348007019067537970</stp>
        <tr r="X6" s="19"/>
      </tp>
      <tp t="s">
        <v>#N/A N/A</v>
        <stp/>
        <stp>BQL.DATE|7154188641482646749</stp>
        <tr r="H14" s="19"/>
        <tr r="Q32" s="19"/>
        <tr r="Z38" s="19"/>
      </tp>
      <tp t="s">
        <v>#N/A N/A</v>
        <stp/>
        <stp>BQL.DATE|1630486604930036274</stp>
        <tr r="F24" s="19"/>
        <tr r="O42" s="19"/>
      </tp>
      <tp t="s">
        <v>#N/A N/A</v>
        <stp/>
        <stp>BQL.DATE|3509696624528045840</stp>
        <tr r="O20" s="19"/>
        <tr r="X26" s="19"/>
      </tp>
    </main>
    <main first="bofaddin.rtdserver">
      <tp t="s">
        <v>#N/A N/A</v>
        <stp/>
        <stp>BADDPERIODS|87070433331170756</stp>
        <tr r="X34" s="19"/>
      </tp>
      <tp t="s">
        <v>#N/A N/A</v>
        <stp/>
        <stp>BCOUNTPERIODS|15473283559322625349</stp>
        <tr r="G80" s="10"/>
      </tp>
      <tp t="s">
        <v>#N/A N/A</v>
        <stp/>
        <stp>BCOUNTPERIODS|11394412101650144677</stp>
        <tr r="G20" s="10"/>
      </tp>
      <tp t="s">
        <v>#N/A N/A</v>
        <stp/>
        <stp>BCOUNTPERIODS|11086164865644578139</stp>
        <tr r="G7" s="19"/>
      </tp>
      <tp t="s">
        <v>#N/A N/A</v>
        <stp/>
        <stp>BCOUNTPERIODS|16725444702560019156</stp>
        <tr r="F25" s="15"/>
      </tp>
      <tp t="s">
        <v>#N/A N/A</v>
        <stp/>
        <stp>BCOUNTPERIODS|18111545106277178962</stp>
        <tr r="P4" s="19"/>
      </tp>
      <tp t="s">
        <v>#N/A N/A</v>
        <stp/>
        <stp>BCOUNTPERIODS|13490552569331038235</stp>
        <tr r="G95" s="10"/>
      </tp>
      <tp t="s">
        <v>#N/A N/A</v>
        <stp/>
        <stp>BCOUNTPERIODS|10825863093311127377</stp>
        <tr r="N12" s="19"/>
      </tp>
      <tp t="s">
        <v>#N/A N/A</v>
        <stp/>
        <stp>BCOUNTPERIODS|18272151942306755893</stp>
        <tr r="G35" s="19"/>
      </tp>
      <tp t="s">
        <v>#N/A N/A</v>
        <stp/>
        <stp>BCOUNTPERIODS|10718441013346246080</stp>
        <tr r="Y28" s="19"/>
      </tp>
      <tp t="s">
        <v>#N/A N/A</v>
        <stp/>
        <stp>BCOUNTPERIODS|14478359994634512991</stp>
        <tr r="D97" s="12"/>
      </tp>
      <tp t="s">
        <v>#N/A N/A</v>
        <stp/>
        <stp>BCOUNTPERIODS|14916031016074776222</stp>
        <tr r="W25" s="19"/>
      </tp>
      <tp t="s">
        <v>#N/A N/A</v>
        <stp/>
        <stp>BCOUNTPERIODS|17987059961387219510</stp>
        <tr r="E22" s="19"/>
      </tp>
      <tp t="s">
        <v>#N/A N/A</v>
        <stp/>
        <stp>BCOUNTPERIODS|15138794182209063075</stp>
        <tr r="G40" s="19"/>
      </tp>
      <tp t="s">
        <v>#N/A N/A</v>
        <stp/>
        <stp>BCOUNTPERIODS|11878544571730926096</stp>
        <tr r="E18" s="19"/>
      </tp>
      <tp t="s">
        <v>#N/A Requesting Data...1132290825</v>
        <stp/>
        <stp>BDP|1975649241394403166</stp>
        <tr r="W19" s="9"/>
        <tr r="W19" s="9"/>
      </tp>
      <tp t="s">
        <v>#N/A N/A</v>
        <stp/>
        <stp>BDH|1972354332662051531</stp>
        <tr r="I8" s="15"/>
      </tp>
      <tp t="s">
        <v>#N/A N/A</v>
        <stp/>
        <stp>BDH|7854195304078715814</stp>
        <tr r="C23" s="15"/>
      </tp>
      <tp t="s">
        <v>#N/A N/A</v>
        <stp/>
        <stp>BDH|6954246867230284496</stp>
        <tr r="Q7" s="15"/>
      </tp>
      <tp t="s">
        <v>#N/A N/A</v>
        <stp/>
        <stp>BDH|9910981640295129763</stp>
        <tr r="K12" s="15"/>
      </tp>
      <tp t="s">
        <v>#N/A N/A</v>
        <stp/>
        <stp>BDP|2736309166270015143</stp>
        <tr r="D16" s="15"/>
      </tp>
      <tp t="s">
        <v>#N/A N/A</v>
        <stp/>
        <stp>BQL.DATE|3452274522936536153</stp>
        <tr r="Q8" s="19"/>
      </tp>
      <tp t="s">
        <v>#N/A N/A</v>
        <stp/>
        <stp>BQL.DATE|8274085855598507138</stp>
        <tr r="X27" s="19"/>
        <tr r="O21" s="19"/>
      </tp>
      <tp t="s">
        <v>#N/A N/A</v>
        <stp/>
        <stp>BQL.DATE|2481250856015394496</stp>
        <tr r="H26" s="19"/>
      </tp>
      <tp t="e">
        <v>#N/A</v>
        <stp/>
        <stp>BQL.LIST|2656658791669005887</stp>
        <tr r="V3" s="14"/>
      </tp>
      <tp t="s">
        <v>#N/A N/A</v>
        <stp/>
        <stp>BQL.DATE|9748961529510020641</stp>
        <tr r="F17" s="19"/>
        <tr r="O35" s="19"/>
        <tr r="X41" s="19"/>
      </tp>
      <tp t="s">
        <v>#N/A N/A</v>
        <stp/>
        <stp>BQL.DATE|4937921216388761047</stp>
        <tr r="H31" s="19"/>
      </tp>
      <tp t="s">
        <v>#N/A N/A</v>
        <stp/>
        <stp>BCOUNTPERIODS|799071851502195193</stp>
        <tr r="W45" s="19"/>
      </tp>
      <tp t="s">
        <v>#N/A N/A</v>
        <stp/>
        <stp>BCOUNTPERIODS|134097815324190374</stp>
        <tr r="E42" s="19"/>
      </tp>
      <tp t="s">
        <v>#N/A N/A</v>
        <stp/>
        <stp>BCOUNTPERIODS|412460861592393631</stp>
        <tr r="P7" s="19"/>
      </tp>
      <tp t="s">
        <v>#N/A N/A</v>
        <stp/>
        <stp>BCOUNTPERIODS|613483856067365084</stp>
        <tr r="N13" s="19"/>
      </tp>
      <tp t="s">
        <v>#N/A N/A</v>
        <stp/>
        <stp>BCOUNTPERIODS|412648053763852691</stp>
        <tr r="G148" s="10"/>
      </tp>
      <tp t="s">
        <v>#N/A N/A</v>
        <stp/>
        <stp>BCOUNTPERIODS|11973642253599876956</stp>
        <tr r="G37" s="10"/>
      </tp>
      <tp t="s">
        <v>#N/A N/A</v>
        <stp/>
        <stp>BCOUNTPERIODS|14837925576669998177</stp>
        <tr r="G154" s="10"/>
      </tp>
      <tp t="s">
        <v>#N/A N/A</v>
        <stp/>
        <stp>BCOUNTPERIODS|10082374951935594115</stp>
        <tr r="N45" s="19"/>
      </tp>
      <tp t="s">
        <v>#N/A N/A</v>
        <stp/>
        <stp>BCOUNTPERIODS|13876855488309635811</stp>
        <tr r="G12" s="10"/>
      </tp>
      <tp t="s">
        <v>#N/A N/A</v>
        <stp/>
        <stp>BCOUNTPERIODS|10888665482168990441</stp>
        <tr r="G8" s="10"/>
        <tr r="D96" s="12"/>
      </tp>
      <tp t="s">
        <v>#N/A N/A</v>
        <stp/>
        <stp>BCOUNTPERIODS|10947669954487891620</stp>
        <tr r="G13" s="19"/>
      </tp>
      <tp t="s">
        <v>#N/A N/A</v>
        <stp/>
        <stp>BCOUNTPERIODS|18177328209560961955</stp>
        <tr r="F23" s="15"/>
      </tp>
      <tp t="s">
        <v>#N/A N/A</v>
        <stp/>
        <stp>BCOUNTPERIODS|17028567702776414651</stp>
        <tr r="G78" s="10"/>
      </tp>
      <tp t="s">
        <v>#N/A N/A</v>
        <stp/>
        <stp>BCOUNTPERIODS|17901136443193208316</stp>
        <tr r="G21" s="10"/>
      </tp>
      <tp t="s">
        <v>#N/A Requesting Data...2808384779</v>
        <stp/>
        <stp>BQL|1414901640273360827</stp>
        <tr r="U17" s="10"/>
      </tp>
      <tp t="s">
        <v>#N/A N/A</v>
        <stp/>
        <stp>BCOUNTPERIODS|15343777966164382299</stp>
        <tr r="G24" s="10"/>
      </tp>
      <tp t="s">
        <v>#N/A N/A</v>
        <stp/>
        <stp>BCOUNTPERIODS|10458233220681052388</stp>
        <tr r="E34" s="19"/>
      </tp>
      <tp t="s">
        <v>#N/A N/A</v>
        <stp/>
        <stp>BCOUNTPERIODS|15843617240323406604</stp>
        <tr r="F17" s="15"/>
      </tp>
      <tp t="s">
        <v>#N/A N/A</v>
        <stp/>
        <stp>BCOUNTPERIODS|14524904592481875723</stp>
        <tr r="G22" s="19"/>
      </tp>
      <tp t="s">
        <v>#N/A N/A</v>
        <stp/>
        <stp>BCOUNTPERIODS|16576805024169506789</stp>
        <tr r="G28" s="10"/>
      </tp>
      <tp t="s">
        <v>#N/A N/A</v>
        <stp/>
        <stp>BCOUNTPERIODS|13415615581308856701</stp>
        <tr r="E44" s="19"/>
      </tp>
      <tp t="s">
        <v>#N/A N/A</v>
        <stp/>
        <stp>BDH|5988860147266295804</stp>
        <tr r="O9" s="15"/>
      </tp>
      <tp t="s">
        <v>#N/A N/A</v>
        <stp/>
        <stp>BDH|9308859450456702582</stp>
        <tr r="C20" s="15"/>
      </tp>
      <tp t="s">
        <v>#N/A N/A</v>
        <stp/>
        <stp>BDH|7886143927772142149</stp>
        <tr r="C24" s="15"/>
      </tp>
      <tp t="s">
        <v>#N/A N/A</v>
        <stp/>
        <stp>BDH|9541559626601136840</stp>
        <tr r="K27" s="15"/>
      </tp>
      <tp t="s">
        <v>#N/A N/A</v>
        <stp/>
        <stp>BDH|3862715875514942035</stp>
        <tr r="C7" s="15"/>
      </tp>
      <tp t="s">
        <v>#N/A N/A</v>
        <stp/>
        <stp>BDH|3911094026577593155</stp>
        <tr r="O20" s="15"/>
      </tp>
      <tp t="s">
        <v>#N/A N/A</v>
        <stp/>
        <stp>BDH|1311462025065640521</stp>
        <tr r="O24" s="15"/>
      </tp>
      <tp t="s">
        <v>#N/A N/A</v>
        <stp/>
        <stp>BQL.DATE|5734671896898408738</stp>
        <tr r="X4" s="19"/>
      </tp>
      <tp t="s">
        <v>#N/A N/A</v>
        <stp/>
        <stp>BQL.DATE|3677781667390195785</stp>
        <tr r="X20" s="19"/>
        <tr r="O14" s="19"/>
      </tp>
      <tp t="s">
        <v>#N/A N/A</v>
        <stp/>
        <stp>BQL.DATE|4867555219850230562</stp>
        <tr r="F14" s="19"/>
        <tr r="O32" s="19"/>
        <tr r="X38" s="19"/>
      </tp>
      <tp t="s">
        <v>#N/A N/A</v>
        <stp/>
        <stp>BQL.DATE|9747425165436059803</stp>
        <tr r="Q42" s="19"/>
      </tp>
      <tp t="s">
        <v>#N/A N/A</v>
        <stp/>
        <stp>BQL.DATE|7147350210715750515</stp>
        <tr r="F12" s="19"/>
        <tr r="X36" s="19"/>
        <tr r="O30" s="19"/>
      </tp>
      <tp t="s">
        <v>#N/A N/A</v>
        <stp/>
        <stp>BQL.DATE|4654145001079175972</stp>
        <tr r="F20" s="19"/>
        <tr r="O38" s="19"/>
      </tp>
      <tp t="s">
        <v>#N/A N/A</v>
        <stp/>
        <stp>BQL.DATE|8938598838119577269</stp>
        <tr r="Z22" s="19"/>
      </tp>
      <tp t="s">
        <v>#N/A N/A</v>
        <stp/>
        <stp>BQL.DATE|5890766625161400412</stp>
        <tr r="X22" s="19"/>
        <tr r="O16" s="19"/>
      </tp>
      <tp t="s">
        <v>#N/A N/A</v>
        <stp/>
        <stp>BQL.DATE|688261213528067435</stp>
        <tr r="O8" s="19"/>
        <tr r="X14" s="19"/>
      </tp>
      <tp t="s">
        <v>#N/A N/A</v>
        <stp/>
        <stp>BCOUNTPERIODS|970372234026374162</stp>
        <tr r="G67" s="10"/>
      </tp>
      <tp t="s">
        <v>#N/A N/A</v>
        <stp/>
        <stp>BCOUNTPERIODS|15163807387850277067</stp>
        <tr r="G24" s="19"/>
      </tp>
      <tp t="s">
        <v>#N/A N/A</v>
        <stp/>
        <stp>BCOUNTPERIODS|16486371634763060071</stp>
        <tr r="L19" s="15"/>
      </tp>
      <tp t="s">
        <v>#N/A N/A</v>
        <stp/>
        <stp>BCOUNTPERIODS|16380007106893619033</stp>
        <tr r="G155" s="10"/>
      </tp>
      <tp t="s">
        <v>#N/A N/A</v>
        <stp/>
        <stp>BCOUNTPERIODS|14636801081311892088</stp>
        <tr r="G16" s="19"/>
      </tp>
      <tp t="s">
        <v>#N/A N/A</v>
        <stp/>
        <stp>BCOUNTPERIODS|18276986290755665895</stp>
        <tr r="G149" s="10"/>
      </tp>
      <tp t="s">
        <v>#N/A N/A</v>
        <stp/>
        <stp>BCOUNTPERIODS|14414484009045556051</stp>
        <tr r="G88" s="10"/>
      </tp>
      <tp t="s">
        <v>#N/A N/A</v>
        <stp/>
        <stp>BCOUNTPERIODS|13706302249167384646</stp>
        <tr r="E41" s="19"/>
      </tp>
      <tp t="s">
        <v>#N/A N/A</v>
        <stp/>
        <stp>BCOUNTPERIODS|15828354947700309705</stp>
        <tr r="N32" s="19"/>
      </tp>
      <tp t="s">
        <v>#N/A N/A</v>
        <stp/>
        <stp>BCOUNTPERIODS|13685405109764684617</stp>
        <tr r="G144" s="10"/>
      </tp>
      <tp t="s">
        <v>#N/A N/A</v>
        <stp/>
        <stp>BCOUNTPERIODS|18161004020558639783</stp>
        <tr r="E9" s="19"/>
      </tp>
      <tp t="s">
        <v>#N/A N/A</v>
        <stp/>
        <stp>BCOUNTPERIODS|16672512472448894904</stp>
        <tr r="R11" s="15"/>
      </tp>
      <tp t="s">
        <v>#N/A N/A</v>
        <stp/>
        <stp>BCOUNTPERIODS|16616357761337891165</stp>
        <tr r="G32" s="10"/>
      </tp>
      <tp t="s">
        <v>#N/A N/A</v>
        <stp/>
        <stp>BDH|6636418023235911570</stp>
        <tr r="O15" s="15"/>
      </tp>
      <tp t="s">
        <v>#N/A N/A</v>
        <stp/>
        <stp>BDH|4824538604564499507</stp>
        <tr r="Q17" s="15"/>
      </tp>
      <tp t="s">
        <v>#N/A N/A</v>
        <stp/>
        <stp>BDP|6177778628837842415</stp>
        <tr r="D21" s="15"/>
      </tp>
      <tp t="s">
        <v>#N/A N/A</v>
        <stp/>
        <stp>BDH|1400417658000265087</stp>
        <tr r="K25" s="15"/>
      </tp>
      <tp t="s">
        <v>#N/A N/A</v>
        <stp/>
        <stp>BDH|1508889726018937364</stp>
        <tr r="C17" s="15"/>
      </tp>
      <tp t="s">
        <v>#N/A N/A</v>
        <stp/>
        <stp>BQL.DATE|5006656746822011709</stp>
        <tr r="F29" s="19"/>
      </tp>
      <tp t="s">
        <v>#N/A N/A</v>
        <stp/>
        <stp>BQL.DATE|4351276521821303735</stp>
        <tr r="H35" s="19"/>
      </tp>
      <tp t="s">
        <v>#N/A N/A</v>
        <stp/>
        <stp>BQL.DATE|3574778448606398427</stp>
        <tr r="H43" s="19"/>
      </tp>
      <tp t="s">
        <v>#N/A N/A</v>
        <stp/>
        <stp>BQL.DATE|3810191126076016483</stp>
        <tr r="H40" s="19"/>
      </tp>
    </main>
    <main first="bofaddin.rtdserver">
      <tp t="s">
        <v>#N/A N/A</v>
        <stp/>
        <stp>BCOUNTPERIODS|424290884313987922</stp>
        <tr r="R8" s="15"/>
      </tp>
      <tp t="s">
        <v>#N/A N/A</v>
        <stp/>
        <stp>BCOUNTPERIODS|502314343492372539</stp>
        <tr r="Y7" s="19"/>
      </tp>
      <tp t="s">
        <v>#N/A N/A</v>
        <stp/>
        <stp>BCOUNTPERIODS|16618322834120366204</stp>
        <tr r="G35" s="10"/>
      </tp>
      <tp t="s">
        <v>#N/A N/A</v>
        <stp/>
        <stp>BCOUNTPERIODS|12243666614465084403</stp>
        <tr r="G84" s="10"/>
      </tp>
      <tp t="s">
        <v>#N/A N/A</v>
        <stp/>
        <stp>BCOUNTPERIODS|13220758849982948604</stp>
        <tr r="Y16" s="19"/>
      </tp>
      <tp t="s">
        <v>#N/A N/A</v>
        <stp/>
        <stp>BCOUNTPERIODS|15280855372639777772</stp>
        <tr r="G101" s="10"/>
      </tp>
      <tp t="s">
        <v>#N/A N/A</v>
        <stp/>
        <stp>BCOUNTPERIODS|11724785449893329513</stp>
        <tr r="P25" s="19"/>
      </tp>
      <tp t="s">
        <v>#N/A N/A</v>
        <stp/>
        <stp>BCOUNTPERIODS|12212920442318737314</stp>
        <tr r="Y33" s="19"/>
      </tp>
      <tp t="s">
        <v>#N/A N/A</v>
        <stp/>
        <stp>BCOUNTPERIODS|12763844248198788289</stp>
        <tr r="G22" s="10"/>
      </tp>
      <tp t="s">
        <v>#N/A N/A</v>
        <stp/>
        <stp>BCOUNTPERIODS|14725309284902928904</stp>
        <tr r="G151" s="10"/>
      </tp>
      <tp t="s">
        <v>#N/A N/A</v>
        <stp/>
        <stp>BCOUNTPERIODS|15322839866086832976</stp>
        <tr r="G39" s="10"/>
      </tp>
      <tp t="s">
        <v>#N/A N/A</v>
        <stp/>
        <stp>BCOUNTPERIODS|12132472315574823749</stp>
        <tr r="N41" s="19"/>
      </tp>
      <tp t="s">
        <v>#N/A N/A</v>
        <stp/>
        <stp>BCOUNTPERIODS|16287786458439405981</stp>
        <tr r="G19" s="10"/>
      </tp>
      <tp t="s">
        <v>#N/A N/A</v>
        <stp/>
        <stp>BCOUNTPERIODS|13852892985617927013</stp>
        <tr r="N22" s="19"/>
      </tp>
      <tp t="s">
        <v>#N/A Requesting Data...2986004861</v>
        <stp/>
        <stp>BDP|8616122198984135555</stp>
        <tr r="W18" s="9"/>
        <tr r="W18" s="9"/>
      </tp>
      <tp t="s">
        <v>#N/A N/A</v>
        <stp/>
        <stp>BDH|5405252335727604202</stp>
        <tr r="O18" s="15"/>
      </tp>
      <tp t="s">
        <v>#N/A N/A</v>
        <stp/>
        <stp>BDH|4941140464440945236</stp>
        <tr r="K10" s="15"/>
      </tp>
      <tp t="s">
        <v>#N/A N/A</v>
        <stp/>
        <stp>BDH|3129032130520510164</stp>
        <tr r="I21" s="15"/>
      </tp>
      <tp t="s">
        <v>#N/A N/A</v>
        <stp/>
        <stp>BDH|6046759443317256320</stp>
        <tr r="I11" s="15"/>
      </tp>
      <tp t="s">
        <v>#N/A N/A</v>
        <stp/>
        <stp>BQL.DATE|9680473588173004585</stp>
        <tr r="H28" s="19"/>
      </tp>
      <tp t="s">
        <v>#N/A N/A</v>
        <stp/>
        <stp>BQL.DATE|8723121708428065288</stp>
        <tr r="F21" s="19"/>
        <tr r="O39" s="19"/>
      </tp>
      <tp t="s">
        <v>#N/A N/A</v>
        <stp/>
        <stp>BQL.DATE|1082370971654665243</stp>
        <tr r="H34" s="19"/>
      </tp>
      <tp t="s">
        <v>#N/A N/A</v>
        <stp/>
        <stp>BQL.DATE|9491972244023603458</stp>
        <tr r="H30" s="19"/>
      </tp>
      <tp t="s">
        <v>#N/A N/A</v>
        <stp/>
        <stp>BQL.DATE|4114223814201330500</stp>
        <tr r="F10" s="19"/>
        <tr r="X34" s="19"/>
        <tr r="O28" s="19"/>
      </tp>
      <tp t="s">
        <v>#N/A N/A</v>
        <stp/>
        <stp>BQL.DATE|4991739252962028713</stp>
        <tr r="Z21" s="19"/>
      </tp>
      <tp t="s">
        <v>#N/A N/A</v>
        <stp/>
        <stp>BQL.DATE|7630491623687332542</stp>
        <tr r="H23" s="19"/>
        <tr r="Q41" s="19"/>
      </tp>
      <tp t="s">
        <v>#N/A N/A</v>
        <stp/>
        <stp>BQL.DATE|2171589978541372287</stp>
        <tr r="F33" s="19"/>
        <tr r="O44" s="19"/>
      </tp>
      <tp t="s">
        <v>#N/A N/A</v>
        <stp/>
        <stp>BQL.DATE|1395535600643848452</stp>
        <tr r="H37" s="19"/>
      </tp>
      <tp t="s">
        <v>#N/A N/A</v>
        <stp/>
        <stp>BQL.DATE|477195929219773359</stp>
        <tr r="F9" s="19"/>
        <tr r="X33" s="19"/>
        <tr r="O27" s="19"/>
      </tp>
      <tp t="s">
        <v>#N/A N/A</v>
        <stp/>
        <stp>BCOUNTPERIODS|446609009960698710</stp>
        <tr r="Y43" s="19"/>
      </tp>
      <tp t="s">
        <v>#N/A N/A</v>
        <stp/>
        <stp>BCOUNTPERIODS|823132639877207414</stp>
        <tr r="G14" s="19"/>
      </tp>
      <tp t="s">
        <v>#N/A N/A</v>
        <stp/>
        <stp>BCOUNTPERIODS|12802686534828608800</stp>
        <tr r="G132" s="10"/>
      </tp>
      <tp t="s">
        <v>#N/A N/A</v>
        <stp/>
        <stp>BCOUNTPERIODS|10120644933782321041</stp>
        <tr r="F9" s="15"/>
      </tp>
      <tp t="s">
        <v>#N/A N/A</v>
        <stp/>
        <stp>BCOUNTPERIODS|10510649461505005208</stp>
        <tr r="Y35" s="19"/>
      </tp>
      <tp t="s">
        <v>#N/A N/A</v>
        <stp/>
        <stp>BCOUNTPERIODS|11234622603116158673</stp>
        <tr r="P38" s="19"/>
      </tp>
      <tp t="s">
        <v>#N/A N/A</v>
        <stp/>
        <stp>BCOUNTPERIODS|13355727243770675710</stp>
        <tr r="Y13" s="19"/>
      </tp>
      <tp t="s">
        <v>#N/A N/A</v>
        <stp/>
        <stp>BCOUNTPERIODS|12688038112605610152</stp>
        <tr r="P9" s="19"/>
      </tp>
      <tp t="s">
        <v>#N/A N/A</v>
        <stp/>
        <stp>BCOUNTPERIODS|18001358173193951842</stp>
        <tr r="G102" s="10"/>
      </tp>
      <tp t="s">
        <v>#N/A N/A</v>
        <stp/>
        <stp>BCOUNTPERIODS|13361014368613995198</stp>
        <tr r="G19" s="19"/>
      </tp>
      <tp t="s">
        <v>#N/A N/A</v>
        <stp/>
        <stp>BCOUNTPERIODS|11650630728650460213</stp>
        <tr r="G86" s="10"/>
      </tp>
      <tp t="s">
        <v>#N/A N/A</v>
        <stp/>
        <stp>BCOUNTPERIODS|15870438477929250860</stp>
        <tr r="N7" s="19"/>
      </tp>
      <tp t="s">
        <v>#N/A N/A</v>
        <stp/>
        <stp>BCOUNTPERIODS|14522983237278420114</stp>
        <tr r="P32" s="19"/>
      </tp>
      <tp t="s">
        <v>#N/A N/A</v>
        <stp/>
        <stp>BCOUNTPERIODS|16631099547553038664</stp>
        <tr r="Y10" s="19"/>
      </tp>
      <tp t="s">
        <v>#N/A N/A</v>
        <stp/>
        <stp>BCOUNTPERIODS|13340198522933491413</stp>
        <tr r="E35" s="19"/>
      </tp>
      <tp t="s">
        <v>#N/A N/A</v>
        <stp/>
        <stp>BDH|5135119834456405380</stp>
        <tr r="K11" s="15"/>
      </tp>
      <tp t="s">
        <v>#N/A N/A</v>
        <stp/>
        <stp>BDH|2960209880049570356</stp>
        <tr r="C13" s="15"/>
      </tp>
      <tp t="s">
        <v>#N/A N/A</v>
        <stp/>
        <stp>BDP|7110883105725542870</stp>
        <tr r="D19" s="15"/>
      </tp>
      <tp t="s">
        <v>#N/A Requesting Data...2127475719</v>
        <stp/>
        <stp>BDP|1116355332034371792</stp>
        <tr r="T19" s="9"/>
        <tr r="T19" s="9"/>
      </tp>
      <tp t="s">
        <v>#N/A Requesting Data...842322094</v>
        <stp/>
        <stp>BDP|5252375826687640161</stp>
        <tr r="T14" s="9"/>
        <tr r="T14" s="9"/>
      </tp>
      <tp t="s">
        <v>#N/A Requesting Data...1286860562</v>
        <stp/>
        <stp>BDP|3401259208461053286</stp>
        <tr r="T7" s="9"/>
        <tr r="T7" s="9"/>
      </tp>
      <tp t="s">
        <v>#N/A N/A</v>
        <stp/>
        <stp>BDH|3686400861242220144</stp>
        <tr r="K22" s="15"/>
      </tp>
      <tp t="s">
        <v>#N/A N/A</v>
        <stp/>
        <stp>BDH|7322834841699121076</stp>
        <tr r="Q20" s="15"/>
      </tp>
      <tp t="s">
        <v>#N/A N/A</v>
        <stp/>
        <stp>BDH|4967579286558429385</stp>
        <tr r="Q25" s="15"/>
      </tp>
      <tp t="s">
        <v>#N/A N/A</v>
        <stp/>
        <stp>BDH|1808747139900639769</stp>
        <tr r="K7" s="15"/>
      </tp>
      <tp t="s">
        <v>#N/A N/A</v>
        <stp/>
        <stp>BQL.DATE|2896986150617020930</stp>
        <tr r="Q4" s="19"/>
      </tp>
      <tp t="s">
        <v>#N/A N/A</v>
        <stp/>
        <stp>BQL.DATE|2554955331058747049</stp>
        <tr r="O13" s="19"/>
        <tr r="X19" s="19"/>
      </tp>
      <tp t="s">
        <v>#N/A N/A</v>
        <stp/>
        <stp>BQL.DATE|8090527563872738919</stp>
        <tr r="F40" s="19"/>
      </tp>
      <tp t="s">
        <v>#N/A N/A</v>
        <stp/>
        <stp>BQL.DATE|8753251249716234868</stp>
        <tr r="H6" s="19"/>
        <tr r="Z30" s="19"/>
        <tr r="Q24" s="19"/>
      </tp>
      <tp t="s">
        <v>#N/A N/A</v>
        <stp/>
        <stp>BQL.DATE|6957268771626723565</stp>
        <tr r="H27" s="19"/>
        <tr r="Z44" s="19"/>
      </tp>
      <tp t="s">
        <v>#N/A N/A</v>
        <stp/>
        <stp>BQL.DATE|9541661487984857337</stp>
        <tr r="Z25" s="19"/>
        <tr r="Q19" s="19"/>
      </tp>
      <tp t="s">
        <v>#N/A N/A</v>
        <stp/>
        <stp>BQL.DATE|3069493635806584273</stp>
        <tr r="H24" s="19"/>
      </tp>
      <tp t="s">
        <v>#N/A N/A</v>
        <stp/>
        <stp>BCOUNTPERIODS|367166899038716249</stp>
        <tr r="W41" s="19"/>
      </tp>
      <tp t="s">
        <v>#N/A N/A</v>
        <stp/>
        <stp>BCOUNTPERIODS|718619534540368741</stp>
        <tr r="L8" s="15"/>
      </tp>
      <tp t="s">
        <v>#N/A N/A</v>
        <stp/>
        <stp>BCOUNTPERIODS|15785633156045276504</stp>
        <tr r="G89" s="10"/>
      </tp>
      <tp t="s">
        <v>#N/A N/A</v>
        <stp/>
        <stp>BCOUNTPERIODS|12182931027648226700</stp>
        <tr r="N34" s="19"/>
      </tp>
      <tp t="s">
        <v>#N/A N/A</v>
        <stp/>
        <stp>BCOUNTPERIODS|18086844471998339919</stp>
        <tr r="N40" s="19"/>
      </tp>
      <tp t="s">
        <v>#N/A N/A</v>
        <stp/>
        <stp>BCOUNTPERIODS|14414848180102262051</stp>
        <tr r="R23" s="15"/>
      </tp>
      <tp t="s">
        <v>#N/A N/A</v>
        <stp/>
        <stp>BCOUNTPERIODS|14756633639160848729</stp>
        <tr r="Y44" s="19"/>
      </tp>
      <tp t="s">
        <v>#N/A N/A</v>
        <stp/>
        <stp>BCOUNTPERIODS|13183808380786659302</stp>
        <tr r="F24" s="15"/>
      </tp>
      <tp t="s">
        <v>#N/A N/A</v>
        <stp/>
        <stp>BCOUNTPERIODS|12156627273137229246</stp>
        <tr r="E43" s="19"/>
      </tp>
      <tp t="s">
        <v>#N/A N/A</v>
        <stp/>
        <stp>BCOUNTPERIODS|17600135756651386469</stp>
        <tr r="G4" s="19"/>
      </tp>
      <tp t="s">
        <v>#N/A N/A</v>
        <stp/>
        <stp>BCOUNTPERIODS|15292372230687787471</stp>
        <tr r="W33" s="19"/>
      </tp>
      <tp t="s">
        <v>#N/A N/A</v>
        <stp/>
        <stp>BCOUNTPERIODS|10702591530691114147</stp>
        <tr r="P40" s="19"/>
      </tp>
      <tp t="s">
        <v>#N/A N/A</v>
        <stp/>
        <stp>BCOUNTPERIODS|13950825480155525049</stp>
        <tr r="G79" s="10"/>
      </tp>
      <tp t="s">
        <v>#N/A N/A</v>
        <stp/>
        <stp>BCOUNTPERIODS|16149305159212407447</stp>
        <tr r="N39" s="19"/>
      </tp>
      <tp t="s">
        <v>#N/A N/A</v>
        <stp/>
        <stp>BCOUNTPERIODS|15083700470080868370</stp>
        <tr r="G29" s="19"/>
      </tp>
      <tp t="s">
        <v>#N/A N/A</v>
        <stp/>
        <stp>BCOUNTPERIODS|12830805397104719170</stp>
        <tr r="G134" s="10"/>
      </tp>
      <tp t="s">
        <v>#N/A N/A</v>
        <stp/>
        <stp>BCOUNTPERIODS|11132865622769062485</stp>
        <tr r="G98" s="10"/>
      </tp>
      <tp t="s">
        <v>#N/A N/A</v>
        <stp/>
        <stp>BDP|1770607076975466686</stp>
        <tr r="D11" s="15"/>
      </tp>
      <tp t="s">
        <v>#N/A N/A</v>
        <stp/>
        <stp>BDH|2610030772582154413</stp>
        <tr r="K20" s="15"/>
      </tp>
      <tp t="s">
        <v>#N/A N/A</v>
        <stp/>
        <stp>BDH|6232679627028628934</stp>
        <tr r="O22" s="15"/>
      </tp>
      <tp t="s">
        <v>#N/A N/A</v>
        <stp/>
        <stp>BQL.DATE|5613486037186385587</stp>
        <tr r="H33" s="19"/>
      </tp>
      <tp t="s">
        <v>#N/A N/A</v>
        <stp/>
        <stp>BQL.DATE|9500805935894303754</stp>
        <tr r="X24" s="19"/>
        <tr r="O18" s="19"/>
      </tp>
      <tp t="s">
        <v>#N/A N/A</v>
        <stp/>
        <stp>BQL.DATE|1554952126068706378</stp>
        <tr r="X16" s="19"/>
        <tr r="O10" s="19"/>
      </tp>
      <tp t="s">
        <v>#N/A N/A</v>
        <stp/>
        <stp>BQL.DATE|7027602315398257915</stp>
        <tr r="F15" s="19"/>
        <tr r="X39" s="19"/>
        <tr r="O33" s="19"/>
      </tp>
    </main>
    <main first="bofaddin.rtdserver">
      <tp t="s">
        <v>#N/A N/A</v>
        <stp/>
        <stp>BADDPERIODS|1506240907354114493</stp>
        <tr r="Z34" s="19"/>
      </tp>
    </main>
    <main first="bofaddin.rtdserver">
      <tp t="s">
        <v>#N/A N/A</v>
        <stp/>
        <stp>BADDPERIODS|1821293726277833500</stp>
        <tr r="H5" s="19"/>
      </tp>
    </main>
    <main first="bofaddin.rtdserver">
      <tp t="s">
        <v>#N/A N/A</v>
        <stp/>
        <stp>BADDPERIODS|6313344414823980465</stp>
        <tr r="Q13" s="19"/>
      </tp>
    </main>
    <main first="bofaddin.rtdserver">
      <tp t="s">
        <v>#N/A N/A</v>
        <stp/>
        <stp>BADDPERIODS|3577689853402436174</stp>
        <tr r="F42" s="19"/>
      </tp>
    </main>
    <main first="bofaddin.rtdserver">
      <tp t="s">
        <v>#N/A N/A</v>
        <stp/>
        <stp>BADDPERIODS|5737540998768108202</stp>
        <tr r="Q37" s="19"/>
      </tp>
      <tp t="s">
        <v>#N/A N/A</v>
        <stp/>
        <stp>BADDPERIODS|7019732934329705965</stp>
        <tr r="O37" s="19"/>
      </tp>
    </main>
    <main first="bofaddin.rtdserver">
      <tp t="s">
        <v>#N/A N/A</v>
        <stp/>
        <stp>BADDPERIODS|9585272721938025241</stp>
        <tr r="Z36" s="19"/>
      </tp>
      <tp t="s">
        <v>#N/A N/A</v>
        <stp/>
        <stp>BADDPERIODS|8620019934479209157</stp>
        <tr r="F9" s="19"/>
      </tp>
    </main>
    <main first="bofaddin.rtdserver">
      <tp t="s">
        <v>#N/A N/A</v>
        <stp/>
        <stp>BADDPERIODS|3013833497672312358</stp>
        <tr r="F16" s="19"/>
      </tp>
      <tp t="s">
        <v>#N/A N/A</v>
        <stp/>
        <stp>BADDPERIODS|1647378153680315415</stp>
        <tr r="Q35" s="19"/>
      </tp>
      <tp t="s">
        <v>#N/A N/A</v>
        <stp/>
        <stp>BADDPERIODS|8524308244714032803</stp>
        <tr r="Q17" s="19"/>
      </tp>
      <tp t="s">
        <v>#N/A N/A</v>
        <stp/>
        <stp>BADDPERIODS|4557054209411616719</stp>
        <tr r="Z41" s="19"/>
      </tp>
      <tp t="s">
        <v>#N/A N/A</v>
        <stp/>
        <stp>BADDPERIODS|2614103918066465659</stp>
        <tr r="H25" s="19"/>
      </tp>
      <tp t="s">
        <v>#N/A N/A</v>
        <stp/>
        <stp>BADDPERIODS|3181400844674254588</stp>
        <tr r="F12" s="19"/>
      </tp>
    </main>
    <main first="bofaddin.rtdserver">
      <tp t="s">
        <v>#N/A N/A</v>
        <stp/>
        <stp>BADDPERIODS|3516211304260398397</stp>
        <tr r="Z27" s="19"/>
      </tp>
    </main>
    <main first="bofaddin.rtdserver">
      <tp t="s">
        <v>#N/A N/A</v>
        <stp/>
        <stp>BADDPERIODS|7498180396745611881</stp>
        <tr r="X16" s="19"/>
      </tp>
      <tp t="s">
        <v>#N/A N/A</v>
        <stp/>
        <stp>BADDPERIODS|7765018527966647143</stp>
        <tr r="Z17" s="19"/>
      </tp>
      <tp t="s">
        <v>#N/A N/A</v>
        <stp/>
        <stp>BQL.QUERY|14839552036076727822</stp>
        <tr r="K65" s="10"/>
      </tp>
      <tp t="s">
        <v>#N/A N/A</v>
        <stp/>
        <stp>BQL.QUERY|13527513498210142354</stp>
        <tr r="B65" s="10"/>
      </tp>
    </main>
    <main first="bofaddin.rtdserver">
      <tp t="s">
        <v>#N/A N/A</v>
        <stp/>
        <stp>BADDPERIODS|9483418361989968311</stp>
        <tr r="H41" s="19"/>
      </tp>
      <tp t="s">
        <v>#N/A N/A</v>
        <stp/>
        <stp>BADDPERIODS|9440659218708579713</stp>
        <tr r="X10" s="19"/>
      </tp>
    </main>
    <main first="bofaddin.rtdserver">
      <tp t="s">
        <v>#N/A N/A</v>
        <stp/>
        <stp>BADDPERIODS|6239005631842862602</stp>
        <tr r="Q16" s="19"/>
      </tp>
    </main>
    <main first="bofaddin.rtdserver">
      <tp t="s">
        <v>#N/A N/A</v>
        <stp/>
        <stp>BADDPERIODS|5173751470037932345</stp>
        <tr r="F18" s="19"/>
      </tp>
    </main>
    <main first="bofaddin.rtdserver">
      <tp t="s">
        <v>#N/A N/A</v>
        <stp/>
        <stp>BADDPERIODS|2077630016393727773</stp>
        <tr r="F23" s="19"/>
      </tp>
      <tp t="s">
        <v>#N/A N/A</v>
        <stp/>
        <stp>BADDPERIODS|9263505756878066063</stp>
        <tr r="Z24" s="19"/>
      </tp>
      <tp t="s">
        <v>#N/A N/A</v>
        <stp/>
        <stp>BADDPERIODS|6564423584023966887</stp>
        <tr r="H10" s="19"/>
      </tp>
      <tp t="s">
        <v>#N/A N/A</v>
        <stp/>
        <stp>BADDPERIODS|7112309606756741311</stp>
        <tr r="X38" s="19"/>
      </tp>
      <tp t="s">
        <v>#N/A N/A</v>
        <stp/>
        <stp>BQL.QUERY|13342155646951502888</stp>
        <tr r="K6" s="10"/>
      </tp>
    </main>
    <main first="bofaddin.rtdserver">
      <tp t="s">
        <v>#N/A N/A</v>
        <stp/>
        <stp>BADDPERIODS|8795880340735679172</stp>
        <tr r="Q36" s="19"/>
      </tp>
      <tp t="s">
        <v>#N/A N/A</v>
        <stp/>
        <stp>BADDPERIODS|3043669239964563242</stp>
        <tr r="X39" s="19"/>
      </tp>
      <tp t="s">
        <v>#N/A N/A</v>
        <stp/>
        <stp>BADDPERIODS|6117304304251813422</stp>
        <tr r="H42" s="19"/>
      </tp>
    </main>
    <main first="bofaddin.rtdserver">
      <tp t="s">
        <v>#N/A N/A</v>
        <stp/>
        <stp>BADDPERIODS|9597953419407551611</stp>
        <tr r="Z30" s="19"/>
      </tp>
    </main>
    <main first="bofaddin.rtdserver">
      <tp t="s">
        <v>#N/A N/A</v>
        <stp/>
        <stp>BADDPERIODS|5847704666581144553</stp>
        <tr r="X40" s="19"/>
      </tp>
    </main>
    <main first="bofaddin.rtdserver">
      <tp t="s">
        <v>#N/A N/A</v>
        <stp/>
        <stp>BADDPERIODS|3165205632712966030</stp>
        <tr r="O43" s="19"/>
      </tp>
      <tp t="s">
        <v>#N/A N/A</v>
        <stp/>
        <stp>BADDPERIODS|4604719337799372956</stp>
        <tr r="Z37" s="19"/>
      </tp>
      <tp t="s">
        <v>#N/A N/A</v>
        <stp/>
        <stp>BADDPERIODS|4461589434532826063</stp>
        <tr r="H6" s="19"/>
      </tp>
      <tp t="s">
        <v>#N/A N/A</v>
        <stp/>
        <stp>BADDPERIODS|2806487663033671314</stp>
        <tr r="O18" s="19"/>
      </tp>
      <tp t="s">
        <v>#N/A N/A</v>
        <stp/>
        <stp>BADDPERIODS|2479076423695250576</stp>
        <tr r="H11" s="19"/>
      </tp>
      <tp t="s">
        <v>#N/A N/A</v>
        <stp/>
        <stp>BADDPERIODS|4287412495958512111</stp>
        <tr r="Z4" s="19"/>
      </tp>
      <tp t="s">
        <v>#N/A N/A</v>
        <stp/>
        <stp>BADDPERIODS|7878619336974813675</stp>
        <tr r="F32" s="19"/>
      </tp>
      <tp t="s">
        <v>#N/A N/A</v>
        <stp/>
        <stp>BADDPERIODS|4276415240393152731</stp>
        <tr r="Z5" s="19"/>
      </tp>
    </main>
    <main first="bofaddin.rtdserver">
      <tp t="s">
        <v>#N/A N/A</v>
        <stp/>
        <stp>BADDPERIODS|2167073493105844930</stp>
        <tr r="X24" s="19"/>
      </tp>
      <tp t="s">
        <v>#N/A N/A</v>
        <stp/>
        <stp>BADDPERIODS|3821797560594917175</stp>
        <tr r="Z23" s="19"/>
      </tp>
      <tp t="s">
        <v>#N/A N/A</v>
        <stp/>
        <stp>BADDPERIODS|7801638503211797704</stp>
        <tr r="O7" s="19"/>
      </tp>
    </main>
    <main first="bofaddin.rtdserver">
      <tp t="s">
        <v>#N/A N/A</v>
        <stp/>
        <stp>BADDPERIODS|3131967488457492215</stp>
        <tr r="X42" s="19"/>
      </tp>
      <tp t="s">
        <v>#N/A N/A</v>
        <stp/>
        <stp>BADDPERIODS|4572023071250757498</stp>
        <tr r="Q41" s="19"/>
      </tp>
      <tp t="s">
        <v>#N/A N/A</v>
        <stp/>
        <stp>BADDPERIODS|8417737844534352885</stp>
        <tr r="O42" s="19"/>
      </tp>
      <tp t="s">
        <v>#N/A N/A</v>
        <stp/>
        <stp>BADDPERIODS|2996755232274511593</stp>
        <tr r="X18" s="19"/>
      </tp>
      <tp t="s">
        <v>#N/A N/A</v>
        <stp/>
        <stp>BADDPERIODS|6639735737370742558</stp>
        <tr r="Z8" s="19"/>
      </tp>
    </main>
    <main first="bofaddin.rtdserver">
      <tp t="s">
        <v>#N/A N/A</v>
        <stp/>
        <stp>BADDPERIODS|8995857919062702437</stp>
        <tr r="O13" s="19"/>
      </tp>
      <tp t="s">
        <v>#N/A N/A</v>
        <stp/>
        <stp>BADDPERIODS|5530650514841487413</stp>
        <tr r="X33" s="19"/>
      </tp>
    </main>
    <main first="bofaddin.rtdserver">
      <tp t="s">
        <v>#N/A N/A</v>
        <stp/>
        <stp>BADDPERIODS|2798439762984841229</stp>
        <tr r="O32" s="19"/>
      </tp>
    </main>
    <main first="bofaddin.rtdserver">
      <tp t="s">
        <v>#N/A N/A</v>
        <stp/>
        <stp>BADDPERIODS|1063771103132461291</stp>
        <tr r="H30" s="19"/>
      </tp>
      <tp t="s">
        <v>#N/A N/A</v>
        <stp/>
        <stp>BADDPERIODS|8231942841517610472</stp>
        <tr r="Z22" s="19"/>
      </tp>
      <tp t="s">
        <v>#N/A N/A</v>
        <stp/>
        <stp>BADDPERIODS|2294952757331550921</stp>
        <tr r="H37" s="19"/>
      </tp>
      <tp t="s">
        <v>#N/A N/A</v>
        <stp/>
        <stp>BADDPERIODS|4134102651555268353</stp>
        <tr r="X28" s="19"/>
      </tp>
    </main>
    <main first="bofaddin.rtdserver">
      <tp t="s">
        <v>#N/A N/A</v>
        <stp/>
        <stp>BADDPERIODS|3138063607657772266</stp>
        <tr r="H9" s="19"/>
      </tp>
      <tp t="s">
        <v>#N/A N/A</v>
        <stp/>
        <stp>BADDPERIODS|1236095462417183558</stp>
        <tr r="H17" s="19"/>
      </tp>
    </main>
    <main first="bofaddin.rtdserver">
      <tp t="s">
        <v>#N/A N/A</v>
        <stp/>
        <stp>BADDPERIODS|6869044032857712724</stp>
        <tr r="H29" s="19"/>
      </tp>
      <tp t="s">
        <v>#N/A N/A</v>
        <stp/>
        <stp>BADDPERIODS|3389022542490924236</stp>
        <tr r="X44" s="19"/>
      </tp>
      <tp t="s">
        <v>#N/A N/A</v>
        <stp/>
        <stp>BADDPERIODS|5666384349457750046</stp>
        <tr r="F22" s="19"/>
      </tp>
      <tp t="s">
        <v>#N/A N/A</v>
        <stp/>
        <stp>BADDPERIODS|7836165929156112749</stp>
        <tr r="Z21" s="19"/>
      </tp>
      <tp t="s">
        <v>#N/A N/A</v>
        <stp/>
        <stp>BQL.QUERY|18039474272214130439</stp>
        <tr r="B125" s="10"/>
      </tp>
    </main>
    <main first="bofaddin.rtdserver">
      <tp t="s">
        <v>#N/A N/A</v>
        <stp/>
        <stp>BADDPERIODS|9317883050359360957</stp>
        <tr r="O29" s="19"/>
      </tp>
      <tp t="s">
        <v>#N/A N/A</v>
        <stp/>
        <stp>BADDPERIODS|7136151911835803663</stp>
        <tr r="Z12" s="19"/>
      </tp>
      <tp t="s">
        <v>#N/A N/A</v>
        <stp/>
        <stp>BADDPERIODS|6446201645114955030</stp>
        <tr r="O45" s="19"/>
      </tp>
      <tp t="s">
        <v>#N/A N/A</v>
        <stp/>
        <stp>BADDPERIODS|6801490036996944382</stp>
        <tr r="Z28" s="19"/>
      </tp>
      <tp t="s">
        <v>#N/A N/A</v>
        <stp/>
        <stp>BADDPERIODS|2798684853877951249</stp>
        <tr r="F36" s="19"/>
      </tp>
      <tp t="s">
        <v>#N/A N/A</v>
        <stp/>
        <stp>BADDPERIODS|1597973076363438810</stp>
        <tr r="F19" s="19"/>
      </tp>
      <tp t="s">
        <v>#N/A N/A</v>
        <stp/>
        <stp>BADDPERIODS|5162795050864532819</stp>
        <tr r="X6" s="19"/>
      </tp>
      <tp t="s">
        <v>#N/A N/A</v>
        <stp/>
        <stp>BADDPERIODS|8477676612715999123</stp>
        <tr r="Q23" s="19"/>
      </tp>
      <tp t="s">
        <v>#N/A N/A</v>
        <stp/>
        <stp>BADDPERIODS|6951094795524674098</stp>
        <tr r="X5" s="19"/>
      </tp>
      <tp t="s">
        <v>#N/A N/A</v>
        <stp/>
        <stp>BADDPERIODS|5374118377741992976</stp>
        <tr r="O41" s="19"/>
      </tp>
      <tp t="s">
        <v>#N/A Requesting Data...1291073481</v>
        <stp/>
        <stp>BADDPERIODS|4915355401675665904</stp>
        <tr r="U5" s="10"/>
      </tp>
      <tp t="s">
        <v>#N/A N/A</v>
        <stp/>
        <stp>BADDPERIODS|4467218253568736052</stp>
        <tr r="Z31" s="19"/>
      </tp>
      <tp t="s">
        <v>#N/A N/A</v>
        <stp/>
        <stp>BADDPERIODS|8553637907540529519</stp>
        <tr r="F34" s="19"/>
      </tp>
      <tp t="s">
        <v>#N/A N/A</v>
        <stp/>
        <stp>BADDPERIODS|8772069004001030256</stp>
        <tr r="O35" s="19"/>
      </tp>
    </main>
    <main first="bofaddin.rtdserver">
      <tp t="s">
        <v>#N/A N/A</v>
        <stp/>
        <stp>BADDPERIODS|5699939312574721389</stp>
        <tr r="F7" s="19"/>
      </tp>
      <tp t="s">
        <v>#N/A N/A</v>
        <stp/>
        <stp>BADDPERIODS|4327962269817488609</stp>
        <tr r="Q14" s="19"/>
      </tp>
      <tp t="s">
        <v>#N/A N/A</v>
        <stp/>
        <stp>BADDPERIODS|9581195600532646026</stp>
        <tr r="Q8" s="19"/>
      </tp>
      <tp t="s">
        <v>#N/A N/A</v>
        <stp/>
        <stp>BADDPERIODS|7101904920247587128</stp>
        <tr r="O38" s="19"/>
      </tp>
      <tp t="s">
        <v>#N/A N/A</v>
        <stp/>
        <stp>BADDPERIODS|2604045748899783583</stp>
        <tr r="Z18" s="19"/>
      </tp>
      <tp t="s">
        <v>#N/A N/A</v>
        <stp/>
        <stp>BADDPERIODS|7682352825875476908</stp>
        <tr r="Z20" s="19"/>
      </tp>
      <tp t="s">
        <v>#N/A N/A</v>
        <stp/>
        <stp>BADDPERIODS|3733572194281542431</stp>
        <tr r="Q6" s="19"/>
      </tp>
      <tp t="s">
        <v>#N/A N/A</v>
        <stp/>
        <stp>BADDPERIODS|8272147718447917555</stp>
        <tr r="O10" s="19"/>
      </tp>
    </main>
    <main first="bofaddin.rtdserver">
      <tp t="s">
        <v>#N/A N/A</v>
        <stp/>
        <stp>BQL.QUERY|14527024995809403079</stp>
        <tr r="K125" s="10"/>
      </tp>
      <tp t="s">
        <v>#N/A N/A</v>
        <stp/>
        <stp>BQL.QUERY|13014291832906737018</stp>
        <tr r="B6" s="10"/>
      </tp>
    </main>
    <main first="bofaddin.rtdserver">
      <tp t="s">
        <v>#N/A N/A</v>
        <stp/>
        <stp>BADDPERIODS|5534296800447325932</stp>
        <tr r="H31" s="19"/>
      </tp>
      <tp t="s">
        <v>#N/A N/A</v>
        <stp/>
        <stp>BADDPERIODS|9036173211503064335</stp>
        <tr r="F31" s="19"/>
      </tp>
      <tp t="s">
        <v>#N/A N/A</v>
        <stp/>
        <stp>BADDPERIODS|5871977968296527503</stp>
        <tr r="O21" s="19"/>
      </tp>
      <tp t="s">
        <v>#N/A N/A</v>
        <stp/>
        <stp>BADDPERIODS|8835182504234061448</stp>
        <tr r="O20" s="19"/>
      </tp>
      <tp t="s">
        <v>#N/A N/A</v>
        <stp/>
        <stp>BADDPERIODS|9592506955382895295</stp>
        <tr r="X21" s="19"/>
      </tp>
      <tp t="s">
        <v>#N/A N/A</v>
        <stp/>
        <stp>BADDPERIODS|1172718307289299646</stp>
        <tr r="O28" s="19"/>
      </tp>
      <tp t="s">
        <v>#N/A N/A</v>
        <stp/>
        <stp>BADDPERIODS|1846338058187876850</stp>
        <tr r="O24" s="19"/>
      </tp>
      <tp t="s">
        <v>#N/A N/A</v>
        <stp/>
        <stp>BADDPERIODS|9660325908922202011</stp>
        <tr r="Z16" s="19"/>
      </tp>
      <tp t="s">
        <v>#N/A N/A</v>
        <stp/>
        <stp>BADDPERIODS|8186456559133484265</stp>
        <tr r="Q38" s="19"/>
      </tp>
      <tp t="s">
        <v>#N/A N/A</v>
        <stp/>
        <stp>BADDPERIODS|6030102988265459205</stp>
        <tr r="X9" s="19"/>
      </tp>
      <tp t="s">
        <v>#N/A N/A</v>
        <stp/>
        <stp>BADDPERIODS|9548428987705239890</stp>
        <tr r="Q22" s="19"/>
      </tp>
      <tp t="s">
        <v>#N/A N/A</v>
        <stp/>
        <stp>BADDPERIODS|9982354630317802639</stp>
        <tr r="O44" s="19"/>
      </tp>
      <tp t="s">
        <v>#N/A N/A</v>
        <stp/>
        <stp>BADDPERIODS|9849596714876235340</stp>
        <tr r="X20" s="19"/>
      </tp>
      <tp t="s">
        <v>#N/A N/A</v>
        <stp/>
        <stp>BADDPERIODS|9954337179012432769</stp>
        <tr r="H43" s="19"/>
      </tp>
    </main>
    <main first="bofaddin.rtdserver">
      <tp t="s">
        <v>#N/A N/A</v>
        <stp/>
        <stp>BADDPERIODS|8320786685348252021</stp>
        <tr r="H32" s="19"/>
      </tp>
      <tp t="s">
        <v>#N/A N/A</v>
        <stp/>
        <stp>BADDPERIODS|3589944479882605018</stp>
        <tr r="Z10" s="19"/>
      </tp>
      <tp t="s">
        <v>#N/A N/A</v>
        <stp/>
        <stp>BADDPERIODS|8958858015749781718</stp>
        <tr r="Z25" s="19"/>
      </tp>
      <tp t="s">
        <v>#N/A N/A</v>
        <stp/>
        <stp>BADDPERIODS|9136089481188649643</stp>
        <tr r="O31" s="19"/>
      </tp>
    </main>
    <main first="bofaddin.rtdserver">
      <tp t="s">
        <v>#N/A N/A</v>
        <stp/>
        <stp>BADDPERIODS|3050714440549784613</stp>
        <tr r="O26" s="19"/>
      </tp>
      <tp t="s">
        <v>#N/A N/A</v>
        <stp/>
        <stp>BADDPERIODS|6945396976255616870</stp>
        <tr r="Q25" s="19"/>
      </tp>
      <tp t="s">
        <v>#N/A N/A</v>
        <stp/>
        <stp>BADDPERIODS|7307097289903772366</stp>
        <tr r="H14" s="19"/>
      </tp>
    </main>
    <main first="bofaddin.rtdserver">
      <tp t="s">
        <v>#N/A N/A</v>
        <stp/>
        <stp>BADDPERIODS|7133847834877974534</stp>
        <tr r="Z15" s="19"/>
      </tp>
      <tp t="s">
        <v>#N/A N/A</v>
        <stp/>
        <stp>BADDPERIODS|3745987813871618410</stp>
        <tr r="H19" s="19"/>
      </tp>
      <tp t="s">
        <v>#N/A N/A</v>
        <stp/>
        <stp>BADDPERIODS|4655224298262110352</stp>
        <tr r="Q40" s="19"/>
      </tp>
    </main>
    <main first="bofaddin.rtdserver">
      <tp t="s">
        <v>#N/A N/A</v>
        <stp/>
        <stp>BADDPERIODS|4079396893115518568</stp>
        <tr r="X7" s="19"/>
      </tp>
    </main>
    <main first="bofaddin.rtdserver">
      <tp t="s">
        <v>#N/A N/A</v>
        <stp/>
        <stp>BADDPERIODS|2453873847975807581</stp>
        <tr r="Q45" s="19"/>
      </tp>
      <tp t="s">
        <v>#N/A N/A</v>
        <stp/>
        <stp>BADDPERIODS|2604350012847068901</stp>
        <tr r="O40" s="19"/>
      </tp>
      <tp t="s">
        <v>#N/A N/A</v>
        <stp/>
        <stp>BADDPERIODS|7235065198331559217</stp>
        <tr r="Q20" s="19"/>
      </tp>
      <tp t="s">
        <v>#N/A N/A</v>
        <stp/>
        <stp>BADDPERIODS|8959317716253383440</stp>
        <tr r="H21" s="19"/>
      </tp>
    </main>
    <main first="bofaddin.rtdserver">
      <tp t="s">
        <v>#N/A N/A</v>
        <stp/>
        <stp>BADDPERIODS|9104347704651749702</stp>
        <tr r="Q43" s="19"/>
      </tp>
      <tp t="s">
        <v>#N/A N/A</v>
        <stp/>
        <stp>BADDPERIODS|4741679174150530966</stp>
        <tr r="Z32" s="19"/>
      </tp>
      <tp t="s">
        <v>#N/A N/A</v>
        <stp/>
        <stp>BADDPERIODS|2710711470648527647</stp>
        <tr r="Q24" s="19"/>
      </tp>
      <tp t="s">
        <v>#N/A N/A</v>
        <stp/>
        <stp>BADDPERIODS|9102136247140763052</stp>
        <tr r="Z26" s="19"/>
      </tp>
      <tp t="s">
        <v>#N/A N/A</v>
        <stp/>
        <stp>BADDPERIODS|7516787798746728306</stp>
        <tr r="O8" s="19"/>
      </tp>
    </main>
    <main first="bofaddin.rtdserver">
      <tp t="s">
        <v>#N/A N/A</v>
        <stp/>
        <stp>BCOUNTPERIODS|4897517633799828283</stp>
        <tr r="Y25" s="19"/>
      </tp>
      <tp t="s">
        <v>#N/A Requesting Data...1134395651</v>
        <stp/>
        <stp>BQL|338360200067039186</stp>
        <tr r="U9" s="10"/>
      </tp>
      <tp t="s">
        <v>#N/A N/A</v>
        <stp/>
        <stp>BCOUNTPERIODS|7931626295565663404</stp>
        <tr r="G5" s="19"/>
      </tp>
      <tp t="s">
        <v>#N/A N/A</v>
        <stp/>
        <stp>BCOUNTPERIODS|5056079654311905821</stp>
        <tr r="N11" s="19"/>
      </tp>
      <tp t="s">
        <v>#N/A N/A</v>
        <stp/>
        <stp>BCOUNTPERIODS|8728223549207722020</stp>
        <tr r="P41" s="19"/>
      </tp>
      <tp t="s">
        <v>#N/A N/A</v>
        <stp/>
        <stp>BCOUNTPERIODS|7204871118536474106</stp>
        <tr r="E16" s="19"/>
      </tp>
      <tp t="s">
        <v>#N/A N/A</v>
        <stp/>
        <stp>BCOUNTPERIODS|1856078331853193830</stp>
        <tr r="G161" s="10"/>
      </tp>
      <tp t="s">
        <v>#N/A N/A</v>
        <stp/>
        <stp>BCOUNTPERIODS|9862786358224983638</stp>
        <tr r="Y15" s="19"/>
      </tp>
      <tp t="s">
        <v>#N/A N/A</v>
        <stp/>
        <stp>BCOUNTPERIODS|2598927103266731416</stp>
        <tr r="E11" s="19"/>
      </tp>
      <tp t="s">
        <v>#N/A N/A</v>
        <stp/>
        <stp>BCOUNTPERIODS|6556804122485723013</stp>
        <tr r="G153" s="10"/>
      </tp>
      <tp t="s">
        <v>#N/A N/A</v>
        <stp/>
        <stp>BCOUNTPERIODS|1384405066348380272</stp>
        <tr r="Y45" s="19"/>
      </tp>
      <tp t="s">
        <v>#N/A N/A</v>
        <stp/>
        <stp>BCOUNTPERIODS|9181607982446575805</stp>
        <tr r="W44" s="19"/>
      </tp>
      <tp t="s">
        <v>#N/A N/A</v>
        <stp/>
        <stp>BADDPERIODS|888967955505512927</stp>
        <tr r="F14" s="19"/>
      </tp>
    </main>
    <main first="bofaddin.rtdserver">
      <tp t="s">
        <v>#N/A N/A</v>
        <stp/>
        <stp>BCOUNTPERIODS|1824005386079278877</stp>
        <tr r="Y42" s="19"/>
      </tp>
      <tp t="s">
        <v>#N/A N/A</v>
        <stp/>
        <stp>BCOUNTPERIODS|3310334577537998855</stp>
        <tr r="G32" s="19"/>
      </tp>
      <tp t="s">
        <v>#N/A N/A</v>
        <stp/>
        <stp>BCOUNTPERIODS|9761657759920717234</stp>
        <tr r="Y40" s="19"/>
      </tp>
      <tp t="s">
        <v>#N/A N/A</v>
        <stp/>
        <stp>BCOUNTPERIODS|3933746537508749718</stp>
        <tr r="G6" s="19"/>
      </tp>
      <tp t="s">
        <v>#N/A N/A</v>
        <stp/>
        <stp>BCOUNTPERIODS|7504857473646959677</stp>
        <tr r="Y12" s="19"/>
      </tp>
      <tp t="s">
        <v>#N/A N/A</v>
        <stp/>
        <stp>BCOUNTPERIODS|1699543705705253981</stp>
        <tr r="P29" s="19"/>
      </tp>
      <tp t="s">
        <v>#N/A N/A</v>
        <stp/>
        <stp>BCOUNTPERIODS|9497733572990304152</stp>
        <tr r="Y26" s="19"/>
      </tp>
      <tp t="s">
        <v>#N/A N/A</v>
        <stp/>
        <stp>BCOUNTPERIODS|3181028328219314081</stp>
        <tr r="E30" s="19"/>
      </tp>
      <tp t="s">
        <v>#N/A N/A</v>
        <stp/>
        <stp>BCOUNTPERIODS|3799693934536370883</stp>
        <tr r="G96" s="10"/>
      </tp>
      <tp t="s">
        <v>#N/A N/A</v>
        <stp/>
        <stp>BCOUNTPERIODS|6759426981316729451</stp>
        <tr r="P15" s="19"/>
      </tp>
      <tp t="s">
        <v>#N/A N/A</v>
        <stp/>
        <stp>BCOUNTPERIODS|8570104802779320827</stp>
        <tr r="R27" s="15"/>
      </tp>
      <tp t="s">
        <v>#N/A N/A</v>
        <stp/>
        <stp>BCOUNTPERIODS|4966575965698712785</stp>
        <tr r="W21" s="19"/>
      </tp>
      <tp t="s">
        <v>#N/A N/A</v>
        <stp/>
        <stp>BCOUNTPERIODS|2939800020543937341</stp>
        <tr r="G100" s="10"/>
      </tp>
    </main>
    <main first="bofaddin.rtdserver">
      <tp t="s">
        <v>#N/A N/A</v>
        <stp/>
        <stp>BCOUNTPERIODS|4651079541652870936</stp>
        <tr r="G68" s="10"/>
      </tp>
      <tp t="s">
        <v>#N/A N/A</v>
        <stp/>
        <stp>BCOUNTPERIODS|4149691682078057919</stp>
        <tr r="G12" s="19"/>
      </tp>
      <tp t="s">
        <v>#N/A N/A</v>
        <stp/>
        <stp>BCOUNTPERIODS|1602387249794493980</stp>
        <tr r="G159" s="10"/>
      </tp>
      <tp t="s">
        <v>#N/A N/A</v>
        <stp/>
        <stp>BCOUNTPERIODS|8822625140270385168</stp>
        <tr r="R17" s="15"/>
      </tp>
      <tp t="s">
        <v>#N/A N/A</v>
        <stp/>
        <stp>BCOUNTPERIODS|9432585646512185142</stp>
        <tr r="Y4" s="19"/>
      </tp>
      <tp t="s">
        <v>#N/A N/A</v>
        <stp/>
        <stp>BCOUNTPERIODS|2292699294636382001</stp>
        <tr r="R16" s="15"/>
      </tp>
      <tp t="s">
        <v>#N/A N/A</v>
        <stp/>
        <stp>BCOUNTPERIODS|3252082088898729890</stp>
        <tr r="R19" s="15"/>
      </tp>
      <tp t="s">
        <v>#N/A N/A</v>
        <stp/>
        <stp>BCOUNTPERIODS|8177322897679481026</stp>
        <tr r="W7" s="19"/>
      </tp>
      <tp t="s">
        <v>#N/A N/A</v>
        <stp/>
        <stp>BCOUNTPERIODS|9423812092727570427</stp>
        <tr r="G25" s="19"/>
      </tp>
      <tp t="s">
        <v>#N/A N/A</v>
        <stp/>
        <stp>BCOUNTPERIODS|8406411313222144472</stp>
        <tr r="F7" s="15"/>
      </tp>
      <tp t="s">
        <v>#N/A N/A</v>
        <stp/>
        <stp>BCOUNTPERIODS|2585985723383146195</stp>
        <tr r="G45" s="19"/>
      </tp>
      <tp t="s">
        <v>#N/A N/A</v>
        <stp/>
        <stp>BCOUNTPERIODS|8084233573684636214</stp>
        <tr r="P35" s="19"/>
      </tp>
      <tp t="s">
        <v>#N/A N/A</v>
        <stp/>
        <stp>BCOUNTPERIODS|9558771310973749713</stp>
        <tr r="R24" s="15"/>
      </tp>
      <tp t="s">
        <v>#N/A N/A</v>
        <stp/>
        <stp>BCOUNTPERIODS|1237071282913743156</stp>
        <tr r="G41" s="19"/>
      </tp>
    </main>
    <main first="bofaddin.rtdserver">
      <tp t="s">
        <v>#N/A N/A</v>
        <stp/>
        <stp>BCOUNTPERIODS|2351662362839879140</stp>
        <tr r="E26" s="19"/>
      </tp>
      <tp t="s">
        <v>#N/A N/A</v>
        <stp/>
        <stp>BCOUNTPERIODS|4387845772026878751</stp>
        <tr r="G97" s="10"/>
      </tp>
    </main>
    <main first="bofaddin.rtdserver">
      <tp t="s">
        <v>#N/A N/A</v>
        <stp/>
        <stp>BCOUNTPERIODS|8299408902080841666</stp>
        <tr r="G139" s="10"/>
      </tp>
      <tp t="s">
        <v>#N/A N/A</v>
        <stp/>
        <stp>BCOUNTPERIODS|1676629694364962079</stp>
        <tr r="L24" s="15"/>
      </tp>
      <tp t="s">
        <v>#N/A N/A</v>
        <stp/>
        <stp>BCOUNTPERIODS|7575957358423566230</stp>
        <tr r="Y32" s="19"/>
      </tp>
      <tp t="s">
        <v>#N/A N/A</v>
        <stp/>
        <stp>BCOUNTPERIODS|1500111608372204805</stp>
        <tr r="Y6" s="19"/>
      </tp>
      <tp t="s">
        <v>#N/A N/A</v>
        <stp/>
        <stp>BCOUNTPERIODS|6289986213752444635</stp>
        <tr r="G75" s="10"/>
      </tp>
      <tp t="s">
        <v>#N/A N/A</v>
        <stp/>
        <stp>BCOUNTPERIODS|4961142757018782228</stp>
        <tr r="Y14" s="19"/>
      </tp>
      <tp t="s">
        <v>#N/A N/A</v>
        <stp/>
        <stp>BCOUNTPERIODS|6752697687473590133</stp>
        <tr r="G90" s="10"/>
      </tp>
      <tp t="s">
        <v>#N/A N/A</v>
        <stp/>
        <stp>BCOUNTPERIODS|1131097684526037502</stp>
        <tr r="E17" s="19"/>
      </tp>
      <tp t="s">
        <v>#N/A N/A</v>
        <stp/>
        <stp>BCOUNTPERIODS|3741177572358746782</stp>
        <tr r="W30" s="19"/>
      </tp>
      <tp t="s">
        <v>#N/A N/A</v>
        <stp/>
        <stp>BCOUNTPERIODS|5948348699721927403</stp>
        <tr r="N25" s="19"/>
      </tp>
      <tp t="s">
        <v>#N/A N/A</v>
        <stp/>
        <stp>BCOUNTPERIODS|8882596473699022910</stp>
        <tr r="W39" s="19"/>
      </tp>
      <tp t="s">
        <v>#N/A N/A</v>
        <stp/>
        <stp>BCOUNTPERIODS|3525247276714719808</stp>
        <tr r="N27" s="19"/>
      </tp>
      <tp t="s">
        <v>#N/A N/A</v>
        <stp/>
        <stp>BCOUNTPERIODS|1665982243645890346</stp>
        <tr r="L7" s="15"/>
      </tp>
      <tp t="s">
        <v>#N/A N/A</v>
        <stp/>
        <stp>BCOUNTPERIODS|4076110927515497837</stp>
        <tr r="G146" s="10"/>
      </tp>
      <tp t="s">
        <v>#N/A N/A</v>
        <stp/>
        <stp>BDP|825962468511828895</stp>
        <tr r="J17" s="15"/>
        <tr r="P23" s="15"/>
      </tp>
      <tp t="s">
        <v>#N/A N/A</v>
        <stp/>
        <stp>BCOUNTPERIODS|3683110205098598023</stp>
        <tr r="G93" s="10"/>
      </tp>
      <tp t="s">
        <v>#N/A N/A</v>
        <stp/>
        <stp>BCOUNTPERIODS|4869774706380554992</stp>
        <tr r="F15" s="15"/>
      </tp>
    </main>
    <main first="bofaddin.rtdserver">
      <tp t="s">
        <v>#N/A N/A</v>
        <stp/>
        <stp>BCOUNTPERIODS|4352096982797726652</stp>
        <tr r="W40" s="19"/>
      </tp>
      <tp t="s">
        <v>#N/A N/A</v>
        <stp/>
        <stp>BCOUNTPERIODS|6456205594003935337</stp>
        <tr r="G39" s="19"/>
      </tp>
      <tp t="s">
        <v>#N/A N/A</v>
        <stp/>
        <stp>BCOUNTPERIODS|1840090829376549867</stp>
        <tr r="G129" s="10"/>
      </tp>
      <tp t="s">
        <v>#N/A N/A</v>
        <stp/>
        <stp>BCOUNTPERIODS|4501573861588280298</stp>
        <tr r="W13" s="19"/>
      </tp>
      <tp t="s">
        <v>#N/A N/A</v>
        <stp/>
        <stp>BCOUNTPERIODS|4580703348903212964</stp>
        <tr r="G91" s="10"/>
      </tp>
      <tp t="s">
        <v>#N/A N/A</v>
        <stp/>
        <stp>BCOUNTPERIODS|3465096717649798643</stp>
        <tr r="G11" s="10"/>
        <tr r="D99" s="12"/>
      </tp>
      <tp t="s">
        <v>#N/A N/A</v>
        <stp/>
        <stp>BCOUNTPERIODS|1697502641789931404</stp>
        <tr r="G37" s="19"/>
      </tp>
      <tp t="s">
        <v>#N/A N/A</v>
        <stp/>
        <stp>BCOUNTPERIODS|9916833983787633306</stp>
        <tr r="G27" s="19"/>
      </tp>
      <tp t="s">
        <v>#N/A N/A</v>
        <stp/>
        <stp>BCOUNTPERIODS|6773698210704287836</stp>
        <tr r="G73" s="10"/>
      </tp>
      <tp t="s">
        <v>#N/A N/A</v>
        <stp/>
        <stp>BCOUNTPERIODS|5364999721410047389</stp>
        <tr r="R7" s="15"/>
      </tp>
      <tp t="s">
        <v>#N/A N/A</v>
        <stp/>
        <stp>BCOUNTPERIODS|6527813728211963056</stp>
        <tr r="G30" s="19"/>
      </tp>
      <tp t="s">
        <v>#N/A N/A</v>
        <stp/>
        <stp>BCOUNTPERIODS|8510701702193108175</stp>
        <tr r="Y22" s="19"/>
      </tp>
      <tp t="s">
        <v>#N/A N/A</v>
        <stp/>
        <stp>BCOUNTPERIODS|5747367693764466618</stp>
        <tr r="Y37" s="19"/>
      </tp>
    </main>
    <main first="bofaddin.rtdserver">
      <tp t="s">
        <v>#N/A N/A</v>
        <stp/>
        <stp>BCOUNTPERIODS|5860369165659167519</stp>
        <tr r="G127" s="10"/>
      </tp>
      <tp t="s">
        <v>#N/A N/A</v>
        <stp/>
        <stp>BCOUNTPERIODS|3906857465501376011</stp>
        <tr r="G142" s="10"/>
      </tp>
      <tp t="s">
        <v>#N/A N/A</v>
        <stp/>
        <stp>BCOUNTPERIODS|8384294454534769711</stp>
        <tr r="D106" s="12"/>
      </tp>
      <tp t="s">
        <v>#N/A N/A</v>
        <stp/>
        <stp>BCOUNTPERIODS|9576294664024050516</stp>
        <tr r="F21" s="15"/>
      </tp>
      <tp t="s">
        <v>#N/A N/A</v>
        <stp/>
        <stp>BCOUNTPERIODS|7130355638629309269</stp>
        <tr r="G16" s="10"/>
        <tr r="D104" s="12"/>
      </tp>
      <tp t="s">
        <v>#N/A N/A</v>
        <stp/>
        <stp>BCOUNTPERIODS|5075202997195166785</stp>
        <tr r="P22" s="19"/>
      </tp>
      <tp t="s">
        <v>#N/A N/A</v>
        <stp/>
        <stp>BCOUNTPERIODS|6002494810807200878</stp>
        <tr r="G42" s="19"/>
      </tp>
      <tp t="s">
        <v>#N/A N/A</v>
        <stp/>
        <stp>BCOUNTPERIODS|7524785787956510223</stp>
        <tr r="E33" s="19"/>
      </tp>
      <tp t="s">
        <v>#N/A N/A</v>
        <stp/>
        <stp>BCOUNTPERIODS|6450962332482074223</stp>
        <tr r="N37" s="19"/>
      </tp>
      <tp t="s">
        <v>#N/A N/A</v>
        <stp/>
        <stp>BCOUNTPERIODS|9690547801852450275</stp>
        <tr r="P34" s="19"/>
      </tp>
      <tp t="s">
        <v>#N/A N/A</v>
        <stp/>
        <stp>BCOUNTPERIODS|1190152982824790011</stp>
        <tr r="G85" s="10"/>
      </tp>
      <tp t="s">
        <v>#N/A N/A</v>
        <stp/>
        <stp>BCOUNTPERIODS|7760127864984171800</stp>
        <tr r="G41" s="10"/>
      </tp>
      <tp t="s">
        <v>#N/A N/A</v>
        <stp/>
        <stp>BCOUNTPERIODS|2896462886607194588</stp>
        <tr r="G15" s="19"/>
      </tp>
      <tp t="s">
        <v>#N/A N/A</v>
        <stp/>
        <stp>BCOUNTPERIODS|2497944942531075255</stp>
        <tr r="L10" s="15"/>
      </tp>
      <tp t="s">
        <v>#N/A N/A</v>
        <stp/>
        <stp>BCOUNTPERIODS|3345133855769235234</stp>
        <tr r="Y24" s="19"/>
      </tp>
    </main>
    <main first="bofaddin.rtdserver">
      <tp t="s">
        <v>#N/A N/A</v>
        <stp/>
        <stp>BCOUNTPERIODS|9170042579604354545</stp>
        <tr r="R14" s="15"/>
      </tp>
      <tp t="s">
        <v>#N/A N/A</v>
        <stp/>
        <stp>BCOUNTPERIODS|4804169926399194124</stp>
        <tr r="E8" s="19"/>
      </tp>
      <tp t="s">
        <v>#N/A N/A</v>
        <stp/>
        <stp>BCOUNTPERIODS|9783298734313511460</stp>
        <tr r="D101" s="12"/>
      </tp>
      <tp t="s">
        <v>#N/A N/A</v>
        <stp/>
        <stp>BCOUNTPERIODS|8953854866298666120</stp>
        <tr r="W38" s="19"/>
      </tp>
      <tp t="s">
        <v>#N/A N/A</v>
        <stp/>
        <stp>BCOUNTPERIODS|5862997794978856224</stp>
        <tr r="G87" s="10"/>
      </tp>
      <tp t="s">
        <v>#N/A N/A</v>
        <stp/>
        <stp>BCOUNTPERIODS|4554785846809380142</stp>
        <tr r="N29" s="19"/>
      </tp>
      <tp t="s">
        <v>#N/A N/A</v>
        <stp/>
        <stp>BDH|749050413630381283</stp>
        <tr r="C28" s="15"/>
      </tp>
      <tp t="s">
        <v>#N/A N/A</v>
        <stp/>
        <stp>BCOUNTPERIODS|8871622302211754021</stp>
        <tr r="F20" s="15"/>
      </tp>
      <tp t="s">
        <v>#N/A N/A</v>
        <stp/>
        <stp>BCOUNTPERIODS|6133669065131135819</stp>
        <tr r="E25" s="19"/>
      </tp>
      <tp t="s">
        <v>#N/A N/A</v>
        <stp/>
        <stp>BCOUNTPERIODS|8051840011867694915</stp>
        <tr r="W34" s="19"/>
      </tp>
      <tp t="s">
        <v>#N/A N/A</v>
        <stp/>
        <stp>BCOUNTPERIODS|4569850705291038244</stp>
        <tr r="F13" s="15"/>
      </tp>
      <tp t="s">
        <v>#N/A N/A</v>
        <stp/>
        <stp>BCOUNTPERIODS|8466247048116164780</stp>
        <tr r="G133" s="10"/>
      </tp>
      <tp t="s">
        <v>#N/A N/A</v>
        <stp/>
        <stp>BCOUNTPERIODS|3267972952521555140</stp>
        <tr r="G23" s="10"/>
      </tp>
      <tp t="s">
        <v>#N/A N/A</v>
        <stp/>
        <stp>BCOUNTPERIODS|6503913570980406777</stp>
        <tr r="G126" s="10"/>
      </tp>
      <tp t="s">
        <v>#N/A N/A</v>
        <stp/>
        <stp>BCOUNTPERIODS|5713839513241436278</stp>
        <tr r="Y36" s="19"/>
      </tp>
      <tp t="s">
        <v>#N/A N/A</v>
        <stp/>
        <stp>BCOUNTPERIODS|6853244762575255880</stp>
        <tr r="P21" s="19"/>
      </tp>
      <tp t="s">
        <v>#N/A N/A</v>
        <stp/>
        <stp>BCOUNTPERIODS|5707934173214285009</stp>
        <tr r="N16" s="19"/>
      </tp>
    </main>
    <main first="bofaddin.rtdserver">
      <tp t="s">
        <v>#N/A N/A</v>
        <stp/>
        <stp>BCOUNTPERIODS|5705281397963297328</stp>
        <tr r="G20" s="19"/>
      </tp>
      <tp t="s">
        <v>#N/A N/A</v>
        <stp/>
        <stp>BCOUNTPERIODS|9310143902101333787</stp>
        <tr r="W6" s="19"/>
      </tp>
      <tp t="s">
        <v>#N/A N/A</v>
        <stp/>
        <stp>BCOUNTPERIODS|6734143682738725990</stp>
        <tr r="G7" s="10"/>
        <tr r="D95" s="12"/>
      </tp>
      <tp t="s">
        <v>#N/A N/A</v>
        <stp/>
        <stp>BCOUNTPERIODS|1749658052224741880</stp>
        <tr r="P12" s="19"/>
      </tp>
      <tp t="s">
        <v>#N/A N/A</v>
        <stp/>
        <stp>BCOUNTPERIODS|8556791404883031277</stp>
        <tr r="F19" s="15"/>
      </tp>
      <tp t="s">
        <v>#N/A Requesting Data...3890099490</v>
        <stp/>
        <stp>BDP|850139771122168600</stp>
        <tr r="T15" s="9"/>
        <tr r="T15" s="9"/>
      </tp>
      <tp t="s">
        <v>#N/A N/A</v>
        <stp/>
        <stp>BCOUNTPERIODS|9852039428532713773</stp>
        <tr r="N35" s="19"/>
      </tp>
      <tp t="s">
        <v>#N/A N/A</v>
        <stp/>
        <stp>BCOUNTPERIODS|8246414124539067972</stp>
        <tr r="W43" s="19"/>
      </tp>
      <tp t="s">
        <v>#N/A N/A</v>
        <stp/>
        <stp>BCOUNTPERIODS|9453015749463571092</stp>
        <tr r="N30" s="19"/>
      </tp>
      <tp t="s">
        <v>#N/A N/A</v>
        <stp/>
        <stp>BCOUNTPERIODS|1835785395263148224</stp>
        <tr r="E27" s="19"/>
      </tp>
      <tp t="s">
        <v>#N/A N/A</v>
        <stp/>
        <stp>BCOUNTPERIODS|5290897544695207282</stp>
        <tr r="L18" s="15"/>
      </tp>
      <tp t="s">
        <v>#N/A N/A</v>
        <stp/>
        <stp>BCOUNTPERIODS|4992183064259413446</stp>
        <tr r="W5" s="19"/>
      </tp>
      <tp t="s">
        <v>#N/A N/A</v>
        <stp/>
        <stp>BCOUNTPERIODS|1977351778312820999</stp>
        <tr r="G10" s="19"/>
      </tp>
      <tp t="s">
        <v>#N/A N/A</v>
        <stp/>
        <stp>BCOUNTPERIODS|8095829986800231637</stp>
        <tr r="E20" s="19"/>
      </tp>
      <tp t="s">
        <v>#N/A N/A</v>
        <stp/>
        <stp>BADDPERIODS|341680840490611537</stp>
        <tr r="F27" s="19"/>
      </tp>
    </main>
    <main first="bofaddin.rtdserver">
      <tp t="s">
        <v>#N/A N/A</v>
        <stp/>
        <stp>BCOUNTPERIODS|9502624992370864773</stp>
        <tr r="W4" s="19"/>
      </tp>
      <tp t="s">
        <v>#N/A N/A</v>
        <stp/>
        <stp>BCOUNTPERIODS|3000899226500300845</stp>
        <tr r="N36" s="19"/>
      </tp>
      <tp t="s">
        <v>#N/A N/A</v>
        <stp/>
        <stp>BCOUNTPERIODS|3576933258746221857</stp>
        <tr r="L12" s="15"/>
      </tp>
      <tp t="s">
        <v>#N/A N/A</v>
        <stp/>
        <stp>BCOUNTPERIODS|1131083311135288447</stp>
        <tr r="G70" s="10"/>
      </tp>
      <tp t="s">
        <v>#N/A N/A</v>
        <stp/>
        <stp>BCOUNTPERIODS|6225082601146367173</stp>
        <tr r="G44" s="10"/>
      </tp>
      <tp t="s">
        <v>#N/A N/A</v>
        <stp/>
        <stp>BDH|215401059069659545</stp>
        <tr r="O12" s="15"/>
      </tp>
      <tp t="s">
        <v>#N/A N/A</v>
        <stp/>
        <stp>BCOUNTPERIODS|4746031228313528453</stp>
        <tr r="N19" s="19"/>
      </tp>
      <tp t="s">
        <v>#N/A N/A</v>
        <stp/>
        <stp>BCOUNTPERIODS|1048867229569142327</stp>
        <tr r="P30" s="19"/>
      </tp>
      <tp t="s">
        <v>#N/A N/A</v>
        <stp/>
        <stp>BCOUNTPERIODS|7366065297076236922</stp>
        <tr r="P16" s="19"/>
      </tp>
      <tp t="s">
        <v>#N/A N/A</v>
        <stp/>
        <stp>BCOUNTPERIODS|3619021306003709179</stp>
        <tr r="G36" s="19"/>
      </tp>
      <tp t="s">
        <v>#N/A N/A</v>
        <stp/>
        <stp>BCOUNTPERIODS|2522572378232471384</stp>
        <tr r="R12" s="15"/>
      </tp>
      <tp t="s">
        <v>#N/A N/A</v>
        <stp/>
        <stp>BCOUNTPERIODS|9055645005698443636</stp>
        <tr r="E15" s="19"/>
      </tp>
      <tp t="s">
        <v>#N/A N/A</v>
        <stp/>
        <stp>BCOUNTPERIODS|7682081305105462397</stp>
        <tr r="E45" s="19"/>
      </tp>
      <tp t="s">
        <v>#N/A N/A</v>
        <stp/>
        <stp>BCOUNTPERIODS|7118139935784687050</stp>
        <tr r="N4" s="19"/>
      </tp>
      <tp t="s">
        <v>#N/A N/A</v>
        <stp/>
        <stp>BCOUNTPERIODS|3216576575641549101</stp>
        <tr r="E24" s="19"/>
      </tp>
      <tp t="s">
        <v>#N/A N/A</v>
        <stp/>
        <stp>BADDPERIODS|263702956108765211</stp>
        <tr r="H12" s="19"/>
      </tp>
    </main>
    <main first="bofaddin.rtdserver">
      <tp t="s">
        <v>#N/A N/A</v>
        <stp/>
        <stp>BCOUNTPERIODS|4210795530208282829</stp>
        <tr r="E5" s="19"/>
      </tp>
      <tp t="s">
        <v>#N/A N/A</v>
        <stp/>
        <stp>BCOUNTPERIODS|7426488776395014123</stp>
        <tr r="W8" s="19"/>
      </tp>
      <tp t="s">
        <v>#N/A N/A</v>
        <stp/>
        <stp>BCOUNTPERIODS|5089342849205696729</stp>
        <tr r="G140" s="10"/>
      </tp>
      <tp t="s">
        <v>#N/A N/A</v>
        <stp/>
        <stp>BCOUNTPERIODS|1212749169069164973</stp>
        <tr r="G10" s="10"/>
        <tr r="D98" s="12"/>
      </tp>
      <tp t="s">
        <v>#N/A N/A</v>
        <stp/>
        <stp>BCOUNTPERIODS|4898900854451326911</stp>
        <tr r="P24" s="19"/>
      </tp>
      <tp t="s">
        <v>#N/A N/A</v>
        <stp/>
        <stp>BCOUNTPERIODS|4999132677643230100</stp>
        <tr r="Y30" s="19"/>
      </tp>
      <tp t="s">
        <v>#N/A N/A</v>
        <stp/>
        <stp>BCOUNTPERIODS|3125956489451583341</stp>
        <tr r="E14" s="19"/>
      </tp>
      <tp t="s">
        <v>#N/A N/A</v>
        <stp/>
        <stp>BCOUNTPERIODS|3088156553682804526</stp>
        <tr r="R13" s="15"/>
      </tp>
      <tp t="s">
        <v>#N/A N/A</v>
        <stp/>
        <stp>BCOUNTPERIODS|2024652737774741370</stp>
        <tr r="L13" s="15"/>
      </tp>
      <tp t="s">
        <v>#N/A N/A</v>
        <stp/>
        <stp>BCOUNTPERIODS|7461304453049763820</stp>
        <tr r="P8" s="19"/>
      </tp>
      <tp t="s">
        <v>#N/A N/A</v>
        <stp/>
        <stp>BCOUNTPERIODS|1728946646499272559</stp>
        <tr r="L17" s="15"/>
      </tp>
      <tp t="s">
        <v>#N/A N/A</v>
        <stp/>
        <stp>BCOUNTPERIODS|7746979324418471422</stp>
        <tr r="G143" s="10"/>
      </tp>
      <tp t="s">
        <v>#N/A N/A</v>
        <stp/>
        <stp>BCOUNTPERIODS|6960736700612852345</stp>
        <tr r="P11" s="19"/>
      </tp>
      <tp t="s">
        <v>#N/A N/A</v>
        <stp/>
        <stp>BCOUNTPERIODS|4851400537080134392</stp>
        <tr r="W12" s="19"/>
      </tp>
      <tp t="s">
        <v>#N/A N/A</v>
        <stp/>
        <stp>BCOUNTPERIODS|2529039283702449864</stp>
        <tr r="E19" s="19"/>
      </tp>
      <tp t="s">
        <v>#N/A N/A</v>
        <stp/>
        <stp>BCOUNTPERIODS|2749625571171555241</stp>
        <tr r="R25" s="15"/>
      </tp>
      <tp t="s">
        <v>#N/A N/A</v>
        <stp/>
        <stp>BCOUNTPERIODS|7434123614137295052</stp>
        <tr r="P17" s="19"/>
      </tp>
      <tp t="s">
        <v>#N/A N/A</v>
        <stp/>
        <stp>BCOUNTPERIODS|4615699013661738118</stp>
        <tr r="G128" s="10"/>
      </tp>
      <tp t="s">
        <v>#N/A N/A</v>
        <stp/>
        <stp>BCOUNTPERIODS|9345251232898882373</stp>
        <tr r="Y23" s="19"/>
      </tp>
      <tp t="s">
        <v>#N/A N/A</v>
        <stp/>
        <stp>BCOUNTPERIODS|2248190691989788063</stp>
        <tr r="G25" s="10"/>
      </tp>
      <tp t="s">
        <v>#N/A N/A</v>
        <stp/>
        <stp>BCOUNTPERIODS|1882978505169518210</stp>
        <tr r="G18" s="19"/>
      </tp>
      <tp t="s">
        <v>#N/A N/A</v>
        <stp/>
        <stp>BCOUNTPERIODS|4242215352002523260</stp>
        <tr r="G23" s="19"/>
      </tp>
      <tp t="s">
        <v>#N/A N/A</v>
        <stp/>
        <stp>BCOUNTPERIODS|5758348771735147712</stp>
        <tr r="G33" s="19"/>
      </tp>
      <tp t="s">
        <v>#N/A N/A</v>
        <stp/>
        <stp>BCOUNTPERIODS|9045031340167736975</stp>
        <tr r="G82" s="10"/>
      </tp>
      <tp t="s">
        <v>#N/A N/A</v>
        <stp/>
        <stp>BCOUNTPERIODS|6407695657322954408</stp>
        <tr r="G71" s="10"/>
      </tp>
      <tp t="s">
        <v>#N/A N/A</v>
        <stp/>
        <stp>BCOUNTPERIODS|2585109249251866543</stp>
        <tr r="G42" s="10"/>
      </tp>
      <tp t="s">
        <v>#N/A N/A</v>
        <stp/>
        <stp>BCOUNTPERIODS|6388973401665392969</stp>
        <tr r="P43" s="19"/>
      </tp>
      <tp t="s">
        <v>#N/A N/A</v>
        <stp/>
        <stp>BCOUNTPERIODS|8288395197857456692</stp>
        <tr r="P42" s="19"/>
      </tp>
      <tp t="s">
        <v>#N/A N/A</v>
        <stp/>
        <stp>BCOUNTPERIODS|5302526533963688322</stp>
        <tr r="G162" s="10"/>
      </tp>
      <tp t="s">
        <v>#N/A N/A</v>
        <stp/>
        <stp>BCOUNTPERIODS|7409359833727657325</stp>
        <tr r="L21" s="15"/>
      </tp>
      <tp t="s">
        <v>#N/A N/A</v>
        <stp/>
        <stp>BADDPERIODS|115075945909982701</stp>
        <tr r="Q31" s="19"/>
      </tp>
    </main>
    <main first="bofaddin.rtdserver">
      <tp t="s">
        <v>#N/A N/A</v>
        <stp/>
        <stp>BCOUNTPERIODS|1718654442500834122</stp>
        <tr r="P26" s="19"/>
      </tp>
      <tp t="s">
        <v>#N/A N/A</v>
        <stp/>
        <stp>BCOUNTPERIODS|3874951696962311325</stp>
        <tr r="G135" s="10"/>
      </tp>
      <tp t="s">
        <v>#N/A N/A</v>
        <stp/>
        <stp>BCOUNTPERIODS|4858085454827965472</stp>
        <tr r="G31" s="10"/>
      </tp>
      <tp t="s">
        <v>#N/A N/A</v>
        <stp/>
        <stp>BCOUNTPERIODS|2657668652873991008</stp>
        <tr r="G158" s="10"/>
      </tp>
      <tp t="s">
        <v>#N/A N/A</v>
        <stp/>
        <stp>BCOUNTPERIODS|2829269816100419340</stp>
        <tr r="Y29" s="19"/>
      </tp>
      <tp t="s">
        <v>#N/A N/A</v>
        <stp/>
        <stp>BCOUNTPERIODS|2431564441430888122</stp>
        <tr r="Y18" s="19"/>
      </tp>
      <tp t="s">
        <v>#N/A N/A</v>
        <stp/>
        <stp>BCOUNTPERIODS|7198755587213909933</stp>
        <tr r="G9" s="10"/>
      </tp>
      <tp t="s">
        <v>#N/A N/A</v>
        <stp/>
        <stp>BCOUNTPERIODS|2283885796739330811</stp>
        <tr r="W14" s="19"/>
      </tp>
      <tp t="s">
        <v>#N/A N/A</v>
        <stp/>
        <stp>BCOUNTPERIODS|5476884531058466467</stp>
        <tr r="Y19" s="19"/>
      </tp>
      <tp t="s">
        <v>#N/A N/A</v>
        <stp/>
        <stp>BCOUNTPERIODS|2396029101877045728</stp>
        <tr r="G136" s="10"/>
      </tp>
      <tp t="s">
        <v>#N/A Requesting Data...2728795037</v>
        <stp/>
        <stp>BQL|751108452572956891</stp>
        <tr r="C70" s="12"/>
      </tp>
      <tp t="s">
        <v>#N/A N/A</v>
        <stp/>
        <stp>BCOUNTPERIODS|7903735989542148833</stp>
        <tr r="N15" s="19"/>
      </tp>
    </main>
    <main first="bofaddin.rtdserver">
      <tp t="s">
        <v>#N/A N/A</v>
        <stp/>
        <stp>BCOUNTPERIODS|9572781088811976266</stp>
        <tr r="P18" s="19"/>
      </tp>
      <tp t="s">
        <v>#N/A N/A</v>
        <stp/>
        <stp>BCOUNTPERIODS|5249340108885149679</stp>
        <tr r="G131" s="10"/>
      </tp>
      <tp t="s">
        <v>#N/A N/A</v>
        <stp/>
        <stp>BCOUNTPERIODS|7585201135454872772</stp>
        <tr r="E37" s="19"/>
      </tp>
      <tp t="s">
        <v>#N/A N/A</v>
        <stp/>
        <stp>BCOUNTPERIODS|6622150773816448386</stp>
        <tr r="W27" s="19"/>
      </tp>
      <tp t="s">
        <v>#N/A N/A</v>
        <stp/>
        <stp>BCOUNTPERIODS|4374842872956064895</stp>
        <tr r="N31" s="19"/>
      </tp>
      <tp t="s">
        <v>#N/A N/A</v>
        <stp/>
        <stp>BCOUNTPERIODS|6980205677403563571</stp>
        <tr r="G130" s="10"/>
      </tp>
      <tp t="s">
        <v>#N/A N/A</v>
        <stp/>
        <stp>BCOUNTPERIODS|4301121425547677519</stp>
        <tr r="D102" s="12"/>
      </tp>
      <tp t="s">
        <v>#N/A N/A</v>
        <stp/>
        <stp>BCOUNTPERIODS|6191302820126690474</stp>
        <tr r="P45" s="19"/>
      </tp>
      <tp t="s">
        <v>#N/A N/A</v>
        <stp/>
        <stp>BCOUNTPERIODS|1246441671065207236</stp>
        <tr r="F8" s="15"/>
      </tp>
      <tp t="s">
        <v>#N/A N/A</v>
        <stp/>
        <stp>BCOUNTPERIODS|9294691574914159980</stp>
        <tr r="P28" s="19"/>
      </tp>
      <tp t="s">
        <v>#N/A N/A</v>
        <stp/>
        <stp>BCOUNTPERIODS|9300977321457641049</stp>
        <tr r="R10" s="15"/>
      </tp>
      <tp t="s">
        <v>#N/A N/A</v>
        <stp/>
        <stp>BCOUNTPERIODS|4950792640750710234</stp>
        <tr r="N6" s="19"/>
      </tp>
      <tp t="s">
        <v>#N/A N/A</v>
        <stp/>
        <stp>BCOUNTPERIODS|2186602672065752305</stp>
        <tr r="W15" s="19"/>
      </tp>
      <tp t="s">
        <v>#N/A N/A</v>
        <stp/>
        <stp>BCOUNTPERIODS|5801340752892334497</stp>
        <tr r="L26" s="15"/>
      </tp>
    </main>
    <main first="bofaddin.rtdserver">
      <tp t="s">
        <v>#N/A N/A</v>
        <stp/>
        <stp>BCOUNTPERIODS|4660898350248018576</stp>
        <tr r="G31" s="19"/>
      </tp>
      <tp t="s">
        <v>#N/A N/A</v>
        <stp/>
        <stp>BCOUNTPERIODS|1795163962626271496</stp>
        <tr r="W28" s="19"/>
      </tp>
      <tp t="s">
        <v>#N/A N/A</v>
        <stp/>
        <stp>BCOUNTPERIODS|3849810887143506439</stp>
        <tr r="N44" s="19"/>
      </tp>
      <tp t="s">
        <v>#N/A N/A</v>
        <stp/>
        <stp>BCOUNTPERIODS|9907182119215856893</stp>
        <tr r="G14" s="10"/>
      </tp>
      <tp t="s">
        <v>#N/A N/A</v>
        <stp/>
        <stp>BCOUNTPERIODS|5170204476792950600</stp>
        <tr r="F18" s="15"/>
      </tp>
      <tp t="s">
        <v>#N/A N/A</v>
        <stp/>
        <stp>BCOUNTPERIODS|8316742096446851463</stp>
        <tr r="G72" s="10"/>
      </tp>
      <tp t="s">
        <v>#N/A N/A</v>
        <stp/>
        <stp>BCOUNTPERIODS|9766969214744018188</stp>
        <tr r="G34" s="10"/>
      </tp>
      <tp t="s">
        <v>#N/A N/A</v>
        <stp/>
        <stp>BCOUNTPERIODS|8102405872068985778</stp>
        <tr r="Y20" s="19"/>
      </tp>
      <tp t="s">
        <v>#N/A N/A</v>
        <stp/>
        <stp>BCOUNTPERIODS|7786944676905095862</stp>
        <tr r="G145" s="10"/>
      </tp>
      <tp t="s">
        <v>#N/A N/A</v>
        <stp/>
        <stp>BCOUNTPERIODS|1576328784928305611</stp>
        <tr r="F14" s="15"/>
      </tp>
      <tp t="s">
        <v>#N/A N/A</v>
        <stp/>
        <stp>BCOUNTPERIODS|5809293540776184167</stp>
        <tr r="N33" s="19"/>
      </tp>
      <tp t="s">
        <v>#N/A N/A</v>
        <stp/>
        <stp>BCOUNTPERIODS|3714079960037691634</stp>
        <tr r="W18" s="19"/>
      </tp>
      <tp t="s">
        <v>#N/A N/A</v>
        <stp/>
        <stp>BCOUNTPERIODS|7159738435515223203</stp>
        <tr r="R20" s="15"/>
      </tp>
      <tp t="s">
        <v>#N/A N/A</v>
        <stp/>
        <stp>BCOUNTPERIODS|7922210143763690682</stp>
        <tr r="F16" s="15"/>
      </tp>
    </main>
    <main first="bofaddin.rtdserver">
      <tp t="s">
        <v>#N/A N/A</v>
        <stp/>
        <stp>BDP|340674877739817375</stp>
        <tr r="D26" s="15"/>
      </tp>
      <tp t="s">
        <v>#N/A N/A</v>
        <stp/>
        <stp>BCOUNTPERIODS|4489773113413363684</stp>
        <tr r="G69" s="10"/>
      </tp>
      <tp t="s">
        <v>#N/A N/A</v>
        <stp/>
        <stp>BCOUNTPERIODS|6001125995221948813</stp>
        <tr r="F22" s="15"/>
      </tp>
      <tp t="s">
        <v>#N/A N/A</v>
        <stp/>
        <stp>BCOUNTPERIODS|2073088210994690034</stp>
        <tr r="P165" s="10"/>
        <tr r="G165" s="10"/>
        <tr r="P161" s="10"/>
        <tr r="P162" s="10"/>
        <tr r="P167" s="10"/>
        <tr r="P134" s="10"/>
        <tr r="P146" s="10"/>
        <tr r="P135" s="10"/>
        <tr r="P164" s="10"/>
        <tr r="P145" s="10"/>
        <tr r="P163" s="10"/>
        <tr r="P126" s="10"/>
        <tr r="P157" s="10"/>
        <tr r="G166" s="10"/>
        <tr r="P149" s="10"/>
        <tr r="P142" s="10"/>
        <tr r="P156" s="10"/>
        <tr r="P139" s="10"/>
        <tr r="P137" s="10"/>
        <tr r="P155" s="10"/>
        <tr r="P138" s="10"/>
        <tr r="P132" s="10"/>
        <tr r="P148" s="10"/>
        <tr r="P153" s="10"/>
        <tr r="P154" s="10"/>
        <tr r="P150" s="10"/>
        <tr r="P159" s="10"/>
        <tr r="P141" s="10"/>
        <tr r="P136" s="10"/>
        <tr r="G167" s="10"/>
        <tr r="G164" s="10"/>
        <tr r="P128" s="10"/>
        <tr r="P144" s="10"/>
        <tr r="P143" s="10"/>
        <tr r="P160" s="10"/>
        <tr r="P158" s="10"/>
        <tr r="P131" s="10"/>
        <tr r="P147" s="10"/>
        <tr r="P152" s="10"/>
        <tr r="P133" s="10"/>
        <tr r="G163" s="10"/>
        <tr r="P166" s="10"/>
        <tr r="P127" s="10"/>
        <tr r="P140" s="10"/>
        <tr r="P130" s="10"/>
        <tr r="P129" s="10"/>
        <tr r="P151" s="10"/>
      </tp>
      <tp t="s">
        <v>#N/A N/A</v>
        <stp/>
        <stp>BCOUNTPERIODS|6007175620566668433</stp>
        <tr r="L11" s="15"/>
      </tp>
      <tp t="s">
        <v>#N/A N/A</v>
        <stp/>
        <stp>BCOUNTPERIODS|5521346423875944697</stp>
        <tr r="R26" s="15"/>
      </tp>
      <tp t="s">
        <v>#N/A N/A</v>
        <stp/>
        <stp>BCOUNTPERIODS|7448777053013571179</stp>
        <tr r="G44" s="19"/>
      </tp>
      <tp t="s">
        <v>#N/A N/A</v>
        <stp/>
        <stp>BCOUNTPERIODS|3885332411022995401</stp>
        <tr r="N28" s="19"/>
      </tp>
      <tp t="s">
        <v>#N/A N/A</v>
        <stp/>
        <stp>BCOUNTPERIODS|5469371423363652077</stp>
        <tr r="P39" s="19"/>
      </tp>
      <tp t="s">
        <v>#N/A N/A</v>
        <stp/>
        <stp>BCOUNTPERIODS|1335706815556279601</stp>
        <tr r="Y41" s="19"/>
      </tp>
      <tp t="s">
        <v>#N/A N/A</v>
        <stp/>
        <stp>BCOUNTPERIODS|5256041902126881485</stp>
        <tr r="W11" s="19"/>
      </tp>
      <tp t="s">
        <v>#N/A N/A</v>
        <stp/>
        <stp>BCOUNTPERIODS|6335241717330263276</stp>
        <tr r="L20" s="15"/>
      </tp>
      <tp t="s">
        <v>#N/A N/A</v>
        <stp/>
        <stp>BCOUNTPERIODS|2294415219439977960</stp>
        <tr r="L23" s="15"/>
      </tp>
      <tp t="s">
        <v>#N/A N/A</v>
        <stp/>
        <stp>BADDPERIODS|347572884017015433</stp>
        <tr r="X45" s="19"/>
      </tp>
    </main>
    <main first="bofaddin.rtdserver">
      <tp t="s">
        <v>#N/A N/A</v>
        <stp/>
        <stp>BCOUNTPERIODS|5263500308397283136</stp>
        <tr r="W26" s="19"/>
      </tp>
      <tp t="s">
        <v>#N/A N/A</v>
        <stp/>
        <stp>BCOUNTPERIODS|6352701661264201597</stp>
        <tr r="L22" s="15"/>
      </tp>
      <tp t="s">
        <v>#N/A N/A</v>
        <stp/>
        <stp>BCOUNTPERIODS|2676417972537945051</stp>
        <tr r="W22" s="19"/>
      </tp>
      <tp t="s">
        <v>#N/A N/A</v>
        <stp/>
        <stp>BCOUNTPERIODS|6437997264986157910</stp>
        <tr r="P36" s="19"/>
      </tp>
      <tp t="s">
        <v>#N/A N/A</v>
        <stp/>
        <stp>BCOUNTPERIODS|2932476796831036847</stp>
        <tr r="G9" s="19"/>
      </tp>
      <tp t="s">
        <v>#N/A N/A</v>
        <stp/>
        <stp>BCOUNTPERIODS|2072000639801303674</stp>
        <tr r="G26" s="19"/>
      </tp>
      <tp t="s">
        <v>#N/A N/A</v>
        <stp/>
        <stp>BCOUNTPERIODS|4736812171304007951</stp>
        <tr r="N18" s="19"/>
      </tp>
      <tp t="s">
        <v>#N/A N/A</v>
        <stp/>
        <stp>BCOUNTPERIODS|5227774643167555749</stp>
        <tr r="E13" s="19"/>
      </tp>
      <tp t="s">
        <v>#N/A N/A</v>
        <stp/>
        <stp>BCOUNTPERIODS|6774472834054785343</stp>
        <tr r="L28" s="15"/>
      </tp>
      <tp t="s">
        <v>#N/A N/A</v>
        <stp/>
        <stp>BCOUNTPERIODS|4595438377354314566</stp>
        <tr r="W16" s="19"/>
      </tp>
      <tp t="s">
        <v>#N/A N/A</v>
        <stp/>
        <stp>BCOUNTPERIODS|9842861809964668349</stp>
        <tr r="E39" s="19"/>
      </tp>
      <tp t="s">
        <v>#N/A N/A</v>
        <stp/>
        <stp>BCOUNTPERIODS|7482620619266385096</stp>
        <tr r="P13" s="19"/>
      </tp>
      <tp t="s">
        <v>#N/A N/A</v>
        <stp/>
        <stp>BADDPERIODS|437023745572425999</stp>
        <tr r="F45" s="19"/>
      </tp>
    </main>
    <main first="bofaddin.rtdserver">
      <tp t="s">
        <v>#N/A N/A</v>
        <stp/>
        <stp>BQL.DATE|35181533968561365</stp>
        <tr r="H7" s="19"/>
        <tr r="Z31" s="19"/>
      </tp>
    </main>
  </volType>
</volType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volatileDependencies" Target="volatileDependencie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9.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Implied Cumulative Inflation </a:t>
            </a:r>
          </a:p>
        </c:rich>
      </c:tx>
      <c:layout>
        <c:manualLayout>
          <c:xMode val="edge"/>
          <c:yMode val="edge"/>
          <c:x val="0.24624608094200992"/>
          <c:y val="3.5050823694356817E-2"/>
        </c:manualLayout>
      </c:layout>
      <c:overlay val="0"/>
    </c:title>
    <c:autoTitleDeleted val="0"/>
    <c:plotArea>
      <c:layout/>
      <c:lineChart>
        <c:grouping val="standard"/>
        <c:varyColors val="0"/>
        <c:ser>
          <c:idx val="0"/>
          <c:order val="0"/>
          <c:tx>
            <c:strRef>
              <c:f>CALC!$H$7</c:f>
              <c:strCache>
                <c:ptCount val="1"/>
                <c:pt idx="0">
                  <c:v>Accumulated</c:v>
                </c:pt>
              </c:strCache>
            </c:strRef>
          </c:tx>
          <c:spPr>
            <a:ln w="25400">
              <a:solidFill>
                <a:srgbClr val="156082"/>
              </a:solidFill>
            </a:ln>
          </c:spPr>
          <c:marker>
            <c:symbol val="none"/>
          </c:marker>
          <c:dLbls>
            <c:numFmt formatCode="0.0%" sourceLinked="0"/>
            <c:spPr>
              <a:noFill/>
              <a:ln>
                <a:noFill/>
              </a:ln>
              <a:effectLst/>
            </c:spPr>
            <c:txPr>
              <a:bodyPr wrap="square" lIns="38100" tIns="19050" rIns="38100" bIns="19050" anchor="ctr" anchorCtr="0">
                <a:spAutoFit/>
              </a:bodyPr>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(CALC!$D$8,CALC!$D$19,CALC!$D$25,CALC!$D$31,CALC!$D$37,CALC!$D$43,CALC!$D$48,CALC!$D$49)</c:f>
              <c:numCache>
                <c:formatCode>0</c:formatCode>
                <c:ptCount val="8"/>
                <c:pt idx="0">
                  <c:v>28</c:v>
                </c:pt>
                <c:pt idx="1">
                  <c:v>258</c:v>
                </c:pt>
                <c:pt idx="2">
                  <c:v>384</c:v>
                </c:pt>
                <c:pt idx="3">
                  <c:v>508</c:v>
                </c:pt>
                <c:pt idx="4">
                  <c:v>635</c:v>
                </c:pt>
                <c:pt idx="5">
                  <c:v>760</c:v>
                </c:pt>
                <c:pt idx="6">
                  <c:v>1008</c:v>
                </c:pt>
                <c:pt idx="7">
                  <c:v>1256</c:v>
                </c:pt>
              </c:numCache>
            </c:numRef>
          </c:cat>
          <c:val>
            <c:numRef>
              <c:f>(CALC!$H$8,CALC!$H$19,CALC!$H$25,CALC!$H$31,CALC!$H$37,CALC!$H$43,CALC!$H$48,CALC!$H$49)</c:f>
              <c:numCache>
                <c:formatCode>0.00%</c:formatCode>
                <c:ptCount val="8"/>
                <c:pt idx="0">
                  <c:v>2.4305973224119093E-3</c:v>
                </c:pt>
                <c:pt idx="1">
                  <c:v>4.5066650694244759E-2</c:v>
                </c:pt>
                <c:pt idx="2">
                  <c:v>6.8751556900167099E-2</c:v>
                </c:pt>
                <c:pt idx="3">
                  <c:v>0.10040746206840634</c:v>
                </c:pt>
                <c:pt idx="4">
                  <c:v>0.12967788303359473</c:v>
                </c:pt>
                <c:pt idx="5">
                  <c:v>0.15826581299952758</c:v>
                </c:pt>
                <c:pt idx="6">
                  <c:v>0.23336123460137781</c:v>
                </c:pt>
                <c:pt idx="7">
                  <c:v>0.30790526450013522</c:v>
                </c:pt>
              </c:numCache>
            </c:numRef>
          </c:val>
          <c:smooth val="0"/>
          <c:extLst>
            <c:ext xmlns:c16="http://schemas.microsoft.com/office/drawing/2014/chart" uri="{C3380CC4-5D6E-409C-BE32-E72D297353CC}">
              <c16:uniqueId val="{00000000-CAFB-4BCD-B208-984E73D9D196}"/>
            </c:ext>
          </c:extLst>
        </c:ser>
        <c:dLbls>
          <c:showLegendKey val="0"/>
          <c:showVal val="0"/>
          <c:showCatName val="0"/>
          <c:showSerName val="0"/>
          <c:showPercent val="0"/>
          <c:showBubbleSize val="0"/>
        </c:dLbls>
        <c:smooth val="0"/>
        <c:axId val="257940096"/>
        <c:axId val="259975040"/>
      </c:lineChart>
      <c:catAx>
        <c:axId val="257940096"/>
        <c:scaling>
          <c:orientation val="minMax"/>
        </c:scaling>
        <c:delete val="0"/>
        <c:axPos val="b"/>
        <c:numFmt formatCode="General" sourceLinked="0"/>
        <c:majorTickMark val="out"/>
        <c:minorTickMark val="none"/>
        <c:tickLblPos val="nextTo"/>
        <c:spPr>
          <a:ln>
            <a:solidFill>
              <a:schemeClr val="bg2"/>
            </a:solidFill>
          </a:ln>
        </c:spPr>
        <c:txPr>
          <a:bodyPr rot="0" vert="horz"/>
          <a:lstStyle/>
          <a:p>
            <a:pPr algn="ctr">
              <a:defRPr lang="en-US" sz="1000" b="0" i="0" u="none" strike="noStrike" kern="1200" baseline="0">
                <a:solidFill>
                  <a:schemeClr val="tx1">
                    <a:lumMod val="65000"/>
                    <a:lumOff val="35000"/>
                  </a:schemeClr>
                </a:solidFill>
                <a:latin typeface="+mn-lt"/>
                <a:ea typeface="+mn-ea"/>
                <a:cs typeface="+mn-cs"/>
              </a:defRPr>
            </a:pPr>
            <a:endParaRPr lang="en-US"/>
          </a:p>
        </c:txPr>
        <c:crossAx val="259975040"/>
        <c:crosses val="autoZero"/>
        <c:auto val="1"/>
        <c:lblAlgn val="ctr"/>
        <c:lblOffset val="100"/>
        <c:noMultiLvlLbl val="0"/>
      </c:catAx>
      <c:valAx>
        <c:axId val="259975040"/>
        <c:scaling>
          <c:orientation val="minMax"/>
        </c:scaling>
        <c:delete val="0"/>
        <c:axPos val="l"/>
        <c:majorGridlines>
          <c:spPr>
            <a:ln>
              <a:solidFill>
                <a:schemeClr val="bg2"/>
              </a:solidFill>
              <a:prstDash val="solid"/>
            </a:ln>
          </c:spPr>
        </c:majorGridlines>
        <c:numFmt formatCode="0%" sourceLinked="0"/>
        <c:majorTickMark val="out"/>
        <c:minorTickMark val="none"/>
        <c:tickLblPos val="nextTo"/>
        <c:spPr>
          <a:ln>
            <a:solidFill>
              <a:schemeClr val="bg2"/>
            </a:solidFill>
          </a:ln>
        </c:spPr>
        <c:txPr>
          <a:bodyPr rot="0" vert="horz"/>
          <a:lstStyle/>
          <a:p>
            <a:pPr algn="ctr">
              <a:defRPr lang="en-US" sz="1050" b="0" i="0" u="none" strike="noStrike" kern="1200" baseline="0">
                <a:solidFill>
                  <a:schemeClr val="tx1">
                    <a:lumMod val="65000"/>
                    <a:lumOff val="35000"/>
                  </a:schemeClr>
                </a:solidFill>
                <a:latin typeface="+mn-lt"/>
                <a:ea typeface="+mn-ea"/>
                <a:cs typeface="+mn-cs"/>
              </a:defRPr>
            </a:pPr>
            <a:endParaRPr lang="en-US"/>
          </a:p>
        </c:txPr>
        <c:crossAx val="257940096"/>
        <c:crosses val="autoZero"/>
        <c:crossBetween val="midCat"/>
      </c:valAx>
    </c:plotArea>
    <c:plotVisOnly val="1"/>
    <c:dispBlanksAs val="gap"/>
    <c:showDLblsOverMax val="0"/>
  </c:chart>
  <c:spPr>
    <a:noFill/>
    <a:ln w="22225" cap="rnd">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44" l="0.70000000000000062" r="0.70000000000000062" t="0.7500000000000014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US" sz="1600" b="1" i="0" u="none" strike="noStrike" kern="1200" spc="0" baseline="0">
                <a:solidFill>
                  <a:srgbClr val="000000"/>
                </a:solidFill>
                <a:latin typeface="Calibri"/>
                <a:ea typeface="Calibri"/>
                <a:cs typeface="Calibri"/>
              </a:defRPr>
            </a:pPr>
            <a:r>
              <a:rPr lang="en-US" sz="1600" b="1" i="0" u="none" strike="noStrike" baseline="0">
                <a:effectLst/>
              </a:rPr>
              <a:t>YoY </a:t>
            </a:r>
            <a:r>
              <a:rPr lang="en-US" sz="1600" b="1" i="0" u="none" strike="noStrike" kern="1200" spc="0" baseline="0">
                <a:solidFill>
                  <a:srgbClr val="000000"/>
                </a:solidFill>
                <a:latin typeface="Calibri"/>
                <a:ea typeface="Calibri"/>
                <a:cs typeface="Calibri"/>
              </a:rPr>
              <a:t>Implied Inflation</a:t>
            </a:r>
          </a:p>
        </c:rich>
      </c:tx>
      <c:overlay val="0"/>
    </c:title>
    <c:autoTitleDeleted val="0"/>
    <c:plotArea>
      <c:layout>
        <c:manualLayout>
          <c:layoutTarget val="inner"/>
          <c:xMode val="edge"/>
          <c:yMode val="edge"/>
          <c:x val="8.9068708500008725E-2"/>
          <c:y val="0.23227708333333333"/>
          <c:w val="0.8655412049679363"/>
          <c:h val="0.64159599865102512"/>
        </c:manualLayout>
      </c:layout>
      <c:barChart>
        <c:barDir val="col"/>
        <c:grouping val="clustered"/>
        <c:varyColors val="0"/>
        <c:ser>
          <c:idx val="0"/>
          <c:order val="0"/>
          <c:tx>
            <c:v>Implied Inflation YoY (5Y)</c:v>
          </c:tx>
          <c:spPr>
            <a:solidFill>
              <a:srgbClr val="156082"/>
            </a:solidFill>
          </c:spPr>
          <c:invertIfNegative val="0"/>
          <c:dLbls>
            <c:spPr>
              <a:noFill/>
              <a:ln>
                <a:noFill/>
              </a:ln>
              <a:effectLst/>
            </c:spPr>
            <c:txPr>
              <a:bodyPr wrap="square" lIns="38100" tIns="19050" rIns="38100" bIns="19050" anchor="ctr" anchorCtr="0">
                <a:spAutoFit/>
              </a:bodyPr>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(CALC!$A$19,CALC!$A$31,CALC!$A$43,CALC!$A$48,CALC!$A$49)</c:f>
              <c:strCache>
                <c:ptCount val="5"/>
                <c:pt idx="0">
                  <c:v>1Y</c:v>
                </c:pt>
                <c:pt idx="1">
                  <c:v>2Y</c:v>
                </c:pt>
                <c:pt idx="2">
                  <c:v>3Y</c:v>
                </c:pt>
                <c:pt idx="3">
                  <c:v>4Y</c:v>
                </c:pt>
                <c:pt idx="4">
                  <c:v>5Y</c:v>
                </c:pt>
              </c:strCache>
            </c:strRef>
          </c:cat>
          <c:val>
            <c:numRef>
              <c:f>CALC!$E$54:$E$58</c:f>
              <c:numCache>
                <c:formatCode>0.00%</c:formatCode>
                <c:ptCount val="5"/>
                <c:pt idx="0">
                  <c:v>4.2532673569340318E-2</c:v>
                </c:pt>
                <c:pt idx="1">
                  <c:v>5.2954336775935085E-2</c:v>
                </c:pt>
                <c:pt idx="2">
                  <c:v>5.2579024520941209E-2</c:v>
                </c:pt>
                <c:pt idx="3">
                  <c:v>6.4834359055610635E-2</c:v>
                </c:pt>
                <c:pt idx="4">
                  <c:v>6.0439738016291544E-2</c:v>
                </c:pt>
              </c:numCache>
            </c:numRef>
          </c:val>
          <c:extLst>
            <c:ext xmlns:c16="http://schemas.microsoft.com/office/drawing/2014/chart" uri="{C3380CC4-5D6E-409C-BE32-E72D297353CC}">
              <c16:uniqueId val="{00000000-09E3-410A-937C-05994BDB199C}"/>
            </c:ext>
          </c:extLst>
        </c:ser>
        <c:dLbls>
          <c:showLegendKey val="0"/>
          <c:showVal val="0"/>
          <c:showCatName val="0"/>
          <c:showSerName val="0"/>
          <c:showPercent val="0"/>
          <c:showBubbleSize val="0"/>
        </c:dLbls>
        <c:gapWidth val="150"/>
        <c:axId val="318944384"/>
        <c:axId val="318945920"/>
      </c:barChart>
      <c:catAx>
        <c:axId val="318944384"/>
        <c:scaling>
          <c:orientation val="minMax"/>
        </c:scaling>
        <c:delete val="0"/>
        <c:axPos val="b"/>
        <c:numFmt formatCode="General" sourceLinked="1"/>
        <c:majorTickMark val="out"/>
        <c:minorTickMark val="none"/>
        <c:tickLblPos val="nextTo"/>
        <c:spPr>
          <a:ln>
            <a:solidFill>
              <a:schemeClr val="bg2"/>
            </a:solidFill>
          </a:ln>
        </c:spPr>
        <c:txPr>
          <a:bodyPr rot="0" vert="horz"/>
          <a:lstStyle/>
          <a:p>
            <a:pPr algn="ctr">
              <a:defRPr lang="en-US" sz="1000" b="0" i="0" u="none" strike="noStrike" kern="1200" baseline="0">
                <a:solidFill>
                  <a:schemeClr val="tx1">
                    <a:lumMod val="65000"/>
                    <a:lumOff val="35000"/>
                  </a:schemeClr>
                </a:solidFill>
                <a:latin typeface="+mn-lt"/>
                <a:ea typeface="+mn-ea"/>
                <a:cs typeface="+mn-cs"/>
              </a:defRPr>
            </a:pPr>
            <a:endParaRPr lang="en-US"/>
          </a:p>
        </c:txPr>
        <c:crossAx val="318945920"/>
        <c:crosses val="autoZero"/>
        <c:auto val="1"/>
        <c:lblAlgn val="ctr"/>
        <c:lblOffset val="100"/>
        <c:noMultiLvlLbl val="0"/>
      </c:catAx>
      <c:valAx>
        <c:axId val="318945920"/>
        <c:scaling>
          <c:orientation val="minMax"/>
        </c:scaling>
        <c:delete val="0"/>
        <c:axPos val="l"/>
        <c:numFmt formatCode="0.0%" sourceLinked="0"/>
        <c:majorTickMark val="out"/>
        <c:minorTickMark val="none"/>
        <c:tickLblPos val="nextTo"/>
        <c:spPr>
          <a:ln>
            <a:solidFill>
              <a:schemeClr val="bg2"/>
            </a:solidFill>
          </a:ln>
        </c:spPr>
        <c:txPr>
          <a:bodyPr rot="0" vert="horz"/>
          <a:lstStyle/>
          <a:p>
            <a:pPr algn="ctr">
              <a:defRPr lang="en-US" sz="1050" b="0" i="0" u="none" strike="noStrike" kern="1200" baseline="0">
                <a:solidFill>
                  <a:schemeClr val="tx1">
                    <a:lumMod val="65000"/>
                    <a:lumOff val="35000"/>
                  </a:schemeClr>
                </a:solidFill>
                <a:latin typeface="+mn-lt"/>
                <a:ea typeface="+mn-ea"/>
                <a:cs typeface="+mn-cs"/>
              </a:defRPr>
            </a:pPr>
            <a:endParaRPr lang="en-US"/>
          </a:p>
        </c:txPr>
        <c:crossAx val="318944384"/>
        <c:crosses val="autoZero"/>
        <c:crossBetween val="between"/>
        <c:majorUnit val="1.5000000000000003E-2"/>
      </c:valAx>
    </c:plotArea>
    <c:plotVisOnly val="1"/>
    <c:dispBlanksAs val="gap"/>
    <c:showDLblsOverMax val="0"/>
  </c:chart>
  <c:spPr>
    <a:noFill/>
    <a:ln cap="rnd">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44" l="0.70000000000000062" r="0.70000000000000062" t="0.7500000000000014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0" baseline="0">
                <a:solidFill>
                  <a:srgbClr val="000000"/>
                </a:solidFill>
                <a:latin typeface="Calibri"/>
                <a:ea typeface="Calibri"/>
                <a:cs typeface="Calibri"/>
              </a:defRPr>
            </a:pPr>
            <a:r>
              <a:rPr lang="en-US" sz="1600" b="1" i="0" u="none" strike="noStrike" kern="1200" baseline="0">
                <a:solidFill>
                  <a:srgbClr val="000000"/>
                </a:solidFill>
                <a:latin typeface="Calibri"/>
                <a:ea typeface="Calibri"/>
                <a:cs typeface="Calibri"/>
              </a:rPr>
              <a:t>Implied Inflation </a:t>
            </a:r>
            <a:endParaRPr lang="en-US" sz="1200" b="0" i="1" u="none" strike="noStrike" kern="1200" baseline="0">
              <a:solidFill>
                <a:srgbClr val="000000"/>
              </a:solidFill>
              <a:latin typeface="Calibri"/>
              <a:ea typeface="Calibri"/>
              <a:cs typeface="Calibri"/>
            </a:endParaRP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0000"/>
              </a:solidFill>
              <a:latin typeface="Calibri"/>
              <a:ea typeface="Calibri"/>
              <a:cs typeface="Calibri"/>
            </a:defRPr>
          </a:pPr>
          <a:endParaRPr lang="en-US"/>
        </a:p>
      </c:txPr>
    </c:title>
    <c:autoTitleDeleted val="0"/>
    <c:plotArea>
      <c:layout/>
      <c:lineChart>
        <c:grouping val="standard"/>
        <c:varyColors val="0"/>
        <c:ser>
          <c:idx val="0"/>
          <c:order val="0"/>
          <c:tx>
            <c:strRef>
              <c:f>CALC!$E$7</c:f>
              <c:strCache>
                <c:ptCount val="1"/>
                <c:pt idx="0">
                  <c:v>Implied Inflation</c:v>
                </c:pt>
              </c:strCache>
            </c:strRef>
          </c:tx>
          <c:spPr>
            <a:ln w="28575" cap="rnd">
              <a:solidFill>
                <a:srgbClr val="156082"/>
              </a:solidFill>
              <a:round/>
            </a:ln>
            <a:effectLst/>
          </c:spPr>
          <c:marker>
            <c:symbol val="circle"/>
            <c:size val="5"/>
            <c:spPr>
              <a:solidFill>
                <a:srgbClr val="156082"/>
              </a:solidFill>
              <a:ln w="9525">
                <a:solidFill>
                  <a:schemeClr val="accent1"/>
                </a:solidFill>
              </a:ln>
              <a:effectLst/>
            </c:spPr>
          </c:marker>
          <c:dLbls>
            <c:delete val="1"/>
          </c:dLbls>
          <c:cat>
            <c:numRef>
              <c:f>CALC!$D$8:$D$49</c:f>
              <c:numCache>
                <c:formatCode>0</c:formatCode>
                <c:ptCount val="42"/>
                <c:pt idx="0">
                  <c:v>28</c:v>
                </c:pt>
                <c:pt idx="1">
                  <c:v>50</c:v>
                </c:pt>
                <c:pt idx="2">
                  <c:v>72</c:v>
                </c:pt>
                <c:pt idx="3">
                  <c:v>94</c:v>
                </c:pt>
                <c:pt idx="4">
                  <c:v>114</c:v>
                </c:pt>
                <c:pt idx="5">
                  <c:v>135</c:v>
                </c:pt>
                <c:pt idx="6">
                  <c:v>157</c:v>
                </c:pt>
                <c:pt idx="7">
                  <c:v>175</c:v>
                </c:pt>
                <c:pt idx="8">
                  <c:v>196</c:v>
                </c:pt>
                <c:pt idx="9">
                  <c:v>217</c:v>
                </c:pt>
                <c:pt idx="10">
                  <c:v>237</c:v>
                </c:pt>
                <c:pt idx="11">
                  <c:v>258</c:v>
                </c:pt>
                <c:pt idx="12">
                  <c:v>280</c:v>
                </c:pt>
                <c:pt idx="13">
                  <c:v>301</c:v>
                </c:pt>
                <c:pt idx="14">
                  <c:v>323</c:v>
                </c:pt>
                <c:pt idx="15">
                  <c:v>344</c:v>
                </c:pt>
                <c:pt idx="16">
                  <c:v>363</c:v>
                </c:pt>
                <c:pt idx="17">
                  <c:v>384</c:v>
                </c:pt>
                <c:pt idx="18">
                  <c:v>405</c:v>
                </c:pt>
                <c:pt idx="19">
                  <c:v>423</c:v>
                </c:pt>
                <c:pt idx="20">
                  <c:v>444</c:v>
                </c:pt>
                <c:pt idx="21">
                  <c:v>466</c:v>
                </c:pt>
                <c:pt idx="22">
                  <c:v>485</c:v>
                </c:pt>
                <c:pt idx="23">
                  <c:v>508</c:v>
                </c:pt>
                <c:pt idx="24">
                  <c:v>530</c:v>
                </c:pt>
                <c:pt idx="25">
                  <c:v>551</c:v>
                </c:pt>
                <c:pt idx="26">
                  <c:v>573</c:v>
                </c:pt>
                <c:pt idx="27">
                  <c:v>593</c:v>
                </c:pt>
                <c:pt idx="28">
                  <c:v>613</c:v>
                </c:pt>
                <c:pt idx="29">
                  <c:v>635</c:v>
                </c:pt>
                <c:pt idx="30">
                  <c:v>656</c:v>
                </c:pt>
                <c:pt idx="31">
                  <c:v>676</c:v>
                </c:pt>
                <c:pt idx="32">
                  <c:v>698</c:v>
                </c:pt>
                <c:pt idx="33">
                  <c:v>717</c:v>
                </c:pt>
                <c:pt idx="34">
                  <c:v>738</c:v>
                </c:pt>
                <c:pt idx="35">
                  <c:v>760</c:v>
                </c:pt>
                <c:pt idx="36">
                  <c:v>780</c:v>
                </c:pt>
                <c:pt idx="37">
                  <c:v>803</c:v>
                </c:pt>
                <c:pt idx="38">
                  <c:v>824</c:v>
                </c:pt>
                <c:pt idx="39">
                  <c:v>844</c:v>
                </c:pt>
                <c:pt idx="40">
                  <c:v>1008</c:v>
                </c:pt>
                <c:pt idx="41">
                  <c:v>1256</c:v>
                </c:pt>
              </c:numCache>
            </c:numRef>
          </c:cat>
          <c:val>
            <c:numRef>
              <c:f>CALC!$E$8:$E$49</c:f>
              <c:numCache>
                <c:formatCode>0.000000</c:formatCode>
                <c:ptCount val="42"/>
                <c:pt idx="0">
                  <c:v>2.2089267427700898</c:v>
                </c:pt>
                <c:pt idx="1">
                  <c:v>2.8408526179064086</c:v>
                </c:pt>
                <c:pt idx="2">
                  <c:v>3.8874530847003763</c:v>
                </c:pt>
                <c:pt idx="3">
                  <c:v>3.8921837629891654</c:v>
                </c:pt>
                <c:pt idx="4">
                  <c:v>4.0659600340476665</c:v>
                </c:pt>
                <c:pt idx="5">
                  <c:v>4.1572861735113875</c:v>
                </c:pt>
                <c:pt idx="6">
                  <c:v>4.2955032631900147</c:v>
                </c:pt>
                <c:pt idx="7">
                  <c:v>4.3744160323497594</c:v>
                </c:pt>
                <c:pt idx="8">
                  <c:v>4.4187421351101541</c:v>
                </c:pt>
                <c:pt idx="9">
                  <c:v>4.4300347068020773</c:v>
                </c:pt>
                <c:pt idx="10">
                  <c:v>4.4188003493666805</c:v>
                </c:pt>
                <c:pt idx="11">
                  <c:v>4.3995868661396598</c:v>
                </c:pt>
                <c:pt idx="12">
                  <c:v>4.3784359949152973</c:v>
                </c:pt>
                <c:pt idx="13">
                  <c:v>4.3665603206833881</c:v>
                </c:pt>
                <c:pt idx="14">
                  <c:v>4.3684210290102499</c:v>
                </c:pt>
                <c:pt idx="15">
                  <c:v>4.3838688301650608</c:v>
                </c:pt>
                <c:pt idx="16">
                  <c:v>4.411476588845864</c:v>
                </c:pt>
                <c:pt idx="17">
                  <c:v>4.460084787943841</c:v>
                </c:pt>
                <c:pt idx="18">
                  <c:v>4.5289636087638918</c:v>
                </c:pt>
                <c:pt idx="19">
                  <c:v>4.5980837931482776</c:v>
                </c:pt>
                <c:pt idx="20">
                  <c:v>4.6797109831302475</c:v>
                </c:pt>
                <c:pt idx="21">
                  <c:v>4.75522274430773</c:v>
                </c:pt>
                <c:pt idx="22">
                  <c:v>4.8086712554688882</c:v>
                </c:pt>
                <c:pt idx="23">
                  <c:v>4.8608000300775167</c:v>
                </c:pt>
                <c:pt idx="24">
                  <c:v>4.902829186986768</c:v>
                </c:pt>
                <c:pt idx="25">
                  <c:v>4.9344607213944069</c:v>
                </c:pt>
                <c:pt idx="26">
                  <c:v>4.9555559030986407</c:v>
                </c:pt>
                <c:pt idx="27">
                  <c:v>4.9625759555217641</c:v>
                </c:pt>
                <c:pt idx="28">
                  <c:v>4.9617768895428238</c:v>
                </c:pt>
                <c:pt idx="29">
                  <c:v>4.9578834450847875</c:v>
                </c:pt>
                <c:pt idx="30">
                  <c:v>4.9561846456632308</c:v>
                </c:pt>
                <c:pt idx="31">
                  <c:v>4.9571560010062354</c:v>
                </c:pt>
                <c:pt idx="32">
                  <c:v>4.9608468955062213</c:v>
                </c:pt>
                <c:pt idx="33">
                  <c:v>4.9662356935912477</c:v>
                </c:pt>
                <c:pt idx="34">
                  <c:v>4.9759212992436241</c:v>
                </c:pt>
                <c:pt idx="35">
                  <c:v>4.9923045356880857</c:v>
                </c:pt>
                <c:pt idx="36">
                  <c:v>5.0140425672299926</c:v>
                </c:pt>
                <c:pt idx="37">
                  <c:v>5.0457385171566616</c:v>
                </c:pt>
                <c:pt idx="38">
                  <c:v>5.0777232565699437</c:v>
                </c:pt>
                <c:pt idx="39">
                  <c:v>5.1077943702884099</c:v>
                </c:pt>
                <c:pt idx="40">
                  <c:v>5.383489142239517</c:v>
                </c:pt>
                <c:pt idx="41">
                  <c:v>5.5332978994418136</c:v>
                </c:pt>
              </c:numCache>
            </c:numRef>
          </c:val>
          <c:smooth val="0"/>
          <c:extLst>
            <c:ext xmlns:c16="http://schemas.microsoft.com/office/drawing/2014/chart" uri="{C3380CC4-5D6E-409C-BE32-E72D297353CC}">
              <c16:uniqueId val="{00000000-EAC0-4C6C-ADE6-11061A10887F}"/>
            </c:ext>
          </c:extLst>
        </c:ser>
        <c:dLbls>
          <c:showLegendKey val="0"/>
          <c:showVal val="1"/>
          <c:showCatName val="0"/>
          <c:showSerName val="0"/>
          <c:showPercent val="0"/>
          <c:showBubbleSize val="0"/>
        </c:dLbls>
        <c:marker val="1"/>
        <c:smooth val="0"/>
        <c:axId val="1349855375"/>
        <c:axId val="1355827599"/>
      </c:lineChart>
      <c:catAx>
        <c:axId val="1349855375"/>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tx1">
                    <a:lumMod val="65000"/>
                    <a:lumOff val="35000"/>
                  </a:schemeClr>
                </a:solidFill>
                <a:latin typeface="+mn-lt"/>
                <a:ea typeface="+mn-ea"/>
                <a:cs typeface="+mn-cs"/>
              </a:defRPr>
            </a:pPr>
            <a:endParaRPr lang="en-US"/>
          </a:p>
        </c:txPr>
        <c:crossAx val="1355827599"/>
        <c:crosses val="autoZero"/>
        <c:auto val="1"/>
        <c:lblAlgn val="ctr"/>
        <c:lblOffset val="100"/>
        <c:noMultiLvlLbl val="0"/>
      </c:catAx>
      <c:valAx>
        <c:axId val="1355827599"/>
        <c:scaling>
          <c:orientation val="minMax"/>
        </c:scaling>
        <c:delete val="0"/>
        <c:axPos val="l"/>
        <c:majorGridlines>
          <c:spPr>
            <a:ln w="9525" cap="flat" cmpd="sng" algn="ctr">
              <a:solidFill>
                <a:schemeClr val="bg2"/>
              </a:solidFill>
              <a:round/>
            </a:ln>
            <a:effectLst/>
          </c:spPr>
        </c:majorGridlines>
        <c:numFmt formatCode="0.0" sourceLinked="0"/>
        <c:majorTickMark val="out"/>
        <c:minorTickMark val="none"/>
        <c:tickLblPos val="nextTo"/>
        <c:spPr>
          <a:noFill/>
          <a:ln>
            <a:solidFill>
              <a:schemeClr val="bg2"/>
            </a:solidFill>
          </a:ln>
          <a:effectLst/>
        </c:spPr>
        <c:txPr>
          <a:bodyPr rot="-60000000" spcFirstLastPara="1" vertOverflow="ellipsis" vert="horz" wrap="square" anchor="ctr" anchorCtr="1"/>
          <a:lstStyle/>
          <a:p>
            <a:pPr algn="ctr">
              <a:defRPr lang="en-US" sz="1050" b="0" i="0" u="none" strike="noStrike" kern="1200" baseline="0">
                <a:solidFill>
                  <a:schemeClr val="tx1">
                    <a:lumMod val="65000"/>
                    <a:lumOff val="35000"/>
                  </a:schemeClr>
                </a:solidFill>
                <a:latin typeface="+mn-lt"/>
                <a:ea typeface="+mn-ea"/>
                <a:cs typeface="+mn-cs"/>
              </a:defRPr>
            </a:pPr>
            <a:endParaRPr lang="en-US"/>
          </a:p>
        </c:txPr>
        <c:crossAx val="1349855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rnd" cmpd="sng" algn="ctr">
      <a:noFill/>
      <a:round/>
    </a:ln>
    <a:effectLst/>
  </c:spPr>
  <c:txPr>
    <a:bodyPr/>
    <a:lstStyle/>
    <a:p>
      <a:pPr algn="ctr">
        <a:defRPr lang="en-US" sz="1000" b="0" i="0" u="none" strike="noStrike" kern="1200"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0000"/>
              </a:solidFill>
              <a:latin typeface="Calibri"/>
              <a:ea typeface="Calibri"/>
              <a:cs typeface="Calibri"/>
            </a:defRPr>
          </a:pPr>
          <a:endParaRPr lang="en-US"/>
        </a:p>
      </c:txPr>
    </c:title>
    <c:autoTitleDeleted val="0"/>
    <c:plotArea>
      <c:layout/>
      <c:lineChart>
        <c:grouping val="standard"/>
        <c:varyColors val="0"/>
        <c:ser>
          <c:idx val="0"/>
          <c:order val="0"/>
          <c:tx>
            <c:strRef>
              <c:f>CALC!$D$69</c:f>
              <c:strCache>
                <c:ptCount val="1"/>
                <c:pt idx="0">
                  <c:v>Inflation Index</c:v>
                </c:pt>
              </c:strCache>
            </c:strRef>
          </c:tx>
          <c:spPr>
            <a:ln w="31750" cap="rnd">
              <a:solidFill>
                <a:srgbClr val="156082"/>
              </a:solidFill>
              <a:round/>
            </a:ln>
            <a:effectLst/>
          </c:spPr>
          <c:marker>
            <c:symbol val="circle"/>
            <c:size val="5"/>
            <c:spPr>
              <a:noFill/>
              <a:ln w="0">
                <a:noFill/>
              </a:ln>
              <a:effectLst/>
            </c:spPr>
          </c:marker>
          <c:dPt>
            <c:idx val="11"/>
            <c:marker>
              <c:symbol val="circle"/>
              <c:size val="5"/>
              <c:spPr>
                <a:noFill/>
                <a:ln w="0">
                  <a:noFill/>
                </a:ln>
                <a:effectLst/>
              </c:spPr>
            </c:marker>
            <c:bubble3D val="0"/>
            <c:spPr>
              <a:ln w="31750" cap="rnd">
                <a:solidFill>
                  <a:srgbClr val="81CAEB"/>
                </a:solidFill>
                <a:prstDash val="sysDash"/>
                <a:round/>
              </a:ln>
              <a:effectLst/>
            </c:spPr>
            <c:extLst>
              <c:ext xmlns:c16="http://schemas.microsoft.com/office/drawing/2014/chart" uri="{C3380CC4-5D6E-409C-BE32-E72D297353CC}">
                <c16:uniqueId val="{00000001-786A-42FA-B5F4-828B8AAA01E5}"/>
              </c:ext>
            </c:extLst>
          </c:dPt>
          <c:dPt>
            <c:idx val="12"/>
            <c:marker>
              <c:symbol val="circle"/>
              <c:size val="5"/>
              <c:spPr>
                <a:noFill/>
                <a:ln w="0">
                  <a:noFill/>
                </a:ln>
                <a:effectLst/>
              </c:spPr>
            </c:marker>
            <c:bubble3D val="0"/>
            <c:spPr>
              <a:ln w="31750" cap="rnd">
                <a:solidFill>
                  <a:srgbClr val="81CAEB"/>
                </a:solidFill>
                <a:prstDash val="sysDash"/>
                <a:round/>
              </a:ln>
              <a:effectLst/>
            </c:spPr>
            <c:extLst>
              <c:ext xmlns:c16="http://schemas.microsoft.com/office/drawing/2014/chart" uri="{C3380CC4-5D6E-409C-BE32-E72D297353CC}">
                <c16:uniqueId val="{00000003-786A-42FA-B5F4-828B8AAA01E5}"/>
              </c:ext>
            </c:extLst>
          </c:dPt>
          <c:dPt>
            <c:idx val="13"/>
            <c:marker>
              <c:symbol val="circle"/>
              <c:size val="5"/>
              <c:spPr>
                <a:noFill/>
                <a:ln w="0">
                  <a:noFill/>
                </a:ln>
                <a:effectLst/>
              </c:spPr>
            </c:marker>
            <c:bubble3D val="0"/>
            <c:spPr>
              <a:ln w="31750" cap="rnd">
                <a:solidFill>
                  <a:srgbClr val="81CAEB"/>
                </a:solidFill>
                <a:prstDash val="sysDash"/>
                <a:round/>
              </a:ln>
              <a:effectLst/>
            </c:spPr>
            <c:extLst>
              <c:ext xmlns:c16="http://schemas.microsoft.com/office/drawing/2014/chart" uri="{C3380CC4-5D6E-409C-BE32-E72D297353CC}">
                <c16:uniqueId val="{00000005-786A-42FA-B5F4-828B8AAA01E5}"/>
              </c:ext>
            </c:extLst>
          </c:dPt>
          <c:dPt>
            <c:idx val="14"/>
            <c:marker>
              <c:symbol val="circle"/>
              <c:size val="5"/>
              <c:spPr>
                <a:noFill/>
                <a:ln w="0">
                  <a:noFill/>
                </a:ln>
                <a:effectLst/>
              </c:spPr>
            </c:marker>
            <c:bubble3D val="0"/>
            <c:spPr>
              <a:ln w="31750" cap="rnd">
                <a:solidFill>
                  <a:srgbClr val="81CAEB"/>
                </a:solidFill>
                <a:prstDash val="sysDash"/>
                <a:round/>
              </a:ln>
              <a:effectLst/>
            </c:spPr>
            <c:extLst>
              <c:ext xmlns:c16="http://schemas.microsoft.com/office/drawing/2014/chart" uri="{C3380CC4-5D6E-409C-BE32-E72D297353CC}">
                <c16:uniqueId val="{00000007-786A-42FA-B5F4-828B8AAA01E5}"/>
              </c:ext>
            </c:extLst>
          </c:dPt>
          <c:dPt>
            <c:idx val="15"/>
            <c:marker>
              <c:symbol val="circle"/>
              <c:size val="5"/>
              <c:spPr>
                <a:noFill/>
                <a:ln w="0">
                  <a:noFill/>
                </a:ln>
                <a:effectLst/>
              </c:spPr>
            </c:marker>
            <c:bubble3D val="0"/>
            <c:spPr>
              <a:ln w="31750" cap="rnd">
                <a:solidFill>
                  <a:srgbClr val="81CAEB"/>
                </a:solidFill>
                <a:prstDash val="sysDash"/>
                <a:round/>
              </a:ln>
              <a:effectLst/>
            </c:spPr>
            <c:extLst>
              <c:ext xmlns:c16="http://schemas.microsoft.com/office/drawing/2014/chart" uri="{C3380CC4-5D6E-409C-BE32-E72D297353CC}">
                <c16:uniqueId val="{00000009-786A-42FA-B5F4-828B8AAA01E5}"/>
              </c:ext>
            </c:extLst>
          </c:dPt>
          <c:cat>
            <c:numRef>
              <c:f>(CALC!$C$70:$C$80,CALC!$E$81:$E$85)</c:f>
              <c:numCache>
                <c:formatCode>m/d/yyyy</c:formatCode>
                <c:ptCount val="16"/>
                <c:pt idx="0">
                  <c:v>42176</c:v>
                </c:pt>
                <c:pt idx="1">
                  <c:v>42542</c:v>
                </c:pt>
                <c:pt idx="2">
                  <c:v>42907</c:v>
                </c:pt>
                <c:pt idx="3">
                  <c:v>43272</c:v>
                </c:pt>
                <c:pt idx="4">
                  <c:v>43637</c:v>
                </c:pt>
                <c:pt idx="5">
                  <c:v>44003</c:v>
                </c:pt>
                <c:pt idx="6">
                  <c:v>44368</c:v>
                </c:pt>
                <c:pt idx="7">
                  <c:v>44733</c:v>
                </c:pt>
                <c:pt idx="8">
                  <c:v>45098</c:v>
                </c:pt>
                <c:pt idx="9">
                  <c:v>45464</c:v>
                </c:pt>
                <c:pt idx="10">
                  <c:v>45829</c:v>
                </c:pt>
                <c:pt idx="11">
                  <c:v>46194</c:v>
                </c:pt>
                <c:pt idx="12">
                  <c:v>46559</c:v>
                </c:pt>
                <c:pt idx="13">
                  <c:v>46925</c:v>
                </c:pt>
                <c:pt idx="14">
                  <c:v>47290</c:v>
                </c:pt>
                <c:pt idx="15">
                  <c:v>47655</c:v>
                </c:pt>
              </c:numCache>
            </c:numRef>
          </c:cat>
          <c:val>
            <c:numRef>
              <c:f>(CALC!$D$70:$D$80,CALC!$F$81:$F$85)</c:f>
              <c:numCache>
                <c:formatCode>0.00</c:formatCode>
                <c:ptCount val="16"/>
                <c:pt idx="0">
                  <c:v>4276.6000000000004</c:v>
                </c:pt>
                <c:pt idx="1">
                  <c:v>4675.2299999999996</c:v>
                </c:pt>
                <c:pt idx="2">
                  <c:v>4843.41</c:v>
                </c:pt>
                <c:pt idx="3">
                  <c:v>4981.6899999999996</c:v>
                </c:pt>
                <c:pt idx="4">
                  <c:v>5213.75</c:v>
                </c:pt>
                <c:pt idx="5">
                  <c:v>5311.65</c:v>
                </c:pt>
                <c:pt idx="6">
                  <c:v>5739.56</c:v>
                </c:pt>
                <c:pt idx="7">
                  <c:v>6412.88</c:v>
                </c:pt>
                <c:pt idx="8">
                  <c:v>6665.28</c:v>
                </c:pt>
                <c:pt idx="9">
                  <c:v>6926.96</c:v>
                </c:pt>
                <c:pt idx="10">
                  <c:v>7295.46</c:v>
                </c:pt>
                <c:pt idx="11">
                  <c:v>7624.2419474738354</c:v>
                </c:pt>
                <c:pt idx="12">
                  <c:v>8027.9786232215756</c:v>
                </c:pt>
                <c:pt idx="13">
                  <c:v>8450.0819081055342</c:v>
                </c:pt>
                <c:pt idx="14">
                  <c:v>8997.9375525849682</c:v>
                </c:pt>
                <c:pt idx="15">
                  <c:v>9541.7705409501559</c:v>
                </c:pt>
              </c:numCache>
            </c:numRef>
          </c:val>
          <c:smooth val="0"/>
          <c:extLst>
            <c:ext xmlns:c16="http://schemas.microsoft.com/office/drawing/2014/chart" uri="{C3380CC4-5D6E-409C-BE32-E72D297353CC}">
              <c16:uniqueId val="{0000000A-786A-42FA-B5F4-828B8AAA01E5}"/>
            </c:ext>
          </c:extLst>
        </c:ser>
        <c:dLbls>
          <c:showLegendKey val="0"/>
          <c:showVal val="0"/>
          <c:showCatName val="0"/>
          <c:showSerName val="0"/>
          <c:showPercent val="0"/>
          <c:showBubbleSize val="0"/>
        </c:dLbls>
        <c:marker val="1"/>
        <c:smooth val="0"/>
        <c:axId val="108096191"/>
        <c:axId val="1348528319"/>
      </c:lineChart>
      <c:dateAx>
        <c:axId val="108096191"/>
        <c:scaling>
          <c:orientation val="minMax"/>
        </c:scaling>
        <c:delete val="0"/>
        <c:axPos val="b"/>
        <c:numFmt formatCode="[$-416]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1348528319"/>
        <c:crosses val="autoZero"/>
        <c:auto val="1"/>
        <c:lblOffset val="100"/>
        <c:baseTimeUnit val="years"/>
      </c:dateAx>
      <c:valAx>
        <c:axId val="1348528319"/>
        <c:scaling>
          <c:orientation val="minMax"/>
          <c:max val="10000"/>
          <c:min val="30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08096191"/>
        <c:crosses val="autoZero"/>
        <c:crossBetween val="midCat"/>
        <c:majorUnit val="125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rnd"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US" sz="1600" b="1" i="0" u="none" strike="noStrike" kern="1200" spc="0" baseline="0">
                <a:solidFill>
                  <a:srgbClr val="000000"/>
                </a:solidFill>
                <a:latin typeface="Calibri"/>
                <a:ea typeface="Calibri"/>
                <a:cs typeface="Calibri"/>
              </a:defRPr>
            </a:pPr>
            <a:r>
              <a:rPr lang="en-US" sz="1600" b="1" i="0" u="none" strike="noStrike" baseline="0">
                <a:effectLst/>
              </a:rPr>
              <a:t>MoM Implied Inflation</a:t>
            </a:r>
            <a:endParaRPr lang="en-US" sz="1600" b="1" i="0" u="none" strike="noStrike" kern="1200" spc="0" baseline="0">
              <a:solidFill>
                <a:srgbClr val="000000"/>
              </a:solidFill>
              <a:latin typeface="Calibri"/>
              <a:ea typeface="Calibri"/>
              <a:cs typeface="Calibri"/>
            </a:endParaRPr>
          </a:p>
        </c:rich>
      </c:tx>
      <c:overlay val="0"/>
    </c:title>
    <c:autoTitleDeleted val="0"/>
    <c:plotArea>
      <c:layout>
        <c:manualLayout>
          <c:layoutTarget val="inner"/>
          <c:xMode val="edge"/>
          <c:yMode val="edge"/>
          <c:x val="6.1750091655744382E-2"/>
          <c:y val="0.15124588821954765"/>
          <c:w val="0.92359319019666031"/>
          <c:h val="0.72262729013131233"/>
        </c:manualLayout>
      </c:layout>
      <c:barChart>
        <c:barDir val="col"/>
        <c:grouping val="clustered"/>
        <c:varyColors val="0"/>
        <c:ser>
          <c:idx val="0"/>
          <c:order val="0"/>
          <c:tx>
            <c:strRef>
              <c:f>CALC!$I$7</c:f>
              <c:strCache>
                <c:ptCount val="1"/>
                <c:pt idx="0">
                  <c:v>MoM</c:v>
                </c:pt>
              </c:strCache>
            </c:strRef>
          </c:tx>
          <c:spPr>
            <a:solidFill>
              <a:srgbClr val="156082"/>
            </a:solidFill>
          </c:spPr>
          <c:invertIfNegative val="0"/>
          <c:dLbls>
            <c:delete val="1"/>
          </c:dLbls>
          <c:cat>
            <c:numRef>
              <c:f>CALC!$D$8:$D$47</c:f>
              <c:numCache>
                <c:formatCode>0</c:formatCode>
                <c:ptCount val="40"/>
                <c:pt idx="0">
                  <c:v>28</c:v>
                </c:pt>
                <c:pt idx="1">
                  <c:v>50</c:v>
                </c:pt>
                <c:pt idx="2">
                  <c:v>72</c:v>
                </c:pt>
                <c:pt idx="3">
                  <c:v>94</c:v>
                </c:pt>
                <c:pt idx="4">
                  <c:v>114</c:v>
                </c:pt>
                <c:pt idx="5">
                  <c:v>135</c:v>
                </c:pt>
                <c:pt idx="6">
                  <c:v>157</c:v>
                </c:pt>
                <c:pt idx="7">
                  <c:v>175</c:v>
                </c:pt>
                <c:pt idx="8">
                  <c:v>196</c:v>
                </c:pt>
                <c:pt idx="9">
                  <c:v>217</c:v>
                </c:pt>
                <c:pt idx="10">
                  <c:v>237</c:v>
                </c:pt>
                <c:pt idx="11">
                  <c:v>258</c:v>
                </c:pt>
                <c:pt idx="12">
                  <c:v>280</c:v>
                </c:pt>
                <c:pt idx="13">
                  <c:v>301</c:v>
                </c:pt>
                <c:pt idx="14">
                  <c:v>323</c:v>
                </c:pt>
                <c:pt idx="15">
                  <c:v>344</c:v>
                </c:pt>
                <c:pt idx="16">
                  <c:v>363</c:v>
                </c:pt>
                <c:pt idx="17">
                  <c:v>384</c:v>
                </c:pt>
                <c:pt idx="18">
                  <c:v>405</c:v>
                </c:pt>
                <c:pt idx="19">
                  <c:v>423</c:v>
                </c:pt>
                <c:pt idx="20">
                  <c:v>444</c:v>
                </c:pt>
                <c:pt idx="21">
                  <c:v>466</c:v>
                </c:pt>
                <c:pt idx="22">
                  <c:v>485</c:v>
                </c:pt>
                <c:pt idx="23">
                  <c:v>508</c:v>
                </c:pt>
                <c:pt idx="24">
                  <c:v>530</c:v>
                </c:pt>
                <c:pt idx="25">
                  <c:v>551</c:v>
                </c:pt>
                <c:pt idx="26">
                  <c:v>573</c:v>
                </c:pt>
                <c:pt idx="27">
                  <c:v>593</c:v>
                </c:pt>
                <c:pt idx="28">
                  <c:v>613</c:v>
                </c:pt>
                <c:pt idx="29">
                  <c:v>635</c:v>
                </c:pt>
                <c:pt idx="30">
                  <c:v>656</c:v>
                </c:pt>
                <c:pt idx="31">
                  <c:v>676</c:v>
                </c:pt>
                <c:pt idx="32">
                  <c:v>698</c:v>
                </c:pt>
                <c:pt idx="33">
                  <c:v>717</c:v>
                </c:pt>
                <c:pt idx="34">
                  <c:v>738</c:v>
                </c:pt>
                <c:pt idx="35">
                  <c:v>760</c:v>
                </c:pt>
                <c:pt idx="36">
                  <c:v>780</c:v>
                </c:pt>
                <c:pt idx="37">
                  <c:v>803</c:v>
                </c:pt>
                <c:pt idx="38">
                  <c:v>824</c:v>
                </c:pt>
                <c:pt idx="39">
                  <c:v>844</c:v>
                </c:pt>
              </c:numCache>
            </c:numRef>
          </c:cat>
          <c:val>
            <c:numRef>
              <c:f>CALC!$I$8:$I$47</c:f>
              <c:numCache>
                <c:formatCode>0.00%</c:formatCode>
                <c:ptCount val="40"/>
                <c:pt idx="0">
                  <c:v>2.4305973224119093E-3</c:v>
                </c:pt>
                <c:pt idx="1">
                  <c:v>3.1352897273828617E-3</c:v>
                </c:pt>
                <c:pt idx="2">
                  <c:v>5.3527979476224452E-3</c:v>
                </c:pt>
                <c:pt idx="3">
                  <c:v>3.3520943818305948E-3</c:v>
                </c:pt>
                <c:pt idx="4">
                  <c:v>3.793660035468216E-3</c:v>
                </c:pt>
                <c:pt idx="5">
                  <c:v>3.7983497523641496E-3</c:v>
                </c:pt>
                <c:pt idx="6">
                  <c:v>4.3917747380941563E-3</c:v>
                </c:pt>
                <c:pt idx="7">
                  <c:v>3.5356194401046093E-3</c:v>
                </c:pt>
                <c:pt idx="8">
                  <c:v>3.9057137014564258E-3</c:v>
                </c:pt>
                <c:pt idx="9">
                  <c:v>3.7032111794086386E-3</c:v>
                </c:pt>
                <c:pt idx="10">
                  <c:v>3.3446500190270623E-3</c:v>
                </c:pt>
                <c:pt idx="11">
                  <c:v>3.4207310508409527E-3</c:v>
                </c:pt>
                <c:pt idx="12">
                  <c:v>3.5399383861502987E-3</c:v>
                </c:pt>
                <c:pt idx="13">
                  <c:v>3.4410774723809823E-3</c:v>
                </c:pt>
                <c:pt idx="14">
                  <c:v>3.7611010732117034E-3</c:v>
                </c:pt>
                <c:pt idx="15">
                  <c:v>3.772210675321519E-3</c:v>
                </c:pt>
                <c:pt idx="16">
                  <c:v>3.6223741963969935E-3</c:v>
                </c:pt>
                <c:pt idx="17">
                  <c:v>4.3159743582790178E-3</c:v>
                </c:pt>
                <c:pt idx="18">
                  <c:v>4.7066465777985123E-3</c:v>
                </c:pt>
                <c:pt idx="19">
                  <c:v>4.2825972054434391E-3</c:v>
                </c:pt>
                <c:pt idx="20">
                  <c:v>5.1338217750753756E-3</c:v>
                </c:pt>
                <c:pt idx="21">
                  <c:v>5.3404216737187316E-3</c:v>
                </c:pt>
                <c:pt idx="22">
                  <c:v>4.4944483280440206E-3</c:v>
                </c:pt>
                <c:pt idx="23">
                  <c:v>5.3030074718309894E-3</c:v>
                </c:pt>
                <c:pt idx="24">
                  <c:v>4.9989005850039625E-3</c:v>
                </c:pt>
                <c:pt idx="25">
                  <c:v>4.6587120268979376E-3</c:v>
                </c:pt>
                <c:pt idx="26">
                  <c:v>4.6728961037540984E-3</c:v>
                </c:pt>
                <c:pt idx="27">
                  <c:v>4.0040185301237763E-3</c:v>
                </c:pt>
                <c:pt idx="28">
                  <c:v>3.8327505561350783E-3</c:v>
                </c:pt>
                <c:pt idx="29">
                  <c:v>4.1427576798971355E-3</c:v>
                </c:pt>
                <c:pt idx="30">
                  <c:v>3.9982521269263938E-3</c:v>
                </c:pt>
                <c:pt idx="31">
                  <c:v>3.8714112133926282E-3</c:v>
                </c:pt>
                <c:pt idx="32">
                  <c:v>4.330580879917445E-3</c:v>
                </c:pt>
                <c:pt idx="33">
                  <c:v>3.8037936086090518E-3</c:v>
                </c:pt>
                <c:pt idx="34">
                  <c:v>4.3185610327378665E-3</c:v>
                </c:pt>
                <c:pt idx="35">
                  <c:v>4.7211866055192342E-3</c:v>
                </c:pt>
                <c:pt idx="36">
                  <c:v>4.5173753624263568E-3</c:v>
                </c:pt>
                <c:pt idx="37">
                  <c:v>5.4416536086936418E-3</c:v>
                </c:pt>
                <c:pt idx="38">
                  <c:v>5.1106169801795609E-3</c:v>
                </c:pt>
                <c:pt idx="39">
                  <c:v>4.9012712059208763E-3</c:v>
                </c:pt>
              </c:numCache>
            </c:numRef>
          </c:val>
          <c:extLst>
            <c:ext xmlns:c16="http://schemas.microsoft.com/office/drawing/2014/chart" uri="{C3380CC4-5D6E-409C-BE32-E72D297353CC}">
              <c16:uniqueId val="{00000000-9552-4E98-A253-E0983301FB4F}"/>
            </c:ext>
          </c:extLst>
        </c:ser>
        <c:dLbls>
          <c:showLegendKey val="0"/>
          <c:showVal val="1"/>
          <c:showCatName val="0"/>
          <c:showSerName val="0"/>
          <c:showPercent val="0"/>
          <c:showBubbleSize val="0"/>
        </c:dLbls>
        <c:gapWidth val="150"/>
        <c:axId val="318944384"/>
        <c:axId val="318945920"/>
      </c:barChart>
      <c:catAx>
        <c:axId val="318944384"/>
        <c:scaling>
          <c:orientation val="minMax"/>
        </c:scaling>
        <c:delete val="0"/>
        <c:axPos val="b"/>
        <c:numFmt formatCode="0" sourceLinked="1"/>
        <c:majorTickMark val="out"/>
        <c:minorTickMark val="none"/>
        <c:tickLblPos val="low"/>
        <c:spPr>
          <a:ln>
            <a:solidFill>
              <a:schemeClr val="bg2"/>
            </a:solidFill>
          </a:ln>
        </c:spPr>
        <c:txPr>
          <a:bodyPr rot="0" vert="horz"/>
          <a:lstStyle/>
          <a:p>
            <a:pPr algn="ctr">
              <a:defRPr lang="en-US" sz="1000" b="0" i="0" u="none" strike="noStrike" kern="1200" baseline="0">
                <a:solidFill>
                  <a:schemeClr val="tx1">
                    <a:lumMod val="65000"/>
                    <a:lumOff val="35000"/>
                  </a:schemeClr>
                </a:solidFill>
                <a:latin typeface="+mn-lt"/>
                <a:ea typeface="+mn-ea"/>
                <a:cs typeface="+mn-cs"/>
              </a:defRPr>
            </a:pPr>
            <a:endParaRPr lang="en-US"/>
          </a:p>
        </c:txPr>
        <c:crossAx val="318945920"/>
        <c:crosses val="autoZero"/>
        <c:auto val="1"/>
        <c:lblAlgn val="ctr"/>
        <c:lblOffset val="100"/>
        <c:noMultiLvlLbl val="0"/>
      </c:catAx>
      <c:valAx>
        <c:axId val="318945920"/>
        <c:scaling>
          <c:orientation val="minMax"/>
        </c:scaling>
        <c:delete val="0"/>
        <c:axPos val="l"/>
        <c:majorGridlines>
          <c:spPr>
            <a:ln w="3175">
              <a:solidFill>
                <a:schemeClr val="bg1">
                  <a:lumMod val="75000"/>
                  <a:alpha val="37000"/>
                </a:schemeClr>
              </a:solidFill>
              <a:prstDash val="dash"/>
            </a:ln>
          </c:spPr>
        </c:majorGridlines>
        <c:numFmt formatCode="0.0%" sourceLinked="0"/>
        <c:majorTickMark val="out"/>
        <c:minorTickMark val="none"/>
        <c:tickLblPos val="nextTo"/>
        <c:spPr>
          <a:ln>
            <a:solidFill>
              <a:schemeClr val="bg2"/>
            </a:solidFill>
          </a:ln>
        </c:spPr>
        <c:txPr>
          <a:bodyPr rot="0" vert="horz"/>
          <a:lstStyle/>
          <a:p>
            <a:pPr algn="ctr">
              <a:defRPr lang="en-US" sz="1050" b="0" i="0" u="none" strike="noStrike" kern="1200" baseline="0">
                <a:solidFill>
                  <a:schemeClr val="tx1">
                    <a:lumMod val="65000"/>
                    <a:lumOff val="35000"/>
                  </a:schemeClr>
                </a:solidFill>
                <a:latin typeface="+mn-lt"/>
                <a:ea typeface="+mn-ea"/>
                <a:cs typeface="+mn-cs"/>
              </a:defRPr>
            </a:pPr>
            <a:endParaRPr lang="en-US"/>
          </a:p>
        </c:txPr>
        <c:crossAx val="318944384"/>
        <c:crosses val="autoZero"/>
        <c:crossBetween val="between"/>
      </c:valAx>
    </c:plotArea>
    <c:plotVisOnly val="1"/>
    <c:dispBlanksAs val="gap"/>
    <c:showDLblsOverMax val="0"/>
  </c:chart>
  <c:spPr>
    <a:noFill/>
    <a:ln cap="rnd">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44" l="0.70000000000000062" r="0.70000000000000062" t="0.75000000000000144"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Implied Cumulative Inflation 5Y </a:t>
            </a:r>
          </a:p>
        </c:rich>
      </c:tx>
      <c:layout>
        <c:manualLayout>
          <c:xMode val="edge"/>
          <c:yMode val="edge"/>
          <c:x val="0.24624608094200992"/>
          <c:y val="3.5050823694356817E-2"/>
        </c:manualLayout>
      </c:layout>
      <c:overlay val="0"/>
    </c:title>
    <c:autoTitleDeleted val="0"/>
    <c:plotArea>
      <c:layout/>
      <c:lineChart>
        <c:grouping val="standard"/>
        <c:varyColors val="0"/>
        <c:ser>
          <c:idx val="0"/>
          <c:order val="0"/>
          <c:tx>
            <c:strRef>
              <c:f>DATA!$U$4</c:f>
              <c:strCache>
                <c:ptCount val="1"/>
                <c:pt idx="0">
                  <c:v>8-Dec-23</c:v>
                </c:pt>
              </c:strCache>
            </c:strRef>
          </c:tx>
          <c:spPr>
            <a:ln w="25400">
              <a:solidFill>
                <a:srgbClr val="156082"/>
              </a:solidFill>
            </a:ln>
          </c:spPr>
          <c:marker>
            <c:symbol val="none"/>
          </c:marker>
          <c:cat>
            <c:strRef>
              <c:f>(CALC!$A$8,CALC!$A$19,CALC!$A$25,CALC!$A$31,CALC!$A$37,CALC!$A$43,CALC!$A$48,CALC!$A$49)</c:f>
              <c:strCache>
                <c:ptCount val="8"/>
                <c:pt idx="0">
                  <c:v>1M</c:v>
                </c:pt>
                <c:pt idx="1">
                  <c:v>1Y</c:v>
                </c:pt>
                <c:pt idx="2">
                  <c:v>1.5Y</c:v>
                </c:pt>
                <c:pt idx="3">
                  <c:v>2Y</c:v>
                </c:pt>
                <c:pt idx="4">
                  <c:v>2.5Y</c:v>
                </c:pt>
                <c:pt idx="5">
                  <c:v>3Y</c:v>
                </c:pt>
                <c:pt idx="6">
                  <c:v>4Y</c:v>
                </c:pt>
                <c:pt idx="7">
                  <c:v>5Y</c:v>
                </c:pt>
              </c:strCache>
            </c:strRef>
          </c:cat>
          <c:val>
            <c:numRef>
              <c:f>(CALC!$Q$8,CALC!$Q$19,CALC!$Q$25,CALC!$Q$31,CALC!$Q$37,CALC!$Q$43,CALC!$Q$48,CALC!$Q$49)</c:f>
              <c:numCache>
                <c:formatCode>0.00%</c:formatCode>
                <c:ptCount val="8"/>
                <c:pt idx="0">
                  <c:v>3.7796840258226272E-3</c:v>
                </c:pt>
                <c:pt idx="1">
                  <c:v>4.2088397033518854E-2</c:v>
                </c:pt>
                <c:pt idx="2">
                  <c:v>6.2650794819675504E-2</c:v>
                </c:pt>
                <c:pt idx="3">
                  <c:v>8.2179434997264433E-2</c:v>
                </c:pt>
                <c:pt idx="4">
                  <c:v>0.1049013525445035</c:v>
                </c:pt>
                <c:pt idx="5">
                  <c:v>0.12884669971802998</c:v>
                </c:pt>
                <c:pt idx="6">
                  <c:v>0.18649185912051069</c:v>
                </c:pt>
                <c:pt idx="7">
                  <c:v>0.2480910347493861</c:v>
                </c:pt>
              </c:numCache>
            </c:numRef>
          </c:val>
          <c:smooth val="0"/>
          <c:extLst>
            <c:ext xmlns:c16="http://schemas.microsoft.com/office/drawing/2014/chart" uri="{C3380CC4-5D6E-409C-BE32-E72D297353CC}">
              <c16:uniqueId val="{00000000-7354-404C-81B4-DBD716EE1A4E}"/>
            </c:ext>
          </c:extLst>
        </c:ser>
        <c:ser>
          <c:idx val="1"/>
          <c:order val="1"/>
          <c:tx>
            <c:strRef>
              <c:f>DATA!$U$5</c:f>
              <c:strCache>
                <c:ptCount val="1"/>
                <c:pt idx="0">
                  <c:v>7-Jun-23</c:v>
                </c:pt>
              </c:strCache>
            </c:strRef>
          </c:tx>
          <c:spPr>
            <a:ln w="25400">
              <a:solidFill>
                <a:srgbClr val="DF6613"/>
              </a:solidFill>
            </a:ln>
          </c:spPr>
          <c:marker>
            <c:symbol val="none"/>
          </c:marker>
          <c:cat>
            <c:strRef>
              <c:f>(CALC!$A$8,CALC!$A$19,CALC!$A$25,CALC!$A$31,CALC!$A$37,CALC!$A$43,CALC!$A$48,CALC!$A$49)</c:f>
              <c:strCache>
                <c:ptCount val="8"/>
                <c:pt idx="0">
                  <c:v>1M</c:v>
                </c:pt>
                <c:pt idx="1">
                  <c:v>1Y</c:v>
                </c:pt>
                <c:pt idx="2">
                  <c:v>1.5Y</c:v>
                </c:pt>
                <c:pt idx="3">
                  <c:v>2Y</c:v>
                </c:pt>
                <c:pt idx="4">
                  <c:v>2.5Y</c:v>
                </c:pt>
                <c:pt idx="5">
                  <c:v>3Y</c:v>
                </c:pt>
                <c:pt idx="6">
                  <c:v>4Y</c:v>
                </c:pt>
                <c:pt idx="7">
                  <c:v>5Y</c:v>
                </c:pt>
              </c:strCache>
            </c:strRef>
          </c:cat>
          <c:val>
            <c:numRef>
              <c:f>(CALC!$Z$8,CALC!$Z$19,CALC!$Z$25,CALC!$Z$31,CALC!$Z$37,CALC!$Z$43,CALC!$Z$48,CALC!$Z$49)</c:f>
              <c:numCache>
                <c:formatCode>0.00%</c:formatCode>
                <c:ptCount val="8"/>
                <c:pt idx="0">
                  <c:v>9.961819087138668E-4</c:v>
                </c:pt>
                <c:pt idx="1">
                  <c:v>3.4246550973800582E-2</c:v>
                </c:pt>
                <c:pt idx="2">
                  <c:v>6.3060029464749867E-2</c:v>
                </c:pt>
                <c:pt idx="3">
                  <c:v>7.7929666478579351E-2</c:v>
                </c:pt>
                <c:pt idx="4">
                  <c:v>9.2458339247488253E-2</c:v>
                </c:pt>
                <c:pt idx="5">
                  <c:v>0.11128833123819382</c:v>
                </c:pt>
                <c:pt idx="6">
                  <c:v>0.15590772227010663</c:v>
                </c:pt>
                <c:pt idx="7">
                  <c:v>0.20615754814306042</c:v>
                </c:pt>
              </c:numCache>
            </c:numRef>
          </c:val>
          <c:smooth val="0"/>
          <c:extLst>
            <c:ext xmlns:c16="http://schemas.microsoft.com/office/drawing/2014/chart" uri="{C3380CC4-5D6E-409C-BE32-E72D297353CC}">
              <c16:uniqueId val="{00000001-7354-404C-81B4-DBD716EE1A4E}"/>
            </c:ext>
          </c:extLst>
        </c:ser>
        <c:dLbls>
          <c:showLegendKey val="0"/>
          <c:showVal val="0"/>
          <c:showCatName val="0"/>
          <c:showSerName val="0"/>
          <c:showPercent val="0"/>
          <c:showBubbleSize val="0"/>
        </c:dLbls>
        <c:smooth val="0"/>
        <c:axId val="257940096"/>
        <c:axId val="259975040"/>
      </c:lineChart>
      <c:catAx>
        <c:axId val="257940096"/>
        <c:scaling>
          <c:orientation val="minMax"/>
        </c:scaling>
        <c:delete val="0"/>
        <c:axPos val="b"/>
        <c:numFmt formatCode="General" sourceLinked="0"/>
        <c:majorTickMark val="out"/>
        <c:minorTickMark val="none"/>
        <c:tickLblPos val="nextTo"/>
        <c:spPr>
          <a:ln>
            <a:solidFill>
              <a:schemeClr val="bg2"/>
            </a:solidFill>
          </a:ln>
        </c:spPr>
        <c:txPr>
          <a:bodyPr rot="0" vert="horz"/>
          <a:lstStyle/>
          <a:p>
            <a:pPr algn="ctr">
              <a:defRPr lang="en-US" sz="1000" b="0" i="0" u="none" strike="noStrike" kern="1200" baseline="0">
                <a:solidFill>
                  <a:schemeClr val="tx1">
                    <a:lumMod val="65000"/>
                    <a:lumOff val="35000"/>
                  </a:schemeClr>
                </a:solidFill>
                <a:latin typeface="+mn-lt"/>
                <a:ea typeface="+mn-ea"/>
                <a:cs typeface="+mn-cs"/>
              </a:defRPr>
            </a:pPr>
            <a:endParaRPr lang="en-US"/>
          </a:p>
        </c:txPr>
        <c:crossAx val="259975040"/>
        <c:crosses val="autoZero"/>
        <c:auto val="1"/>
        <c:lblAlgn val="ctr"/>
        <c:lblOffset val="100"/>
        <c:noMultiLvlLbl val="0"/>
      </c:catAx>
      <c:valAx>
        <c:axId val="259975040"/>
        <c:scaling>
          <c:orientation val="minMax"/>
        </c:scaling>
        <c:delete val="0"/>
        <c:axPos val="l"/>
        <c:majorGridlines>
          <c:spPr>
            <a:ln>
              <a:solidFill>
                <a:schemeClr val="bg2"/>
              </a:solidFill>
              <a:prstDash val="solid"/>
            </a:ln>
          </c:spPr>
        </c:majorGridlines>
        <c:numFmt formatCode="0%" sourceLinked="0"/>
        <c:majorTickMark val="out"/>
        <c:minorTickMark val="none"/>
        <c:tickLblPos val="nextTo"/>
        <c:spPr>
          <a:ln>
            <a:solidFill>
              <a:schemeClr val="bg2"/>
            </a:solidFill>
          </a:ln>
        </c:spPr>
        <c:txPr>
          <a:bodyPr rot="0" vert="horz"/>
          <a:lstStyle/>
          <a:p>
            <a:pPr algn="ctr">
              <a:defRPr lang="en-US" sz="1050" b="0" i="0" u="none" strike="noStrike" kern="1200" baseline="0">
                <a:solidFill>
                  <a:schemeClr val="tx1">
                    <a:lumMod val="65000"/>
                    <a:lumOff val="35000"/>
                  </a:schemeClr>
                </a:solidFill>
                <a:latin typeface="+mn-lt"/>
                <a:ea typeface="+mn-ea"/>
                <a:cs typeface="+mn-cs"/>
              </a:defRPr>
            </a:pPr>
            <a:endParaRPr lang="en-US"/>
          </a:p>
        </c:txPr>
        <c:crossAx val="257940096"/>
        <c:crosses val="autoZero"/>
        <c:crossBetween val="midCat"/>
      </c:valAx>
    </c:plotArea>
    <c:legend>
      <c:legendPos val="b"/>
      <c:overlay val="0"/>
    </c:legend>
    <c:plotVisOnly val="1"/>
    <c:dispBlanksAs val="gap"/>
    <c:showDLblsOverMax val="0"/>
  </c:chart>
  <c:spPr>
    <a:noFill/>
    <a:ln w="22225" cap="rnd">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44" l="0.70000000000000062" r="0.70000000000000062" t="0.75000000000000144"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US" sz="1600" b="1" i="0" u="none" strike="noStrike" kern="1200" spc="0" baseline="0">
                <a:solidFill>
                  <a:srgbClr val="000000"/>
                </a:solidFill>
                <a:latin typeface="Calibri"/>
                <a:ea typeface="Calibri"/>
                <a:cs typeface="Calibri"/>
              </a:defRPr>
            </a:pPr>
            <a:r>
              <a:rPr lang="en-US" sz="1600" b="1" i="0" u="none" strike="noStrike" baseline="0">
                <a:effectLst/>
              </a:rPr>
              <a:t>YoY </a:t>
            </a:r>
            <a:r>
              <a:rPr lang="en-US" sz="1600" b="1" i="0" u="none" strike="noStrike" kern="1200" spc="0" baseline="0">
                <a:solidFill>
                  <a:srgbClr val="000000"/>
                </a:solidFill>
                <a:latin typeface="Calibri"/>
                <a:ea typeface="Calibri"/>
                <a:cs typeface="Calibri"/>
              </a:rPr>
              <a:t>Implied Inflation</a:t>
            </a:r>
          </a:p>
        </c:rich>
      </c:tx>
      <c:overlay val="0"/>
    </c:title>
    <c:autoTitleDeleted val="0"/>
    <c:plotArea>
      <c:layout>
        <c:manualLayout>
          <c:layoutTarget val="inner"/>
          <c:xMode val="edge"/>
          <c:yMode val="edge"/>
          <c:x val="8.9068707604152975E-2"/>
          <c:y val="0.19258958333333334"/>
          <c:w val="0.8655412049679363"/>
          <c:h val="0.64159599865102512"/>
        </c:manualLayout>
      </c:layout>
      <c:barChart>
        <c:barDir val="col"/>
        <c:grouping val="clustered"/>
        <c:varyColors val="0"/>
        <c:ser>
          <c:idx val="0"/>
          <c:order val="0"/>
          <c:tx>
            <c:strRef>
              <c:f>DATA!$U$4</c:f>
              <c:strCache>
                <c:ptCount val="1"/>
                <c:pt idx="0">
                  <c:v>8-Dec-23</c:v>
                </c:pt>
              </c:strCache>
            </c:strRef>
          </c:tx>
          <c:spPr>
            <a:solidFill>
              <a:srgbClr val="156082"/>
            </a:solidFill>
          </c:spPr>
          <c:invertIfNegative val="0"/>
          <c:dLbls>
            <c:numFmt formatCode="0.0%" sourceLinked="0"/>
            <c:spPr>
              <a:noFill/>
              <a:ln>
                <a:noFill/>
              </a:ln>
              <a:effectLst/>
            </c:spPr>
            <c:txPr>
              <a:bodyPr wrap="square" lIns="38100" tIns="19050" rIns="38100" bIns="19050" anchor="ctr">
                <a:spAutoFit/>
              </a:bodyPr>
              <a:lstStyle/>
              <a:p>
                <a:pPr>
                  <a:defRPr sz="1000"/>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(CALC!$A$19,CALC!$A$31,CALC!$A$43,CALC!$A$48,CALC!$A$49)</c:f>
              <c:strCache>
                <c:ptCount val="5"/>
                <c:pt idx="0">
                  <c:v>1Y</c:v>
                </c:pt>
                <c:pt idx="1">
                  <c:v>2Y</c:v>
                </c:pt>
                <c:pt idx="2">
                  <c:v>3Y</c:v>
                </c:pt>
                <c:pt idx="3">
                  <c:v>4Y</c:v>
                </c:pt>
                <c:pt idx="4">
                  <c:v>5Y</c:v>
                </c:pt>
              </c:strCache>
            </c:strRef>
          </c:cat>
          <c:val>
            <c:numRef>
              <c:f>CALC!$N$54:$N$58</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0-46E4-4729-9ADB-B8E9753FA485}"/>
            </c:ext>
          </c:extLst>
        </c:ser>
        <c:ser>
          <c:idx val="1"/>
          <c:order val="1"/>
          <c:tx>
            <c:strRef>
              <c:f>DATA!$U$5</c:f>
              <c:strCache>
                <c:ptCount val="1"/>
                <c:pt idx="0">
                  <c:v>7-Jun-23</c:v>
                </c:pt>
              </c:strCache>
            </c:strRef>
          </c:tx>
          <c:spPr>
            <a:solidFill>
              <a:srgbClr val="DF6613"/>
            </a:solidFill>
          </c:spPr>
          <c:invertIfNegative val="0"/>
          <c:dLbls>
            <c:numFmt formatCode="0.0%" sourceLinked="0"/>
            <c:spPr>
              <a:noFill/>
              <a:ln>
                <a:noFill/>
              </a:ln>
              <a:effectLst/>
            </c:spPr>
            <c:txPr>
              <a:bodyPr wrap="square" lIns="38100" tIns="19050" rIns="38100" bIns="19050" anchor="ctr">
                <a:spAutoFit/>
              </a:bodyPr>
              <a:lstStyle/>
              <a:p>
                <a:pPr>
                  <a:defRPr sz="1000"/>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(CALC!$A$19,CALC!$A$31,CALC!$A$43,CALC!$A$48,CALC!$A$49)</c:f>
              <c:strCache>
                <c:ptCount val="5"/>
                <c:pt idx="0">
                  <c:v>1Y</c:v>
                </c:pt>
                <c:pt idx="1">
                  <c:v>2Y</c:v>
                </c:pt>
                <c:pt idx="2">
                  <c:v>3Y</c:v>
                </c:pt>
                <c:pt idx="3">
                  <c:v>4Y</c:v>
                </c:pt>
                <c:pt idx="4">
                  <c:v>5Y</c:v>
                </c:pt>
              </c:strCache>
            </c:strRef>
          </c:cat>
          <c:val>
            <c:numRef>
              <c:f>CALC!$W$54:$W$58</c:f>
              <c:numCache>
                <c:formatCode>0.00%</c:formatCode>
                <c:ptCount val="5"/>
                <c:pt idx="0">
                  <c:v>3.3217278613075552E-2</c:v>
                </c:pt>
                <c:pt idx="1">
                  <c:v>4.22366557216447E-2</c:v>
                </c:pt>
                <c:pt idx="2">
                  <c:v>3.0946977151665056E-2</c:v>
                </c:pt>
                <c:pt idx="3">
                  <c:v>4.0151047912289295E-2</c:v>
                </c:pt>
                <c:pt idx="4">
                  <c:v>4.3472177670262013E-2</c:v>
                </c:pt>
              </c:numCache>
            </c:numRef>
          </c:val>
          <c:extLst>
            <c:ext xmlns:c16="http://schemas.microsoft.com/office/drawing/2014/chart" uri="{C3380CC4-5D6E-409C-BE32-E72D297353CC}">
              <c16:uniqueId val="{00000001-46E4-4729-9ADB-B8E9753FA485}"/>
            </c:ext>
          </c:extLst>
        </c:ser>
        <c:dLbls>
          <c:dLblPos val="outEnd"/>
          <c:showLegendKey val="0"/>
          <c:showVal val="1"/>
          <c:showCatName val="0"/>
          <c:showSerName val="0"/>
          <c:showPercent val="0"/>
          <c:showBubbleSize val="0"/>
        </c:dLbls>
        <c:gapWidth val="150"/>
        <c:axId val="318944384"/>
        <c:axId val="318945920"/>
      </c:barChart>
      <c:catAx>
        <c:axId val="318944384"/>
        <c:scaling>
          <c:orientation val="minMax"/>
        </c:scaling>
        <c:delete val="0"/>
        <c:axPos val="b"/>
        <c:numFmt formatCode="General" sourceLinked="1"/>
        <c:majorTickMark val="out"/>
        <c:minorTickMark val="none"/>
        <c:tickLblPos val="nextTo"/>
        <c:spPr>
          <a:ln>
            <a:solidFill>
              <a:schemeClr val="bg2"/>
            </a:solidFill>
          </a:ln>
        </c:spPr>
        <c:txPr>
          <a:bodyPr rot="0" vert="horz"/>
          <a:lstStyle/>
          <a:p>
            <a:pPr algn="ctr">
              <a:defRPr lang="en-US" sz="1000" b="0" i="0" u="none" strike="noStrike" kern="1200" baseline="0">
                <a:solidFill>
                  <a:schemeClr val="tx1">
                    <a:lumMod val="65000"/>
                    <a:lumOff val="35000"/>
                  </a:schemeClr>
                </a:solidFill>
                <a:latin typeface="+mn-lt"/>
                <a:ea typeface="+mn-ea"/>
                <a:cs typeface="+mn-cs"/>
              </a:defRPr>
            </a:pPr>
            <a:endParaRPr lang="en-US"/>
          </a:p>
        </c:txPr>
        <c:crossAx val="318945920"/>
        <c:crosses val="autoZero"/>
        <c:auto val="1"/>
        <c:lblAlgn val="ctr"/>
        <c:lblOffset val="100"/>
        <c:noMultiLvlLbl val="0"/>
      </c:catAx>
      <c:valAx>
        <c:axId val="318945920"/>
        <c:scaling>
          <c:orientation val="minMax"/>
        </c:scaling>
        <c:delete val="0"/>
        <c:axPos val="l"/>
        <c:numFmt formatCode="0.0%" sourceLinked="0"/>
        <c:majorTickMark val="out"/>
        <c:minorTickMark val="none"/>
        <c:tickLblPos val="nextTo"/>
        <c:spPr>
          <a:ln>
            <a:solidFill>
              <a:schemeClr val="bg2"/>
            </a:solidFill>
          </a:ln>
        </c:spPr>
        <c:txPr>
          <a:bodyPr rot="0" vert="horz"/>
          <a:lstStyle/>
          <a:p>
            <a:pPr algn="ctr">
              <a:defRPr lang="en-US" sz="1050" b="0" i="0" u="none" strike="noStrike" kern="1200" baseline="0">
                <a:solidFill>
                  <a:schemeClr val="tx1">
                    <a:lumMod val="65000"/>
                    <a:lumOff val="35000"/>
                  </a:schemeClr>
                </a:solidFill>
                <a:latin typeface="+mn-lt"/>
                <a:ea typeface="+mn-ea"/>
                <a:cs typeface="+mn-cs"/>
              </a:defRPr>
            </a:pPr>
            <a:endParaRPr lang="en-US"/>
          </a:p>
        </c:txPr>
        <c:crossAx val="318944384"/>
        <c:crosses val="autoZero"/>
        <c:crossBetween val="between"/>
        <c:majorUnit val="1.5000000000000003E-2"/>
      </c:valAx>
    </c:plotArea>
    <c:legend>
      <c:legendPos val="b"/>
      <c:overlay val="0"/>
    </c:legend>
    <c:plotVisOnly val="1"/>
    <c:dispBlanksAs val="gap"/>
    <c:showDLblsOverMax val="0"/>
  </c:chart>
  <c:spPr>
    <a:noFill/>
    <a:ln cap="rnd">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44" l="0.70000000000000062" r="0.70000000000000062" t="0.75000000000000144"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0" baseline="0">
                <a:solidFill>
                  <a:srgbClr val="000000"/>
                </a:solidFill>
                <a:latin typeface="Calibri"/>
                <a:ea typeface="Calibri"/>
                <a:cs typeface="Calibri"/>
              </a:defRPr>
            </a:pPr>
            <a:r>
              <a:rPr lang="en-US" sz="1600" b="1" i="0" u="none" strike="noStrike" kern="1200" baseline="0">
                <a:solidFill>
                  <a:srgbClr val="000000"/>
                </a:solidFill>
                <a:latin typeface="Calibri"/>
                <a:ea typeface="Calibri"/>
                <a:cs typeface="Calibri"/>
              </a:rPr>
              <a:t>Implied Inflation </a:t>
            </a:r>
            <a:br>
              <a:rPr lang="en-US" sz="1600" b="1" i="0" u="none" strike="noStrike" kern="1200" baseline="0">
                <a:solidFill>
                  <a:srgbClr val="000000"/>
                </a:solidFill>
                <a:latin typeface="Calibri"/>
                <a:ea typeface="Calibri"/>
                <a:cs typeface="Calibri"/>
              </a:rPr>
            </a:br>
            <a:r>
              <a:rPr lang="en-US" sz="1200" b="0" i="1" u="none" strike="noStrike" kern="1200" baseline="0">
                <a:solidFill>
                  <a:srgbClr val="000000"/>
                </a:solidFill>
                <a:latin typeface="Calibri"/>
                <a:ea typeface="Calibri"/>
                <a:cs typeface="Calibri"/>
              </a:rPr>
              <a:t>(annualized, months) </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0000"/>
              </a:solidFill>
              <a:latin typeface="Calibri"/>
              <a:ea typeface="Calibri"/>
              <a:cs typeface="Calibri"/>
            </a:defRPr>
          </a:pPr>
          <a:endParaRPr lang="en-US"/>
        </a:p>
      </c:txPr>
    </c:title>
    <c:autoTitleDeleted val="0"/>
    <c:plotArea>
      <c:layout/>
      <c:lineChart>
        <c:grouping val="standard"/>
        <c:varyColors val="0"/>
        <c:ser>
          <c:idx val="0"/>
          <c:order val="0"/>
          <c:tx>
            <c:strRef>
              <c:f>DATA!$U$4</c:f>
              <c:strCache>
                <c:ptCount val="1"/>
                <c:pt idx="0">
                  <c:v>8-Dec-23</c:v>
                </c:pt>
              </c:strCache>
            </c:strRef>
          </c:tx>
          <c:spPr>
            <a:ln w="28575" cap="rnd">
              <a:solidFill>
                <a:schemeClr val="accent1"/>
              </a:solidFill>
              <a:round/>
            </a:ln>
            <a:effectLst/>
          </c:spPr>
          <c:marker>
            <c:symbol val="circle"/>
            <c:size val="5"/>
            <c:spPr>
              <a:solidFill>
                <a:srgbClr val="156082"/>
              </a:solidFill>
              <a:ln w="9525">
                <a:solidFill>
                  <a:schemeClr val="accent1"/>
                </a:solidFill>
              </a:ln>
              <a:effectLst/>
            </c:spPr>
          </c:marker>
          <c:cat>
            <c:numRef>
              <c:f>CALC!$B$8:$B$49</c:f>
              <c:numCache>
                <c:formatCode>General</c:formatCode>
                <c:ptCount val="4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48</c:v>
                </c:pt>
                <c:pt idx="41">
                  <c:v>60</c:v>
                </c:pt>
              </c:numCache>
            </c:numRef>
          </c:cat>
          <c:val>
            <c:numRef>
              <c:f>CALC!$N$8:$N$49</c:f>
              <c:numCache>
                <c:formatCode>0.000000</c:formatCode>
                <c:ptCount val="42"/>
                <c:pt idx="0">
                  <c:v>4.6311065950188635</c:v>
                </c:pt>
                <c:pt idx="1">
                  <c:v>4.9374192465774236</c:v>
                </c:pt>
                <c:pt idx="2">
                  <c:v>4.8525916442339723</c:v>
                </c:pt>
                <c:pt idx="3">
                  <c:v>4.4531949252120118</c:v>
                </c:pt>
                <c:pt idx="4">
                  <c:v>4.2624135294794474</c:v>
                </c:pt>
                <c:pt idx="5">
                  <c:v>4.0350831442006019</c:v>
                </c:pt>
                <c:pt idx="6">
                  <c:v>3.8044096046432108</c:v>
                </c:pt>
                <c:pt idx="7">
                  <c:v>3.7240754312403368</c:v>
                </c:pt>
                <c:pt idx="8">
                  <c:v>3.7738589575700754</c:v>
                </c:pt>
                <c:pt idx="9">
                  <c:v>3.9193524667495927</c:v>
                </c:pt>
                <c:pt idx="10">
                  <c:v>4.0638297352161512</c:v>
                </c:pt>
                <c:pt idx="11">
                  <c:v>4.2088397033518854</c:v>
                </c:pt>
                <c:pt idx="12">
                  <c:v>4.2954065477531111</c:v>
                </c:pt>
                <c:pt idx="13">
                  <c:v>4.3056697618504947</c:v>
                </c:pt>
                <c:pt idx="14">
                  <c:v>4.2713640527312302</c:v>
                </c:pt>
                <c:pt idx="15">
                  <c:v>4.2075053617423253</c:v>
                </c:pt>
                <c:pt idx="16">
                  <c:v>4.1574806301650336</c:v>
                </c:pt>
                <c:pt idx="17">
                  <c:v>4.1342789598108665</c:v>
                </c:pt>
                <c:pt idx="18">
                  <c:v>4.1199634273395569</c:v>
                </c:pt>
                <c:pt idx="19">
                  <c:v>4.1113755724326628</c:v>
                </c:pt>
                <c:pt idx="20">
                  <c:v>4.0973995271867514</c:v>
                </c:pt>
                <c:pt idx="21">
                  <c:v>4.0710644488687331</c:v>
                </c:pt>
                <c:pt idx="22">
                  <c:v>4.0470856140328415</c:v>
                </c:pt>
                <c:pt idx="23">
                  <c:v>4.0278537218404908</c:v>
                </c:pt>
                <c:pt idx="24">
                  <c:v>4.0252792190986542</c:v>
                </c:pt>
                <c:pt idx="25">
                  <c:v>4.031808433574624</c:v>
                </c:pt>
                <c:pt idx="26">
                  <c:v>4.043498817966884</c:v>
                </c:pt>
                <c:pt idx="27">
                  <c:v>4.0523724967338914</c:v>
                </c:pt>
                <c:pt idx="28">
                  <c:v>4.060471012050848</c:v>
                </c:pt>
                <c:pt idx="29">
                  <c:v>4.0709219858155787</c:v>
                </c:pt>
                <c:pt idx="30">
                  <c:v>4.0864636436970025</c:v>
                </c:pt>
                <c:pt idx="31">
                  <c:v>4.1007929099544649</c:v>
                </c:pt>
                <c:pt idx="32">
                  <c:v>4.1106382978723266</c:v>
                </c:pt>
                <c:pt idx="33">
                  <c:v>4.1135516536568328</c:v>
                </c:pt>
                <c:pt idx="34">
                  <c:v>4.1148791101873972</c:v>
                </c:pt>
                <c:pt idx="35">
                  <c:v>4.1225964174177898</c:v>
                </c:pt>
                <c:pt idx="36">
                  <c:v>4.1401690716987849</c:v>
                </c:pt>
                <c:pt idx="37">
                  <c:v>4.1618218744129631</c:v>
                </c:pt>
                <c:pt idx="38">
                  <c:v>4.1900709219858001</c:v>
                </c:pt>
                <c:pt idx="39">
                  <c:v>4.2141274334327905</c:v>
                </c:pt>
                <c:pt idx="40">
                  <c:v>4.3677187117162397</c:v>
                </c:pt>
                <c:pt idx="41">
                  <c:v>4.531998298518447</c:v>
                </c:pt>
              </c:numCache>
            </c:numRef>
          </c:val>
          <c:smooth val="0"/>
          <c:extLst>
            <c:ext xmlns:c16="http://schemas.microsoft.com/office/drawing/2014/chart" uri="{C3380CC4-5D6E-409C-BE32-E72D297353CC}">
              <c16:uniqueId val="{00000002-59B6-4EE9-AB6D-4A636BEAF091}"/>
            </c:ext>
          </c:extLst>
        </c:ser>
        <c:ser>
          <c:idx val="1"/>
          <c:order val="1"/>
          <c:tx>
            <c:strRef>
              <c:f>DATA!$U$5</c:f>
              <c:strCache>
                <c:ptCount val="1"/>
                <c:pt idx="0">
                  <c:v>7-Jun-23</c:v>
                </c:pt>
              </c:strCache>
            </c:strRef>
          </c:tx>
          <c:spPr>
            <a:ln w="28575" cap="rnd">
              <a:solidFill>
                <a:srgbClr val="DF6613"/>
              </a:solidFill>
              <a:round/>
            </a:ln>
            <a:effectLst/>
          </c:spPr>
          <c:marker>
            <c:symbol val="circle"/>
            <c:size val="5"/>
            <c:spPr>
              <a:solidFill>
                <a:srgbClr val="DF6613"/>
              </a:solidFill>
              <a:ln w="9525">
                <a:solidFill>
                  <a:schemeClr val="accent2"/>
                </a:solidFill>
              </a:ln>
              <a:effectLst/>
            </c:spPr>
          </c:marker>
          <c:cat>
            <c:numRef>
              <c:f>CALC!$B$8:$B$49</c:f>
              <c:numCache>
                <c:formatCode>General</c:formatCode>
                <c:ptCount val="4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48</c:v>
                </c:pt>
                <c:pt idx="41">
                  <c:v>60</c:v>
                </c:pt>
              </c:numCache>
            </c:numRef>
          </c:cat>
          <c:val>
            <c:numRef>
              <c:f>CALC!$W$8:$W$49</c:f>
              <c:numCache>
                <c:formatCode>0.000000</c:formatCode>
                <c:ptCount val="42"/>
                <c:pt idx="0">
                  <c:v>1.2019897856581307</c:v>
                </c:pt>
                <c:pt idx="1">
                  <c:v>4.089397369820702</c:v>
                </c:pt>
                <c:pt idx="2">
                  <c:v>5.316225864033397</c:v>
                </c:pt>
                <c:pt idx="3">
                  <c:v>5.3987038851723623</c:v>
                </c:pt>
                <c:pt idx="4">
                  <c:v>4.7491941836401708</c:v>
                </c:pt>
                <c:pt idx="5">
                  <c:v>3.8980452750692507</c:v>
                </c:pt>
                <c:pt idx="6">
                  <c:v>3.2058301360823549</c:v>
                </c:pt>
                <c:pt idx="7">
                  <c:v>2.8626495601204338</c:v>
                </c:pt>
                <c:pt idx="8">
                  <c:v>2.7670880865949599</c:v>
                </c:pt>
                <c:pt idx="9">
                  <c:v>2.8802668274502619</c:v>
                </c:pt>
                <c:pt idx="10">
                  <c:v>3.1110737599832294</c:v>
                </c:pt>
                <c:pt idx="11">
                  <c:v>3.4246550973800582</c:v>
                </c:pt>
                <c:pt idx="12">
                  <c:v>3.7555018243194738</c:v>
                </c:pt>
                <c:pt idx="13">
                  <c:v>4.0128811523360008</c:v>
                </c:pt>
                <c:pt idx="14">
                  <c:v>4.1402236853982588</c:v>
                </c:pt>
                <c:pt idx="15">
                  <c:v>4.189116480508015</c:v>
                </c:pt>
                <c:pt idx="16">
                  <c:v>4.1851849870935043</c:v>
                </c:pt>
                <c:pt idx="17">
                  <c:v>4.161012495806049</c:v>
                </c:pt>
                <c:pt idx="18">
                  <c:v>4.1070060271424458</c:v>
                </c:pt>
                <c:pt idx="19">
                  <c:v>4.0414703957739828</c:v>
                </c:pt>
                <c:pt idx="20">
                  <c:v>3.9892139014065187</c:v>
                </c:pt>
                <c:pt idx="21">
                  <c:v>3.9286769597844939</c:v>
                </c:pt>
                <c:pt idx="22">
                  <c:v>3.8711888657920301</c:v>
                </c:pt>
                <c:pt idx="23">
                  <c:v>3.8233917033430043</c:v>
                </c:pt>
                <c:pt idx="24">
                  <c:v>3.7813373541632833</c:v>
                </c:pt>
                <c:pt idx="25">
                  <c:v>3.7452770552032888</c:v>
                </c:pt>
                <c:pt idx="26">
                  <c:v>3.7082123794362598</c:v>
                </c:pt>
                <c:pt idx="27">
                  <c:v>3.6659884033442669</c:v>
                </c:pt>
                <c:pt idx="28">
                  <c:v>3.6291257856203352</c:v>
                </c:pt>
                <c:pt idx="29">
                  <c:v>3.6005243936698017</c:v>
                </c:pt>
                <c:pt idx="30">
                  <c:v>3.5877669544723378</c:v>
                </c:pt>
                <c:pt idx="31">
                  <c:v>3.5860777476474759</c:v>
                </c:pt>
                <c:pt idx="32">
                  <c:v>3.5865246207066992</c:v>
                </c:pt>
                <c:pt idx="33">
                  <c:v>3.583542473674961</c:v>
                </c:pt>
                <c:pt idx="34">
                  <c:v>3.5798169396110913</c:v>
                </c:pt>
                <c:pt idx="35">
                  <c:v>3.5799232137840642</c:v>
                </c:pt>
                <c:pt idx="36">
                  <c:v>3.5878726424725116</c:v>
                </c:pt>
                <c:pt idx="37">
                  <c:v>3.5987242740395997</c:v>
                </c:pt>
                <c:pt idx="38">
                  <c:v>3.6070793145425384</c:v>
                </c:pt>
                <c:pt idx="39">
                  <c:v>3.6081693389821368</c:v>
                </c:pt>
                <c:pt idx="40">
                  <c:v>3.6885476168180276</c:v>
                </c:pt>
                <c:pt idx="41">
                  <c:v>3.8199481866136642</c:v>
                </c:pt>
              </c:numCache>
            </c:numRef>
          </c:val>
          <c:smooth val="0"/>
          <c:extLst>
            <c:ext xmlns:c16="http://schemas.microsoft.com/office/drawing/2014/chart" uri="{C3380CC4-5D6E-409C-BE32-E72D297353CC}">
              <c16:uniqueId val="{00000003-59B6-4EE9-AB6D-4A636BEAF091}"/>
            </c:ext>
          </c:extLst>
        </c:ser>
        <c:dLbls>
          <c:showLegendKey val="0"/>
          <c:showVal val="0"/>
          <c:showCatName val="0"/>
          <c:showSerName val="0"/>
          <c:showPercent val="0"/>
          <c:showBubbleSize val="0"/>
        </c:dLbls>
        <c:marker val="1"/>
        <c:smooth val="0"/>
        <c:axId val="1349855375"/>
        <c:axId val="1355827599"/>
      </c:lineChart>
      <c:catAx>
        <c:axId val="13498553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tx1">
                    <a:lumMod val="65000"/>
                    <a:lumOff val="35000"/>
                  </a:schemeClr>
                </a:solidFill>
                <a:latin typeface="+mn-lt"/>
                <a:ea typeface="+mn-ea"/>
                <a:cs typeface="+mn-cs"/>
              </a:defRPr>
            </a:pPr>
            <a:endParaRPr lang="en-US"/>
          </a:p>
        </c:txPr>
        <c:crossAx val="1355827599"/>
        <c:crosses val="autoZero"/>
        <c:auto val="1"/>
        <c:lblAlgn val="ctr"/>
        <c:lblOffset val="100"/>
        <c:noMultiLvlLbl val="0"/>
      </c:catAx>
      <c:valAx>
        <c:axId val="1355827599"/>
        <c:scaling>
          <c:orientation val="minMax"/>
        </c:scaling>
        <c:delete val="0"/>
        <c:axPos val="l"/>
        <c:majorGridlines>
          <c:spPr>
            <a:ln w="9525" cap="flat" cmpd="sng" algn="ctr">
              <a:solidFill>
                <a:schemeClr val="bg2"/>
              </a:solidFill>
              <a:round/>
            </a:ln>
            <a:effectLst/>
          </c:spPr>
        </c:majorGridlines>
        <c:numFmt formatCode="0.0" sourceLinked="0"/>
        <c:majorTickMark val="out"/>
        <c:minorTickMark val="none"/>
        <c:tickLblPos val="nextTo"/>
        <c:spPr>
          <a:noFill/>
          <a:ln>
            <a:solidFill>
              <a:schemeClr val="bg2"/>
            </a:solidFill>
          </a:ln>
          <a:effectLst/>
        </c:spPr>
        <c:txPr>
          <a:bodyPr rot="-60000000" spcFirstLastPara="1" vertOverflow="ellipsis" vert="horz" wrap="square" anchor="ctr" anchorCtr="1"/>
          <a:lstStyle/>
          <a:p>
            <a:pPr algn="ctr">
              <a:defRPr lang="en-US" sz="1050" b="0" i="0" u="none" strike="noStrike" kern="1200" baseline="0">
                <a:solidFill>
                  <a:schemeClr val="tx1">
                    <a:lumMod val="65000"/>
                    <a:lumOff val="35000"/>
                  </a:schemeClr>
                </a:solidFill>
                <a:latin typeface="+mn-lt"/>
                <a:ea typeface="+mn-ea"/>
                <a:cs typeface="+mn-cs"/>
              </a:defRPr>
            </a:pPr>
            <a:endParaRPr lang="en-US"/>
          </a:p>
        </c:txPr>
        <c:crossAx val="134985537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rgbClr val="000000"/>
              </a:solidFill>
              <a:latin typeface="Calibri"/>
              <a:ea typeface="Calibri"/>
              <a:cs typeface="Calibri"/>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rnd" cmpd="sng" algn="ctr">
      <a:noFill/>
      <a:round/>
    </a:ln>
    <a:effectLst/>
  </c:spPr>
  <c:txPr>
    <a:bodyPr/>
    <a:lstStyle/>
    <a:p>
      <a:pPr algn="ctr">
        <a:defRPr lang="en-US" sz="1000" b="0" i="0" u="none" strike="noStrike" kern="1200"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800" b="1">
                <a:solidFill>
                  <a:schemeClr val="tx1"/>
                </a:solidFill>
              </a:rPr>
              <a:t>Spread Analysis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5.4027930435908117E-2"/>
          <c:y val="0.14342340236876852"/>
          <c:w val="0.9251404790311476"/>
          <c:h val="0.70952137927203551"/>
        </c:manualLayout>
      </c:layout>
      <c:areaChart>
        <c:grouping val="standard"/>
        <c:varyColors val="0"/>
        <c:ser>
          <c:idx val="0"/>
          <c:order val="0"/>
          <c:tx>
            <c:strRef>
              <c:f>CALC!$AC$7</c:f>
              <c:strCache>
                <c:ptCount val="1"/>
                <c:pt idx="0">
                  <c:v>Spread</c:v>
                </c:pt>
              </c:strCache>
            </c:strRef>
          </c:tx>
          <c:spPr>
            <a:solidFill>
              <a:srgbClr val="156082"/>
            </a:solidFill>
            <a:ln w="25400">
              <a:noFill/>
            </a:ln>
            <a:effectLst/>
          </c:spPr>
          <c:cat>
            <c:numRef>
              <c:f>CALC!$B$8:$B$49</c:f>
              <c:numCache>
                <c:formatCode>General</c:formatCode>
                <c:ptCount val="4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48</c:v>
                </c:pt>
                <c:pt idx="41">
                  <c:v>60</c:v>
                </c:pt>
              </c:numCache>
            </c:numRef>
          </c:cat>
          <c:val>
            <c:numRef>
              <c:f>CALC!$AC$8:$AC$49</c:f>
              <c:numCache>
                <c:formatCode>0.000000</c:formatCode>
                <c:ptCount val="42"/>
                <c:pt idx="0">
                  <c:v>3.4291168093607327</c:v>
                </c:pt>
                <c:pt idx="1">
                  <c:v>0.84802187675672158</c:v>
                </c:pt>
                <c:pt idx="2">
                  <c:v>-0.46363421979942476</c:v>
                </c:pt>
                <c:pt idx="3">
                  <c:v>-0.94550895996035056</c:v>
                </c:pt>
                <c:pt idx="4">
                  <c:v>-0.48678065416072336</c:v>
                </c:pt>
                <c:pt idx="5">
                  <c:v>0.13703786913135119</c:v>
                </c:pt>
                <c:pt idx="6">
                  <c:v>0.59857946856085587</c:v>
                </c:pt>
                <c:pt idx="7">
                  <c:v>0.86142587111990299</c:v>
                </c:pt>
                <c:pt idx="8">
                  <c:v>1.0067708709751155</c:v>
                </c:pt>
                <c:pt idx="9">
                  <c:v>1.0390856392993308</c:v>
                </c:pt>
                <c:pt idx="10">
                  <c:v>0.95275597523292177</c:v>
                </c:pt>
                <c:pt idx="11">
                  <c:v>0.78418460597182715</c:v>
                </c:pt>
                <c:pt idx="12">
                  <c:v>0.53990472343363738</c:v>
                </c:pt>
                <c:pt idx="13">
                  <c:v>0.29278860951449381</c:v>
                </c:pt>
                <c:pt idx="14">
                  <c:v>0.13114036733297141</c:v>
                </c:pt>
                <c:pt idx="15">
                  <c:v>1.8388881234310261E-2</c:v>
                </c:pt>
                <c:pt idx="16">
                  <c:v>-2.770435692847073E-2</c:v>
                </c:pt>
                <c:pt idx="17">
                  <c:v>-2.6733535995182578E-2</c:v>
                </c:pt>
                <c:pt idx="18">
                  <c:v>1.2957400197111113E-2</c:v>
                </c:pt>
                <c:pt idx="19">
                  <c:v>6.9905176658680013E-2</c:v>
                </c:pt>
                <c:pt idx="20">
                  <c:v>0.10818562578023272</c:v>
                </c:pt>
                <c:pt idx="21">
                  <c:v>0.14238748908423915</c:v>
                </c:pt>
                <c:pt idx="22">
                  <c:v>0.17589674824081136</c:v>
                </c:pt>
                <c:pt idx="23">
                  <c:v>0.20446201849748658</c:v>
                </c:pt>
                <c:pt idx="24">
                  <c:v>0.24394186493537084</c:v>
                </c:pt>
                <c:pt idx="25">
                  <c:v>0.28653137837133524</c:v>
                </c:pt>
                <c:pt idx="26">
                  <c:v>0.33528643853062423</c:v>
                </c:pt>
                <c:pt idx="27">
                  <c:v>0.38638409338962454</c:v>
                </c:pt>
                <c:pt idx="28">
                  <c:v>0.43134522643051287</c:v>
                </c:pt>
                <c:pt idx="29">
                  <c:v>0.47039759214577703</c:v>
                </c:pt>
                <c:pt idx="30">
                  <c:v>0.4986966892246647</c:v>
                </c:pt>
                <c:pt idx="31">
                  <c:v>0.51471516230698899</c:v>
                </c:pt>
                <c:pt idx="32">
                  <c:v>0.5241136771656274</c:v>
                </c:pt>
                <c:pt idx="33">
                  <c:v>0.5300091799818718</c:v>
                </c:pt>
                <c:pt idx="34">
                  <c:v>0.5350621705763059</c:v>
                </c:pt>
                <c:pt idx="35">
                  <c:v>0.54267320363372562</c:v>
                </c:pt>
                <c:pt idx="36">
                  <c:v>0.55229642922627331</c:v>
                </c:pt>
                <c:pt idx="37">
                  <c:v>0.56309760037336343</c:v>
                </c:pt>
                <c:pt idx="38">
                  <c:v>0.58299160744326173</c:v>
                </c:pt>
                <c:pt idx="39">
                  <c:v>0.60595809445065374</c:v>
                </c:pt>
                <c:pt idx="40">
                  <c:v>0.67917109489821215</c:v>
                </c:pt>
                <c:pt idx="41">
                  <c:v>0.71205011190478285</c:v>
                </c:pt>
              </c:numCache>
            </c:numRef>
          </c:val>
          <c:extLst>
            <c:ext xmlns:c16="http://schemas.microsoft.com/office/drawing/2014/chart" uri="{C3380CC4-5D6E-409C-BE32-E72D297353CC}">
              <c16:uniqueId val="{00000000-5AA7-4C4E-BC50-48C22E49B846}"/>
            </c:ext>
          </c:extLst>
        </c:ser>
        <c:dLbls>
          <c:showLegendKey val="0"/>
          <c:showVal val="0"/>
          <c:showCatName val="0"/>
          <c:showSerName val="0"/>
          <c:showPercent val="0"/>
          <c:showBubbleSize val="0"/>
        </c:dLbls>
        <c:axId val="122466383"/>
        <c:axId val="122471423"/>
      </c:areaChart>
      <c:catAx>
        <c:axId val="1224663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tx1">
                    <a:lumMod val="65000"/>
                    <a:lumOff val="35000"/>
                  </a:schemeClr>
                </a:solidFill>
                <a:latin typeface="+mn-lt"/>
                <a:ea typeface="+mn-ea"/>
                <a:cs typeface="+mn-cs"/>
              </a:defRPr>
            </a:pPr>
            <a:endParaRPr lang="en-US"/>
          </a:p>
        </c:txPr>
        <c:crossAx val="122471423"/>
        <c:crosses val="autoZero"/>
        <c:auto val="1"/>
        <c:lblAlgn val="ctr"/>
        <c:lblOffset val="100"/>
        <c:noMultiLvlLbl val="0"/>
      </c:catAx>
      <c:valAx>
        <c:axId val="1224714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050" b="0" i="0" u="none" strike="noStrike" kern="1200" baseline="0">
                <a:solidFill>
                  <a:schemeClr val="tx1">
                    <a:lumMod val="65000"/>
                    <a:lumOff val="35000"/>
                  </a:schemeClr>
                </a:solidFill>
                <a:latin typeface="+mn-lt"/>
                <a:ea typeface="+mn-ea"/>
                <a:cs typeface="+mn-cs"/>
              </a:defRPr>
            </a:pPr>
            <a:endParaRPr lang="en-US"/>
          </a:p>
        </c:txPr>
        <c:crossAx val="12246638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US" sz="1600" b="1" i="0" u="none" strike="noStrike" kern="1200" spc="0" baseline="0">
                <a:solidFill>
                  <a:srgbClr val="000000"/>
                </a:solidFill>
                <a:latin typeface="Calibri"/>
                <a:ea typeface="Calibri"/>
                <a:cs typeface="Calibri"/>
              </a:defRPr>
            </a:pPr>
            <a:r>
              <a:rPr lang="en-US" sz="1600" b="1" i="0" u="none" strike="noStrike" baseline="0">
                <a:effectLst/>
              </a:rPr>
              <a:t>MoM Implied Inflation</a:t>
            </a:r>
            <a:endParaRPr lang="en-US" sz="1600" b="1" i="0" u="none" strike="noStrike" kern="1200" spc="0" baseline="0">
              <a:solidFill>
                <a:srgbClr val="000000"/>
              </a:solidFill>
              <a:latin typeface="Calibri"/>
              <a:ea typeface="Calibri"/>
              <a:cs typeface="Calibri"/>
            </a:endParaRPr>
          </a:p>
        </c:rich>
      </c:tx>
      <c:overlay val="0"/>
    </c:title>
    <c:autoTitleDeleted val="0"/>
    <c:plotArea>
      <c:layout>
        <c:manualLayout>
          <c:layoutTarget val="inner"/>
          <c:xMode val="edge"/>
          <c:yMode val="edge"/>
          <c:x val="6.1750091655744382E-2"/>
          <c:y val="0.15124588821954765"/>
          <c:w val="0.92359319019666031"/>
          <c:h val="0.72262729013131233"/>
        </c:manualLayout>
      </c:layout>
      <c:barChart>
        <c:barDir val="col"/>
        <c:grouping val="clustered"/>
        <c:varyColors val="0"/>
        <c:ser>
          <c:idx val="0"/>
          <c:order val="0"/>
          <c:tx>
            <c:strRef>
              <c:f>DATA!$U$4</c:f>
              <c:strCache>
                <c:ptCount val="1"/>
                <c:pt idx="0">
                  <c:v>8-Dec-23</c:v>
                </c:pt>
              </c:strCache>
            </c:strRef>
          </c:tx>
          <c:spPr>
            <a:solidFill>
              <a:srgbClr val="156082"/>
            </a:solidFill>
          </c:spPr>
          <c:invertIfNegative val="0"/>
          <c:cat>
            <c:numRef>
              <c:f>CALC!$B$8:$B$49</c:f>
              <c:numCache>
                <c:formatCode>General</c:formatCode>
                <c:ptCount val="4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48</c:v>
                </c:pt>
                <c:pt idx="41">
                  <c:v>60</c:v>
                </c:pt>
              </c:numCache>
            </c:numRef>
          </c:cat>
          <c:val>
            <c:numRef>
              <c:f>CALC!$R$8:$R$47</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1-B637-4DAC-9BBE-99BF377BAB74}"/>
            </c:ext>
          </c:extLst>
        </c:ser>
        <c:ser>
          <c:idx val="1"/>
          <c:order val="1"/>
          <c:tx>
            <c:strRef>
              <c:f>DATA!$U$5</c:f>
              <c:strCache>
                <c:ptCount val="1"/>
                <c:pt idx="0">
                  <c:v>7-Jun-23</c:v>
                </c:pt>
              </c:strCache>
            </c:strRef>
          </c:tx>
          <c:spPr>
            <a:solidFill>
              <a:srgbClr val="DF6613"/>
            </a:solidFill>
          </c:spPr>
          <c:invertIfNegative val="0"/>
          <c:cat>
            <c:numRef>
              <c:f>CALC!$B$8:$B$49</c:f>
              <c:numCache>
                <c:formatCode>General</c:formatCode>
                <c:ptCount val="4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48</c:v>
                </c:pt>
                <c:pt idx="41">
                  <c:v>60</c:v>
                </c:pt>
              </c:numCache>
            </c:numRef>
          </c:cat>
          <c:val>
            <c:numRef>
              <c:f>CALC!$AA$8:$AA$47</c:f>
              <c:numCache>
                <c:formatCode>0.00%</c:formatCode>
                <c:ptCount val="40"/>
                <c:pt idx="0">
                  <c:v>9.961819087138668E-4</c:v>
                </c:pt>
                <c:pt idx="1">
                  <c:v>5.7004892579390898E-3</c:v>
                </c:pt>
                <c:pt idx="2">
                  <c:v>6.2890327031615012E-3</c:v>
                </c:pt>
                <c:pt idx="3">
                  <c:v>4.5878816317388438E-3</c:v>
                </c:pt>
                <c:pt idx="4">
                  <c:v>1.8076976172092252E-3</c:v>
                </c:pt>
                <c:pt idx="5">
                  <c:v>-2.1281148790530668E-4</c:v>
                </c:pt>
                <c:pt idx="6">
                  <c:v>-7.1251914562964203E-4</c:v>
                </c:pt>
                <c:pt idx="7">
                  <c:v>4.0918287389390962E-4</c:v>
                </c:pt>
                <c:pt idx="8">
                  <c:v>1.6563156251330202E-3</c:v>
                </c:pt>
                <c:pt idx="9">
                  <c:v>3.1969353339376116E-3</c:v>
                </c:pt>
                <c:pt idx="10">
                  <c:v>4.4302847097841269E-3</c:v>
                </c:pt>
                <c:pt idx="11">
                  <c:v>5.6052860833737395E-3</c:v>
                </c:pt>
                <c:pt idx="12">
                  <c:v>6.2857327385819062E-3</c:v>
                </c:pt>
                <c:pt idx="13">
                  <c:v>5.9805508867802892E-3</c:v>
                </c:pt>
                <c:pt idx="14">
                  <c:v>4.8197249436723322E-3</c:v>
                </c:pt>
                <c:pt idx="15">
                  <c:v>4.014552403874827E-3</c:v>
                </c:pt>
                <c:pt idx="16">
                  <c:v>3.3720054568371349E-3</c:v>
                </c:pt>
                <c:pt idx="17">
                  <c:v>3.073296755168986E-3</c:v>
                </c:pt>
                <c:pt idx="18">
                  <c:v>2.5794747687784003E-3</c:v>
                </c:pt>
                <c:pt idx="19">
                  <c:v>2.3072469259848294E-3</c:v>
                </c:pt>
                <c:pt idx="20">
                  <c:v>2.4253657442721011E-3</c:v>
                </c:pt>
                <c:pt idx="21">
                  <c:v>2.1945750823084698E-3</c:v>
                </c:pt>
                <c:pt idx="22">
                  <c:v>2.1530412464787485E-3</c:v>
                </c:pt>
                <c:pt idx="23">
                  <c:v>2.2471078262271682E-3</c:v>
                </c:pt>
                <c:pt idx="24">
                  <c:v>2.2853279502395019E-3</c:v>
                </c:pt>
                <c:pt idx="25">
                  <c:v>2.3427679464775863E-3</c:v>
                </c:pt>
                <c:pt idx="26">
                  <c:v>2.2626008371986472E-3</c:v>
                </c:pt>
                <c:pt idx="27">
                  <c:v>2.086241554324797E-3</c:v>
                </c:pt>
                <c:pt idx="28">
                  <c:v>2.1431217765279786E-3</c:v>
                </c:pt>
                <c:pt idx="29">
                  <c:v>2.2832000288015575E-3</c:v>
                </c:pt>
                <c:pt idx="30">
                  <c:v>2.6330110802870177E-3</c:v>
                </c:pt>
                <c:pt idx="31">
                  <c:v>2.8981271974570788E-3</c:v>
                </c:pt>
                <c:pt idx="32">
                  <c:v>2.952275464466414E-3</c:v>
                </c:pt>
                <c:pt idx="33">
                  <c:v>2.8589311243956139E-3</c:v>
                </c:pt>
                <c:pt idx="34">
                  <c:v>2.8331245502026814E-3</c:v>
                </c:pt>
                <c:pt idx="35">
                  <c:v>2.9384123701214904E-3</c:v>
                </c:pt>
                <c:pt idx="36">
                  <c:v>3.1727606420808296E-3</c:v>
                </c:pt>
                <c:pt idx="37">
                  <c:v>3.2745716697042404E-3</c:v>
                </c:pt>
                <c:pt idx="38">
                  <c:v>3.2134837848385445E-3</c:v>
                </c:pt>
                <c:pt idx="39">
                  <c:v>2.9924938087573238E-3</c:v>
                </c:pt>
              </c:numCache>
            </c:numRef>
          </c:val>
          <c:extLst>
            <c:ext xmlns:c16="http://schemas.microsoft.com/office/drawing/2014/chart" uri="{C3380CC4-5D6E-409C-BE32-E72D297353CC}">
              <c16:uniqueId val="{00000002-B637-4DAC-9BBE-99BF377BAB74}"/>
            </c:ext>
          </c:extLst>
        </c:ser>
        <c:dLbls>
          <c:showLegendKey val="0"/>
          <c:showVal val="0"/>
          <c:showCatName val="0"/>
          <c:showSerName val="0"/>
          <c:showPercent val="0"/>
          <c:showBubbleSize val="0"/>
        </c:dLbls>
        <c:gapWidth val="150"/>
        <c:axId val="318944384"/>
        <c:axId val="318945920"/>
      </c:barChart>
      <c:catAx>
        <c:axId val="318944384"/>
        <c:scaling>
          <c:orientation val="minMax"/>
        </c:scaling>
        <c:delete val="0"/>
        <c:axPos val="b"/>
        <c:numFmt formatCode="General" sourceLinked="1"/>
        <c:majorTickMark val="out"/>
        <c:minorTickMark val="none"/>
        <c:tickLblPos val="low"/>
        <c:spPr>
          <a:ln>
            <a:solidFill>
              <a:schemeClr val="bg2"/>
            </a:solidFill>
          </a:ln>
        </c:spPr>
        <c:txPr>
          <a:bodyPr rot="0" vert="horz"/>
          <a:lstStyle/>
          <a:p>
            <a:pPr algn="ctr">
              <a:defRPr lang="en-US" sz="1000" b="0" i="0" u="none" strike="noStrike" kern="1200" baseline="0">
                <a:solidFill>
                  <a:schemeClr val="tx1">
                    <a:lumMod val="65000"/>
                    <a:lumOff val="35000"/>
                  </a:schemeClr>
                </a:solidFill>
                <a:latin typeface="+mn-lt"/>
                <a:ea typeface="+mn-ea"/>
                <a:cs typeface="+mn-cs"/>
              </a:defRPr>
            </a:pPr>
            <a:endParaRPr lang="en-US"/>
          </a:p>
        </c:txPr>
        <c:crossAx val="318945920"/>
        <c:crosses val="autoZero"/>
        <c:auto val="1"/>
        <c:lblAlgn val="ctr"/>
        <c:lblOffset val="100"/>
        <c:noMultiLvlLbl val="0"/>
      </c:catAx>
      <c:valAx>
        <c:axId val="318945920"/>
        <c:scaling>
          <c:orientation val="minMax"/>
        </c:scaling>
        <c:delete val="0"/>
        <c:axPos val="l"/>
        <c:majorGridlines>
          <c:spPr>
            <a:ln w="3175">
              <a:solidFill>
                <a:schemeClr val="bg1">
                  <a:lumMod val="75000"/>
                  <a:alpha val="60000"/>
                </a:schemeClr>
              </a:solidFill>
              <a:prstDash val="dash"/>
            </a:ln>
          </c:spPr>
        </c:majorGridlines>
        <c:numFmt formatCode="0.0%" sourceLinked="0"/>
        <c:majorTickMark val="out"/>
        <c:minorTickMark val="none"/>
        <c:tickLblPos val="nextTo"/>
        <c:spPr>
          <a:ln>
            <a:solidFill>
              <a:schemeClr val="bg2"/>
            </a:solidFill>
          </a:ln>
        </c:spPr>
        <c:txPr>
          <a:bodyPr rot="0" vert="horz"/>
          <a:lstStyle/>
          <a:p>
            <a:pPr algn="ctr">
              <a:defRPr lang="en-US" sz="1050" b="0" i="0" u="none" strike="noStrike" kern="1200" baseline="0">
                <a:solidFill>
                  <a:schemeClr val="tx1">
                    <a:lumMod val="65000"/>
                    <a:lumOff val="35000"/>
                  </a:schemeClr>
                </a:solidFill>
                <a:latin typeface="+mn-lt"/>
                <a:ea typeface="+mn-ea"/>
                <a:cs typeface="+mn-cs"/>
              </a:defRPr>
            </a:pPr>
            <a:endParaRPr lang="en-US"/>
          </a:p>
        </c:txPr>
        <c:crossAx val="318944384"/>
        <c:crosses val="autoZero"/>
        <c:crossBetween val="between"/>
      </c:valAx>
    </c:plotArea>
    <c:legend>
      <c:legendPos val="t"/>
      <c:overlay val="0"/>
    </c:legend>
    <c:plotVisOnly val="1"/>
    <c:dispBlanksAs val="gap"/>
    <c:showDLblsOverMax val="0"/>
  </c:chart>
  <c:spPr>
    <a:noFill/>
    <a:ln cap="rnd">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44" l="0.70000000000000062" r="0.70000000000000062" t="0.750000000000001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1.jpeg"/><Relationship Id="rId1" Type="http://schemas.openxmlformats.org/officeDocument/2006/relationships/image" Target="../media/image2.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2</xdr:col>
      <xdr:colOff>745678</xdr:colOff>
      <xdr:row>0</xdr:row>
      <xdr:rowOff>116031</xdr:rowOff>
    </xdr:from>
    <xdr:to>
      <xdr:col>16</xdr:col>
      <xdr:colOff>571065</xdr:colOff>
      <xdr:row>3</xdr:row>
      <xdr:rowOff>64076</xdr:rowOff>
    </xdr:to>
    <xdr:sp macro="" textlink="">
      <xdr:nvSpPr>
        <xdr:cNvPr id="7" name="BannerTitle">
          <a:extLst>
            <a:ext uri="{FF2B5EF4-FFF2-40B4-BE49-F238E27FC236}">
              <a16:creationId xmlns:a16="http://schemas.microsoft.com/office/drawing/2014/main" id="{742F14DE-3D04-4EC8-A7D6-4AE1139D93B8}"/>
            </a:ext>
          </a:extLst>
        </xdr:cNvPr>
        <xdr:cNvSpPr>
          <a:spLocks noChangeArrowheads="1"/>
        </xdr:cNvSpPr>
      </xdr:nvSpPr>
      <xdr:spPr bwMode="auto">
        <a:xfrm>
          <a:off x="1975269" y="116031"/>
          <a:ext cx="9852614" cy="519545"/>
        </a:xfrm>
        <a:prstGeom prst="rect">
          <a:avLst/>
        </a:prstGeom>
        <a:gradFill flip="none" rotWithShape="1">
          <a:gsLst>
            <a:gs pos="0">
              <a:srgbClr val="156082"/>
            </a:gs>
            <a:gs pos="98000">
              <a:schemeClr val="bg1"/>
            </a:gs>
          </a:gsLst>
          <a:path path="circle">
            <a:fillToRect l="50000" t="50000" r="50000" b="50000"/>
          </a:path>
          <a:tileRect/>
        </a:gradFill>
        <a:ln w="9525">
          <a:noFill/>
          <a:miter lim="800000"/>
          <a:headEnd/>
          <a:tailEnd/>
        </a:ln>
      </xdr:spPr>
      <xdr:txBody>
        <a:bodyPr vertOverflow="clip" wrap="square" lIns="54864" tIns="50292" rIns="54864" bIns="50292" anchor="ctr" upright="1"/>
        <a:lstStyle/>
        <a:p>
          <a:pPr algn="ctr" rtl="0">
            <a:defRPr sz="1000"/>
          </a:pPr>
          <a:r>
            <a:rPr lang="en-US" sz="2800" b="1" i="0" u="none" strike="noStrike" baseline="0">
              <a:solidFill>
                <a:srgbClr val="F2F2F2"/>
              </a:solidFill>
              <a:latin typeface="Calibri"/>
            </a:rPr>
            <a:t>Brazil IPCA Implied Inflation</a:t>
          </a:r>
        </a:p>
      </xdr:txBody>
    </xdr:sp>
    <xdr:clientData/>
  </xdr:twoCellAnchor>
  <xdr:twoCellAnchor editAs="absolute">
    <xdr:from>
      <xdr:col>7</xdr:col>
      <xdr:colOff>170146</xdr:colOff>
      <xdr:row>10</xdr:row>
      <xdr:rowOff>127731</xdr:rowOff>
    </xdr:from>
    <xdr:to>
      <xdr:col>16</xdr:col>
      <xdr:colOff>141761</xdr:colOff>
      <xdr:row>25</xdr:row>
      <xdr:rowOff>115594</xdr:rowOff>
    </xdr:to>
    <xdr:graphicFrame macro="">
      <xdr:nvGraphicFramePr>
        <xdr:cNvPr id="2" name="Chart 2">
          <a:extLst>
            <a:ext uri="{FF2B5EF4-FFF2-40B4-BE49-F238E27FC236}">
              <a16:creationId xmlns:a16="http://schemas.microsoft.com/office/drawing/2014/main" id="{A00EFA3E-9EC0-4D88-9BA6-7B2CCAD16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167549</xdr:colOff>
      <xdr:row>26</xdr:row>
      <xdr:rowOff>132922</xdr:rowOff>
    </xdr:from>
    <xdr:to>
      <xdr:col>16</xdr:col>
      <xdr:colOff>139164</xdr:colOff>
      <xdr:row>41</xdr:row>
      <xdr:rowOff>155422</xdr:rowOff>
    </xdr:to>
    <xdr:graphicFrame macro="">
      <xdr:nvGraphicFramePr>
        <xdr:cNvPr id="3" name="Chart 8">
          <a:extLst>
            <a:ext uri="{FF2B5EF4-FFF2-40B4-BE49-F238E27FC236}">
              <a16:creationId xmlns:a16="http://schemas.microsoft.com/office/drawing/2014/main" id="{1C09BAE1-FEFB-4F81-BD22-C6FBF5C3C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65809</xdr:colOff>
      <xdr:row>0</xdr:row>
      <xdr:rowOff>173181</xdr:rowOff>
    </xdr:from>
    <xdr:to>
      <xdr:col>2</xdr:col>
      <xdr:colOff>823479</xdr:colOff>
      <xdr:row>3</xdr:row>
      <xdr:rowOff>57148</xdr:rowOff>
    </xdr:to>
    <xdr:pic>
      <xdr:nvPicPr>
        <xdr:cNvPr id="6" name="Bloomberg">
          <a:extLst>
            <a:ext uri="{FF2B5EF4-FFF2-40B4-BE49-F238E27FC236}">
              <a16:creationId xmlns:a16="http://schemas.microsoft.com/office/drawing/2014/main" id="{F5AFF482-C47E-4988-8585-94C5E061D64B}"/>
            </a:ext>
          </a:extLst>
        </xdr:cNvPr>
        <xdr:cNvPicPr>
          <a:picLocks noChangeAspect="1"/>
        </xdr:cNvPicPr>
      </xdr:nvPicPr>
      <xdr:blipFill rotWithShape="1">
        <a:blip xmlns:r="http://schemas.openxmlformats.org/officeDocument/2006/relationships" r:embed="rId3"/>
        <a:srcRect t="17952" r="3702" b="10238"/>
        <a:stretch/>
      </xdr:blipFill>
      <xdr:spPr>
        <a:xfrm>
          <a:off x="65809" y="173181"/>
          <a:ext cx="1987261" cy="455467"/>
        </a:xfrm>
        <a:prstGeom prst="rect">
          <a:avLst/>
        </a:prstGeom>
      </xdr:spPr>
    </xdr:pic>
    <xdr:clientData/>
  </xdr:twoCellAnchor>
  <xdr:twoCellAnchor editAs="absolute">
    <xdr:from>
      <xdr:col>0</xdr:col>
      <xdr:colOff>109970</xdr:colOff>
      <xdr:row>10</xdr:row>
      <xdr:rowOff>136391</xdr:rowOff>
    </xdr:from>
    <xdr:to>
      <xdr:col>6</xdr:col>
      <xdr:colOff>799858</xdr:colOff>
      <xdr:row>25</xdr:row>
      <xdr:rowOff>124254</xdr:rowOff>
    </xdr:to>
    <xdr:graphicFrame macro="">
      <xdr:nvGraphicFramePr>
        <xdr:cNvPr id="8" name="Chart 7">
          <a:extLst>
            <a:ext uri="{FF2B5EF4-FFF2-40B4-BE49-F238E27FC236}">
              <a16:creationId xmlns:a16="http://schemas.microsoft.com/office/drawing/2014/main" id="{A2B051FD-FFD1-B263-28BD-65A7669EA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104774</xdr:colOff>
      <xdr:row>26</xdr:row>
      <xdr:rowOff>117339</xdr:rowOff>
    </xdr:from>
    <xdr:to>
      <xdr:col>6</xdr:col>
      <xdr:colOff>794662</xdr:colOff>
      <xdr:row>41</xdr:row>
      <xdr:rowOff>139839</xdr:rowOff>
    </xdr:to>
    <xdr:graphicFrame macro="">
      <xdr:nvGraphicFramePr>
        <xdr:cNvPr id="10" name="Chart 9">
          <a:extLst>
            <a:ext uri="{FF2B5EF4-FFF2-40B4-BE49-F238E27FC236}">
              <a16:creationId xmlns:a16="http://schemas.microsoft.com/office/drawing/2014/main" id="{DE85E089-6939-4367-A7B3-621D67B4A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xdr:col>
      <xdr:colOff>225135</xdr:colOff>
      <xdr:row>25</xdr:row>
      <xdr:rowOff>2178</xdr:rowOff>
    </xdr:from>
    <xdr:to>
      <xdr:col>3</xdr:col>
      <xdr:colOff>184004</xdr:colOff>
      <xdr:row>26</xdr:row>
      <xdr:rowOff>80110</xdr:rowOff>
    </xdr:to>
    <xdr:sp macro="" textlink="">
      <xdr:nvSpPr>
        <xdr:cNvPr id="4" name="TextBox 3">
          <a:extLst>
            <a:ext uri="{FF2B5EF4-FFF2-40B4-BE49-F238E27FC236}">
              <a16:creationId xmlns:a16="http://schemas.microsoft.com/office/drawing/2014/main" id="{5CDBAC92-0C28-4E6B-B438-8FCFB0801F0A}"/>
            </a:ext>
          </a:extLst>
        </xdr:cNvPr>
        <xdr:cNvSpPr txBox="1"/>
      </xdr:nvSpPr>
      <xdr:spPr>
        <a:xfrm>
          <a:off x="336260" y="4766843"/>
          <a:ext cx="1982932" cy="268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i="1" u="none" strike="noStrike" kern="1200" baseline="0">
              <a:solidFill>
                <a:schemeClr val="tx1">
                  <a:lumMod val="65000"/>
                  <a:lumOff val="35000"/>
                </a:schemeClr>
              </a:solidFill>
              <a:latin typeface="+mn-lt"/>
              <a:ea typeface="+mn-ea"/>
              <a:cs typeface="+mn-cs"/>
            </a:rPr>
            <a:t>*Annualized</a:t>
          </a:r>
          <a:r>
            <a:rPr lang="en-US" sz="1050" i="1" baseline="0">
              <a:solidFill>
                <a:schemeClr val="tx1">
                  <a:lumMod val="65000"/>
                  <a:lumOff val="35000"/>
                </a:schemeClr>
              </a:solidFill>
              <a:latin typeface="+mn-lt"/>
            </a:rPr>
            <a:t> rate, </a:t>
          </a:r>
          <a:r>
            <a:rPr lang="en-US" sz="1050" b="0" i="1" u="none" strike="noStrike" kern="1200" baseline="0">
              <a:solidFill>
                <a:schemeClr val="tx1">
                  <a:lumMod val="65000"/>
                  <a:lumOff val="35000"/>
                </a:schemeClr>
              </a:solidFill>
              <a:latin typeface="+mn-lt"/>
              <a:ea typeface="+mn-ea"/>
              <a:cs typeface="+mn-cs"/>
            </a:rPr>
            <a:t>business</a:t>
          </a:r>
          <a:r>
            <a:rPr lang="en-US" sz="1050" i="1" baseline="0">
              <a:solidFill>
                <a:schemeClr val="tx1">
                  <a:lumMod val="65000"/>
                  <a:lumOff val="35000"/>
                </a:schemeClr>
              </a:solidFill>
              <a:latin typeface="+mn-lt"/>
            </a:rPr>
            <a:t> days.</a:t>
          </a:r>
          <a:endParaRPr lang="en-US" sz="1050" i="1">
            <a:solidFill>
              <a:schemeClr val="tx1">
                <a:lumMod val="65000"/>
                <a:lumOff val="35000"/>
              </a:schemeClr>
            </a:solidFill>
            <a:latin typeface="+mn-lt"/>
          </a:endParaRPr>
        </a:p>
      </xdr:txBody>
    </xdr:sp>
    <xdr:clientData/>
  </xdr:twoCellAnchor>
  <xdr:twoCellAnchor editAs="absolute">
    <xdr:from>
      <xdr:col>7</xdr:col>
      <xdr:colOff>448973</xdr:colOff>
      <xdr:row>25</xdr:row>
      <xdr:rowOff>42010</xdr:rowOff>
    </xdr:from>
    <xdr:to>
      <xdr:col>13</xdr:col>
      <xdr:colOff>279256</xdr:colOff>
      <xdr:row>26</xdr:row>
      <xdr:rowOff>119942</xdr:rowOff>
    </xdr:to>
    <xdr:sp macro="" textlink="">
      <xdr:nvSpPr>
        <xdr:cNvPr id="9" name="TextBox 8">
          <a:extLst>
            <a:ext uri="{FF2B5EF4-FFF2-40B4-BE49-F238E27FC236}">
              <a16:creationId xmlns:a16="http://schemas.microsoft.com/office/drawing/2014/main" id="{0964E0EE-6EC0-40F1-8B7B-CE81E7439B1A}"/>
            </a:ext>
          </a:extLst>
        </xdr:cNvPr>
        <xdr:cNvSpPr txBox="1"/>
      </xdr:nvSpPr>
      <xdr:spPr>
        <a:xfrm>
          <a:off x="6259223" y="4806675"/>
          <a:ext cx="3370408" cy="268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i="1" u="none" strike="noStrike" kern="1200" baseline="0">
              <a:solidFill>
                <a:schemeClr val="tx1">
                  <a:lumMod val="65000"/>
                  <a:lumOff val="35000"/>
                </a:schemeClr>
              </a:solidFill>
              <a:latin typeface="+mn-lt"/>
              <a:ea typeface="+mn-ea"/>
              <a:cs typeface="+mn-cs"/>
            </a:rPr>
            <a:t>*De-annualized cumulative</a:t>
          </a:r>
          <a:r>
            <a:rPr lang="en-US" sz="1050" i="1" baseline="0">
              <a:solidFill>
                <a:schemeClr val="tx1">
                  <a:lumMod val="65000"/>
                  <a:lumOff val="35000"/>
                </a:schemeClr>
              </a:solidFill>
              <a:latin typeface="+mn-lt"/>
            </a:rPr>
            <a:t> rate at future tenors.</a:t>
          </a:r>
          <a:endParaRPr lang="en-US" sz="1050" i="1">
            <a:solidFill>
              <a:schemeClr val="tx1">
                <a:lumMod val="65000"/>
                <a:lumOff val="35000"/>
              </a:schemeClr>
            </a:solidFill>
            <a:latin typeface="+mn-lt"/>
          </a:endParaRPr>
        </a:p>
      </xdr:txBody>
    </xdr:sp>
    <xdr:clientData/>
  </xdr:twoCellAnchor>
  <xdr:twoCellAnchor editAs="absolute">
    <xdr:from>
      <xdr:col>1</xdr:col>
      <xdr:colOff>204354</xdr:colOff>
      <xdr:row>41</xdr:row>
      <xdr:rowOff>137260</xdr:rowOff>
    </xdr:from>
    <xdr:to>
      <xdr:col>6</xdr:col>
      <xdr:colOff>651597</xdr:colOff>
      <xdr:row>44</xdr:row>
      <xdr:rowOff>42586</xdr:rowOff>
    </xdr:to>
    <xdr:sp macro="" textlink="">
      <xdr:nvSpPr>
        <xdr:cNvPr id="11" name="TextBox 10">
          <a:extLst>
            <a:ext uri="{FF2B5EF4-FFF2-40B4-BE49-F238E27FC236}">
              <a16:creationId xmlns:a16="http://schemas.microsoft.com/office/drawing/2014/main" id="{4E9BF67D-BEDC-4A67-BA5E-15D4AF9DADE5}"/>
            </a:ext>
          </a:extLst>
        </xdr:cNvPr>
        <xdr:cNvSpPr txBox="1"/>
      </xdr:nvSpPr>
      <xdr:spPr>
        <a:xfrm>
          <a:off x="315479" y="7949925"/>
          <a:ext cx="5035118" cy="465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0" i="1" u="none" strike="noStrike" kern="1200" baseline="0">
              <a:solidFill>
                <a:schemeClr val="tx1">
                  <a:lumMod val="65000"/>
                  <a:lumOff val="35000"/>
                </a:schemeClr>
              </a:solidFill>
              <a:latin typeface="+mn-lt"/>
              <a:ea typeface="+mn-ea"/>
              <a:cs typeface="+mn-cs"/>
            </a:rPr>
            <a:t>*Historical Inflation Index and estimated inflation Index, considering the current dennualized implied</a:t>
          </a:r>
          <a:r>
            <a:rPr lang="en-US" sz="1050" i="1" baseline="0">
              <a:solidFill>
                <a:schemeClr val="tx1">
                  <a:lumMod val="65000"/>
                  <a:lumOff val="35000"/>
                </a:schemeClr>
              </a:solidFill>
              <a:latin typeface="+mn-lt"/>
            </a:rPr>
            <a:t> rate at the period.</a:t>
          </a:r>
          <a:endParaRPr lang="en-US" sz="1050" i="1">
            <a:solidFill>
              <a:schemeClr val="tx1">
                <a:lumMod val="65000"/>
                <a:lumOff val="35000"/>
              </a:schemeClr>
            </a:solidFill>
            <a:latin typeface="+mn-lt"/>
          </a:endParaRPr>
        </a:p>
      </xdr:txBody>
    </xdr:sp>
    <xdr:clientData/>
  </xdr:twoCellAnchor>
  <xdr:twoCellAnchor editAs="absolute">
    <xdr:from>
      <xdr:col>7</xdr:col>
      <xdr:colOff>436851</xdr:colOff>
      <xdr:row>41</xdr:row>
      <xdr:rowOff>107820</xdr:rowOff>
    </xdr:from>
    <xdr:to>
      <xdr:col>15</xdr:col>
      <xdr:colOff>552016</xdr:colOff>
      <xdr:row>43</xdr:row>
      <xdr:rowOff>178245</xdr:rowOff>
    </xdr:to>
    <xdr:sp macro="" textlink="">
      <xdr:nvSpPr>
        <xdr:cNvPr id="12" name="TextBox 11">
          <a:extLst>
            <a:ext uri="{FF2B5EF4-FFF2-40B4-BE49-F238E27FC236}">
              <a16:creationId xmlns:a16="http://schemas.microsoft.com/office/drawing/2014/main" id="{A2E18D73-E435-4156-9313-49578A7896E8}"/>
            </a:ext>
          </a:extLst>
        </xdr:cNvPr>
        <xdr:cNvSpPr txBox="1"/>
      </xdr:nvSpPr>
      <xdr:spPr>
        <a:xfrm>
          <a:off x="6247101" y="7920485"/>
          <a:ext cx="4939001" cy="439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i="1" u="none" strike="noStrike" kern="1200" baseline="0">
              <a:solidFill>
                <a:schemeClr val="tx1">
                  <a:lumMod val="65000"/>
                  <a:lumOff val="35000"/>
                </a:schemeClr>
              </a:solidFill>
              <a:latin typeface="+mn-lt"/>
              <a:ea typeface="+mn-ea"/>
              <a:cs typeface="+mn-cs"/>
            </a:rPr>
            <a:t>*Year-on-year implied inflation on different tenors. Considering the cumulative de-annualized rate.</a:t>
          </a:r>
        </a:p>
      </xdr:txBody>
    </xdr:sp>
    <xdr:clientData/>
  </xdr:twoCellAnchor>
  <xdr:twoCellAnchor editAs="absolute">
    <xdr:from>
      <xdr:col>5</xdr:col>
      <xdr:colOff>112568</xdr:colOff>
      <xdr:row>45</xdr:row>
      <xdr:rowOff>34638</xdr:rowOff>
    </xdr:from>
    <xdr:to>
      <xdr:col>17</xdr:col>
      <xdr:colOff>69272</xdr:colOff>
      <xdr:row>58</xdr:row>
      <xdr:rowOff>103910</xdr:rowOff>
    </xdr:to>
    <xdr:graphicFrame macro="">
      <xdr:nvGraphicFramePr>
        <xdr:cNvPr id="5" name="Chart 8">
          <a:extLst>
            <a:ext uri="{FF2B5EF4-FFF2-40B4-BE49-F238E27FC236}">
              <a16:creationId xmlns:a16="http://schemas.microsoft.com/office/drawing/2014/main" id="{D83E8319-3E05-46FB-B7CF-75DF6BD82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6</xdr:col>
      <xdr:colOff>428192</xdr:colOff>
      <xdr:row>58</xdr:row>
      <xdr:rowOff>58036</xdr:rowOff>
    </xdr:from>
    <xdr:to>
      <xdr:col>15</xdr:col>
      <xdr:colOff>528204</xdr:colOff>
      <xdr:row>59</xdr:row>
      <xdr:rowOff>164528</xdr:rowOff>
    </xdr:to>
    <xdr:sp macro="" textlink="">
      <xdr:nvSpPr>
        <xdr:cNvPr id="13" name="TextBox 12">
          <a:extLst>
            <a:ext uri="{FF2B5EF4-FFF2-40B4-BE49-F238E27FC236}">
              <a16:creationId xmlns:a16="http://schemas.microsoft.com/office/drawing/2014/main" id="{91086E9C-E0AE-410E-A623-8CC8AC7B28D3}"/>
            </a:ext>
          </a:extLst>
        </xdr:cNvPr>
        <xdr:cNvSpPr txBox="1"/>
      </xdr:nvSpPr>
      <xdr:spPr>
        <a:xfrm>
          <a:off x="5156056" y="11089718"/>
          <a:ext cx="6022830" cy="296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i="1" u="none" strike="noStrike" kern="1200" baseline="0">
              <a:solidFill>
                <a:schemeClr val="tx1">
                  <a:lumMod val="65000"/>
                  <a:lumOff val="35000"/>
                </a:schemeClr>
              </a:solidFill>
              <a:latin typeface="+mn-lt"/>
              <a:ea typeface="+mn-ea"/>
              <a:cs typeface="+mn-cs"/>
            </a:rPr>
            <a:t>*Month-over-month implied inflation on different tenors. Considering the cumulative de-annualized rate.</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4</xdr:col>
      <xdr:colOff>525607</xdr:colOff>
      <xdr:row>1</xdr:row>
      <xdr:rowOff>50223</xdr:rowOff>
    </xdr:from>
    <xdr:to>
      <xdr:col>20</xdr:col>
      <xdr:colOff>430369</xdr:colOff>
      <xdr:row>3</xdr:row>
      <xdr:rowOff>188768</xdr:rowOff>
    </xdr:to>
    <xdr:sp macro="" textlink="">
      <xdr:nvSpPr>
        <xdr:cNvPr id="8" name="BannerTitle">
          <a:extLst>
            <a:ext uri="{FF2B5EF4-FFF2-40B4-BE49-F238E27FC236}">
              <a16:creationId xmlns:a16="http://schemas.microsoft.com/office/drawing/2014/main" id="{8552AB64-1C7C-4BD2-A15A-2F26B298A03D}"/>
            </a:ext>
          </a:extLst>
        </xdr:cNvPr>
        <xdr:cNvSpPr>
          <a:spLocks noChangeArrowheads="1"/>
        </xdr:cNvSpPr>
      </xdr:nvSpPr>
      <xdr:spPr bwMode="auto">
        <a:xfrm>
          <a:off x="2092902" y="110837"/>
          <a:ext cx="9810762" cy="519545"/>
        </a:xfrm>
        <a:prstGeom prst="rect">
          <a:avLst/>
        </a:prstGeom>
        <a:gradFill flip="none" rotWithShape="1">
          <a:gsLst>
            <a:gs pos="0">
              <a:srgbClr val="156082"/>
            </a:gs>
            <a:gs pos="98000">
              <a:schemeClr val="bg1"/>
            </a:gs>
          </a:gsLst>
          <a:path path="circle">
            <a:fillToRect l="50000" t="50000" r="50000" b="50000"/>
          </a:path>
          <a:tileRect/>
        </a:gradFill>
        <a:ln w="9525">
          <a:noFill/>
          <a:miter lim="800000"/>
          <a:headEnd/>
          <a:tailEnd/>
        </a:ln>
      </xdr:spPr>
      <xdr:txBody>
        <a:bodyPr vertOverflow="clip" wrap="square" lIns="54864" tIns="50292" rIns="54864" bIns="50292" anchor="ctr" upright="1"/>
        <a:lstStyle/>
        <a:p>
          <a:pPr algn="ctr" rtl="0">
            <a:defRPr sz="1000"/>
          </a:pPr>
          <a:r>
            <a:rPr lang="en-US" sz="2800" b="1" i="0" u="none" strike="noStrike" baseline="0">
              <a:solidFill>
                <a:srgbClr val="F2F2F2"/>
              </a:solidFill>
              <a:latin typeface="Calibri"/>
            </a:rPr>
            <a:t>Brazil IPCA Comparison TAB</a:t>
          </a:r>
        </a:p>
      </xdr:txBody>
    </xdr:sp>
    <xdr:clientData/>
  </xdr:twoCellAnchor>
  <xdr:twoCellAnchor editAs="absolute">
    <xdr:from>
      <xdr:col>0</xdr:col>
      <xdr:colOff>51955</xdr:colOff>
      <xdr:row>1</xdr:row>
      <xdr:rowOff>112568</xdr:rowOff>
    </xdr:from>
    <xdr:to>
      <xdr:col>4</xdr:col>
      <xdr:colOff>471921</xdr:colOff>
      <xdr:row>3</xdr:row>
      <xdr:rowOff>187035</xdr:rowOff>
    </xdr:to>
    <xdr:pic>
      <xdr:nvPicPr>
        <xdr:cNvPr id="9" name="Bloomberg">
          <a:extLst>
            <a:ext uri="{FF2B5EF4-FFF2-40B4-BE49-F238E27FC236}">
              <a16:creationId xmlns:a16="http://schemas.microsoft.com/office/drawing/2014/main" id="{912E74D5-5960-4DC1-8C2A-18D7353DBA12}"/>
            </a:ext>
          </a:extLst>
        </xdr:cNvPr>
        <xdr:cNvPicPr>
          <a:picLocks noChangeAspect="1"/>
        </xdr:cNvPicPr>
      </xdr:nvPicPr>
      <xdr:blipFill rotWithShape="1">
        <a:blip xmlns:r="http://schemas.openxmlformats.org/officeDocument/2006/relationships" r:embed="rId1"/>
        <a:srcRect t="17952" r="3702" b="10238"/>
        <a:stretch/>
      </xdr:blipFill>
      <xdr:spPr>
        <a:xfrm>
          <a:off x="51955" y="173182"/>
          <a:ext cx="1987261" cy="455467"/>
        </a:xfrm>
        <a:prstGeom prst="rect">
          <a:avLst/>
        </a:prstGeom>
      </xdr:spPr>
    </xdr:pic>
    <xdr:clientData/>
  </xdr:twoCellAnchor>
  <xdr:twoCellAnchor editAs="absolute">
    <xdr:from>
      <xdr:col>11</xdr:col>
      <xdr:colOff>13994</xdr:colOff>
      <xdr:row>12</xdr:row>
      <xdr:rowOff>56143</xdr:rowOff>
    </xdr:from>
    <xdr:to>
      <xdr:col>19</xdr:col>
      <xdr:colOff>544121</xdr:colOff>
      <xdr:row>27</xdr:row>
      <xdr:rowOff>78643</xdr:rowOff>
    </xdr:to>
    <xdr:graphicFrame macro="">
      <xdr:nvGraphicFramePr>
        <xdr:cNvPr id="10" name="Chart 2">
          <a:extLst>
            <a:ext uri="{FF2B5EF4-FFF2-40B4-BE49-F238E27FC236}">
              <a16:creationId xmlns:a16="http://schemas.microsoft.com/office/drawing/2014/main" id="{4EF64D82-DDC6-4861-82E2-D19CC14B8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11397</xdr:colOff>
      <xdr:row>28</xdr:row>
      <xdr:rowOff>95971</xdr:rowOff>
    </xdr:from>
    <xdr:to>
      <xdr:col>19</xdr:col>
      <xdr:colOff>541524</xdr:colOff>
      <xdr:row>43</xdr:row>
      <xdr:rowOff>118471</xdr:rowOff>
    </xdr:to>
    <xdr:graphicFrame macro="">
      <xdr:nvGraphicFramePr>
        <xdr:cNvPr id="11" name="Chart 8">
          <a:extLst>
            <a:ext uri="{FF2B5EF4-FFF2-40B4-BE49-F238E27FC236}">
              <a16:creationId xmlns:a16="http://schemas.microsoft.com/office/drawing/2014/main" id="{A05D20D2-5B97-4F07-9ECA-8A6CA4655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0</xdr:colOff>
      <xdr:row>12</xdr:row>
      <xdr:rowOff>64803</xdr:rowOff>
    </xdr:from>
    <xdr:to>
      <xdr:col>10</xdr:col>
      <xdr:colOff>132818</xdr:colOff>
      <xdr:row>27</xdr:row>
      <xdr:rowOff>87303</xdr:rowOff>
    </xdr:to>
    <xdr:graphicFrame macro="">
      <xdr:nvGraphicFramePr>
        <xdr:cNvPr id="12" name="Chart 11">
          <a:extLst>
            <a:ext uri="{FF2B5EF4-FFF2-40B4-BE49-F238E27FC236}">
              <a16:creationId xmlns:a16="http://schemas.microsoft.com/office/drawing/2014/main" id="{A015E902-B9B0-4A16-9D47-6FAAA2DB6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0</xdr:colOff>
      <xdr:row>28</xdr:row>
      <xdr:rowOff>180974</xdr:rowOff>
    </xdr:from>
    <xdr:to>
      <xdr:col>10</xdr:col>
      <xdr:colOff>102512</xdr:colOff>
      <xdr:row>44</xdr:row>
      <xdr:rowOff>13334</xdr:rowOff>
    </xdr:to>
    <xdr:graphicFrame macro="">
      <xdr:nvGraphicFramePr>
        <xdr:cNvPr id="13" name="Chart 12">
          <a:extLst>
            <a:ext uri="{FF2B5EF4-FFF2-40B4-BE49-F238E27FC236}">
              <a16:creationId xmlns:a16="http://schemas.microsoft.com/office/drawing/2014/main" id="{F05A33CD-2B91-4C87-B99A-6871C1DA4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xdr:col>
      <xdr:colOff>76199</xdr:colOff>
      <xdr:row>27</xdr:row>
      <xdr:rowOff>30162</xdr:rowOff>
    </xdr:from>
    <xdr:to>
      <xdr:col>6</xdr:col>
      <xdr:colOff>185736</xdr:colOff>
      <xdr:row>28</xdr:row>
      <xdr:rowOff>108094</xdr:rowOff>
    </xdr:to>
    <xdr:sp macro="" textlink="">
      <xdr:nvSpPr>
        <xdr:cNvPr id="14" name="TextBox 13">
          <a:extLst>
            <a:ext uri="{FF2B5EF4-FFF2-40B4-BE49-F238E27FC236}">
              <a16:creationId xmlns:a16="http://schemas.microsoft.com/office/drawing/2014/main" id="{EF221AEB-FCDF-48DB-A2C8-2DF5BAF90A79}"/>
            </a:ext>
          </a:extLst>
        </xdr:cNvPr>
        <xdr:cNvSpPr txBox="1"/>
      </xdr:nvSpPr>
      <xdr:spPr>
        <a:xfrm>
          <a:off x="190499" y="5038725"/>
          <a:ext cx="2905125" cy="268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0" i="1" u="none" strike="noStrike" kern="1200" baseline="0">
              <a:solidFill>
                <a:schemeClr val="tx1">
                  <a:lumMod val="65000"/>
                  <a:lumOff val="35000"/>
                </a:schemeClr>
              </a:solidFill>
              <a:latin typeface="+mn-lt"/>
              <a:ea typeface="+mn-ea"/>
              <a:cs typeface="+mn-cs"/>
            </a:rPr>
            <a:t>*As of date annualized</a:t>
          </a:r>
          <a:r>
            <a:rPr lang="en-US" sz="1050" i="1" baseline="0">
              <a:solidFill>
                <a:schemeClr val="tx1">
                  <a:lumMod val="65000"/>
                  <a:lumOff val="35000"/>
                </a:schemeClr>
              </a:solidFill>
              <a:latin typeface="+mn-lt"/>
            </a:rPr>
            <a:t> rate, month periods.</a:t>
          </a:r>
          <a:endParaRPr lang="en-US" sz="1050" i="1">
            <a:solidFill>
              <a:schemeClr val="tx1">
                <a:lumMod val="65000"/>
                <a:lumOff val="35000"/>
              </a:schemeClr>
            </a:solidFill>
            <a:latin typeface="+mn-lt"/>
          </a:endParaRPr>
        </a:p>
      </xdr:txBody>
    </xdr:sp>
    <xdr:clientData/>
  </xdr:twoCellAnchor>
  <xdr:twoCellAnchor editAs="absolute">
    <xdr:from>
      <xdr:col>11</xdr:col>
      <xdr:colOff>160337</xdr:colOff>
      <xdr:row>27</xdr:row>
      <xdr:rowOff>30162</xdr:rowOff>
    </xdr:from>
    <xdr:to>
      <xdr:col>17</xdr:col>
      <xdr:colOff>588963</xdr:colOff>
      <xdr:row>28</xdr:row>
      <xdr:rowOff>108094</xdr:rowOff>
    </xdr:to>
    <xdr:sp macro="" textlink="">
      <xdr:nvSpPr>
        <xdr:cNvPr id="15" name="TextBox 14">
          <a:extLst>
            <a:ext uri="{FF2B5EF4-FFF2-40B4-BE49-F238E27FC236}">
              <a16:creationId xmlns:a16="http://schemas.microsoft.com/office/drawing/2014/main" id="{F06A6700-7115-4197-9E5A-57FA08CCBF80}"/>
            </a:ext>
          </a:extLst>
        </xdr:cNvPr>
        <xdr:cNvSpPr txBox="1"/>
      </xdr:nvSpPr>
      <xdr:spPr>
        <a:xfrm>
          <a:off x="6181724" y="5038725"/>
          <a:ext cx="4086226" cy="268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i="1" u="none" strike="noStrike" kern="1200" baseline="0">
              <a:solidFill>
                <a:schemeClr val="tx1">
                  <a:lumMod val="65000"/>
                  <a:lumOff val="35000"/>
                </a:schemeClr>
              </a:solidFill>
              <a:latin typeface="+mn-lt"/>
              <a:ea typeface="+mn-ea"/>
              <a:cs typeface="+mn-cs"/>
            </a:rPr>
            <a:t>*De-annualized cumulative</a:t>
          </a:r>
          <a:r>
            <a:rPr lang="en-US" sz="1050" i="1" baseline="0">
              <a:solidFill>
                <a:schemeClr val="tx1">
                  <a:lumMod val="65000"/>
                  <a:lumOff val="35000"/>
                </a:schemeClr>
              </a:solidFill>
              <a:latin typeface="+mn-lt"/>
            </a:rPr>
            <a:t> rate at future tenors. (as of dates)</a:t>
          </a:r>
          <a:endParaRPr lang="en-US" sz="1050" i="1">
            <a:solidFill>
              <a:schemeClr val="tx1">
                <a:lumMod val="65000"/>
                <a:lumOff val="35000"/>
              </a:schemeClr>
            </a:solidFill>
            <a:latin typeface="+mn-lt"/>
          </a:endParaRPr>
        </a:p>
      </xdr:txBody>
    </xdr:sp>
    <xdr:clientData/>
  </xdr:twoCellAnchor>
  <xdr:twoCellAnchor editAs="absolute">
    <xdr:from>
      <xdr:col>11</xdr:col>
      <xdr:colOff>131763</xdr:colOff>
      <xdr:row>43</xdr:row>
      <xdr:rowOff>58737</xdr:rowOff>
    </xdr:from>
    <xdr:to>
      <xdr:col>19</xdr:col>
      <xdr:colOff>171595</xdr:colOff>
      <xdr:row>45</xdr:row>
      <xdr:rowOff>117617</xdr:rowOff>
    </xdr:to>
    <xdr:sp macro="" textlink="">
      <xdr:nvSpPr>
        <xdr:cNvPr id="16" name="TextBox 15">
          <a:extLst>
            <a:ext uri="{FF2B5EF4-FFF2-40B4-BE49-F238E27FC236}">
              <a16:creationId xmlns:a16="http://schemas.microsoft.com/office/drawing/2014/main" id="{47EE5A7C-22A8-4D6D-BFB4-26EF17E3D9E0}"/>
            </a:ext>
          </a:extLst>
        </xdr:cNvPr>
        <xdr:cNvSpPr txBox="1"/>
      </xdr:nvSpPr>
      <xdr:spPr>
        <a:xfrm>
          <a:off x="6153150" y="8115300"/>
          <a:ext cx="4916632" cy="439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i="1" u="none" strike="noStrike" kern="1200" baseline="0">
              <a:solidFill>
                <a:schemeClr val="tx1">
                  <a:lumMod val="65000"/>
                  <a:lumOff val="35000"/>
                </a:schemeClr>
              </a:solidFill>
              <a:latin typeface="+mn-lt"/>
              <a:ea typeface="+mn-ea"/>
              <a:cs typeface="+mn-cs"/>
            </a:rPr>
            <a:t>*Year-on-year implied inflation on different tenors. Considering the cumulative de-annualized rate. (as of dates)</a:t>
          </a:r>
        </a:p>
      </xdr:txBody>
    </xdr:sp>
    <xdr:clientData/>
  </xdr:twoCellAnchor>
  <xdr:twoCellAnchor editAs="absolute">
    <xdr:from>
      <xdr:col>1</xdr:col>
      <xdr:colOff>17318</xdr:colOff>
      <xdr:row>46</xdr:row>
      <xdr:rowOff>69271</xdr:rowOff>
    </xdr:from>
    <xdr:to>
      <xdr:col>19</xdr:col>
      <xdr:colOff>251114</xdr:colOff>
      <xdr:row>63</xdr:row>
      <xdr:rowOff>95249</xdr:rowOff>
    </xdr:to>
    <xdr:graphicFrame macro="">
      <xdr:nvGraphicFramePr>
        <xdr:cNvPr id="2" name="Chart 8">
          <a:extLst>
            <a:ext uri="{FF2B5EF4-FFF2-40B4-BE49-F238E27FC236}">
              <a16:creationId xmlns:a16="http://schemas.microsoft.com/office/drawing/2014/main" id="{04575733-8974-4416-BA9C-2E3FA07BB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5</xdr:col>
      <xdr:colOff>3898</xdr:colOff>
      <xdr:row>63</xdr:row>
      <xdr:rowOff>49374</xdr:rowOff>
    </xdr:from>
    <xdr:to>
      <xdr:col>14</xdr:col>
      <xdr:colOff>493569</xdr:colOff>
      <xdr:row>64</xdr:row>
      <xdr:rowOff>155866</xdr:rowOff>
    </xdr:to>
    <xdr:sp macro="" textlink="">
      <xdr:nvSpPr>
        <xdr:cNvPr id="3" name="TextBox 2">
          <a:extLst>
            <a:ext uri="{FF2B5EF4-FFF2-40B4-BE49-F238E27FC236}">
              <a16:creationId xmlns:a16="http://schemas.microsoft.com/office/drawing/2014/main" id="{59FED26F-1C9D-40EA-96A1-81FE18A8C014}"/>
            </a:ext>
          </a:extLst>
        </xdr:cNvPr>
        <xdr:cNvSpPr txBox="1"/>
      </xdr:nvSpPr>
      <xdr:spPr>
        <a:xfrm>
          <a:off x="2307216" y="11920988"/>
          <a:ext cx="6022830" cy="296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i="1" u="none" strike="noStrike" kern="1200" baseline="0">
              <a:solidFill>
                <a:schemeClr val="tx1">
                  <a:lumMod val="65000"/>
                  <a:lumOff val="35000"/>
                </a:schemeClr>
              </a:solidFill>
              <a:latin typeface="+mn-lt"/>
              <a:ea typeface="+mn-ea"/>
              <a:cs typeface="+mn-cs"/>
            </a:rPr>
            <a:t>*Month-over-month implied inflation on different tenors. Considering the cumulative de-annualized rate.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2</xdr:row>
      <xdr:rowOff>28574</xdr:rowOff>
    </xdr:from>
    <xdr:to>
      <xdr:col>13</xdr:col>
      <xdr:colOff>352425</xdr:colOff>
      <xdr:row>204</xdr:row>
      <xdr:rowOff>0</xdr:rowOff>
    </xdr:to>
    <xdr:sp macro="" textlink="">
      <xdr:nvSpPr>
        <xdr:cNvPr id="2" name="TextBox 1">
          <a:extLst>
            <a:ext uri="{FF2B5EF4-FFF2-40B4-BE49-F238E27FC236}">
              <a16:creationId xmlns:a16="http://schemas.microsoft.com/office/drawing/2014/main" id="{59A65969-4755-4BA3-9143-7CD3603FCC01}"/>
            </a:ext>
          </a:extLst>
        </xdr:cNvPr>
        <xdr:cNvSpPr txBox="1"/>
      </xdr:nvSpPr>
      <xdr:spPr>
        <a:xfrm>
          <a:off x="615661" y="859847"/>
          <a:ext cx="7616537" cy="38452426"/>
        </a:xfrm>
        <a:prstGeom prst="rect">
          <a:avLst/>
        </a:prstGeom>
        <a:solidFill>
          <a:schemeClr val="bg1"/>
        </a:solidFill>
        <a:ln w="9525" cmpd="sng">
          <a:solidFill>
            <a:schemeClr val="lt1">
              <a:shade val="50000"/>
            </a:schemeClr>
          </a:solidFill>
        </a:ln>
        <a:effectLst>
          <a:outerShdw blurRad="63500" sx="101000" sy="101000" algn="ctr" rotWithShape="0">
            <a:prstClr val="black">
              <a:alpha val="25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0E4056"/>
              </a:solidFill>
            </a:rPr>
            <a:t>This application provides implied inflation calculation and analysis for the Brazilian market.</a:t>
          </a:r>
        </a:p>
        <a:p>
          <a:endParaRPr lang="en-US" sz="1100"/>
        </a:p>
        <a:p>
          <a:r>
            <a:rPr lang="en-US" sz="1100"/>
            <a:t>The implied inflation analysis can be done historically or on a current basis. A data comparison is also provided so users can evaluate the changes in the Brazilian market implied inflation across time.</a:t>
          </a:r>
        </a:p>
        <a:p>
          <a:endParaRPr lang="en-US" sz="1100"/>
        </a:p>
        <a:p>
          <a:r>
            <a:rPr lang="en-US" sz="1100"/>
            <a:t>Calculation of the Brazilian implied inflation:</a:t>
          </a:r>
        </a:p>
        <a:p>
          <a:endParaRPr lang="en-US" sz="1100"/>
        </a:p>
        <a:p>
          <a:endParaRPr lang="en-US" sz="1100"/>
        </a:p>
        <a:p>
          <a:endParaRPr lang="en-US" sz="1100"/>
        </a:p>
        <a:p>
          <a:r>
            <a:rPr lang="en-US" sz="1100"/>
            <a:t>Where:</a:t>
          </a:r>
        </a:p>
        <a:p>
          <a:r>
            <a:rPr lang="el-GR" sz="1100"/>
            <a:t>π = </a:t>
          </a:r>
          <a:r>
            <a:rPr lang="en-US" sz="1100"/>
            <a:t>Implied Inflation</a:t>
          </a:r>
        </a:p>
        <a:p>
          <a:endParaRPr lang="en-US" sz="1100"/>
        </a:p>
        <a:p>
          <a:r>
            <a:rPr lang="en-US" sz="1100"/>
            <a:t>* The curves are selected at the IPCA main page.</a:t>
          </a:r>
        </a:p>
        <a:p>
          <a:endParaRPr lang="en-US" sz="1100"/>
        </a:p>
        <a:p>
          <a:r>
            <a:rPr lang="en-US" sz="1100" b="1">
              <a:solidFill>
                <a:srgbClr val="0E4056"/>
              </a:solidFill>
            </a:rPr>
            <a:t>BZPIIPCA Index</a:t>
          </a:r>
          <a:br>
            <a:rPr lang="en-US" sz="1100">
              <a:solidFill>
                <a:srgbClr val="0E4056"/>
              </a:solidFill>
            </a:rPr>
          </a:br>
          <a:endParaRPr lang="en-US" sz="1100">
            <a:solidFill>
              <a:srgbClr val="0E4056"/>
            </a:solidFill>
          </a:endParaRPr>
        </a:p>
        <a:p>
          <a:r>
            <a:rPr lang="en-US" sz="1100" i="1"/>
            <a:t>The IPCA, or Extended National Consumer Price Index, is calculated by IBGE, or Instituto Brasileiro de Geografia e Estatística, a government agency, and reflects the average cost of living in 11 major Brazilian cities for families with income up to 40 minimum salaries (see BZMW Index for Brazil minimum wage).  The IPCA is used by the government to set benchmark interest rates and make monetary policy decisions. Base Dec / 1993=100. The index is NSA.</a:t>
          </a:r>
        </a:p>
        <a:p>
          <a:endParaRPr lang="en-US" sz="1100"/>
        </a:p>
        <a:p>
          <a:endParaRPr lang="en-US" sz="1100"/>
        </a:p>
        <a:p>
          <a:r>
            <a:rPr lang="en-US" sz="1100" b="1">
              <a:solidFill>
                <a:srgbClr val="0E4056"/>
              </a:solidFill>
            </a:rPr>
            <a:t>Why is implied inflation important in Brazil?</a:t>
          </a:r>
        </a:p>
        <a:p>
          <a:endParaRPr lang="en-US" sz="1100"/>
        </a:p>
        <a:p>
          <a:r>
            <a:rPr lang="en-US" sz="1100"/>
            <a:t>Brazilian Central Bank has put in place an inflation-targeting framework for monetary policy on July 1st, 1999 (less than six months after moving to a floating exchange rate system). Since then the government has defined inflation targets for the coming years and assigned to the Brazilian Central Bank (BCB) the responsabiliy and the operational independence to conduct monetary policy in order to meet the inflation goal. The BCB mandate is to promote the price stability in order to give Brazilian Government more room to promote economic growth with sustainable employment rate.</a:t>
          </a:r>
        </a:p>
        <a:p>
          <a:endParaRPr lang="en-US" sz="1100"/>
        </a:p>
        <a:p>
          <a:r>
            <a:rPr lang="en-US" sz="1100"/>
            <a:t>BCB annual inflation target can be analyzed within the terminal by the ticker: BZMTTARG Index.</a:t>
          </a:r>
        </a:p>
        <a:p>
          <a:r>
            <a:rPr lang="en-US" sz="1100"/>
            <a:t>A complementary function to be used with this template in order to analyze the future movements of the Brazilian interest rates due to inflation expectations is CDIE&lt;GO&gt;. </a:t>
          </a:r>
        </a:p>
        <a:p>
          <a:endParaRPr lang="en-US" sz="1100"/>
        </a:p>
        <a:p>
          <a:r>
            <a:rPr lang="en-US" sz="1800" b="1" i="1">
              <a:solidFill>
                <a:srgbClr val="0E4056"/>
              </a:solidFill>
            </a:rPr>
            <a:t>IPCA Tab</a:t>
          </a:r>
        </a:p>
        <a:p>
          <a:br>
            <a:rPr lang="en-US" sz="1100"/>
          </a:br>
          <a:br>
            <a:rPr lang="en-US" sz="1100"/>
          </a:br>
          <a:br>
            <a:rPr lang="en-US" sz="1100"/>
          </a:br>
          <a:br>
            <a:rPr lang="en-US" sz="1100"/>
          </a:br>
          <a:br>
            <a:rPr lang="en-US" sz="1100"/>
          </a:br>
          <a:br>
            <a:rPr lang="en-US" sz="1100"/>
          </a:br>
          <a:br>
            <a:rPr lang="en-US" sz="1100"/>
          </a:br>
          <a:br>
            <a:rPr lang="en-US" sz="1100"/>
          </a:br>
          <a:br>
            <a:rPr lang="en-US" sz="1100"/>
          </a:br>
          <a:br>
            <a:rPr lang="en-US" sz="1100"/>
          </a:br>
          <a:br>
            <a:rPr lang="en-US" sz="1100"/>
          </a:br>
          <a:br>
            <a:rPr lang="en-US" sz="1100"/>
          </a:br>
          <a:br>
            <a:rPr lang="en-US" sz="1100"/>
          </a:br>
          <a:br>
            <a:rPr lang="en-US" sz="1100"/>
          </a:br>
          <a:r>
            <a:rPr lang="en-US" sz="1100"/>
            <a:t>Select the curves</a:t>
          </a:r>
          <a:r>
            <a:rPr lang="en-US" sz="1100" baseline="0"/>
            <a:t> A and B to be interpolated at each tenor to return</a:t>
          </a:r>
          <a:r>
            <a:rPr lang="en-US"/>
            <a:t> an interpolated result from a curve fitted to the set of user-input data using a piecewise cubic spline at each tenor</a:t>
          </a:r>
          <a:r>
            <a:rPr lang="en-US" sz="1100" baseline="0"/>
            <a:t>. The interpolation takes into account the expiry/maturity of each security on the selected curve and how many trading days. </a:t>
          </a:r>
          <a:br>
            <a:rPr lang="en-US" sz="1100" baseline="0"/>
          </a:br>
          <a:br>
            <a:rPr lang="en-US" sz="1100" baseline="0"/>
          </a:br>
          <a:r>
            <a:rPr lang="en-US" sz="1100" baseline="0"/>
            <a:t>The curves are:</a:t>
          </a:r>
          <a:br>
            <a:rPr lang="en-US" sz="1100" baseline="0"/>
          </a:br>
          <a:br>
            <a:rPr lang="en-US" sz="1100" baseline="0"/>
          </a:br>
          <a:r>
            <a:rPr lang="en-US" sz="1200" b="1" baseline="0">
              <a:solidFill>
                <a:srgbClr val="0E4056"/>
              </a:solidFill>
            </a:rPr>
            <a:t>Curves A:</a:t>
          </a:r>
          <a:br>
            <a:rPr lang="en-US" sz="1200" b="1" baseline="0"/>
          </a:br>
          <a:br>
            <a:rPr lang="en-US" sz="1100" baseline="0"/>
          </a:br>
          <a:r>
            <a:rPr lang="en-US" sz="1100" b="1" baseline="0">
              <a:solidFill>
                <a:srgbClr val="0E4056"/>
              </a:solidFill>
            </a:rPr>
            <a:t>BM&amp;F Pre x DI Curve </a:t>
          </a:r>
          <a:r>
            <a:rPr lang="en-US" sz="1100" b="1" i="1" baseline="0">
              <a:solidFill>
                <a:srgbClr val="0E4056"/>
              </a:solidFill>
            </a:rPr>
            <a:t>(YCSW0089 Index)</a:t>
          </a:r>
          <a:r>
            <a:rPr lang="en-US" sz="1100" baseline="0">
              <a:solidFill>
                <a:srgbClr val="0E4056"/>
              </a:solidFill>
            </a:rPr>
            <a:t> : </a:t>
          </a:r>
          <a:r>
            <a:rPr lang="en-US" sz="1100" baseline="0"/>
            <a:t>This curve represents Brazilian real-denominated interest-rate swaps.  The on-business-day term of the curve is the Brazil interbank lending rate BCCDIO Index with a day count of DU/252.  Payments on the rest of the curve are based on a fixed-rate versus a floating-rate with the fixed-rate portion on an at maturity, DU/252 day-count basis and the floating-rate on an at maturity, DU/252 day-count basis from the Central of Custody and Settlement of Private Bonds (CETIP) Brazil interbank deposit rate BZDIOVRA Index.  Pricing for long-end terms are a best bid/ask composite from latest quotes and the sources include both banks and brokers.</a:t>
          </a:r>
          <a:br>
            <a:rPr lang="en-US" sz="1100"/>
          </a:br>
          <a:br>
            <a:rPr lang="en-US" sz="1100"/>
          </a:br>
          <a:r>
            <a:rPr lang="en-US" sz="1100" b="1">
              <a:solidFill>
                <a:srgbClr val="0E4056"/>
              </a:solidFill>
            </a:rPr>
            <a:t>BRL Brazil Sovereign Curve </a:t>
          </a:r>
          <a:r>
            <a:rPr lang="en-US" sz="1100" b="1" i="1">
              <a:solidFill>
                <a:srgbClr val="0E4056"/>
              </a:solidFill>
            </a:rPr>
            <a:t>(YCGT0393 Index)</a:t>
          </a:r>
          <a:r>
            <a:rPr lang="en-US" sz="1100" b="1" baseline="0">
              <a:solidFill>
                <a:srgbClr val="0E4056"/>
              </a:solidFill>
            </a:rPr>
            <a:t> </a:t>
          </a:r>
          <a:r>
            <a:rPr lang="en-US" sz="1100" baseline="0">
              <a:solidFill>
                <a:srgbClr val="0E4056"/>
              </a:solidFill>
            </a:rPr>
            <a:t>: </a:t>
          </a:r>
          <a:r>
            <a:rPr lang="en-US" sz="1100" baseline="0"/>
            <a:t>The curve is comprised of Brazilian government bonds denominated in real .  The 3-month through 2-years are under BLTN Corp; and 3-year to 30-years are under BNTNF Corp.  These bonds are selected based on the closest current nominal maturity to the indicated term.</a:t>
          </a:r>
          <a:endParaRPr lang="en-US" sz="1100"/>
        </a:p>
        <a:p>
          <a:br>
            <a:rPr lang="en-US" sz="1100"/>
          </a:br>
          <a:r>
            <a:rPr lang="en-US" sz="1200" b="1" baseline="0">
              <a:solidFill>
                <a:srgbClr val="0E4056"/>
              </a:solidFill>
              <a:effectLst/>
              <a:latin typeface="+mn-lt"/>
              <a:ea typeface="+mn-ea"/>
              <a:cs typeface="+mn-cs"/>
            </a:rPr>
            <a:t>Curves B:</a:t>
          </a:r>
          <a:br>
            <a:rPr lang="en-US" sz="1200"/>
          </a:br>
          <a:br>
            <a:rPr lang="en-US" sz="1100"/>
          </a:br>
          <a:r>
            <a:rPr lang="en-US" sz="1100" b="1">
              <a:solidFill>
                <a:srgbClr val="0E4056"/>
              </a:solidFill>
            </a:rPr>
            <a:t>ID x IPCA Spread Futures Contract </a:t>
          </a:r>
          <a:r>
            <a:rPr lang="en-US" sz="1100" b="1" i="1">
              <a:solidFill>
                <a:srgbClr val="0E4056"/>
              </a:solidFill>
            </a:rPr>
            <a:t>(WLA Index)</a:t>
          </a:r>
          <a:r>
            <a:rPr lang="en-US" sz="1100">
              <a:solidFill>
                <a:srgbClr val="0E4056"/>
              </a:solidFill>
            </a:rPr>
            <a:t>  :</a:t>
          </a:r>
          <a:r>
            <a:rPr lang="en-US" sz="1100"/>
            <a:t> </a:t>
          </a:r>
          <a:r>
            <a:rPr lang="en-US" sz="1100" b="0" i="0">
              <a:solidFill>
                <a:schemeClr val="dk1"/>
              </a:solidFill>
              <a:effectLst/>
              <a:latin typeface="+mn-lt"/>
              <a:ea typeface="+mn-ea"/>
              <a:cs typeface="+mn-cs"/>
            </a:rPr>
            <a:t>Interest rate obtained from the calculation of the difference between the</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compounded DI rate, in the period between the date of transaction, including, and the expiration date, excluding, and the IPCA variation verified in the period as of the transaction date until and including the expiration date.</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1" i="0">
              <a:solidFill>
                <a:srgbClr val="0E4056"/>
              </a:solidFill>
              <a:effectLst/>
              <a:latin typeface="+mn-lt"/>
              <a:ea typeface="+mn-ea"/>
              <a:cs typeface="+mn-cs"/>
            </a:rPr>
            <a:t>BRL Brazil Govt IPCA-Link Curve </a:t>
          </a:r>
          <a:r>
            <a:rPr lang="en-US" sz="1100" b="1" i="1">
              <a:solidFill>
                <a:srgbClr val="0E4056"/>
              </a:solidFill>
              <a:effectLst/>
              <a:latin typeface="+mn-lt"/>
              <a:ea typeface="+mn-ea"/>
              <a:cs typeface="+mn-cs"/>
            </a:rPr>
            <a:t>(YCGT0372 Index)</a:t>
          </a:r>
          <a:r>
            <a:rPr lang="en-US" sz="1100" b="0" i="0">
              <a:solidFill>
                <a:srgbClr val="0E4056"/>
              </a:solidFill>
              <a:effectLst/>
              <a:latin typeface="+mn-lt"/>
              <a:ea typeface="+mn-ea"/>
              <a:cs typeface="+mn-cs"/>
            </a:rPr>
            <a:t> : </a:t>
          </a:r>
          <a:r>
            <a:rPr lang="en-US" sz="1100" b="0" i="0">
              <a:solidFill>
                <a:schemeClr val="dk1"/>
              </a:solidFill>
              <a:effectLst/>
              <a:latin typeface="+mn-lt"/>
              <a:ea typeface="+mn-ea"/>
              <a:cs typeface="+mn-cs"/>
            </a:rPr>
            <a:t>The curve is comprised of the Brazilian real-denominated inflation linked bonds issued by the Brazilian government BNTNB Corp;  the inflation index is under  BZPIIPCA Index.  These bonds are selected based on the closest current nominal maturity to the indicated term.</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1" i="0">
              <a:solidFill>
                <a:srgbClr val="0E4056"/>
              </a:solidFill>
              <a:effectLst/>
              <a:latin typeface="+mn-lt"/>
              <a:ea typeface="+mn-ea"/>
              <a:cs typeface="+mn-cs"/>
            </a:rPr>
            <a:t>BRL Brazil Govt Inflation Linked BVAL Curve </a:t>
          </a:r>
          <a:r>
            <a:rPr lang="en-US" sz="1100" b="1" i="1">
              <a:solidFill>
                <a:srgbClr val="0E4056"/>
              </a:solidFill>
              <a:effectLst/>
              <a:latin typeface="+mn-lt"/>
              <a:ea typeface="+mn-ea"/>
              <a:cs typeface="+mn-cs"/>
            </a:rPr>
            <a:t>(BVIS1138 Index)</a:t>
          </a:r>
          <a:r>
            <a:rPr lang="en-US" sz="1100" b="0" i="0">
              <a:solidFill>
                <a:srgbClr val="0E4056"/>
              </a:solidFill>
              <a:effectLst/>
              <a:latin typeface="+mn-lt"/>
              <a:ea typeface="+mn-ea"/>
              <a:cs typeface="+mn-cs"/>
            </a:rPr>
            <a:t> : </a:t>
          </a:r>
          <a:r>
            <a:rPr lang="en-US" sz="1100" b="0" i="0">
              <a:solidFill>
                <a:schemeClr val="dk1"/>
              </a:solidFill>
              <a:effectLst/>
              <a:latin typeface="+mn-lt"/>
              <a:ea typeface="+mn-ea"/>
              <a:cs typeface="+mn-cs"/>
            </a:rPr>
            <a:t>The BVAL curve is populated with BRL denominated unsecured fixed rate bonds issued by NOTA DO TESOURO NACIONAL. The yield curve is built daily with bonds that have BVAL prices at the market close.</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200" b="1" i="0">
              <a:solidFill>
                <a:srgbClr val="0E4056"/>
              </a:solidFill>
              <a:effectLst/>
              <a:latin typeface="+mn-lt"/>
              <a:ea typeface="+mn-ea"/>
              <a:cs typeface="+mn-cs"/>
            </a:rPr>
            <a:t>BVAL</a:t>
          </a:r>
          <a:br>
            <a:rPr lang="en-US" sz="1200" b="1" i="0">
              <a:solidFill>
                <a:schemeClr val="dk1"/>
              </a:solidFill>
              <a:effectLst/>
              <a:latin typeface="+mn-lt"/>
              <a:ea typeface="+mn-ea"/>
              <a:cs typeface="+mn-cs"/>
            </a:rPr>
          </a:br>
          <a:br>
            <a:rPr lang="en-US" sz="1200" b="1" i="0">
              <a:solidFill>
                <a:schemeClr val="dk1"/>
              </a:solidFill>
              <a:effectLst/>
              <a:latin typeface="+mn-lt"/>
              <a:ea typeface="+mn-ea"/>
              <a:cs typeface="+mn-cs"/>
            </a:rPr>
          </a:br>
          <a:r>
            <a:rPr lang="en-US" sz="1100" b="0" i="0">
              <a:solidFill>
                <a:schemeClr val="dk1"/>
              </a:solidFill>
              <a:effectLst/>
              <a:latin typeface="+mn-lt"/>
              <a:ea typeface="+mn-ea"/>
              <a:cs typeface="+mn-cs"/>
            </a:rPr>
            <a:t>BVAL</a:t>
          </a:r>
          <a:r>
            <a:rPr lang="en-US" sz="1100" b="0" i="0" baseline="0">
              <a:solidFill>
                <a:schemeClr val="dk1"/>
              </a:solidFill>
              <a:effectLst/>
              <a:latin typeface="+mn-lt"/>
              <a:ea typeface="+mn-ea"/>
              <a:cs typeface="+mn-cs"/>
            </a:rPr>
            <a:t> </a:t>
          </a:r>
          <a:r>
            <a:rPr lang="en-US"/>
            <a:t>provides transparent and highly defensible prices across the liquidity spectrum for a variety of fixed-income instruments, so you can obtain an independent valuation based on real-time market observations from a wealth of contributed sources.</a:t>
          </a:r>
        </a:p>
        <a:p>
          <a:r>
            <a:rPr lang="en-US"/>
            <a:t>In addition to applying sophisticated algorithms that generate evaluated prices, the BVAL methodology assigns a BVAL Score based on the amount and consistency of market data used in Bloomberg's models. For more information please</a:t>
          </a:r>
          <a:r>
            <a:rPr lang="en-US" baseline="0"/>
            <a:t> contact your sales representatives.</a:t>
          </a:r>
          <a:br>
            <a:rPr lang="en-US" baseline="0"/>
          </a:br>
          <a:br>
            <a:rPr lang="en-US" baseline="0"/>
          </a:br>
          <a:r>
            <a:rPr lang="en-US" sz="1200" b="1" baseline="0">
              <a:solidFill>
                <a:srgbClr val="0E4056"/>
              </a:solidFill>
              <a:effectLst/>
              <a:latin typeface="+mn-lt"/>
              <a:ea typeface="+mn-ea"/>
              <a:cs typeface="+mn-cs"/>
            </a:rPr>
            <a:t>Tenor selection:</a:t>
          </a:r>
          <a:br>
            <a:rPr lang="en-US" sz="1200" b="1" baseline="0">
              <a:solidFill>
                <a:srgbClr val="0E4056"/>
              </a:solidFill>
              <a:effectLst/>
              <a:latin typeface="+mn-lt"/>
              <a:ea typeface="+mn-ea"/>
              <a:cs typeface="+mn-cs"/>
            </a:rPr>
          </a:br>
          <a:br>
            <a:rPr lang="en-US" sz="1100" b="1" baseline="0">
              <a:solidFill>
                <a:schemeClr val="dk1"/>
              </a:solidFill>
              <a:effectLst/>
              <a:latin typeface="+mn-lt"/>
              <a:ea typeface="+mn-ea"/>
              <a:cs typeface="+mn-cs"/>
            </a:rPr>
          </a:br>
          <a:br>
            <a:rPr lang="en-US" sz="1100" b="1" baseline="0">
              <a:solidFill>
                <a:schemeClr val="dk1"/>
              </a:solidFill>
              <a:effectLst/>
              <a:latin typeface="+mn-lt"/>
              <a:ea typeface="+mn-ea"/>
              <a:cs typeface="+mn-cs"/>
            </a:rPr>
          </a:br>
          <a:br>
            <a:rPr lang="en-US" sz="1100" b="1" baseline="0">
              <a:solidFill>
                <a:schemeClr val="dk1"/>
              </a:solidFill>
              <a:effectLst/>
              <a:latin typeface="+mn-lt"/>
              <a:ea typeface="+mn-ea"/>
              <a:cs typeface="+mn-cs"/>
            </a:rPr>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r>
            <a:rPr lang="en-US" sz="1200" b="1" baseline="0">
              <a:solidFill>
                <a:srgbClr val="0E4056"/>
              </a:solidFill>
            </a:rPr>
            <a:t>Charts:</a:t>
          </a: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r>
            <a:rPr lang="en-US" b="1" baseline="0">
              <a:solidFill>
                <a:srgbClr val="0E4056"/>
              </a:solidFill>
            </a:rPr>
            <a:t>Implied Inflation</a:t>
          </a:r>
          <a:r>
            <a:rPr lang="en-US" baseline="0">
              <a:solidFill>
                <a:srgbClr val="0E4056"/>
              </a:solidFill>
            </a:rPr>
            <a:t>: </a:t>
          </a:r>
          <a:r>
            <a:rPr lang="en-US" baseline="0"/>
            <a:t>The annualized implied inflation at the corresponded tenor calculated using the selected curves.</a:t>
          </a:r>
          <a:br>
            <a:rPr lang="en-US" baseline="0"/>
          </a:br>
          <a:br>
            <a:rPr lang="en-US" baseline="0"/>
          </a:br>
          <a:r>
            <a:rPr lang="en-US" b="1" baseline="0">
              <a:solidFill>
                <a:srgbClr val="0E4056"/>
              </a:solidFill>
            </a:rPr>
            <a:t>Implied Cumulative Inflation</a:t>
          </a:r>
          <a:r>
            <a:rPr lang="en-US" baseline="0">
              <a:solidFill>
                <a:srgbClr val="0E4056"/>
              </a:solidFill>
            </a:rPr>
            <a:t>: </a:t>
          </a:r>
          <a:r>
            <a:rPr lang="en-US" baseline="0"/>
            <a:t>The cumulative de-annualized implied rate for the next 5 years. 252 business days.</a:t>
          </a:r>
          <a:br>
            <a:rPr lang="en-US" baseline="0"/>
          </a:br>
          <a:br>
            <a:rPr lang="en-US" baseline="0"/>
          </a:br>
          <a:r>
            <a:rPr lang="en-US" b="1" baseline="0">
              <a:solidFill>
                <a:srgbClr val="0E4056"/>
              </a:solidFill>
            </a:rPr>
            <a:t>Inflation Index</a:t>
          </a:r>
          <a:r>
            <a:rPr lang="en-US" baseline="0">
              <a:solidFill>
                <a:srgbClr val="0E4056"/>
              </a:solidFill>
            </a:rPr>
            <a:t>: </a:t>
          </a:r>
          <a:r>
            <a:rPr lang="en-US" baseline="0"/>
            <a:t>The historical inflation Index using </a:t>
          </a:r>
          <a:r>
            <a:rPr lang="en-US" i="1" baseline="0"/>
            <a:t>BZPIIPCA Index</a:t>
          </a:r>
          <a:r>
            <a:rPr lang="en-US" i="0" baseline="0"/>
            <a:t> and the estimated index considering the cumulative inflation estimated based on the implied inflation calcualtion.</a:t>
          </a:r>
          <a:br>
            <a:rPr lang="en-US" i="0" baseline="0"/>
          </a:br>
          <a:br>
            <a:rPr lang="en-US" i="0" baseline="0"/>
          </a:br>
          <a:r>
            <a:rPr lang="en-US" b="1" i="0" baseline="0">
              <a:solidFill>
                <a:srgbClr val="0E4056"/>
              </a:solidFill>
            </a:rPr>
            <a:t>YoY Implied Inflation</a:t>
          </a:r>
          <a:r>
            <a:rPr lang="en-US" i="0" baseline="0">
              <a:solidFill>
                <a:srgbClr val="0E4056"/>
              </a:solidFill>
            </a:rPr>
            <a:t>: </a:t>
          </a:r>
          <a:r>
            <a:rPr lang="en-US" i="0" baseline="0"/>
            <a:t>Based on the calculation used to get the estimated inflation index discussed previously, this chart calculates the year-on-year variation of the estimated inflation for the next 5 years.</a:t>
          </a:r>
          <a:br>
            <a:rPr lang="en-US" i="1"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br>
            <a:rPr lang="en-US" baseline="0"/>
          </a:br>
          <a:r>
            <a:rPr lang="en-US" sz="1200" b="1" baseline="0">
              <a:solidFill>
                <a:srgbClr val="0E4056"/>
              </a:solidFill>
            </a:rPr>
            <a:t>Implied Inflation Calculator:</a:t>
          </a:r>
          <a:br>
            <a:rPr lang="en-US" baseline="0">
              <a:solidFill>
                <a:srgbClr val="0E4056"/>
              </a:solidFill>
            </a:rPr>
          </a:br>
          <a:br>
            <a:rPr lang="en-US" baseline="0"/>
          </a:br>
          <a:br>
            <a:rPr lang="en-US" baseline="0"/>
          </a:br>
          <a:br>
            <a:rPr lang="en-US" baseline="0"/>
          </a:br>
          <a:br>
            <a:rPr lang="en-US" baseline="0"/>
          </a:br>
          <a:endParaRPr lang="en-US"/>
        </a:p>
        <a:p>
          <a:pPr algn="l"/>
          <a:br>
            <a:rPr lang="en-US" sz="1100" b="1" i="0">
              <a:solidFill>
                <a:schemeClr val="dk1"/>
              </a:solidFill>
              <a:effectLst/>
              <a:latin typeface="+mn-lt"/>
              <a:ea typeface="+mn-ea"/>
              <a:cs typeface="+mn-cs"/>
            </a:rPr>
          </a:br>
          <a:br>
            <a:rPr lang="en-US" sz="1100" b="1" i="0">
              <a:solidFill>
                <a:schemeClr val="dk1"/>
              </a:solidFill>
              <a:effectLst/>
              <a:latin typeface="+mn-lt"/>
              <a:ea typeface="+mn-ea"/>
              <a:cs typeface="+mn-cs"/>
            </a:rPr>
          </a:br>
          <a:br>
            <a:rPr lang="en-US" sz="1100" b="1" i="0">
              <a:solidFill>
                <a:schemeClr val="dk1"/>
              </a:solidFill>
              <a:effectLst/>
              <a:latin typeface="+mn-lt"/>
              <a:ea typeface="+mn-ea"/>
              <a:cs typeface="+mn-cs"/>
            </a:rPr>
          </a:br>
          <a:br>
            <a:rPr lang="en-US" sz="1100" b="1" i="0">
              <a:solidFill>
                <a:schemeClr val="dk1"/>
              </a:solidFill>
              <a:effectLst/>
              <a:latin typeface="+mn-lt"/>
              <a:ea typeface="+mn-ea"/>
              <a:cs typeface="+mn-cs"/>
            </a:rPr>
          </a:br>
          <a:br>
            <a:rPr lang="en-US" sz="1100" b="1" i="0">
              <a:solidFill>
                <a:schemeClr val="dk1"/>
              </a:solidFill>
              <a:effectLst/>
              <a:latin typeface="+mn-lt"/>
              <a:ea typeface="+mn-ea"/>
              <a:cs typeface="+mn-cs"/>
            </a:rPr>
          </a:br>
          <a:br>
            <a:rPr lang="en-US" sz="1100" b="1" i="0">
              <a:solidFill>
                <a:schemeClr val="dk1"/>
              </a:solidFill>
              <a:effectLst/>
              <a:latin typeface="+mn-lt"/>
              <a:ea typeface="+mn-ea"/>
              <a:cs typeface="+mn-cs"/>
            </a:rPr>
          </a:br>
          <a:r>
            <a:rPr kumimoji="0" lang="en-US" sz="1200" b="1" i="0" u="none" strike="noStrike" kern="0" cap="none" spc="0" normalizeH="0" baseline="0" noProof="0">
              <a:ln>
                <a:noFill/>
              </a:ln>
              <a:solidFill>
                <a:srgbClr val="0E4056"/>
              </a:solidFill>
              <a:effectLst/>
              <a:uLnTx/>
              <a:uFillTx/>
              <a:latin typeface="+mn-lt"/>
              <a:ea typeface="+mn-ea"/>
              <a:cs typeface="+mn-cs"/>
            </a:rPr>
            <a:t>Tenor Type:</a:t>
          </a:r>
          <a:br>
            <a:rPr kumimoji="0" lang="en-US" sz="1100" b="0" i="0" u="none" strike="noStrike" kern="0" cap="none" spc="0" normalizeH="0" baseline="0" noProof="0">
              <a:ln>
                <a:noFill/>
              </a:ln>
              <a:solidFill>
                <a:srgbClr val="0E4056"/>
              </a:solidFill>
              <a:effectLst/>
              <a:uLnTx/>
              <a:uFillTx/>
              <a:latin typeface="+mn-lt"/>
              <a:ea typeface="+mn-ea"/>
              <a:cs typeface="+mn-cs"/>
            </a:rPr>
          </a:br>
          <a:br>
            <a:rPr lang="en-US" sz="1100" b="1" i="0">
              <a:solidFill>
                <a:schemeClr val="dk1"/>
              </a:solidFill>
              <a:effectLst/>
              <a:latin typeface="+mn-lt"/>
              <a:ea typeface="+mn-ea"/>
              <a:cs typeface="+mn-cs"/>
            </a:rPr>
          </a:br>
          <a:br>
            <a:rPr lang="en-US" sz="1100" b="1" i="0">
              <a:solidFill>
                <a:schemeClr val="dk1"/>
              </a:solidFill>
              <a:effectLst/>
              <a:latin typeface="+mn-lt"/>
              <a:ea typeface="+mn-ea"/>
              <a:cs typeface="+mn-cs"/>
            </a:rPr>
          </a:br>
          <a:br>
            <a:rPr lang="en-US" sz="1100" b="1" i="0">
              <a:solidFill>
                <a:schemeClr val="dk1"/>
              </a:solidFill>
              <a:effectLst/>
              <a:latin typeface="+mn-lt"/>
              <a:ea typeface="+mn-ea"/>
              <a:cs typeface="+mn-cs"/>
            </a:rPr>
          </a:br>
          <a:br>
            <a:rPr lang="en-US" sz="1100" b="1" i="0">
              <a:solidFill>
                <a:schemeClr val="dk1"/>
              </a:solidFill>
              <a:effectLst/>
              <a:latin typeface="+mn-lt"/>
              <a:ea typeface="+mn-ea"/>
              <a:cs typeface="+mn-cs"/>
            </a:rPr>
          </a:br>
          <a:br>
            <a:rPr lang="en-US" sz="1100" b="1" i="0">
              <a:solidFill>
                <a:schemeClr val="dk1"/>
              </a:solidFill>
              <a:effectLst/>
              <a:latin typeface="+mn-lt"/>
              <a:ea typeface="+mn-ea"/>
              <a:cs typeface="+mn-cs"/>
            </a:rPr>
          </a:br>
          <a:br>
            <a:rPr lang="en-US" sz="1100" b="1" i="0">
              <a:solidFill>
                <a:schemeClr val="dk1"/>
              </a:solidFill>
              <a:effectLst/>
              <a:latin typeface="+mn-lt"/>
              <a:ea typeface="+mn-ea"/>
              <a:cs typeface="+mn-cs"/>
            </a:rPr>
          </a:br>
          <a:br>
            <a:rPr lang="en-US" sz="1100" b="1" i="0">
              <a:solidFill>
                <a:schemeClr val="dk1"/>
              </a:solidFill>
              <a:effectLst/>
              <a:latin typeface="+mn-lt"/>
              <a:ea typeface="+mn-ea"/>
              <a:cs typeface="+mn-cs"/>
            </a:rPr>
          </a:br>
          <a:br>
            <a:rPr lang="en-US" sz="1100" b="1" i="0">
              <a:solidFill>
                <a:schemeClr val="dk1"/>
              </a:solidFill>
              <a:effectLst/>
              <a:latin typeface="+mn-lt"/>
              <a:ea typeface="+mn-ea"/>
              <a:cs typeface="+mn-cs"/>
            </a:rPr>
          </a:br>
          <a:br>
            <a:rPr lang="en-US" sz="1100" b="1" i="0">
              <a:solidFill>
                <a:schemeClr val="dk1"/>
              </a:solidFill>
              <a:effectLst/>
              <a:latin typeface="+mn-lt"/>
              <a:ea typeface="+mn-ea"/>
              <a:cs typeface="+mn-cs"/>
            </a:rPr>
          </a:br>
          <a:br>
            <a:rPr lang="en-US" sz="1100" b="1" i="0">
              <a:solidFill>
                <a:schemeClr val="dk1"/>
              </a:solidFill>
              <a:effectLst/>
              <a:latin typeface="+mn-lt"/>
              <a:ea typeface="+mn-ea"/>
              <a:cs typeface="+mn-cs"/>
            </a:rPr>
          </a:br>
          <a:br>
            <a:rPr lang="en-US" sz="1100" b="1" i="0">
              <a:solidFill>
                <a:schemeClr val="dk1"/>
              </a:solidFill>
              <a:effectLst/>
              <a:latin typeface="+mn-lt"/>
              <a:ea typeface="+mn-ea"/>
              <a:cs typeface="+mn-cs"/>
            </a:rPr>
          </a:br>
          <a:r>
            <a:rPr lang="en-US" sz="1800" b="1" i="1">
              <a:solidFill>
                <a:srgbClr val="0E4056"/>
              </a:solidFill>
              <a:effectLst/>
              <a:latin typeface="+mn-lt"/>
              <a:ea typeface="+mn-ea"/>
              <a:cs typeface="+mn-cs"/>
            </a:rPr>
            <a:t>Comparison Tab:</a:t>
          </a:r>
          <a:br>
            <a:rPr lang="en-US" sz="1800" b="1" i="1">
              <a:solidFill>
                <a:schemeClr val="dk1"/>
              </a:solidFill>
              <a:effectLst/>
              <a:latin typeface="+mn-lt"/>
              <a:ea typeface="+mn-ea"/>
              <a:cs typeface="+mn-cs"/>
            </a:rPr>
          </a:br>
          <a:br>
            <a:rPr lang="en-US" sz="1800" b="1" i="1">
              <a:solidFill>
                <a:schemeClr val="dk1"/>
              </a:solidFill>
              <a:effectLst/>
              <a:latin typeface="+mn-lt"/>
              <a:ea typeface="+mn-ea"/>
              <a:cs typeface="+mn-cs"/>
            </a:rPr>
          </a:br>
          <a:br>
            <a:rPr lang="en-US" sz="1800" b="1" i="1">
              <a:solidFill>
                <a:schemeClr val="dk1"/>
              </a:solidFill>
              <a:effectLst/>
              <a:latin typeface="+mn-lt"/>
              <a:ea typeface="+mn-ea"/>
              <a:cs typeface="+mn-cs"/>
            </a:rPr>
          </a:br>
          <a:br>
            <a:rPr lang="en-US" sz="1800" b="1" i="1">
              <a:solidFill>
                <a:schemeClr val="dk1"/>
              </a:solidFill>
              <a:effectLst/>
              <a:latin typeface="+mn-lt"/>
              <a:ea typeface="+mn-ea"/>
              <a:cs typeface="+mn-cs"/>
            </a:rPr>
          </a:br>
          <a:br>
            <a:rPr lang="en-US" sz="1800" b="1" i="1">
              <a:solidFill>
                <a:schemeClr val="dk1"/>
              </a:solidFill>
              <a:effectLst/>
              <a:latin typeface="+mn-lt"/>
              <a:ea typeface="+mn-ea"/>
              <a:cs typeface="+mn-cs"/>
            </a:rPr>
          </a:br>
          <a:br>
            <a:rPr lang="en-US" sz="1800" b="1" i="1">
              <a:solidFill>
                <a:schemeClr val="dk1"/>
              </a:solidFill>
              <a:effectLst/>
              <a:latin typeface="+mn-lt"/>
              <a:ea typeface="+mn-ea"/>
              <a:cs typeface="+mn-cs"/>
            </a:rPr>
          </a:br>
          <a:br>
            <a:rPr lang="en-US" sz="1800" b="1" i="1">
              <a:solidFill>
                <a:schemeClr val="dk1"/>
              </a:solidFill>
              <a:effectLst/>
              <a:latin typeface="+mn-lt"/>
              <a:ea typeface="+mn-ea"/>
              <a:cs typeface="+mn-cs"/>
            </a:rPr>
          </a:br>
          <a:r>
            <a:rPr lang="en-US" sz="1100" b="0" i="0">
              <a:solidFill>
                <a:schemeClr val="dk1"/>
              </a:solidFill>
              <a:effectLst/>
              <a:latin typeface="+mn-lt"/>
              <a:ea typeface="+mn-ea"/>
              <a:cs typeface="+mn-cs"/>
            </a:rPr>
            <a:t>Considering</a:t>
          </a:r>
          <a:r>
            <a:rPr lang="en-US" sz="1100" b="0" i="0" baseline="0">
              <a:solidFill>
                <a:schemeClr val="dk1"/>
              </a:solidFill>
              <a:effectLst/>
              <a:latin typeface="+mn-lt"/>
              <a:ea typeface="+mn-ea"/>
              <a:cs typeface="+mn-cs"/>
            </a:rPr>
            <a:t> the curves selected from tab 'IPCA', you can now see on the second tab the historical values from a point in time view. This way you can compare different horizons depending on the dates you choose.</a:t>
          </a:r>
          <a:br>
            <a:rPr lang="en-US" sz="1100" b="0" i="0" baseline="0">
              <a:solidFill>
                <a:schemeClr val="dk1"/>
              </a:solidFill>
              <a:effectLst/>
              <a:latin typeface="+mn-lt"/>
              <a:ea typeface="+mn-ea"/>
              <a:cs typeface="+mn-cs"/>
            </a:rPr>
          </a:br>
          <a:br>
            <a:rPr lang="en-US" sz="1100" b="0" i="0" baseline="0">
              <a:solidFill>
                <a:schemeClr val="dk1"/>
              </a:solidFill>
              <a:effectLst/>
              <a:latin typeface="+mn-lt"/>
              <a:ea typeface="+mn-ea"/>
              <a:cs typeface="+mn-cs"/>
            </a:rPr>
          </a:br>
          <a:br>
            <a:rPr lang="en-US" sz="1100" b="0" i="0" baseline="0">
              <a:solidFill>
                <a:schemeClr val="dk1"/>
              </a:solidFill>
              <a:effectLst/>
              <a:latin typeface="+mn-lt"/>
              <a:ea typeface="+mn-ea"/>
              <a:cs typeface="+mn-cs"/>
            </a:rPr>
          </a:br>
          <a:br>
            <a:rPr lang="en-US" sz="1100" b="0" i="0" baseline="0">
              <a:solidFill>
                <a:schemeClr val="dk1"/>
              </a:solidFill>
              <a:effectLst/>
              <a:latin typeface="+mn-lt"/>
              <a:ea typeface="+mn-ea"/>
              <a:cs typeface="+mn-cs"/>
            </a:rPr>
          </a:br>
          <a:br>
            <a:rPr lang="en-US" sz="1100" b="0" i="0" baseline="0">
              <a:solidFill>
                <a:schemeClr val="dk1"/>
              </a:solidFill>
              <a:effectLst/>
              <a:latin typeface="+mn-lt"/>
              <a:ea typeface="+mn-ea"/>
              <a:cs typeface="+mn-cs"/>
            </a:rPr>
          </a:br>
          <a:br>
            <a:rPr lang="en-US" sz="1100" b="0" i="0" baseline="0">
              <a:solidFill>
                <a:schemeClr val="dk1"/>
              </a:solidFill>
              <a:effectLst/>
              <a:latin typeface="+mn-lt"/>
              <a:ea typeface="+mn-ea"/>
              <a:cs typeface="+mn-cs"/>
            </a:rPr>
          </a:br>
          <a:br>
            <a:rPr lang="en-US" sz="1100" b="0" i="0" baseline="0">
              <a:solidFill>
                <a:schemeClr val="dk1"/>
              </a:solidFill>
              <a:effectLst/>
              <a:latin typeface="+mn-lt"/>
              <a:ea typeface="+mn-ea"/>
              <a:cs typeface="+mn-cs"/>
            </a:rPr>
          </a:br>
          <a:br>
            <a:rPr lang="en-US" sz="1100" b="0" i="0" baseline="0">
              <a:solidFill>
                <a:schemeClr val="dk1"/>
              </a:solidFill>
              <a:effectLst/>
              <a:latin typeface="+mn-lt"/>
              <a:ea typeface="+mn-ea"/>
              <a:cs typeface="+mn-cs"/>
            </a:rPr>
          </a:br>
          <a:br>
            <a:rPr lang="en-US" sz="1100" b="0" i="0" baseline="0">
              <a:solidFill>
                <a:schemeClr val="dk1"/>
              </a:solidFill>
              <a:effectLst/>
              <a:latin typeface="+mn-lt"/>
              <a:ea typeface="+mn-ea"/>
              <a:cs typeface="+mn-cs"/>
            </a:rPr>
          </a:br>
          <a:br>
            <a:rPr lang="en-US" sz="1100" b="0" i="0" baseline="0">
              <a:solidFill>
                <a:schemeClr val="dk1"/>
              </a:solidFill>
              <a:effectLst/>
              <a:latin typeface="+mn-lt"/>
              <a:ea typeface="+mn-ea"/>
              <a:cs typeface="+mn-cs"/>
            </a:rPr>
          </a:br>
          <a:br>
            <a:rPr lang="en-US" sz="1100" b="0" i="0" baseline="0">
              <a:solidFill>
                <a:schemeClr val="dk1"/>
              </a:solidFill>
              <a:effectLst/>
              <a:latin typeface="+mn-lt"/>
              <a:ea typeface="+mn-ea"/>
              <a:cs typeface="+mn-cs"/>
            </a:rPr>
          </a:br>
          <a:br>
            <a:rPr lang="en-US" sz="1100" b="0" i="0" baseline="0">
              <a:solidFill>
                <a:schemeClr val="dk1"/>
              </a:solidFill>
              <a:effectLst/>
              <a:latin typeface="+mn-lt"/>
              <a:ea typeface="+mn-ea"/>
              <a:cs typeface="+mn-cs"/>
            </a:rPr>
          </a:br>
          <a:br>
            <a:rPr lang="en-US" sz="1100" b="0" i="0" baseline="0">
              <a:solidFill>
                <a:schemeClr val="dk1"/>
              </a:solidFill>
              <a:effectLst/>
              <a:latin typeface="+mn-lt"/>
              <a:ea typeface="+mn-ea"/>
              <a:cs typeface="+mn-cs"/>
            </a:rPr>
          </a:br>
          <a:br>
            <a:rPr lang="en-US" sz="1100" b="0" i="0" baseline="0">
              <a:solidFill>
                <a:schemeClr val="dk1"/>
              </a:solidFill>
              <a:effectLst/>
              <a:latin typeface="+mn-lt"/>
              <a:ea typeface="+mn-ea"/>
              <a:cs typeface="+mn-cs"/>
            </a:rPr>
          </a:br>
          <a:br>
            <a:rPr lang="en-US" sz="1100" b="0" i="0" baseline="0">
              <a:solidFill>
                <a:schemeClr val="dk1"/>
              </a:solidFill>
              <a:effectLst/>
              <a:latin typeface="+mn-lt"/>
              <a:ea typeface="+mn-ea"/>
              <a:cs typeface="+mn-cs"/>
            </a:rPr>
          </a:br>
          <a:br>
            <a:rPr lang="en-US" sz="1100" b="0" i="0" baseline="0">
              <a:solidFill>
                <a:schemeClr val="dk1"/>
              </a:solidFill>
              <a:effectLst/>
              <a:latin typeface="+mn-lt"/>
              <a:ea typeface="+mn-ea"/>
              <a:cs typeface="+mn-cs"/>
            </a:rPr>
          </a:br>
          <a:br>
            <a:rPr lang="en-US" sz="1100" b="0" i="0" baseline="0">
              <a:solidFill>
                <a:schemeClr val="dk1"/>
              </a:solidFill>
              <a:effectLst/>
              <a:latin typeface="+mn-lt"/>
              <a:ea typeface="+mn-ea"/>
              <a:cs typeface="+mn-cs"/>
            </a:rPr>
          </a:br>
          <a:br>
            <a:rPr lang="en-US" sz="1100" b="0" i="0" baseline="0">
              <a:solidFill>
                <a:schemeClr val="dk1"/>
              </a:solidFill>
              <a:effectLst/>
              <a:latin typeface="+mn-lt"/>
              <a:ea typeface="+mn-ea"/>
              <a:cs typeface="+mn-cs"/>
            </a:rPr>
          </a:br>
          <a:br>
            <a:rPr lang="en-US" sz="1100" b="0" i="0" baseline="0">
              <a:solidFill>
                <a:schemeClr val="dk1"/>
              </a:solidFill>
              <a:effectLst/>
              <a:latin typeface="+mn-lt"/>
              <a:ea typeface="+mn-ea"/>
              <a:cs typeface="+mn-cs"/>
            </a:rPr>
          </a:br>
          <a:br>
            <a:rPr lang="en-US" sz="1100" b="0" i="0" baseline="0">
              <a:solidFill>
                <a:schemeClr val="dk1"/>
              </a:solidFill>
              <a:effectLst/>
              <a:latin typeface="+mn-lt"/>
              <a:ea typeface="+mn-ea"/>
              <a:cs typeface="+mn-cs"/>
            </a:rPr>
          </a:br>
          <a:r>
            <a:rPr lang="en-US" sz="1100" b="0" i="1" baseline="0">
              <a:solidFill>
                <a:schemeClr val="dk1"/>
              </a:solidFill>
              <a:effectLst/>
              <a:latin typeface="+mn-lt"/>
              <a:ea typeface="+mn-ea"/>
              <a:cs typeface="+mn-cs"/>
            </a:rPr>
            <a:t>For more information, please contact the Bloomberg Help Desk pressing F1 twice on your keyboard.</a:t>
          </a:r>
          <a:endParaRPr lang="en-US" sz="1100" b="1" i="1">
            <a:solidFill>
              <a:schemeClr val="dk1"/>
            </a:solidFill>
            <a:effectLst/>
            <a:latin typeface="+mn-lt"/>
            <a:ea typeface="+mn-ea"/>
            <a:cs typeface="+mn-cs"/>
          </a:endParaRPr>
        </a:p>
      </xdr:txBody>
    </xdr:sp>
    <xdr:clientData/>
  </xdr:twoCellAnchor>
  <xdr:oneCellAnchor>
    <xdr:from>
      <xdr:col>1</xdr:col>
      <xdr:colOff>180975</xdr:colOff>
      <xdr:row>8</xdr:row>
      <xdr:rowOff>85725</xdr:rowOff>
    </xdr:from>
    <xdr:ext cx="2047875" cy="25744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15594D4-7BE3-4CB2-8F50-ED348E3BE654}"/>
                </a:ext>
              </a:extLst>
            </xdr:cNvPr>
            <xdr:cNvSpPr txBox="1"/>
          </xdr:nvSpPr>
          <xdr:spPr>
            <a:xfrm>
              <a:off x="790575" y="1419225"/>
              <a:ext cx="2047875" cy="257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1" i="1">
                        <a:solidFill>
                          <a:srgbClr val="0E4056"/>
                        </a:solidFill>
                        <a:latin typeface="Cambria Math" panose="02040503050406030204" pitchFamily="18" charset="0"/>
                        <a:ea typeface="Cambria Math" panose="02040503050406030204" pitchFamily="18" charset="0"/>
                      </a:rPr>
                      <m:t>𝝅</m:t>
                    </m:r>
                    <m:r>
                      <a:rPr lang="en-US" sz="1200" b="1" i="1">
                        <a:solidFill>
                          <a:srgbClr val="0E4056"/>
                        </a:solidFill>
                        <a:latin typeface="Cambria Math" panose="02040503050406030204" pitchFamily="18" charset="0"/>
                        <a:ea typeface="Cambria Math" panose="02040503050406030204" pitchFamily="18" charset="0"/>
                      </a:rPr>
                      <m:t>=</m:t>
                    </m:r>
                    <m:box>
                      <m:boxPr>
                        <m:ctrlPr>
                          <a:rPr lang="en-US" sz="1200" b="1" i="1">
                            <a:solidFill>
                              <a:srgbClr val="0E4056"/>
                            </a:solidFill>
                            <a:latin typeface="Cambria Math" panose="02040503050406030204" pitchFamily="18" charset="0"/>
                            <a:ea typeface="Cambria Math" panose="02040503050406030204" pitchFamily="18" charset="0"/>
                          </a:rPr>
                        </m:ctrlPr>
                      </m:boxPr>
                      <m:e>
                        <m:argPr>
                          <m:argSz m:val="-1"/>
                        </m:argPr>
                        <m:f>
                          <m:fPr>
                            <m:ctrlPr>
                              <a:rPr lang="en-US" sz="1200" b="1" i="1">
                                <a:solidFill>
                                  <a:srgbClr val="0E4056"/>
                                </a:solidFill>
                                <a:latin typeface="Cambria Math" panose="02040503050406030204" pitchFamily="18" charset="0"/>
                                <a:ea typeface="Cambria Math" panose="02040503050406030204" pitchFamily="18" charset="0"/>
                              </a:rPr>
                            </m:ctrlPr>
                          </m:fPr>
                          <m:num>
                            <m:r>
                              <a:rPr lang="pt-BR" sz="1200" b="1" i="1">
                                <a:solidFill>
                                  <a:srgbClr val="0E4056"/>
                                </a:solidFill>
                                <a:latin typeface="Cambria Math" panose="02040503050406030204" pitchFamily="18" charset="0"/>
                                <a:ea typeface="Cambria Math" panose="02040503050406030204" pitchFamily="18" charset="0"/>
                              </a:rPr>
                              <m:t>(</m:t>
                            </m:r>
                            <m:r>
                              <a:rPr lang="pt-BR" sz="1200" b="1" i="1">
                                <a:solidFill>
                                  <a:srgbClr val="0E4056"/>
                                </a:solidFill>
                                <a:latin typeface="Cambria Math" panose="02040503050406030204" pitchFamily="18" charset="0"/>
                                <a:ea typeface="Cambria Math" panose="02040503050406030204" pitchFamily="18" charset="0"/>
                              </a:rPr>
                              <m:t>𝟏</m:t>
                            </m:r>
                            <m:r>
                              <a:rPr lang="pt-BR" sz="1200" b="1" i="1">
                                <a:solidFill>
                                  <a:srgbClr val="0E4056"/>
                                </a:solidFill>
                                <a:latin typeface="Cambria Math" panose="02040503050406030204" pitchFamily="18" charset="0"/>
                                <a:ea typeface="Cambria Math" panose="02040503050406030204" pitchFamily="18" charset="0"/>
                              </a:rPr>
                              <m:t>+</m:t>
                            </m:r>
                            <m:r>
                              <a:rPr lang="pt-BR" sz="1200" b="1" i="1">
                                <a:solidFill>
                                  <a:srgbClr val="0E4056"/>
                                </a:solidFill>
                                <a:latin typeface="Cambria Math" panose="02040503050406030204" pitchFamily="18" charset="0"/>
                                <a:ea typeface="Cambria Math" panose="02040503050406030204" pitchFamily="18" charset="0"/>
                              </a:rPr>
                              <m:t>𝑪𝒖𝒓𝒗𝒆</m:t>
                            </m:r>
                            <m:r>
                              <a:rPr lang="pt-BR" sz="1200" b="1" i="1">
                                <a:solidFill>
                                  <a:srgbClr val="0E4056"/>
                                </a:solidFill>
                                <a:latin typeface="Cambria Math" panose="02040503050406030204" pitchFamily="18" charset="0"/>
                                <a:ea typeface="Cambria Math" panose="02040503050406030204" pitchFamily="18" charset="0"/>
                              </a:rPr>
                              <m:t> </m:t>
                            </m:r>
                            <m:r>
                              <a:rPr lang="pt-BR" sz="1200" b="1" i="1">
                                <a:solidFill>
                                  <a:srgbClr val="0E4056"/>
                                </a:solidFill>
                                <a:latin typeface="Cambria Math" panose="02040503050406030204" pitchFamily="18" charset="0"/>
                                <a:ea typeface="Cambria Math" panose="02040503050406030204" pitchFamily="18" charset="0"/>
                              </a:rPr>
                              <m:t>𝑨</m:t>
                            </m:r>
                            <m:r>
                              <a:rPr lang="pt-BR" sz="1200" b="1" i="1">
                                <a:solidFill>
                                  <a:srgbClr val="0E4056"/>
                                </a:solidFill>
                                <a:latin typeface="Cambria Math" panose="02040503050406030204" pitchFamily="18" charset="0"/>
                                <a:ea typeface="Cambria Math" panose="02040503050406030204" pitchFamily="18" charset="0"/>
                              </a:rPr>
                              <m:t> (%))</m:t>
                            </m:r>
                          </m:num>
                          <m:den>
                            <m:r>
                              <a:rPr lang="pt-BR" sz="1200" b="1" i="1">
                                <a:solidFill>
                                  <a:srgbClr val="0E4056"/>
                                </a:solidFill>
                                <a:latin typeface="Cambria Math" panose="02040503050406030204" pitchFamily="18" charset="0"/>
                                <a:ea typeface="Cambria Math" panose="02040503050406030204" pitchFamily="18" charset="0"/>
                              </a:rPr>
                              <m:t>(</m:t>
                            </m:r>
                            <m:r>
                              <a:rPr lang="pt-BR" sz="1200" b="1" i="1">
                                <a:solidFill>
                                  <a:srgbClr val="0E4056"/>
                                </a:solidFill>
                                <a:latin typeface="Cambria Math" panose="02040503050406030204" pitchFamily="18" charset="0"/>
                                <a:ea typeface="Cambria Math" panose="02040503050406030204" pitchFamily="18" charset="0"/>
                              </a:rPr>
                              <m:t>𝟏</m:t>
                            </m:r>
                            <m:r>
                              <a:rPr lang="pt-BR" sz="1200" b="1" i="1">
                                <a:solidFill>
                                  <a:srgbClr val="0E4056"/>
                                </a:solidFill>
                                <a:latin typeface="Cambria Math" panose="02040503050406030204" pitchFamily="18" charset="0"/>
                                <a:ea typeface="Cambria Math" panose="02040503050406030204" pitchFamily="18" charset="0"/>
                              </a:rPr>
                              <m:t>+</m:t>
                            </m:r>
                            <m:r>
                              <a:rPr lang="pt-BR" sz="1200" b="1" i="1">
                                <a:solidFill>
                                  <a:srgbClr val="0E4056"/>
                                </a:solidFill>
                                <a:latin typeface="Cambria Math" panose="02040503050406030204" pitchFamily="18" charset="0"/>
                                <a:ea typeface="Cambria Math" panose="02040503050406030204" pitchFamily="18" charset="0"/>
                              </a:rPr>
                              <m:t>𝑪𝒖𝒓𝒗𝒆</m:t>
                            </m:r>
                            <m:r>
                              <a:rPr lang="pt-BR" sz="1200" b="1" i="1">
                                <a:solidFill>
                                  <a:srgbClr val="0E4056"/>
                                </a:solidFill>
                                <a:latin typeface="Cambria Math" panose="02040503050406030204" pitchFamily="18" charset="0"/>
                                <a:ea typeface="Cambria Math" panose="02040503050406030204" pitchFamily="18" charset="0"/>
                              </a:rPr>
                              <m:t> </m:t>
                            </m:r>
                            <m:r>
                              <a:rPr lang="pt-BR" sz="1200" b="1" i="1">
                                <a:solidFill>
                                  <a:srgbClr val="0E4056"/>
                                </a:solidFill>
                                <a:latin typeface="Cambria Math" panose="02040503050406030204" pitchFamily="18" charset="0"/>
                                <a:ea typeface="Cambria Math" panose="02040503050406030204" pitchFamily="18" charset="0"/>
                              </a:rPr>
                              <m:t>𝑩</m:t>
                            </m:r>
                            <m:r>
                              <a:rPr lang="pt-BR" sz="1200" b="1" i="1">
                                <a:solidFill>
                                  <a:srgbClr val="0E4056"/>
                                </a:solidFill>
                                <a:latin typeface="Cambria Math" panose="02040503050406030204" pitchFamily="18" charset="0"/>
                                <a:ea typeface="Cambria Math" panose="02040503050406030204" pitchFamily="18" charset="0"/>
                              </a:rPr>
                              <m:t> </m:t>
                            </m:r>
                            <m:d>
                              <m:dPr>
                                <m:ctrlPr>
                                  <a:rPr lang="pt-BR" sz="1200" b="1" i="1">
                                    <a:solidFill>
                                      <a:srgbClr val="0E4056"/>
                                    </a:solidFill>
                                    <a:latin typeface="Cambria Math" panose="02040503050406030204" pitchFamily="18" charset="0"/>
                                    <a:ea typeface="Cambria Math" panose="02040503050406030204" pitchFamily="18" charset="0"/>
                                  </a:rPr>
                                </m:ctrlPr>
                              </m:dPr>
                              <m:e>
                                <m:r>
                                  <a:rPr lang="pt-BR" sz="1200" b="1" i="1">
                                    <a:solidFill>
                                      <a:srgbClr val="0E4056"/>
                                    </a:solidFill>
                                    <a:latin typeface="Cambria Math" panose="02040503050406030204" pitchFamily="18" charset="0"/>
                                    <a:ea typeface="Cambria Math" panose="02040503050406030204" pitchFamily="18" charset="0"/>
                                  </a:rPr>
                                  <m:t>%</m:t>
                                </m:r>
                              </m:e>
                            </m:d>
                            <m:r>
                              <a:rPr lang="pt-BR" sz="1200" b="1" i="1">
                                <a:solidFill>
                                  <a:srgbClr val="0E4056"/>
                                </a:solidFill>
                                <a:latin typeface="Cambria Math" panose="02040503050406030204" pitchFamily="18" charset="0"/>
                                <a:ea typeface="Cambria Math" panose="02040503050406030204" pitchFamily="18" charset="0"/>
                              </a:rPr>
                              <m:t>)</m:t>
                            </m:r>
                          </m:den>
                        </m:f>
                      </m:e>
                    </m:box>
                    <m:r>
                      <a:rPr lang="en-US" sz="1200" b="1" i="1">
                        <a:solidFill>
                          <a:srgbClr val="0E4056"/>
                        </a:solidFill>
                        <a:latin typeface="Cambria Math" panose="02040503050406030204" pitchFamily="18" charset="0"/>
                        <a:ea typeface="Cambria Math" panose="02040503050406030204" pitchFamily="18" charset="0"/>
                      </a:rPr>
                      <m:t>−</m:t>
                    </m:r>
                    <m:r>
                      <a:rPr lang="pt-BR" sz="1200" b="1" i="1">
                        <a:solidFill>
                          <a:srgbClr val="0E4056"/>
                        </a:solidFill>
                        <a:latin typeface="Cambria Math" panose="02040503050406030204" pitchFamily="18" charset="0"/>
                        <a:ea typeface="Cambria Math" panose="02040503050406030204" pitchFamily="18" charset="0"/>
                      </a:rPr>
                      <m:t>𝟏</m:t>
                    </m:r>
                    <m:r>
                      <a:rPr lang="pt-BR" sz="1200" b="1" i="1">
                        <a:solidFill>
                          <a:srgbClr val="0E4056"/>
                        </a:solidFill>
                        <a:latin typeface="Cambria Math" panose="02040503050406030204" pitchFamily="18" charset="0"/>
                        <a:ea typeface="Cambria Math" panose="02040503050406030204" pitchFamily="18" charset="0"/>
                      </a:rPr>
                      <m:t>×</m:t>
                    </m:r>
                    <m:r>
                      <a:rPr lang="pt-BR" sz="1200" b="1" i="1">
                        <a:solidFill>
                          <a:srgbClr val="0E4056"/>
                        </a:solidFill>
                        <a:latin typeface="Cambria Math" panose="02040503050406030204" pitchFamily="18" charset="0"/>
                        <a:ea typeface="Cambria Math" panose="02040503050406030204" pitchFamily="18" charset="0"/>
                      </a:rPr>
                      <m:t>𝟏𝟎𝟎</m:t>
                    </m:r>
                  </m:oMath>
                </m:oMathPara>
              </a14:m>
              <a:endParaRPr lang="en-US" sz="1200" b="1">
                <a:solidFill>
                  <a:srgbClr val="0E4056"/>
                </a:solidFill>
                <a:latin typeface="+mn-lt"/>
              </a:endParaRPr>
            </a:p>
          </xdr:txBody>
        </xdr:sp>
      </mc:Choice>
      <mc:Fallback xmlns="">
        <xdr:sp macro="" textlink="">
          <xdr:nvSpPr>
            <xdr:cNvPr id="3" name="TextBox 2">
              <a:extLst>
                <a:ext uri="{FF2B5EF4-FFF2-40B4-BE49-F238E27FC236}">
                  <a16:creationId xmlns:a16="http://schemas.microsoft.com/office/drawing/2014/main" id="{C15594D4-7BE3-4CB2-8F50-ED348E3BE654}"/>
                </a:ext>
              </a:extLst>
            </xdr:cNvPr>
            <xdr:cNvSpPr txBox="1"/>
          </xdr:nvSpPr>
          <xdr:spPr>
            <a:xfrm>
              <a:off x="790575" y="1419225"/>
              <a:ext cx="2047875" cy="257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200" b="1" i="0">
                  <a:solidFill>
                    <a:srgbClr val="0E4056"/>
                  </a:solidFill>
                  <a:latin typeface="Cambria Math" panose="02040503050406030204" pitchFamily="18" charset="0"/>
                  <a:ea typeface="Cambria Math" panose="02040503050406030204" pitchFamily="18" charset="0"/>
                </a:rPr>
                <a:t>𝝅=□(64&amp;(</a:t>
              </a:r>
              <a:r>
                <a:rPr lang="pt-BR" sz="1200" b="1" i="0">
                  <a:solidFill>
                    <a:srgbClr val="0E4056"/>
                  </a:solidFill>
                  <a:latin typeface="Cambria Math" panose="02040503050406030204" pitchFamily="18" charset="0"/>
                  <a:ea typeface="Cambria Math" panose="02040503050406030204" pitchFamily="18" charset="0"/>
                </a:rPr>
                <a:t>(𝟏+𝑪𝒖𝒓𝒗𝒆 𝑨 (%))</a:t>
              </a:r>
              <a:r>
                <a:rPr lang="en-US" sz="1200" b="1" i="0">
                  <a:solidFill>
                    <a:srgbClr val="0E4056"/>
                  </a:solidFill>
                  <a:latin typeface="Cambria Math" panose="02040503050406030204" pitchFamily="18" charset="0"/>
                  <a:ea typeface="Cambria Math" panose="02040503050406030204" pitchFamily="18" charset="0"/>
                </a:rPr>
                <a:t>)/(</a:t>
              </a:r>
              <a:r>
                <a:rPr lang="pt-BR" sz="1200" b="1" i="0">
                  <a:solidFill>
                    <a:srgbClr val="0E4056"/>
                  </a:solidFill>
                  <a:latin typeface="Cambria Math" panose="02040503050406030204" pitchFamily="18" charset="0"/>
                  <a:ea typeface="Cambria Math" panose="02040503050406030204" pitchFamily="18" charset="0"/>
                </a:rPr>
                <a:t>(𝟏+𝑪𝒖𝒓𝒗𝒆 𝑩 (%))</a:t>
              </a:r>
              <a:r>
                <a:rPr lang="en-US" sz="1200" b="1" i="0">
                  <a:solidFill>
                    <a:srgbClr val="0E4056"/>
                  </a:solidFill>
                  <a:latin typeface="Cambria Math" panose="02040503050406030204" pitchFamily="18" charset="0"/>
                  <a:ea typeface="Cambria Math" panose="02040503050406030204" pitchFamily="18" charset="0"/>
                </a:rPr>
                <a:t>)</a:t>
              </a:r>
              <a:r>
                <a:rPr lang="pt-BR" sz="1200" b="1" i="0">
                  <a:solidFill>
                    <a:srgbClr val="0E4056"/>
                  </a:solidFill>
                  <a:latin typeface="Cambria Math" panose="02040503050406030204" pitchFamily="18" charset="0"/>
                  <a:ea typeface="Cambria Math" panose="02040503050406030204" pitchFamily="18" charset="0"/>
                </a:rPr>
                <a:t>)</a:t>
              </a:r>
              <a:r>
                <a:rPr lang="en-US" sz="1200" b="1" i="0">
                  <a:solidFill>
                    <a:srgbClr val="0E4056"/>
                  </a:solidFill>
                  <a:latin typeface="Cambria Math" panose="02040503050406030204" pitchFamily="18" charset="0"/>
                  <a:ea typeface="Cambria Math" panose="02040503050406030204" pitchFamily="18" charset="0"/>
                </a:rPr>
                <a:t>−</a:t>
              </a:r>
              <a:r>
                <a:rPr lang="pt-BR" sz="1200" b="1" i="0">
                  <a:solidFill>
                    <a:srgbClr val="0E4056"/>
                  </a:solidFill>
                  <a:latin typeface="Cambria Math" panose="02040503050406030204" pitchFamily="18" charset="0"/>
                  <a:ea typeface="Cambria Math" panose="02040503050406030204" pitchFamily="18" charset="0"/>
                </a:rPr>
                <a:t>𝟏×𝟏𝟎𝟎</a:t>
              </a:r>
              <a:endParaRPr lang="en-US" sz="1200" b="1">
                <a:solidFill>
                  <a:srgbClr val="0E4056"/>
                </a:solidFill>
                <a:latin typeface="+mn-lt"/>
              </a:endParaRPr>
            </a:p>
          </xdr:txBody>
        </xdr:sp>
      </mc:Fallback>
    </mc:AlternateContent>
    <xdr:clientData/>
  </xdr:oneCellAnchor>
  <xdr:twoCellAnchor editAs="oneCell">
    <xdr:from>
      <xdr:col>1</xdr:col>
      <xdr:colOff>147206</xdr:colOff>
      <xdr:row>38</xdr:row>
      <xdr:rowOff>59745</xdr:rowOff>
    </xdr:from>
    <xdr:to>
      <xdr:col>13</xdr:col>
      <xdr:colOff>181841</xdr:colOff>
      <xdr:row>44</xdr:row>
      <xdr:rowOff>77931</xdr:rowOff>
    </xdr:to>
    <xdr:pic>
      <xdr:nvPicPr>
        <xdr:cNvPr id="4" name="Picture 3" descr="C:\Users\Levy Oliveira\AppData\Local\Packages\Microsoft.Windows.Photos_8wekyb3d8bbwe\TempState\ShareServiceTempFolder\IPCA1.jpeg">
          <a:extLst>
            <a:ext uri="{FF2B5EF4-FFF2-40B4-BE49-F238E27FC236}">
              <a16:creationId xmlns:a16="http://schemas.microsoft.com/office/drawing/2014/main" id="{2185C5B6-A30E-4617-B671-3357DBEEA37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3772"/>
        <a:stretch/>
      </xdr:blipFill>
      <xdr:spPr bwMode="auto">
        <a:xfrm>
          <a:off x="753342" y="7749018"/>
          <a:ext cx="7308272" cy="1161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202623</xdr:colOff>
      <xdr:row>34</xdr:row>
      <xdr:rowOff>164522</xdr:rowOff>
    </xdr:from>
    <xdr:to>
      <xdr:col>6</xdr:col>
      <xdr:colOff>373208</xdr:colOff>
      <xdr:row>37</xdr:row>
      <xdr:rowOff>88322</xdr:rowOff>
    </xdr:to>
    <xdr:sp macro="" textlink="">
      <xdr:nvSpPr>
        <xdr:cNvPr id="5" name="TextBox 4">
          <a:extLst>
            <a:ext uri="{FF2B5EF4-FFF2-40B4-BE49-F238E27FC236}">
              <a16:creationId xmlns:a16="http://schemas.microsoft.com/office/drawing/2014/main" id="{ECD3CED5-6AA9-4951-AE8A-D4AF77EC9221}"/>
            </a:ext>
          </a:extLst>
        </xdr:cNvPr>
        <xdr:cNvSpPr txBox="1"/>
      </xdr:nvSpPr>
      <xdr:spPr>
        <a:xfrm>
          <a:off x="2627168" y="7091795"/>
          <a:ext cx="1382858" cy="495300"/>
        </a:xfrm>
        <a:prstGeom prst="rect">
          <a:avLst/>
        </a:prstGeom>
        <a:solidFill>
          <a:schemeClr val="bg1"/>
        </a:solidFill>
        <a:ln w="15875" cap="rnd" cmpd="sng">
          <a:solidFill>
            <a:srgbClr val="156082"/>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0"/>
            <a:t>Insert</a:t>
          </a:r>
          <a:r>
            <a:rPr lang="en-US" sz="1100" i="0" baseline="0"/>
            <a:t> the date here.</a:t>
          </a:r>
          <a:endParaRPr lang="en-US" sz="1100" i="0"/>
        </a:p>
      </xdr:txBody>
    </xdr:sp>
    <xdr:clientData/>
  </xdr:twoCellAnchor>
  <xdr:twoCellAnchor>
    <xdr:from>
      <xdr:col>9</xdr:col>
      <xdr:colOff>28576</xdr:colOff>
      <xdr:row>34</xdr:row>
      <xdr:rowOff>17316</xdr:rowOff>
    </xdr:from>
    <xdr:to>
      <xdr:col>12</xdr:col>
      <xdr:colOff>159330</xdr:colOff>
      <xdr:row>36</xdr:row>
      <xdr:rowOff>109102</xdr:rowOff>
    </xdr:to>
    <xdr:sp macro="" textlink="">
      <xdr:nvSpPr>
        <xdr:cNvPr id="7" name="TextBox 6">
          <a:extLst>
            <a:ext uri="{FF2B5EF4-FFF2-40B4-BE49-F238E27FC236}">
              <a16:creationId xmlns:a16="http://schemas.microsoft.com/office/drawing/2014/main" id="{4B043B92-673E-4EBB-B94E-002F5010DDBD}"/>
            </a:ext>
          </a:extLst>
        </xdr:cNvPr>
        <xdr:cNvSpPr txBox="1"/>
      </xdr:nvSpPr>
      <xdr:spPr>
        <a:xfrm>
          <a:off x="5483803" y="6944589"/>
          <a:ext cx="1949163" cy="472786"/>
        </a:xfrm>
        <a:prstGeom prst="rect">
          <a:avLst/>
        </a:prstGeom>
        <a:solidFill>
          <a:schemeClr val="bg1"/>
        </a:solidFill>
        <a:ln w="15875" cap="rnd" cmpd="sng">
          <a:solidFill>
            <a:srgbClr val="156082"/>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0"/>
            <a:t>Insert</a:t>
          </a:r>
          <a:r>
            <a:rPr lang="en-US" sz="1100" i="0" baseline="0"/>
            <a:t> the Curve A and B clicking on the orange cells.</a:t>
          </a:r>
          <a:endParaRPr lang="en-US" sz="1100" i="0"/>
        </a:p>
      </xdr:txBody>
    </xdr:sp>
    <xdr:clientData/>
  </xdr:twoCellAnchor>
  <xdr:twoCellAnchor editAs="absolute">
    <xdr:from>
      <xdr:col>3</xdr:col>
      <xdr:colOff>222538</xdr:colOff>
      <xdr:row>0</xdr:row>
      <xdr:rowOff>60613</xdr:rowOff>
    </xdr:from>
    <xdr:to>
      <xdr:col>19</xdr:col>
      <xdr:colOff>335118</xdr:colOff>
      <xdr:row>0</xdr:row>
      <xdr:rowOff>580158</xdr:rowOff>
    </xdr:to>
    <xdr:sp macro="" textlink="">
      <xdr:nvSpPr>
        <xdr:cNvPr id="11" name="BannerTitle">
          <a:extLst>
            <a:ext uri="{FF2B5EF4-FFF2-40B4-BE49-F238E27FC236}">
              <a16:creationId xmlns:a16="http://schemas.microsoft.com/office/drawing/2014/main" id="{A1B39A64-48AC-4BBC-89FE-5D28B09C21D7}"/>
            </a:ext>
          </a:extLst>
        </xdr:cNvPr>
        <xdr:cNvSpPr>
          <a:spLocks noChangeArrowheads="1"/>
        </xdr:cNvSpPr>
      </xdr:nvSpPr>
      <xdr:spPr bwMode="auto">
        <a:xfrm>
          <a:off x="2040947" y="60613"/>
          <a:ext cx="9810762" cy="519545"/>
        </a:xfrm>
        <a:prstGeom prst="rect">
          <a:avLst/>
        </a:prstGeom>
        <a:gradFill flip="none" rotWithShape="1">
          <a:gsLst>
            <a:gs pos="0">
              <a:srgbClr val="156082"/>
            </a:gs>
            <a:gs pos="98000">
              <a:schemeClr val="bg1"/>
            </a:gs>
          </a:gsLst>
          <a:path path="circle">
            <a:fillToRect l="50000" t="50000" r="50000" b="50000"/>
          </a:path>
          <a:tileRect/>
        </a:gradFill>
        <a:ln w="9525">
          <a:noFill/>
          <a:miter lim="800000"/>
          <a:headEnd/>
          <a:tailEnd/>
        </a:ln>
      </xdr:spPr>
      <xdr:txBody>
        <a:bodyPr vertOverflow="clip" wrap="square" lIns="54864" tIns="50292" rIns="54864" bIns="50292" anchor="ctr" upright="1"/>
        <a:lstStyle/>
        <a:p>
          <a:pPr algn="ctr" rtl="0">
            <a:defRPr sz="1000"/>
          </a:pPr>
          <a:r>
            <a:rPr lang="en-US" sz="2800" b="1" i="0" u="none" strike="noStrike" baseline="0">
              <a:solidFill>
                <a:srgbClr val="F2F2F2"/>
              </a:solidFill>
              <a:latin typeface="Calibri"/>
            </a:rPr>
            <a:t>XIPCA Information Guide</a:t>
          </a:r>
        </a:p>
      </xdr:txBody>
    </xdr:sp>
    <xdr:clientData/>
  </xdr:twoCellAnchor>
  <xdr:twoCellAnchor editAs="absolute">
    <xdr:from>
      <xdr:col>0</xdr:col>
      <xdr:colOff>0</xdr:colOff>
      <xdr:row>0</xdr:row>
      <xdr:rowOff>96981</xdr:rowOff>
    </xdr:from>
    <xdr:to>
      <xdr:col>3</xdr:col>
      <xdr:colOff>168852</xdr:colOff>
      <xdr:row>0</xdr:row>
      <xdr:rowOff>552448</xdr:rowOff>
    </xdr:to>
    <xdr:pic>
      <xdr:nvPicPr>
        <xdr:cNvPr id="12" name="Bloomberg">
          <a:extLst>
            <a:ext uri="{FF2B5EF4-FFF2-40B4-BE49-F238E27FC236}">
              <a16:creationId xmlns:a16="http://schemas.microsoft.com/office/drawing/2014/main" id="{DE487CF4-0EB3-40FC-B733-F4F9DEE99737}"/>
            </a:ext>
          </a:extLst>
        </xdr:cNvPr>
        <xdr:cNvPicPr>
          <a:picLocks noChangeAspect="1"/>
        </xdr:cNvPicPr>
      </xdr:nvPicPr>
      <xdr:blipFill rotWithShape="1">
        <a:blip xmlns:r="http://schemas.openxmlformats.org/officeDocument/2006/relationships" r:embed="rId2"/>
        <a:srcRect t="17952" r="3702" b="10238"/>
        <a:stretch/>
      </xdr:blipFill>
      <xdr:spPr>
        <a:xfrm>
          <a:off x="0" y="96981"/>
          <a:ext cx="1987261" cy="455467"/>
        </a:xfrm>
        <a:prstGeom prst="rect">
          <a:avLst/>
        </a:prstGeom>
      </xdr:spPr>
    </xdr:pic>
    <xdr:clientData/>
  </xdr:twoCellAnchor>
  <xdr:twoCellAnchor editAs="oneCell">
    <xdr:from>
      <xdr:col>1</xdr:col>
      <xdr:colOff>251114</xdr:colOff>
      <xdr:row>152</xdr:row>
      <xdr:rowOff>34630</xdr:rowOff>
    </xdr:from>
    <xdr:to>
      <xdr:col>5</xdr:col>
      <xdr:colOff>398677</xdr:colOff>
      <xdr:row>158</xdr:row>
      <xdr:rowOff>101474</xdr:rowOff>
    </xdr:to>
    <xdr:pic>
      <xdr:nvPicPr>
        <xdr:cNvPr id="15" name="Picture 14">
          <a:extLst>
            <a:ext uri="{FF2B5EF4-FFF2-40B4-BE49-F238E27FC236}">
              <a16:creationId xmlns:a16="http://schemas.microsoft.com/office/drawing/2014/main" id="{74486670-59DB-4BC2-A290-9FE815190186}"/>
            </a:ext>
          </a:extLst>
        </xdr:cNvPr>
        <xdr:cNvPicPr>
          <a:picLocks noChangeAspect="1"/>
        </xdr:cNvPicPr>
      </xdr:nvPicPr>
      <xdr:blipFill>
        <a:blip xmlns:r="http://schemas.openxmlformats.org/officeDocument/2006/relationships" r:embed="rId3"/>
        <a:stretch>
          <a:fillRect/>
        </a:stretch>
      </xdr:blipFill>
      <xdr:spPr>
        <a:xfrm>
          <a:off x="857250" y="29440903"/>
          <a:ext cx="2572109" cy="1209844"/>
        </a:xfrm>
        <a:prstGeom prst="rect">
          <a:avLst/>
        </a:prstGeom>
      </xdr:spPr>
    </xdr:pic>
    <xdr:clientData/>
  </xdr:twoCellAnchor>
  <xdr:twoCellAnchor>
    <xdr:from>
      <xdr:col>6</xdr:col>
      <xdr:colOff>544657</xdr:colOff>
      <xdr:row>151</xdr:row>
      <xdr:rowOff>178370</xdr:rowOff>
    </xdr:from>
    <xdr:to>
      <xdr:col>10</xdr:col>
      <xdr:colOff>69274</xdr:colOff>
      <xdr:row>157</xdr:row>
      <xdr:rowOff>34631</xdr:rowOff>
    </xdr:to>
    <xdr:sp macro="" textlink="">
      <xdr:nvSpPr>
        <xdr:cNvPr id="16" name="TextBox 15">
          <a:extLst>
            <a:ext uri="{FF2B5EF4-FFF2-40B4-BE49-F238E27FC236}">
              <a16:creationId xmlns:a16="http://schemas.microsoft.com/office/drawing/2014/main" id="{8543BA84-A67D-40C5-8D2A-5D05C0918833}"/>
            </a:ext>
          </a:extLst>
        </xdr:cNvPr>
        <xdr:cNvSpPr txBox="1"/>
      </xdr:nvSpPr>
      <xdr:spPr>
        <a:xfrm>
          <a:off x="4181475" y="29394143"/>
          <a:ext cx="1949163" cy="999261"/>
        </a:xfrm>
        <a:prstGeom prst="rect">
          <a:avLst/>
        </a:prstGeom>
        <a:solidFill>
          <a:schemeClr val="bg1"/>
        </a:solidFill>
        <a:ln w="15875" cap="rnd" cmpd="sng">
          <a:solidFill>
            <a:srgbClr val="156082"/>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i="0"/>
            <a:t>Based on the curves selected</a:t>
          </a:r>
          <a:r>
            <a:rPr lang="en-US" sz="1100" i="0" baseline="0"/>
            <a:t> and the date of analysis. You can define the number of business days to calculate the implied inflation at the period.</a:t>
          </a:r>
          <a:endParaRPr lang="en-US" sz="1100" i="0"/>
        </a:p>
      </xdr:txBody>
    </xdr:sp>
    <xdr:clientData/>
  </xdr:twoCellAnchor>
  <xdr:twoCellAnchor editAs="oneCell">
    <xdr:from>
      <xdr:col>1</xdr:col>
      <xdr:colOff>147204</xdr:colOff>
      <xdr:row>175</xdr:row>
      <xdr:rowOff>103893</xdr:rowOff>
    </xdr:from>
    <xdr:to>
      <xdr:col>13</xdr:col>
      <xdr:colOff>233796</xdr:colOff>
      <xdr:row>180</xdr:row>
      <xdr:rowOff>190484</xdr:rowOff>
    </xdr:to>
    <xdr:pic>
      <xdr:nvPicPr>
        <xdr:cNvPr id="17" name="Picture 16">
          <a:extLst>
            <a:ext uri="{FF2B5EF4-FFF2-40B4-BE49-F238E27FC236}">
              <a16:creationId xmlns:a16="http://schemas.microsoft.com/office/drawing/2014/main" id="{317C2346-5AB0-4FD7-A569-E9883068FBE0}"/>
            </a:ext>
          </a:extLst>
        </xdr:cNvPr>
        <xdr:cNvPicPr>
          <a:picLocks noChangeAspect="1"/>
        </xdr:cNvPicPr>
      </xdr:nvPicPr>
      <xdr:blipFill rotWithShape="1">
        <a:blip xmlns:r="http://schemas.openxmlformats.org/officeDocument/2006/relationships" r:embed="rId4"/>
        <a:srcRect r="2197"/>
        <a:stretch/>
      </xdr:blipFill>
      <xdr:spPr>
        <a:xfrm>
          <a:off x="753340" y="33891666"/>
          <a:ext cx="7360229" cy="1039091"/>
        </a:xfrm>
        <a:prstGeom prst="rect">
          <a:avLst/>
        </a:prstGeom>
      </xdr:spPr>
    </xdr:pic>
    <xdr:clientData/>
  </xdr:twoCellAnchor>
  <xdr:twoCellAnchor>
    <xdr:from>
      <xdr:col>6</xdr:col>
      <xdr:colOff>546385</xdr:colOff>
      <xdr:row>174</xdr:row>
      <xdr:rowOff>77917</xdr:rowOff>
    </xdr:from>
    <xdr:to>
      <xdr:col>9</xdr:col>
      <xdr:colOff>164520</xdr:colOff>
      <xdr:row>177</xdr:row>
      <xdr:rowOff>1717</xdr:rowOff>
    </xdr:to>
    <xdr:sp macro="" textlink="">
      <xdr:nvSpPr>
        <xdr:cNvPr id="18" name="TextBox 17">
          <a:extLst>
            <a:ext uri="{FF2B5EF4-FFF2-40B4-BE49-F238E27FC236}">
              <a16:creationId xmlns:a16="http://schemas.microsoft.com/office/drawing/2014/main" id="{2B424291-464F-46AC-92F4-F8BAC91CEE18}"/>
            </a:ext>
          </a:extLst>
        </xdr:cNvPr>
        <xdr:cNvSpPr txBox="1"/>
      </xdr:nvSpPr>
      <xdr:spPr>
        <a:xfrm>
          <a:off x="4183203" y="33675190"/>
          <a:ext cx="1436544" cy="495300"/>
        </a:xfrm>
        <a:prstGeom prst="rect">
          <a:avLst/>
        </a:prstGeom>
        <a:solidFill>
          <a:schemeClr val="bg1"/>
        </a:solidFill>
        <a:ln w="15875" cap="rnd" cmpd="sng">
          <a:solidFill>
            <a:srgbClr val="156082"/>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0"/>
            <a:t>Insert</a:t>
          </a:r>
          <a:r>
            <a:rPr lang="en-US" sz="1100" i="0" baseline="0"/>
            <a:t> the dates here.</a:t>
          </a:r>
          <a:endParaRPr lang="en-US" sz="1100" i="0"/>
        </a:p>
      </xdr:txBody>
    </xdr:sp>
    <xdr:clientData/>
  </xdr:twoCellAnchor>
  <xdr:twoCellAnchor editAs="oneCell">
    <xdr:from>
      <xdr:col>1</xdr:col>
      <xdr:colOff>199158</xdr:colOff>
      <xdr:row>184</xdr:row>
      <xdr:rowOff>190493</xdr:rowOff>
    </xdr:from>
    <xdr:to>
      <xdr:col>8</xdr:col>
      <xdr:colOff>303068</xdr:colOff>
      <xdr:row>195</xdr:row>
      <xdr:rowOff>103901</xdr:rowOff>
    </xdr:to>
    <xdr:pic>
      <xdr:nvPicPr>
        <xdr:cNvPr id="23" name="Picture 22">
          <a:extLst>
            <a:ext uri="{FF2B5EF4-FFF2-40B4-BE49-F238E27FC236}">
              <a16:creationId xmlns:a16="http://schemas.microsoft.com/office/drawing/2014/main" id="{26745453-880F-4094-ACE8-85D9F70FAE00}"/>
            </a:ext>
          </a:extLst>
        </xdr:cNvPr>
        <xdr:cNvPicPr>
          <a:picLocks noChangeAspect="1"/>
        </xdr:cNvPicPr>
      </xdr:nvPicPr>
      <xdr:blipFill>
        <a:blip xmlns:r="http://schemas.openxmlformats.org/officeDocument/2006/relationships" r:embed="rId5"/>
        <a:stretch>
          <a:fillRect/>
        </a:stretch>
      </xdr:blipFill>
      <xdr:spPr>
        <a:xfrm>
          <a:off x="805294" y="35692766"/>
          <a:ext cx="4346865" cy="2008908"/>
        </a:xfrm>
        <a:prstGeom prst="rect">
          <a:avLst/>
        </a:prstGeom>
      </xdr:spPr>
    </xdr:pic>
    <xdr:clientData/>
  </xdr:twoCellAnchor>
  <xdr:twoCellAnchor>
    <xdr:from>
      <xdr:col>9</xdr:col>
      <xdr:colOff>144606</xdr:colOff>
      <xdr:row>187</xdr:row>
      <xdr:rowOff>48484</xdr:rowOff>
    </xdr:from>
    <xdr:to>
      <xdr:col>13</xdr:col>
      <xdr:colOff>164522</xdr:colOff>
      <xdr:row>192</xdr:row>
      <xdr:rowOff>43287</xdr:rowOff>
    </xdr:to>
    <xdr:sp macro="" textlink="">
      <xdr:nvSpPr>
        <xdr:cNvPr id="24" name="TextBox 23">
          <a:extLst>
            <a:ext uri="{FF2B5EF4-FFF2-40B4-BE49-F238E27FC236}">
              <a16:creationId xmlns:a16="http://schemas.microsoft.com/office/drawing/2014/main" id="{EDB1A50D-5978-4A2B-9F4D-A48CB8267993}"/>
            </a:ext>
          </a:extLst>
        </xdr:cNvPr>
        <xdr:cNvSpPr txBox="1"/>
      </xdr:nvSpPr>
      <xdr:spPr>
        <a:xfrm>
          <a:off x="5599833" y="36122257"/>
          <a:ext cx="2444462" cy="947303"/>
        </a:xfrm>
        <a:prstGeom prst="rect">
          <a:avLst/>
        </a:prstGeom>
        <a:solidFill>
          <a:schemeClr val="bg1"/>
        </a:solidFill>
        <a:ln w="15875" cap="rnd" cmpd="sng">
          <a:solidFill>
            <a:srgbClr val="156082"/>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0"/>
            <a:t>This chart takes into account the Implied</a:t>
          </a:r>
          <a:r>
            <a:rPr lang="en-US" sz="1100" i="0" baseline="0"/>
            <a:t> Inflation chart for both Date 1 and Date 2 and calculate a spread between both.</a:t>
          </a:r>
          <a:endParaRPr lang="en-US" sz="1100" i="0"/>
        </a:p>
      </xdr:txBody>
    </xdr:sp>
    <xdr:clientData/>
  </xdr:twoCellAnchor>
  <xdr:twoCellAnchor>
    <xdr:from>
      <xdr:col>2</xdr:col>
      <xdr:colOff>510886</xdr:colOff>
      <xdr:row>177</xdr:row>
      <xdr:rowOff>1717</xdr:rowOff>
    </xdr:from>
    <xdr:to>
      <xdr:col>8</xdr:col>
      <xdr:colOff>52384</xdr:colOff>
      <xdr:row>178</xdr:row>
      <xdr:rowOff>138529</xdr:rowOff>
    </xdr:to>
    <xdr:cxnSp macro="">
      <xdr:nvCxnSpPr>
        <xdr:cNvPr id="10" name="Connector: Elbow 9">
          <a:extLst>
            <a:ext uri="{FF2B5EF4-FFF2-40B4-BE49-F238E27FC236}">
              <a16:creationId xmlns:a16="http://schemas.microsoft.com/office/drawing/2014/main" id="{686EF76F-864A-43D8-850D-4D90E6C0FE69}"/>
            </a:ext>
          </a:extLst>
        </xdr:cNvPr>
        <xdr:cNvCxnSpPr>
          <a:stCxn id="18" idx="2"/>
        </xdr:cNvCxnSpPr>
      </xdr:nvCxnSpPr>
      <xdr:spPr>
        <a:xfrm rot="5400000">
          <a:off x="3148661" y="32744988"/>
          <a:ext cx="327312" cy="3178316"/>
        </a:xfrm>
        <a:prstGeom prst="bentConnector2">
          <a:avLst/>
        </a:prstGeom>
        <a:ln w="28575">
          <a:solidFill>
            <a:srgbClr val="15608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129888</xdr:colOff>
      <xdr:row>37</xdr:row>
      <xdr:rowOff>88322</xdr:rowOff>
    </xdr:from>
    <xdr:to>
      <xdr:col>5</xdr:col>
      <xdr:colOff>287916</xdr:colOff>
      <xdr:row>38</xdr:row>
      <xdr:rowOff>173185</xdr:rowOff>
    </xdr:to>
    <xdr:cxnSp macro="">
      <xdr:nvCxnSpPr>
        <xdr:cNvPr id="28" name="Connector: Elbow 27">
          <a:extLst>
            <a:ext uri="{FF2B5EF4-FFF2-40B4-BE49-F238E27FC236}">
              <a16:creationId xmlns:a16="http://schemas.microsoft.com/office/drawing/2014/main" id="{D47CE82B-184F-4DC4-B7E6-85483453E0F3}"/>
            </a:ext>
          </a:extLst>
        </xdr:cNvPr>
        <xdr:cNvCxnSpPr>
          <a:stCxn id="5" idx="2"/>
        </xdr:cNvCxnSpPr>
      </xdr:nvCxnSpPr>
      <xdr:spPr>
        <a:xfrm rot="5400000">
          <a:off x="2798834" y="7342694"/>
          <a:ext cx="275363" cy="764165"/>
        </a:xfrm>
        <a:prstGeom prst="bentConnector2">
          <a:avLst/>
        </a:prstGeom>
        <a:ln w="28575">
          <a:solidFill>
            <a:srgbClr val="15608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164522</xdr:colOff>
      <xdr:row>35</xdr:row>
      <xdr:rowOff>63209</xdr:rowOff>
    </xdr:from>
    <xdr:to>
      <xdr:col>9</xdr:col>
      <xdr:colOff>28576</xdr:colOff>
      <xdr:row>40</xdr:row>
      <xdr:rowOff>181841</xdr:rowOff>
    </xdr:to>
    <xdr:cxnSp macro="">
      <xdr:nvCxnSpPr>
        <xdr:cNvPr id="30" name="Connector: Elbow 29">
          <a:extLst>
            <a:ext uri="{FF2B5EF4-FFF2-40B4-BE49-F238E27FC236}">
              <a16:creationId xmlns:a16="http://schemas.microsoft.com/office/drawing/2014/main" id="{3C6DCD35-68F2-4099-A47B-07F582C9FE43}"/>
            </a:ext>
          </a:extLst>
        </xdr:cNvPr>
        <xdr:cNvCxnSpPr>
          <a:stCxn id="7" idx="1"/>
        </xdr:cNvCxnSpPr>
      </xdr:nvCxnSpPr>
      <xdr:spPr>
        <a:xfrm rot="10800000" flipV="1">
          <a:off x="4407477" y="7180982"/>
          <a:ext cx="1076326" cy="1071132"/>
        </a:xfrm>
        <a:prstGeom prst="bentConnector3">
          <a:avLst>
            <a:gd name="adj1" fmla="val 120796"/>
          </a:avLst>
        </a:prstGeom>
        <a:ln w="28575">
          <a:solidFill>
            <a:srgbClr val="15608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173182</xdr:colOff>
      <xdr:row>35</xdr:row>
      <xdr:rowOff>63208</xdr:rowOff>
    </xdr:from>
    <xdr:to>
      <xdr:col>9</xdr:col>
      <xdr:colOff>28576</xdr:colOff>
      <xdr:row>42</xdr:row>
      <xdr:rowOff>38965</xdr:rowOff>
    </xdr:to>
    <xdr:cxnSp macro="">
      <xdr:nvCxnSpPr>
        <xdr:cNvPr id="50" name="Connector: Elbow 49">
          <a:extLst>
            <a:ext uri="{FF2B5EF4-FFF2-40B4-BE49-F238E27FC236}">
              <a16:creationId xmlns:a16="http://schemas.microsoft.com/office/drawing/2014/main" id="{B8AC4275-39BB-4E2A-8B99-4858125A5A32}"/>
            </a:ext>
          </a:extLst>
        </xdr:cNvPr>
        <xdr:cNvCxnSpPr>
          <a:stCxn id="7" idx="1"/>
          <a:endCxn id="62" idx="1"/>
        </xdr:cNvCxnSpPr>
      </xdr:nvCxnSpPr>
      <xdr:spPr>
        <a:xfrm rot="10800000" flipV="1">
          <a:off x="4416137" y="7180981"/>
          <a:ext cx="1067666" cy="1309257"/>
        </a:xfrm>
        <a:prstGeom prst="bentConnector3">
          <a:avLst>
            <a:gd name="adj1" fmla="val 121411"/>
          </a:avLst>
        </a:prstGeom>
        <a:ln w="28575">
          <a:solidFill>
            <a:srgbClr val="15608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173182</xdr:colOff>
      <xdr:row>41</xdr:row>
      <xdr:rowOff>173182</xdr:rowOff>
    </xdr:from>
    <xdr:to>
      <xdr:col>8</xdr:col>
      <xdr:colOff>103910</xdr:colOff>
      <xdr:row>42</xdr:row>
      <xdr:rowOff>95250</xdr:rowOff>
    </xdr:to>
    <xdr:sp macro="" textlink="">
      <xdr:nvSpPr>
        <xdr:cNvPr id="62" name="Rectangle 61">
          <a:extLst>
            <a:ext uri="{FF2B5EF4-FFF2-40B4-BE49-F238E27FC236}">
              <a16:creationId xmlns:a16="http://schemas.microsoft.com/office/drawing/2014/main" id="{2E5CC8AC-0490-430A-B032-4EEC9CC45A2B}"/>
            </a:ext>
          </a:extLst>
        </xdr:cNvPr>
        <xdr:cNvSpPr/>
      </xdr:nvSpPr>
      <xdr:spPr>
        <a:xfrm>
          <a:off x="4416137" y="8433955"/>
          <a:ext cx="536864" cy="1125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60615</xdr:colOff>
      <xdr:row>101</xdr:row>
      <xdr:rowOff>52701</xdr:rowOff>
    </xdr:from>
    <xdr:to>
      <xdr:col>13</xdr:col>
      <xdr:colOff>329046</xdr:colOff>
      <xdr:row>123</xdr:row>
      <xdr:rowOff>34641</xdr:rowOff>
    </xdr:to>
    <xdr:pic>
      <xdr:nvPicPr>
        <xdr:cNvPr id="6" name="Picture 5">
          <a:extLst>
            <a:ext uri="{FF2B5EF4-FFF2-40B4-BE49-F238E27FC236}">
              <a16:creationId xmlns:a16="http://schemas.microsoft.com/office/drawing/2014/main" id="{C7F180BD-8202-21BF-632E-BA580228D90F}"/>
            </a:ext>
          </a:extLst>
        </xdr:cNvPr>
        <xdr:cNvPicPr>
          <a:picLocks noChangeAspect="1"/>
        </xdr:cNvPicPr>
      </xdr:nvPicPr>
      <xdr:blipFill>
        <a:blip xmlns:r="http://schemas.openxmlformats.org/officeDocument/2006/relationships" r:embed="rId6"/>
        <a:stretch>
          <a:fillRect/>
        </a:stretch>
      </xdr:blipFill>
      <xdr:spPr>
        <a:xfrm>
          <a:off x="666751" y="19743474"/>
          <a:ext cx="7542068" cy="4172940"/>
        </a:xfrm>
        <a:prstGeom prst="rect">
          <a:avLst/>
        </a:prstGeom>
      </xdr:spPr>
    </xdr:pic>
    <xdr:clientData/>
  </xdr:twoCellAnchor>
  <xdr:twoCellAnchor editAs="oneCell">
    <xdr:from>
      <xdr:col>1</xdr:col>
      <xdr:colOff>86591</xdr:colOff>
      <xdr:row>134</xdr:row>
      <xdr:rowOff>121221</xdr:rowOff>
    </xdr:from>
    <xdr:to>
      <xdr:col>9</xdr:col>
      <xdr:colOff>173181</xdr:colOff>
      <xdr:row>146</xdr:row>
      <xdr:rowOff>12679</xdr:rowOff>
    </xdr:to>
    <xdr:pic>
      <xdr:nvPicPr>
        <xdr:cNvPr id="8" name="Picture 7">
          <a:extLst>
            <a:ext uri="{FF2B5EF4-FFF2-40B4-BE49-F238E27FC236}">
              <a16:creationId xmlns:a16="http://schemas.microsoft.com/office/drawing/2014/main" id="{9862736B-024F-B4E4-6DEF-260A0E6B1441}"/>
            </a:ext>
          </a:extLst>
        </xdr:cNvPr>
        <xdr:cNvPicPr>
          <a:picLocks noChangeAspect="1"/>
        </xdr:cNvPicPr>
      </xdr:nvPicPr>
      <xdr:blipFill>
        <a:blip xmlns:r="http://schemas.openxmlformats.org/officeDocument/2006/relationships" r:embed="rId7"/>
        <a:stretch>
          <a:fillRect/>
        </a:stretch>
      </xdr:blipFill>
      <xdr:spPr>
        <a:xfrm>
          <a:off x="692727" y="26098494"/>
          <a:ext cx="4935681" cy="2177458"/>
        </a:xfrm>
        <a:prstGeom prst="rect">
          <a:avLst/>
        </a:prstGeom>
      </xdr:spPr>
    </xdr:pic>
    <xdr:clientData/>
  </xdr:twoCellAnchor>
  <xdr:twoCellAnchor>
    <xdr:from>
      <xdr:col>9</xdr:col>
      <xdr:colOff>194831</xdr:colOff>
      <xdr:row>136</xdr:row>
      <xdr:rowOff>112564</xdr:rowOff>
    </xdr:from>
    <xdr:to>
      <xdr:col>13</xdr:col>
      <xdr:colOff>216478</xdr:colOff>
      <xdr:row>144</xdr:row>
      <xdr:rowOff>51951</xdr:rowOff>
    </xdr:to>
    <xdr:sp macro="" textlink="">
      <xdr:nvSpPr>
        <xdr:cNvPr id="9" name="TextBox 8">
          <a:extLst>
            <a:ext uri="{FF2B5EF4-FFF2-40B4-BE49-F238E27FC236}">
              <a16:creationId xmlns:a16="http://schemas.microsoft.com/office/drawing/2014/main" id="{E089259C-35F9-473F-AAF5-F382E36112E8}"/>
            </a:ext>
          </a:extLst>
        </xdr:cNvPr>
        <xdr:cNvSpPr txBox="1"/>
      </xdr:nvSpPr>
      <xdr:spPr>
        <a:xfrm>
          <a:off x="5650058" y="26470837"/>
          <a:ext cx="2446193" cy="1463387"/>
        </a:xfrm>
        <a:prstGeom prst="rect">
          <a:avLst/>
        </a:prstGeom>
        <a:noFill/>
        <a:ln w="15875" cap="rnd"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i="0">
              <a:solidFill>
                <a:srgbClr val="0E4056"/>
              </a:solidFill>
            </a:rPr>
            <a:t>MoM</a:t>
          </a:r>
          <a:r>
            <a:rPr lang="en-US" sz="1100" b="1" i="0" baseline="0">
              <a:solidFill>
                <a:srgbClr val="0E4056"/>
              </a:solidFill>
            </a:rPr>
            <a:t> Implied Inflation:</a:t>
          </a:r>
          <a:r>
            <a:rPr lang="en-US" sz="1100" i="0" baseline="0">
              <a:solidFill>
                <a:srgbClr val="0E4056"/>
              </a:solidFill>
            </a:rPr>
            <a:t> </a:t>
          </a:r>
          <a:r>
            <a:rPr lang="en-US" sz="1100" b="0" i="0" baseline="0">
              <a:solidFill>
                <a:schemeClr val="dk1"/>
              </a:solidFill>
              <a:effectLst/>
              <a:latin typeface="+mn-lt"/>
              <a:ea typeface="+mn-ea"/>
              <a:cs typeface="+mn-cs"/>
            </a:rPr>
            <a:t>Based on the estimated inflation index calculated using the de-annualized implied inflation. This chart calculates the monthly rate of the future tenors. Each period accounts for about 1 month.</a:t>
          </a:r>
          <a:endParaRPr lang="en-US" sz="1100" i="0"/>
        </a:p>
      </xdr:txBody>
    </xdr:sp>
    <xdr:clientData/>
  </xdr:twoCellAnchor>
  <xdr:twoCellAnchor editAs="oneCell">
    <xdr:from>
      <xdr:col>1</xdr:col>
      <xdr:colOff>372341</xdr:colOff>
      <xdr:row>87</xdr:row>
      <xdr:rowOff>190499</xdr:rowOff>
    </xdr:from>
    <xdr:to>
      <xdr:col>5</xdr:col>
      <xdr:colOff>268070</xdr:colOff>
      <xdr:row>92</xdr:row>
      <xdr:rowOff>181840</xdr:rowOff>
    </xdr:to>
    <xdr:pic>
      <xdr:nvPicPr>
        <xdr:cNvPr id="13" name="Picture 12">
          <a:extLst>
            <a:ext uri="{FF2B5EF4-FFF2-40B4-BE49-F238E27FC236}">
              <a16:creationId xmlns:a16="http://schemas.microsoft.com/office/drawing/2014/main" id="{A66B611D-4487-4B6F-9CDE-F64D28F89148}"/>
            </a:ext>
          </a:extLst>
        </xdr:cNvPr>
        <xdr:cNvPicPr>
          <a:picLocks noChangeAspect="1"/>
        </xdr:cNvPicPr>
      </xdr:nvPicPr>
      <xdr:blipFill>
        <a:blip xmlns:r="http://schemas.openxmlformats.org/officeDocument/2006/relationships" r:embed="rId8"/>
        <a:stretch>
          <a:fillRect/>
        </a:stretch>
      </xdr:blipFill>
      <xdr:spPr>
        <a:xfrm>
          <a:off x="978477" y="17214272"/>
          <a:ext cx="2320275" cy="943841"/>
        </a:xfrm>
        <a:prstGeom prst="rect">
          <a:avLst/>
        </a:prstGeom>
      </xdr:spPr>
    </xdr:pic>
    <xdr:clientData/>
  </xdr:twoCellAnchor>
  <xdr:twoCellAnchor>
    <xdr:from>
      <xdr:col>5</xdr:col>
      <xdr:colOff>477118</xdr:colOff>
      <xdr:row>86</xdr:row>
      <xdr:rowOff>57150</xdr:rowOff>
    </xdr:from>
    <xdr:to>
      <xdr:col>12</xdr:col>
      <xdr:colOff>51956</xdr:colOff>
      <xdr:row>97</xdr:row>
      <xdr:rowOff>173182</xdr:rowOff>
    </xdr:to>
    <xdr:sp macro="" textlink="">
      <xdr:nvSpPr>
        <xdr:cNvPr id="25" name="TextBox 24">
          <a:extLst>
            <a:ext uri="{FF2B5EF4-FFF2-40B4-BE49-F238E27FC236}">
              <a16:creationId xmlns:a16="http://schemas.microsoft.com/office/drawing/2014/main" id="{F32AC000-1F67-44D2-82F0-F2B71EF51DCA}"/>
            </a:ext>
          </a:extLst>
        </xdr:cNvPr>
        <xdr:cNvSpPr txBox="1"/>
      </xdr:nvSpPr>
      <xdr:spPr>
        <a:xfrm>
          <a:off x="3507800" y="16890423"/>
          <a:ext cx="3817792" cy="2211532"/>
        </a:xfrm>
        <a:prstGeom prst="rect">
          <a:avLst/>
        </a:prstGeom>
        <a:noFill/>
        <a:ln w="15875" cap="rnd"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i="0">
              <a:solidFill>
                <a:srgbClr val="0E4056"/>
              </a:solidFill>
            </a:rPr>
            <a:t>Tenor Type</a:t>
          </a:r>
          <a:r>
            <a:rPr lang="en-US" sz="1100" b="1" i="0" baseline="0">
              <a:solidFill>
                <a:srgbClr val="0E4056"/>
              </a:solidFill>
            </a:rPr>
            <a:t>:</a:t>
          </a:r>
          <a:r>
            <a:rPr lang="en-US" sz="1100" i="0" baseline="0">
              <a:solidFill>
                <a:srgbClr val="0E4056"/>
              </a:solidFill>
            </a:rPr>
            <a:t> </a:t>
          </a:r>
          <a:r>
            <a:rPr lang="en-US" sz="1100" i="0" baseline="0"/>
            <a:t>Select the type of tenor used for the calculation of the curve.</a:t>
          </a:r>
          <a:br>
            <a:rPr lang="en-US" sz="1100" i="0" baseline="0"/>
          </a:br>
          <a:br>
            <a:rPr lang="en-US" sz="1100" i="0" baseline="0"/>
          </a:br>
          <a:r>
            <a:rPr lang="en-US" sz="1100" b="1" i="0" baseline="0">
              <a:solidFill>
                <a:srgbClr val="0E4056"/>
              </a:solidFill>
            </a:rPr>
            <a:t>Relative:</a:t>
          </a:r>
          <a:r>
            <a:rPr lang="en-US" sz="1100" i="0" baseline="0">
              <a:solidFill>
                <a:srgbClr val="0E4056"/>
              </a:solidFill>
            </a:rPr>
            <a:t> </a:t>
          </a:r>
          <a:r>
            <a:rPr lang="en-US" sz="1100" i="0" baseline="0"/>
            <a:t>This type will consider today's date and generate the curve in a monthly basis (21 business days).</a:t>
          </a:r>
          <a:br>
            <a:rPr lang="en-US" sz="1100" i="0" baseline="0"/>
          </a:br>
          <a:br>
            <a:rPr lang="en-US" sz="1100" i="0" baseline="0"/>
          </a:br>
          <a:r>
            <a:rPr lang="en-US" sz="1100" b="1" i="0" baseline="0">
              <a:solidFill>
                <a:srgbClr val="0E4056"/>
              </a:solidFill>
            </a:rPr>
            <a:t>Settlement: </a:t>
          </a:r>
          <a:r>
            <a:rPr lang="en-US" sz="1100" i="0" baseline="0"/>
            <a:t>Considers the market convention of inflation linked contracts, expiring at the </a:t>
          </a:r>
          <a:r>
            <a:rPr lang="en-US" sz="1100" b="0" i="0">
              <a:solidFill>
                <a:schemeClr val="dk1"/>
              </a:solidFill>
              <a:effectLst/>
              <a:latin typeface="+mn-lt"/>
              <a:ea typeface="+mn-ea"/>
              <a:cs typeface="+mn-cs"/>
            </a:rPr>
            <a:t>15th calendar day of the contract month.</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1" i="0">
              <a:solidFill>
                <a:srgbClr val="0E4056"/>
              </a:solidFill>
              <a:effectLst/>
              <a:latin typeface="+mn-lt"/>
              <a:ea typeface="+mn-ea"/>
              <a:cs typeface="+mn-cs"/>
            </a:rPr>
            <a:t>End</a:t>
          </a:r>
          <a:r>
            <a:rPr lang="en-US" sz="1100" b="1" i="0" baseline="0">
              <a:solidFill>
                <a:srgbClr val="0E4056"/>
              </a:solidFill>
              <a:effectLst/>
              <a:latin typeface="+mn-lt"/>
              <a:ea typeface="+mn-ea"/>
              <a:cs typeface="+mn-cs"/>
            </a:rPr>
            <a:t> of Month: </a:t>
          </a:r>
          <a:r>
            <a:rPr lang="en-US" sz="1100" b="0" i="0" baseline="0">
              <a:solidFill>
                <a:schemeClr val="dk1"/>
              </a:solidFill>
              <a:effectLst/>
              <a:latin typeface="+mn-lt"/>
              <a:ea typeface="+mn-ea"/>
              <a:cs typeface="+mn-cs"/>
            </a:rPr>
            <a:t>Sets up a calendarized curve, each tenor ending at the end of the respective month. (Last trading day available).</a:t>
          </a:r>
          <a:endParaRPr lang="en-US" sz="1100" i="0"/>
        </a:p>
      </xdr:txBody>
    </xdr:sp>
    <xdr:clientData/>
  </xdr:twoCellAnchor>
  <xdr:twoCellAnchor>
    <xdr:from>
      <xdr:col>3</xdr:col>
      <xdr:colOff>324896</xdr:colOff>
      <xdr:row>152</xdr:row>
      <xdr:rowOff>34631</xdr:rowOff>
    </xdr:from>
    <xdr:to>
      <xdr:col>6</xdr:col>
      <xdr:colOff>544657</xdr:colOff>
      <xdr:row>154</xdr:row>
      <xdr:rowOff>106502</xdr:rowOff>
    </xdr:to>
    <xdr:cxnSp macro="">
      <xdr:nvCxnSpPr>
        <xdr:cNvPr id="26" name="Connector: Elbow 25">
          <a:extLst>
            <a:ext uri="{FF2B5EF4-FFF2-40B4-BE49-F238E27FC236}">
              <a16:creationId xmlns:a16="http://schemas.microsoft.com/office/drawing/2014/main" id="{6BC5B04A-75AC-47E8-B451-566AEC39B638}"/>
            </a:ext>
          </a:extLst>
        </xdr:cNvPr>
        <xdr:cNvCxnSpPr>
          <a:stCxn id="16" idx="1"/>
          <a:endCxn id="15" idx="0"/>
        </xdr:cNvCxnSpPr>
      </xdr:nvCxnSpPr>
      <xdr:spPr>
        <a:xfrm rot="10800000">
          <a:off x="2143305" y="29440904"/>
          <a:ext cx="2038170" cy="452871"/>
        </a:xfrm>
        <a:prstGeom prst="bentConnector4">
          <a:avLst>
            <a:gd name="adj1" fmla="val 32046"/>
            <a:gd name="adj2" fmla="val 133269"/>
          </a:avLst>
        </a:prstGeom>
        <a:ln w="28575">
          <a:solidFill>
            <a:srgbClr val="15608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251113</xdr:colOff>
      <xdr:row>163</xdr:row>
      <xdr:rowOff>51955</xdr:rowOff>
    </xdr:from>
    <xdr:to>
      <xdr:col>6</xdr:col>
      <xdr:colOff>432954</xdr:colOff>
      <xdr:row>166</xdr:row>
      <xdr:rowOff>48250</xdr:rowOff>
    </xdr:to>
    <xdr:pic>
      <xdr:nvPicPr>
        <xdr:cNvPr id="41" name="Picture 40">
          <a:extLst>
            <a:ext uri="{FF2B5EF4-FFF2-40B4-BE49-F238E27FC236}">
              <a16:creationId xmlns:a16="http://schemas.microsoft.com/office/drawing/2014/main" id="{8EFD9A92-9955-41B1-B5E9-B46007765F6C}"/>
            </a:ext>
          </a:extLst>
        </xdr:cNvPr>
        <xdr:cNvPicPr>
          <a:picLocks noChangeAspect="1"/>
        </xdr:cNvPicPr>
      </xdr:nvPicPr>
      <xdr:blipFill>
        <a:blip xmlns:r="http://schemas.openxmlformats.org/officeDocument/2006/relationships" r:embed="rId9"/>
        <a:stretch>
          <a:fillRect/>
        </a:stretch>
      </xdr:blipFill>
      <xdr:spPr>
        <a:xfrm>
          <a:off x="857249" y="31553728"/>
          <a:ext cx="3212523" cy="567795"/>
        </a:xfrm>
        <a:prstGeom prst="rect">
          <a:avLst/>
        </a:prstGeom>
      </xdr:spPr>
    </xdr:pic>
    <xdr:clientData/>
  </xdr:twoCellAnchor>
  <xdr:twoCellAnchor>
    <xdr:from>
      <xdr:col>6</xdr:col>
      <xdr:colOff>350693</xdr:colOff>
      <xdr:row>163</xdr:row>
      <xdr:rowOff>1724</xdr:rowOff>
    </xdr:from>
    <xdr:to>
      <xdr:col>13</xdr:col>
      <xdr:colOff>285750</xdr:colOff>
      <xdr:row>165</xdr:row>
      <xdr:rowOff>65943</xdr:rowOff>
    </xdr:to>
    <xdr:sp macro="" textlink="">
      <xdr:nvSpPr>
        <xdr:cNvPr id="44" name="TextBox 43">
          <a:extLst>
            <a:ext uri="{FF2B5EF4-FFF2-40B4-BE49-F238E27FC236}">
              <a16:creationId xmlns:a16="http://schemas.microsoft.com/office/drawing/2014/main" id="{6734F647-19FC-4EC6-BA1F-9A1C82946826}"/>
            </a:ext>
          </a:extLst>
        </xdr:cNvPr>
        <xdr:cNvSpPr txBox="1"/>
      </xdr:nvSpPr>
      <xdr:spPr>
        <a:xfrm>
          <a:off x="3999501" y="31500166"/>
          <a:ext cx="4191999" cy="445219"/>
        </a:xfrm>
        <a:prstGeom prst="rect">
          <a:avLst/>
        </a:prstGeom>
        <a:noFill/>
        <a:ln w="15875" cap="rnd"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i="0"/>
            <a:t>At the Implied Curve Analysis table, you can choose if you want to see the implied rate in a cummulative</a:t>
          </a:r>
          <a:r>
            <a:rPr lang="en-US" sz="1100" i="0" baseline="0"/>
            <a:t> or annualized type.</a:t>
          </a:r>
          <a:endParaRPr lang="en-US" sz="1100" i="0"/>
        </a:p>
      </xdr:txBody>
    </xdr:sp>
    <xdr:clientData/>
  </xdr:twoCellAnchor>
  <xdr:twoCellAnchor>
    <xdr:from>
      <xdr:col>6</xdr:col>
      <xdr:colOff>329912</xdr:colOff>
      <xdr:row>166</xdr:row>
      <xdr:rowOff>24237</xdr:rowOff>
    </xdr:from>
    <xdr:to>
      <xdr:col>13</xdr:col>
      <xdr:colOff>264969</xdr:colOff>
      <xdr:row>170</xdr:row>
      <xdr:rowOff>95249</xdr:rowOff>
    </xdr:to>
    <xdr:sp macro="" textlink="">
      <xdr:nvSpPr>
        <xdr:cNvPr id="45" name="TextBox 44">
          <a:extLst>
            <a:ext uri="{FF2B5EF4-FFF2-40B4-BE49-F238E27FC236}">
              <a16:creationId xmlns:a16="http://schemas.microsoft.com/office/drawing/2014/main" id="{7B6480C8-3F3A-424C-BC79-30D101AF761B}"/>
            </a:ext>
          </a:extLst>
        </xdr:cNvPr>
        <xdr:cNvSpPr txBox="1"/>
      </xdr:nvSpPr>
      <xdr:spPr>
        <a:xfrm>
          <a:off x="3966730" y="32097510"/>
          <a:ext cx="4178012" cy="833012"/>
        </a:xfrm>
        <a:prstGeom prst="rect">
          <a:avLst/>
        </a:prstGeom>
        <a:noFill/>
        <a:ln w="15875" cap="rnd"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a:t>Annualized</a:t>
          </a:r>
          <a:r>
            <a:rPr lang="en-US" sz="1100" i="0"/>
            <a:t>: the annualized rate at the calculated</a:t>
          </a:r>
          <a:r>
            <a:rPr lang="en-US" sz="1100" i="0" baseline="0"/>
            <a:t> tenor.</a:t>
          </a:r>
          <a:br>
            <a:rPr lang="en-US" sz="1100" i="0"/>
          </a:br>
          <a:br>
            <a:rPr lang="en-US" sz="1100" i="0"/>
          </a:br>
          <a:r>
            <a:rPr lang="en-US" sz="1100" b="1" i="0"/>
            <a:t>Cumulative</a:t>
          </a:r>
          <a:r>
            <a:rPr lang="en-US" sz="1100" i="0"/>
            <a:t>:</a:t>
          </a:r>
          <a:r>
            <a:rPr lang="en-US" sz="1100" i="0" baseline="0"/>
            <a:t> the cumulative de-annualized implied inflation rate at each tenor.</a:t>
          </a:r>
          <a:endParaRPr lang="en-US" sz="1100" i="0"/>
        </a:p>
      </xdr:txBody>
    </xdr:sp>
    <xdr:clientData/>
  </xdr:twoCellAnchor>
  <xdr:twoCellAnchor>
    <xdr:from>
      <xdr:col>2</xdr:col>
      <xdr:colOff>368013</xdr:colOff>
      <xdr:row>166</xdr:row>
      <xdr:rowOff>100204</xdr:rowOff>
    </xdr:from>
    <xdr:to>
      <xdr:col>6</xdr:col>
      <xdr:colOff>312594</xdr:colOff>
      <xdr:row>167</xdr:row>
      <xdr:rowOff>189630</xdr:rowOff>
    </xdr:to>
    <xdr:cxnSp macro="">
      <xdr:nvCxnSpPr>
        <xdr:cNvPr id="49" name="Connector: Elbow 48">
          <a:extLst>
            <a:ext uri="{FF2B5EF4-FFF2-40B4-BE49-F238E27FC236}">
              <a16:creationId xmlns:a16="http://schemas.microsoft.com/office/drawing/2014/main" id="{CB0E2368-8FEE-4A4C-A391-FB5594894777}"/>
            </a:ext>
          </a:extLst>
        </xdr:cNvPr>
        <xdr:cNvCxnSpPr/>
      </xdr:nvCxnSpPr>
      <xdr:spPr>
        <a:xfrm rot="10800000">
          <a:off x="1580286" y="32173477"/>
          <a:ext cx="2369126" cy="279926"/>
        </a:xfrm>
        <a:prstGeom prst="bentConnector3">
          <a:avLst>
            <a:gd name="adj1" fmla="val 100073"/>
          </a:avLst>
        </a:prstGeom>
        <a:ln w="28575">
          <a:solidFill>
            <a:srgbClr val="15608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273961</xdr:colOff>
      <xdr:row>167</xdr:row>
      <xdr:rowOff>80597</xdr:rowOff>
    </xdr:from>
    <xdr:to>
      <xdr:col>5</xdr:col>
      <xdr:colOff>600809</xdr:colOff>
      <xdr:row>171</xdr:row>
      <xdr:rowOff>83927</xdr:rowOff>
    </xdr:to>
    <xdr:sp macro="" textlink="">
      <xdr:nvSpPr>
        <xdr:cNvPr id="14" name="TextBox 13">
          <a:extLst>
            <a:ext uri="{FF2B5EF4-FFF2-40B4-BE49-F238E27FC236}">
              <a16:creationId xmlns:a16="http://schemas.microsoft.com/office/drawing/2014/main" id="{6A72A358-2E57-4D24-A148-CF5E1A26D0E6}"/>
            </a:ext>
          </a:extLst>
        </xdr:cNvPr>
        <xdr:cNvSpPr txBox="1"/>
      </xdr:nvSpPr>
      <xdr:spPr>
        <a:xfrm>
          <a:off x="882096" y="32341039"/>
          <a:ext cx="2759386" cy="765330"/>
        </a:xfrm>
        <a:prstGeom prst="rect">
          <a:avLst/>
        </a:prstGeom>
        <a:noFill/>
        <a:ln w="15875" cap="rnd"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i="0" baseline="0">
              <a:solidFill>
                <a:schemeClr val="dk1"/>
              </a:solidFill>
              <a:effectLst/>
              <a:latin typeface="+mn-lt"/>
              <a:ea typeface="+mn-ea"/>
              <a:cs typeface="+mn-cs"/>
            </a:rPr>
            <a:t>**Affects only the values displayed at the curve table. No changes in calculation.**</a:t>
          </a:r>
          <a:endParaRPr lang="en-US" sz="1050" b="1" i="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3FCA1-B42E-4EC8-B015-446B69B370EC}">
  <sheetPr codeName="Sheet4"/>
  <dimension ref="A1:AJ80"/>
  <sheetViews>
    <sheetView showGridLines="0" tabSelected="1" zoomScale="110" zoomScaleNormal="110" workbookViewId="0">
      <selection activeCell="Q24" sqref="Q24"/>
    </sheetView>
  </sheetViews>
  <sheetFormatPr defaultColWidth="0" defaultRowHeight="15" x14ac:dyDescent="0.25"/>
  <cols>
    <col min="1" max="1" width="1.7109375" style="13" customWidth="1"/>
    <col min="2" max="2" width="16.7109375" style="13" customWidth="1"/>
    <col min="3" max="3" width="13.7109375" style="13" customWidth="1"/>
    <col min="4" max="5" width="16.7109375" style="15" customWidth="1"/>
    <col min="6" max="6" width="5.140625" style="13" customWidth="1"/>
    <col min="7" max="7" width="16.7109375" style="15" customWidth="1"/>
    <col min="8" max="8" width="9.7109375" style="15" customWidth="1"/>
    <col min="9" max="9" width="10.85546875" style="13" bestFit="1" customWidth="1"/>
    <col min="10" max="12" width="9.140625" style="13" customWidth="1"/>
    <col min="13" max="13" width="5" style="13" customWidth="1"/>
    <col min="14" max="14" width="10" style="13" customWidth="1"/>
    <col min="15" max="17" width="9.140625" style="13" customWidth="1"/>
    <col min="18" max="18" width="2.28515625" style="13" customWidth="1"/>
    <col min="19" max="19" width="12.140625" style="13" customWidth="1"/>
    <col min="20" max="20" width="12.42578125" style="13" customWidth="1"/>
    <col min="21" max="21" width="2" style="13" customWidth="1"/>
    <col min="22" max="22" width="13.5703125" style="13" bestFit="1" customWidth="1"/>
    <col min="23" max="23" width="12.42578125" style="13" customWidth="1"/>
    <col min="24" max="24" width="7.42578125" style="13" bestFit="1" customWidth="1"/>
    <col min="25" max="25" width="9.140625" style="13" customWidth="1"/>
    <col min="26" max="26" width="9.7109375" style="13" bestFit="1" customWidth="1"/>
    <col min="27" max="36" width="9.140625" style="13" customWidth="1"/>
    <col min="37" max="16384" width="9.140625" style="13" hidden="1"/>
  </cols>
  <sheetData>
    <row r="1" spans="2:27" ht="21" customHeight="1" x14ac:dyDescent="0.25"/>
    <row r="2" spans="2:27" ht="15" customHeight="1" x14ac:dyDescent="0.25">
      <c r="S2" s="149" t="s">
        <v>197</v>
      </c>
      <c r="T2" s="149"/>
      <c r="U2" s="149"/>
      <c r="V2" s="149"/>
      <c r="W2" s="149"/>
    </row>
    <row r="3" spans="2:27" ht="9" customHeight="1" x14ac:dyDescent="0.25"/>
    <row r="4" spans="2:27" x14ac:dyDescent="0.25">
      <c r="S4" s="162" t="str">
        <f>"Annual IPCA "</f>
        <v xml:space="preserve">Annual IPCA </v>
      </c>
      <c r="T4" s="163"/>
      <c r="V4" s="162" t="str">
        <f>"Monthly IPCA "</f>
        <v xml:space="preserve">Monthly IPCA </v>
      </c>
      <c r="W4" s="163"/>
    </row>
    <row r="5" spans="2:27" x14ac:dyDescent="0.25">
      <c r="B5" s="102" t="s">
        <v>25</v>
      </c>
      <c r="C5" s="12">
        <f ca="1">TODAY()</f>
        <v>45829</v>
      </c>
      <c r="D5" s="81"/>
      <c r="E5" s="81"/>
      <c r="F5" s="149" t="s">
        <v>164</v>
      </c>
      <c r="G5" s="149"/>
      <c r="H5" s="149"/>
      <c r="I5" s="149"/>
      <c r="J5" s="149"/>
      <c r="K5" s="149"/>
      <c r="M5" s="149" t="s">
        <v>210</v>
      </c>
      <c r="N5" s="149"/>
      <c r="O5" s="149"/>
      <c r="P5" s="149"/>
      <c r="S5" s="119">
        <f ca="1">YEAR(TODAY())</f>
        <v>2025</v>
      </c>
      <c r="T5" s="120">
        <f>IF(ISERROR(_xll.BDP("FCBRPA Index","px last")/100),"-",_xll.BDP("FCBRPA Index","px last")/100)</f>
        <v>5.2499999999999998E-2</v>
      </c>
      <c r="U5" s="125"/>
      <c r="V5" s="121">
        <f ca="1">YEAR($C$5)</f>
        <v>2025</v>
      </c>
      <c r="W5" s="120">
        <f>IF(ISERROR(_xll.BDP("FCBRMA Index","px last")/100),"-",_xll.BDP("FCBRMA Index","px last")/100)</f>
        <v>2.7000000000000001E-3</v>
      </c>
    </row>
    <row r="6" spans="2:27" ht="15.75" customHeight="1" x14ac:dyDescent="0.25">
      <c r="C6" s="21"/>
      <c r="D6" s="81"/>
      <c r="E6" s="81"/>
      <c r="F6" s="80"/>
      <c r="G6" s="148" t="s">
        <v>215</v>
      </c>
      <c r="H6" s="148"/>
      <c r="I6" s="148"/>
      <c r="J6" s="148"/>
      <c r="K6" s="148"/>
      <c r="M6" s="159"/>
      <c r="N6" s="159"/>
      <c r="O6" s="159"/>
      <c r="P6" s="159"/>
      <c r="S6" s="122" t="s">
        <v>193</v>
      </c>
      <c r="T6" s="123">
        <f>IF(ISERROR(_xll.BDP("FCBRPC12 Index","px last")/100),"-",_xll.BDP("FCBRPC12 Index","px last")/100)</f>
        <v>4.7199999999999999E-2</v>
      </c>
      <c r="U6" s="125"/>
      <c r="V6" s="124">
        <f ca="1">V5+1</f>
        <v>2026</v>
      </c>
      <c r="W6" s="123">
        <f>T6/12</f>
        <v>3.933333333333333E-3</v>
      </c>
    </row>
    <row r="7" spans="2:27" x14ac:dyDescent="0.25">
      <c r="B7" s="143" t="s">
        <v>143</v>
      </c>
      <c r="C7" s="142">
        <f ca="1">DATA!$U$6</f>
        <v>45828</v>
      </c>
      <c r="D7" s="81"/>
      <c r="E7" s="81"/>
      <c r="F7" s="86" t="s">
        <v>162</v>
      </c>
      <c r="G7" s="127" t="s">
        <v>21</v>
      </c>
      <c r="H7" s="153" t="str">
        <f>VLOOKUP(G7,DATA!T9:X10,2,0)</f>
        <v>BM&amp;F Pre x DI Curve</v>
      </c>
      <c r="I7" s="154"/>
      <c r="J7" s="154"/>
      <c r="K7" s="155"/>
      <c r="M7" s="149" t="s">
        <v>211</v>
      </c>
      <c r="N7" s="149"/>
      <c r="O7" s="157" t="s">
        <v>205</v>
      </c>
      <c r="P7" s="158"/>
      <c r="S7" s="119" t="s">
        <v>194</v>
      </c>
      <c r="T7" s="120">
        <f>IF(ISERROR(_xll.BDP("FCBRPC13 Index","px last")/100),"-",_xll.BDP("FCBRPC13 Index","px last")/100)</f>
        <v>3.73E-2</v>
      </c>
      <c r="U7" s="125"/>
      <c r="V7" s="121">
        <f ca="1">V6+1</f>
        <v>2027</v>
      </c>
      <c r="W7" s="120">
        <f>T7/12</f>
        <v>3.1083333333333332E-3</v>
      </c>
    </row>
    <row r="8" spans="2:27" ht="12.75" customHeight="1" x14ac:dyDescent="0.25">
      <c r="B8" s="147"/>
      <c r="C8" s="147"/>
      <c r="D8" s="80"/>
      <c r="E8" s="81"/>
      <c r="F8" s="81"/>
      <c r="G8" s="126"/>
      <c r="H8" s="85"/>
      <c r="I8" s="85"/>
      <c r="J8" s="85"/>
      <c r="K8" s="85"/>
      <c r="M8" s="161" t="s">
        <v>214</v>
      </c>
      <c r="N8" s="161"/>
      <c r="O8" s="161"/>
      <c r="P8" s="161"/>
      <c r="S8" s="118"/>
    </row>
    <row r="9" spans="2:27" x14ac:dyDescent="0.25">
      <c r="B9" s="114" t="s">
        <v>26</v>
      </c>
      <c r="C9" s="115">
        <f ca="1">CALC!F5</f>
        <v>7295.46</v>
      </c>
      <c r="D9" s="81"/>
      <c r="E9" s="81"/>
      <c r="F9" s="86" t="s">
        <v>163</v>
      </c>
      <c r="G9" s="127" t="s">
        <v>154</v>
      </c>
      <c r="H9" s="153" t="str">
        <f>VLOOKUP(G9,DATA!T16:X18,2,0)</f>
        <v>ID x IPCA Spread Futures</v>
      </c>
      <c r="I9" s="154"/>
      <c r="J9" s="154"/>
      <c r="K9" s="155"/>
      <c r="M9" s="149" t="s">
        <v>213</v>
      </c>
      <c r="N9" s="160"/>
      <c r="O9" s="157" t="s">
        <v>209</v>
      </c>
      <c r="P9" s="158"/>
    </row>
    <row r="10" spans="2:27" ht="12" customHeight="1" x14ac:dyDescent="0.25">
      <c r="B10" s="147"/>
      <c r="C10" s="147"/>
      <c r="G10" s="152"/>
      <c r="H10" s="152"/>
      <c r="I10" s="152"/>
      <c r="J10" s="152"/>
      <c r="K10" s="152"/>
      <c r="M10" s="161" t="s">
        <v>212</v>
      </c>
      <c r="N10" s="161"/>
      <c r="O10" s="161"/>
      <c r="P10" s="161"/>
      <c r="Z10" s="117"/>
      <c r="AA10" s="117"/>
    </row>
    <row r="11" spans="2:27" x14ac:dyDescent="0.25">
      <c r="B11" s="114" t="s">
        <v>200</v>
      </c>
      <c r="C11" s="115">
        <f ca="1">CALC!G5</f>
        <v>7295.46</v>
      </c>
      <c r="S11" s="149" t="s">
        <v>191</v>
      </c>
      <c r="T11" s="149"/>
      <c r="U11" s="149"/>
      <c r="V11" s="149"/>
      <c r="W11" s="149"/>
      <c r="X11" s="16"/>
    </row>
    <row r="12" spans="2:27" ht="18" customHeight="1" x14ac:dyDescent="0.25">
      <c r="C12" s="85"/>
      <c r="D12" s="85"/>
      <c r="E12" s="85"/>
      <c r="F12" s="85"/>
      <c r="S12" s="16"/>
      <c r="T12" s="16"/>
      <c r="U12" s="16"/>
      <c r="V12" s="16"/>
      <c r="W12" s="16"/>
    </row>
    <row r="13" spans="2:27" x14ac:dyDescent="0.25">
      <c r="S13" s="164" t="s">
        <v>36</v>
      </c>
      <c r="T13" s="165"/>
      <c r="U13" s="16"/>
      <c r="V13" s="164" t="s">
        <v>37</v>
      </c>
      <c r="W13" s="165"/>
    </row>
    <row r="14" spans="2:27" x14ac:dyDescent="0.25">
      <c r="S14" s="108" t="s">
        <v>47</v>
      </c>
      <c r="T14" s="91">
        <f>IF(ISERROR(_xll.BDP("BZPIIPCY Index","px last")/100),"-",_xll.BDP("BZPIIPCY Index","px last")/100)</f>
        <v>5.3200000000000004E-2</v>
      </c>
      <c r="U14" s="16"/>
      <c r="V14" s="108" t="s">
        <v>48</v>
      </c>
      <c r="W14" s="91">
        <f>IF(ISERROR(_xll.BDP("IBREGPMY Index","px last")/100),"-",_xll.BDP("IBREGPMY Index","px last")/100)</f>
        <v>7.0199999999999999E-2</v>
      </c>
    </row>
    <row r="15" spans="2:27" x14ac:dyDescent="0.25">
      <c r="S15" s="108" t="s">
        <v>45</v>
      </c>
      <c r="T15" s="91">
        <f>IF(ISERROR(_xll.BDP("BZPIIPCM Index","px last")/100),"-",_xll.BDP("BZPIIPCM Index","px last")/100)</f>
        <v>2.5999999999999999E-3</v>
      </c>
      <c r="V15" s="108" t="s">
        <v>46</v>
      </c>
      <c r="W15" s="91">
        <f>IF(ISERROR(_xll.BDP("IBREGPMM Index","px last")/100),"-",_xll.BDP("IBREGPMM Index","px last")/100)</f>
        <v>-4.8999999999999998E-3</v>
      </c>
    </row>
    <row r="16" spans="2:27" x14ac:dyDescent="0.25">
      <c r="S16" s="118"/>
      <c r="T16" s="27"/>
      <c r="U16" s="16"/>
      <c r="V16" s="28"/>
      <c r="W16" s="28"/>
    </row>
    <row r="17" spans="2:23" x14ac:dyDescent="0.25">
      <c r="S17" s="164" t="s">
        <v>49</v>
      </c>
      <c r="T17" s="165"/>
      <c r="U17" s="16"/>
      <c r="V17" s="164" t="s">
        <v>50</v>
      </c>
      <c r="W17" s="165"/>
    </row>
    <row r="18" spans="2:23" x14ac:dyDescent="0.25">
      <c r="S18" s="108" t="s">
        <v>51</v>
      </c>
      <c r="T18" s="91">
        <f>IF(ISERROR(_xll.BDP("IBREGPDM Index","px last")/100),"-",_xll.BDP("IBREGPDM Index","px last")/100)</f>
        <v>-8.5000000000000006E-3</v>
      </c>
      <c r="U18" s="16"/>
      <c r="V18" s="108" t="s">
        <v>52</v>
      </c>
      <c r="W18" s="91">
        <f>IF(ISERROR(_xll.BDP("BZPIINPM Index","px last")/100),"-",_xll.BDP("BZPIINPM Index","px last")/100)</f>
        <v>3.4999999999999996E-3</v>
      </c>
    </row>
    <row r="19" spans="2:23" x14ac:dyDescent="0.25">
      <c r="S19" s="108" t="s">
        <v>53</v>
      </c>
      <c r="T19" s="91">
        <f>IF(ISERROR(_xll.BDP("IBREGPDY Index","px last")/100),"-",_xll.BDP("IBREGPDY Index","px last")/100)</f>
        <v>6.2699999999999992E-2</v>
      </c>
      <c r="U19" s="16"/>
      <c r="V19" s="108" t="s">
        <v>54</v>
      </c>
      <c r="W19" s="91">
        <f>IF(ISERROR(_xll.BDP("BZPIINPY Index","px last")/100),"-",_xll.BDP("BZPIINPY Index","px last")/100)</f>
        <v>5.2000000000000005E-2</v>
      </c>
    </row>
    <row r="20" spans="2:23" x14ac:dyDescent="0.25">
      <c r="S20" s="16"/>
      <c r="T20" s="16"/>
      <c r="U20" s="16"/>
      <c r="V20" s="16"/>
      <c r="W20" s="16"/>
    </row>
    <row r="21" spans="2:23" x14ac:dyDescent="0.25">
      <c r="S21" s="164" t="s">
        <v>55</v>
      </c>
      <c r="T21" s="165"/>
      <c r="U21" s="16"/>
      <c r="V21" s="164" t="s">
        <v>56</v>
      </c>
      <c r="W21" s="165"/>
    </row>
    <row r="22" spans="2:23" x14ac:dyDescent="0.25">
      <c r="S22" s="108" t="s">
        <v>57</v>
      </c>
      <c r="T22" s="91">
        <f>IF(ISERROR(_xll.BDP("IBREPCDM Index","px last")/100),"-",_xll.BDP("IBREPCDM Index","px last")/100)</f>
        <v>3.4000000000000002E-3</v>
      </c>
      <c r="U22" s="16"/>
      <c r="V22" s="108" t="s">
        <v>58</v>
      </c>
      <c r="W22" s="91">
        <f>IF(ISERROR(_xll.BDP("BZCPI Index","px last")/100),"-",_xll.BDP("BZCPI Index","px last")/100)</f>
        <v>2.7000000000000001E-3</v>
      </c>
    </row>
    <row r="23" spans="2:23" x14ac:dyDescent="0.25">
      <c r="S23" s="108" t="s">
        <v>59</v>
      </c>
      <c r="T23" s="91">
        <f>IF(ISERROR(_xll.BDP("IBREPCMY Index","px last")/100),"-",_xll.BDP("IBREPCMY Index","px last")/100)</f>
        <v>4.5700000000000005E-2</v>
      </c>
      <c r="U23" s="16"/>
      <c r="V23" s="108" t="s">
        <v>60</v>
      </c>
      <c r="W23" s="91">
        <f>IF(ISERROR(_xll.BDP("BZW CPI Index","px last")/100),"-",_xll.BDP("BZW CPI Index","px last")/100)</f>
        <v>8.0000000000000004E-4</v>
      </c>
    </row>
    <row r="25" spans="2:23" x14ac:dyDescent="0.25">
      <c r="S25" s="149" t="s">
        <v>146</v>
      </c>
      <c r="T25" s="149"/>
      <c r="U25" s="149"/>
      <c r="V25" s="149"/>
      <c r="W25" s="149"/>
    </row>
    <row r="27" spans="2:23" x14ac:dyDescent="0.25">
      <c r="B27" s="22"/>
      <c r="C27" s="22"/>
      <c r="D27" s="23"/>
      <c r="E27" s="23"/>
      <c r="F27" s="23"/>
      <c r="G27" s="23"/>
      <c r="H27" s="23"/>
      <c r="I27" s="15"/>
      <c r="J27" s="22"/>
      <c r="K27" s="22"/>
      <c r="L27" s="22"/>
      <c r="M27" s="23"/>
      <c r="N27" s="23"/>
      <c r="O27" s="23"/>
      <c r="P27" s="23"/>
      <c r="Q27" s="23"/>
      <c r="S27" s="86" t="str">
        <f>CALC!C7</f>
        <v>Tenor</v>
      </c>
      <c r="T27" s="86" t="s">
        <v>188</v>
      </c>
      <c r="V27" s="86" t="s">
        <v>189</v>
      </c>
      <c r="W27" s="144" t="s">
        <v>207</v>
      </c>
    </row>
    <row r="28" spans="2:23" x14ac:dyDescent="0.25">
      <c r="B28" s="24"/>
      <c r="C28" s="24"/>
      <c r="D28" s="25"/>
      <c r="E28" s="25"/>
      <c r="F28" s="25"/>
      <c r="G28" s="25"/>
      <c r="H28" s="25"/>
      <c r="I28" s="25"/>
      <c r="J28" s="24"/>
      <c r="K28" s="24"/>
      <c r="L28" s="24"/>
      <c r="M28" s="25"/>
      <c r="N28" s="25"/>
      <c r="O28" s="25"/>
      <c r="P28" s="25"/>
      <c r="Q28" s="25"/>
      <c r="S28" s="98" t="str">
        <f ca="1">CALC!C8</f>
        <v>2025-07-30</v>
      </c>
      <c r="T28" s="99">
        <f ca="1">DATA!I7</f>
        <v>14.905142879132642</v>
      </c>
      <c r="U28" s="100"/>
      <c r="V28" s="99">
        <f ca="1">DATA!R7</f>
        <v>12.421827076137093</v>
      </c>
      <c r="W28" s="145">
        <f ca="1">_xlfn.IFS($O$9=DATA!$T$34,CALC!H8,IPCA!$O$9=DATA!$T$33,CALC!E8/100)</f>
        <v>2.2089267427700898E-2</v>
      </c>
    </row>
    <row r="29" spans="2:23" x14ac:dyDescent="0.25">
      <c r="S29" s="101" t="str">
        <f ca="1">CALC!C9</f>
        <v>2025-08-29</v>
      </c>
      <c r="T29" s="94">
        <f ca="1">DATA!I8</f>
        <v>14.933</v>
      </c>
      <c r="U29" s="100"/>
      <c r="V29" s="94">
        <f ca="1">DATA!R8</f>
        <v>11.758116618325399</v>
      </c>
      <c r="W29" s="146">
        <f ca="1">_xlfn.IFS($O$9=DATA!$T$34,CALC!H9,IPCA!$O$9=DATA!$T$33,CALC!E9/100)</f>
        <v>2.8408526179064086E-2</v>
      </c>
    </row>
    <row r="30" spans="2:23" x14ac:dyDescent="0.25">
      <c r="S30" s="98" t="str">
        <f ca="1">CALC!C10</f>
        <v>2025-09-30</v>
      </c>
      <c r="T30" s="99">
        <f ca="1">DATA!I9</f>
        <v>14.946999999999999</v>
      </c>
      <c r="U30" s="100"/>
      <c r="V30" s="99">
        <f ca="1">DATA!R9</f>
        <v>10.645700310202697</v>
      </c>
      <c r="W30" s="145">
        <f ca="1">_xlfn.IFS($O$9=DATA!$T$34,CALC!H10,IPCA!$O$9=DATA!$T$33,CALC!E10/100)</f>
        <v>3.8874530847003763E-2</v>
      </c>
    </row>
    <row r="31" spans="2:23" x14ac:dyDescent="0.25">
      <c r="S31" s="101" t="str">
        <f ca="1">CALC!C11</f>
        <v>2025-10-30</v>
      </c>
      <c r="T31" s="94">
        <f ca="1">DATA!I10</f>
        <v>14.954852265187421</v>
      </c>
      <c r="U31" s="100"/>
      <c r="V31" s="94">
        <f ca="1">DATA!R10</f>
        <v>10.64822020435693</v>
      </c>
      <c r="W31" s="146">
        <f ca="1">_xlfn.IFS($O$9=DATA!$T$34,CALC!H11,IPCA!$O$9=DATA!$T$33,CALC!E11/100)</f>
        <v>3.8921837629891654E-2</v>
      </c>
    </row>
    <row r="32" spans="2:23" x14ac:dyDescent="0.25">
      <c r="O32" s="156"/>
      <c r="P32" s="156"/>
      <c r="Q32" s="15"/>
      <c r="S32" s="98" t="str">
        <f ca="1">CALC!C12</f>
        <v>2025-11-28</v>
      </c>
      <c r="T32" s="99">
        <f ca="1">DATA!I11</f>
        <v>14.955</v>
      </c>
      <c r="U32" s="100"/>
      <c r="V32" s="99">
        <f ca="1">DATA!R11</f>
        <v>10.463594399542098</v>
      </c>
      <c r="W32" s="145">
        <f ca="1">_xlfn.IFS($O$9=DATA!$T$34,CALC!H12,IPCA!$O$9=DATA!$T$33,CALC!E12/100)</f>
        <v>4.0659600340476665E-2</v>
      </c>
    </row>
    <row r="33" spans="2:26" x14ac:dyDescent="0.25">
      <c r="M33" s="15"/>
      <c r="N33" s="15"/>
      <c r="O33" s="156"/>
      <c r="P33" s="156"/>
      <c r="Q33" s="15"/>
      <c r="S33" s="101" t="str">
        <f ca="1">CALC!C13</f>
        <v>2025-12-30</v>
      </c>
      <c r="T33" s="94">
        <f ca="1">DATA!I12</f>
        <v>14.958</v>
      </c>
      <c r="U33" s="100"/>
      <c r="V33" s="94">
        <f ca="1">DATA!R12</f>
        <v>10.369619085981306</v>
      </c>
      <c r="W33" s="146">
        <f ca="1">_xlfn.IFS($O$9=DATA!$T$34,CALC!H13,IPCA!$O$9=DATA!$T$33,CALC!E13/100)</f>
        <v>4.1572861735113875E-2</v>
      </c>
    </row>
    <row r="34" spans="2:26" x14ac:dyDescent="0.25">
      <c r="M34" s="15"/>
      <c r="N34" s="15"/>
      <c r="P34" s="15"/>
      <c r="Q34" s="15"/>
      <c r="S34" s="98" t="str">
        <f ca="1">CALC!C14</f>
        <v>2026-01-30</v>
      </c>
      <c r="T34" s="99">
        <f ca="1">DATA!I13</f>
        <v>14.96</v>
      </c>
      <c r="U34" s="100"/>
      <c r="V34" s="99">
        <f ca="1">DATA!R13</f>
        <v>10.225269933161069</v>
      </c>
      <c r="W34" s="145">
        <f ca="1">_xlfn.IFS($O$9=DATA!$T$34,CALC!H14,IPCA!$O$9=DATA!$T$33,CALC!E14/100)</f>
        <v>4.2955032631900147E-2</v>
      </c>
    </row>
    <row r="35" spans="2:26" x14ac:dyDescent="0.25">
      <c r="M35" s="15"/>
      <c r="N35" s="15"/>
      <c r="O35" s="15"/>
      <c r="P35" s="15"/>
      <c r="Q35" s="15"/>
      <c r="S35" s="101" t="str">
        <f ca="1">CALC!C15</f>
        <v>2026-02-27</v>
      </c>
      <c r="T35" s="94">
        <f ca="1">DATA!I14</f>
        <v>14.955</v>
      </c>
      <c r="U35" s="100"/>
      <c r="V35" s="94">
        <f ca="1">DATA!R14</f>
        <v>10.137143152370708</v>
      </c>
      <c r="W35" s="146">
        <f ca="1">_xlfn.IFS($O$9=DATA!$T$34,CALC!H15,IPCA!$O$9=DATA!$T$33,CALC!E15/100)</f>
        <v>4.3744160323497594E-2</v>
      </c>
    </row>
    <row r="36" spans="2:26" x14ac:dyDescent="0.25">
      <c r="J36" s="15"/>
      <c r="K36" s="15"/>
      <c r="O36" s="15"/>
      <c r="S36" s="98" t="str">
        <f ca="1">CALC!C16</f>
        <v>2026-03-30</v>
      </c>
      <c r="T36" s="99">
        <f ca="1">DATA!I15</f>
        <v>14.926749093948924</v>
      </c>
      <c r="U36" s="100"/>
      <c r="V36" s="99">
        <f ca="1">DATA!R15</f>
        <v>10.06333417160131</v>
      </c>
      <c r="W36" s="145">
        <f ca="1">_xlfn.IFS($O$9=DATA!$T$34,CALC!H16,IPCA!$O$9=DATA!$T$33,CALC!E16/100)</f>
        <v>4.4187421351101541E-2</v>
      </c>
    </row>
    <row r="37" spans="2:26" x14ac:dyDescent="0.25">
      <c r="J37" s="15"/>
      <c r="K37" s="15"/>
      <c r="O37" s="15"/>
      <c r="S37" s="101" t="str">
        <f ca="1">CALC!C17</f>
        <v>2026-04-30</v>
      </c>
      <c r="T37" s="94">
        <f ca="1">DATA!I16</f>
        <v>14.885</v>
      </c>
      <c r="U37" s="100"/>
      <c r="V37" s="94">
        <f ca="1">DATA!R16</f>
        <v>10.011454389104918</v>
      </c>
      <c r="W37" s="146">
        <f ca="1">_xlfn.IFS($O$9=DATA!$T$34,CALC!H17,IPCA!$O$9=DATA!$T$33,CALC!E17/100)</f>
        <v>4.4300347068020773E-2</v>
      </c>
    </row>
    <row r="38" spans="2:26" x14ac:dyDescent="0.25">
      <c r="J38" s="15"/>
      <c r="K38" s="15"/>
      <c r="O38" s="15"/>
      <c r="S38" s="98" t="str">
        <f ca="1">CALC!C18</f>
        <v>2026-05-29</v>
      </c>
      <c r="T38" s="99">
        <f ca="1">DATA!I17</f>
        <v>14.833</v>
      </c>
      <c r="U38" s="100"/>
      <c r="V38" s="99">
        <f ca="1">DATA!R17</f>
        <v>9.9734909956724902</v>
      </c>
      <c r="W38" s="145">
        <f ca="1">_xlfn.IFS($O$9=DATA!$T$34,CALC!H18,IPCA!$O$9=DATA!$T$33,CALC!E18/100)</f>
        <v>4.4188003493666805E-2</v>
      </c>
    </row>
    <row r="39" spans="2:26" x14ac:dyDescent="0.25">
      <c r="J39" s="15"/>
      <c r="K39" s="15"/>
      <c r="O39" s="15"/>
      <c r="S39" s="101" t="str">
        <f ca="1">CALC!C19</f>
        <v>2026-06-30</v>
      </c>
      <c r="T39" s="94">
        <f ca="1">DATA!I18</f>
        <v>14.773</v>
      </c>
      <c r="U39" s="100"/>
      <c r="V39" s="94">
        <f ca="1">DATA!R18</f>
        <v>9.9362587968485307</v>
      </c>
      <c r="W39" s="146">
        <f ca="1">_xlfn.IFS($O$9=DATA!$T$34,CALC!H19,IPCA!$O$9=DATA!$T$33,CALC!E19/100)</f>
        <v>4.3995868661396598E-2</v>
      </c>
    </row>
    <row r="40" spans="2:26" x14ac:dyDescent="0.25">
      <c r="J40" s="15"/>
      <c r="K40" s="15"/>
      <c r="O40" s="15"/>
      <c r="S40" s="98" t="str">
        <f ca="1">CALC!C20</f>
        <v>2026-07-30</v>
      </c>
      <c r="T40" s="99">
        <f ca="1">DATA!I19</f>
        <v>14.70110889687906</v>
      </c>
      <c r="U40" s="100"/>
      <c r="V40" s="99">
        <f ca="1">DATA!R19</f>
        <v>9.8896604490860724</v>
      </c>
      <c r="W40" s="145">
        <f ca="1">_xlfn.IFS($O$9=DATA!$T$34,CALC!H20,IPCA!$O$9=DATA!$T$33,CALC!E20/100)</f>
        <v>4.3784359949152973E-2</v>
      </c>
    </row>
    <row r="41" spans="2:26" x14ac:dyDescent="0.25">
      <c r="J41" s="15"/>
      <c r="K41" s="15"/>
      <c r="O41" s="15"/>
      <c r="S41" s="101" t="str">
        <f ca="1">CALC!C21</f>
        <v>2026-08-28</v>
      </c>
      <c r="T41" s="94">
        <f ca="1">DATA!I20</f>
        <v>14.623692019266221</v>
      </c>
      <c r="U41" s="100"/>
      <c r="V41" s="94">
        <f ca="1">DATA!R20</f>
        <v>9.8279867297208003</v>
      </c>
      <c r="W41" s="146">
        <f ca="1">_xlfn.IFS($O$9=DATA!$T$34,CALC!H21,IPCA!$O$9=DATA!$T$33,CALC!E21/100)</f>
        <v>4.3665603206833881E-2</v>
      </c>
    </row>
    <row r="42" spans="2:26" x14ac:dyDescent="0.25">
      <c r="B42" s="22"/>
      <c r="C42" s="22"/>
      <c r="H42" s="23"/>
      <c r="J42" s="22"/>
      <c r="K42" s="22"/>
      <c r="L42" s="22"/>
      <c r="M42" s="22"/>
      <c r="N42" s="22"/>
      <c r="O42" s="22"/>
      <c r="P42" s="23"/>
      <c r="Q42" s="23"/>
      <c r="S42" s="98" t="str">
        <f ca="1">CALC!C22</f>
        <v>2026-09-30</v>
      </c>
      <c r="T42" s="99">
        <f ca="1">DATA!I21</f>
        <v>14.535</v>
      </c>
      <c r="U42" s="100"/>
      <c r="V42" s="99">
        <f ca="1">DATA!R21</f>
        <v>9.7410489406214751</v>
      </c>
      <c r="W42" s="145">
        <f ca="1">_xlfn.IFS($O$9=DATA!$T$34,CALC!H22,IPCA!$O$9=DATA!$T$33,CALC!E22/100)</f>
        <v>4.3684210290102499E-2</v>
      </c>
    </row>
    <row r="43" spans="2:26" x14ac:dyDescent="0.25">
      <c r="B43" s="22"/>
      <c r="C43" s="22"/>
      <c r="H43" s="23"/>
      <c r="J43" s="22"/>
      <c r="K43" s="22"/>
      <c r="L43" s="22"/>
      <c r="M43" s="22"/>
      <c r="N43" s="22"/>
      <c r="O43" s="22"/>
      <c r="P43" s="23"/>
      <c r="Q43" s="23"/>
      <c r="S43" s="101" t="str">
        <f ca="1">CALC!C23</f>
        <v>2026-10-30</v>
      </c>
      <c r="T43" s="94">
        <f ca="1">DATA!I22</f>
        <v>14.445381862802394</v>
      </c>
      <c r="U43" s="100"/>
      <c r="V43" s="94">
        <f ca="1">DATA!R22</f>
        <v>9.638953935504782</v>
      </c>
      <c r="W43" s="146">
        <f ca="1">_xlfn.IFS($O$9=DATA!$T$34,CALC!H23,IPCA!$O$9=DATA!$T$33,CALC!E23/100)</f>
        <v>4.3838688301650608E-2</v>
      </c>
    </row>
    <row r="44" spans="2:26" x14ac:dyDescent="0.25">
      <c r="B44" s="22"/>
      <c r="C44" s="22"/>
      <c r="H44" s="23"/>
      <c r="J44" s="22"/>
      <c r="K44" s="22"/>
      <c r="L44" s="22"/>
      <c r="M44" s="22"/>
      <c r="N44" s="22"/>
      <c r="O44" s="22"/>
      <c r="P44" s="23"/>
      <c r="Q44" s="23"/>
      <c r="S44" s="98" t="str">
        <f ca="1">CALC!C24</f>
        <v>2026-11-30</v>
      </c>
      <c r="T44" s="99">
        <f ca="1">DATA!I23</f>
        <v>14.36453577042734</v>
      </c>
      <c r="U44" s="100"/>
      <c r="V44" s="99">
        <f ca="1">DATA!R23</f>
        <v>9.5325336895434045</v>
      </c>
      <c r="W44" s="145">
        <f ca="1">_xlfn.IFS($O$9=DATA!$T$34,CALC!H24,IPCA!$O$9=DATA!$T$33,CALC!E24/100)</f>
        <v>4.411476588845864E-2</v>
      </c>
    </row>
    <row r="45" spans="2:26" x14ac:dyDescent="0.25">
      <c r="B45" s="22"/>
      <c r="C45" s="22"/>
      <c r="H45" s="23"/>
      <c r="J45" s="22"/>
      <c r="K45" s="22"/>
      <c r="L45" s="22"/>
      <c r="M45" s="22"/>
      <c r="N45" s="22"/>
      <c r="O45" s="22"/>
      <c r="P45" s="23"/>
      <c r="Q45" s="23"/>
      <c r="S45" s="101" t="str">
        <f ca="1">CALC!C25</f>
        <v>2026-12-30</v>
      </c>
      <c r="T45" s="94">
        <f ca="1">DATA!I24</f>
        <v>14.281000000000001</v>
      </c>
      <c r="U45" s="100"/>
      <c r="V45" s="94">
        <f ca="1">DATA!R24</f>
        <v>9.401596056515551</v>
      </c>
      <c r="W45" s="146">
        <f ca="1">_xlfn.IFS($O$9=DATA!$T$34,CALC!H25,IPCA!$O$9=DATA!$T$33,CALC!E25/100)</f>
        <v>4.460084787943841E-2</v>
      </c>
    </row>
    <row r="46" spans="2:26" x14ac:dyDescent="0.25">
      <c r="B46" s="22"/>
      <c r="C46" s="22"/>
      <c r="S46" s="98" t="str">
        <f ca="1">CALC!C26</f>
        <v>2027-01-29</v>
      </c>
      <c r="T46" s="99">
        <f ca="1">DATA!I25</f>
        <v>14.207420552487051</v>
      </c>
      <c r="U46" s="100"/>
      <c r="V46" s="99">
        <f ca="1">DATA!R25</f>
        <v>9.2591149951014131</v>
      </c>
      <c r="W46" s="145">
        <f ca="1">_xlfn.IFS($O$9=DATA!$T$34,CALC!H26,IPCA!$O$9=DATA!$T$33,CALC!E26/100)</f>
        <v>4.5289636087638918E-2</v>
      </c>
    </row>
    <row r="47" spans="2:26" x14ac:dyDescent="0.25">
      <c r="N47" s="15"/>
      <c r="S47" s="101" t="str">
        <f ca="1">CALC!C27</f>
        <v>2027-02-26</v>
      </c>
      <c r="T47" s="94">
        <f ca="1">DATA!I26</f>
        <v>14.149373309894495</v>
      </c>
      <c r="U47" s="100"/>
      <c r="V47" s="94">
        <f ca="1">DATA!R26</f>
        <v>9.131419209968259</v>
      </c>
      <c r="W47" s="146">
        <f ca="1">_xlfn.IFS($O$9=DATA!$T$34,CALC!H27,IPCA!$O$9=DATA!$T$33,CALC!E27/100)</f>
        <v>4.5980837931482776E-2</v>
      </c>
      <c r="Z47" s="85"/>
    </row>
    <row r="48" spans="2:26" x14ac:dyDescent="0.25">
      <c r="B48" s="149" t="str">
        <f>CURVES!H1</f>
        <v>ANBIMA</v>
      </c>
      <c r="C48" s="149"/>
      <c r="D48" s="149"/>
      <c r="E48" s="149"/>
      <c r="N48" s="15"/>
      <c r="S48" s="98" t="str">
        <f ca="1">CALC!C28</f>
        <v>2027-03-30</v>
      </c>
      <c r="T48" s="99">
        <f ca="1">DATA!I27</f>
        <v>14.082272385413869</v>
      </c>
      <c r="U48" s="100"/>
      <c r="V48" s="99">
        <f ca="1">DATA!R27</f>
        <v>8.9822194902686441</v>
      </c>
      <c r="W48" s="145">
        <f ca="1">_xlfn.IFS($O$9=DATA!$T$34,CALC!H28,IPCA!$O$9=DATA!$T$33,CALC!E28/100)</f>
        <v>4.6797109831302475E-2</v>
      </c>
    </row>
    <row r="49" spans="2:23" x14ac:dyDescent="0.25">
      <c r="C49" s="15"/>
      <c r="E49" s="13"/>
      <c r="N49" s="15"/>
      <c r="R49" s="82"/>
      <c r="S49" s="101" t="str">
        <f ca="1">CALC!C29</f>
        <v>2027-04-30</v>
      </c>
      <c r="T49" s="94">
        <f ca="1">DATA!I28</f>
        <v>14.008388619537497</v>
      </c>
      <c r="U49" s="100"/>
      <c r="V49" s="94">
        <f ca="1">DATA!R28</f>
        <v>8.8331308290140367</v>
      </c>
      <c r="W49" s="146">
        <f ca="1">_xlfn.IFS($O$9=DATA!$T$34,CALC!H29,IPCA!$O$9=DATA!$T$33,CALC!E29/100)</f>
        <v>4.75522274430773E-2</v>
      </c>
    </row>
    <row r="50" spans="2:23" x14ac:dyDescent="0.25">
      <c r="B50" s="87" t="str">
        <f>CURVES!H2</f>
        <v>BD</v>
      </c>
      <c r="C50" s="87" t="str">
        <f>CURVES!I2</f>
        <v>ETTJ Pre</v>
      </c>
      <c r="D50" s="87" t="str">
        <f>CURVES!K2</f>
        <v xml:space="preserve"> ETTJ IPCA </v>
      </c>
      <c r="E50" s="87" t="str">
        <f>CURVES!M2</f>
        <v>Imp Inflation</v>
      </c>
      <c r="N50" s="15"/>
      <c r="R50" s="82"/>
      <c r="S50" s="98" t="str">
        <f ca="1">CALC!C30</f>
        <v>2027-05-28</v>
      </c>
      <c r="T50" s="99">
        <f ca="1">DATA!I29</f>
        <v>13.944271071024193</v>
      </c>
      <c r="U50" s="100"/>
      <c r="V50" s="99">
        <f ca="1">DATA!R29</f>
        <v>8.7164541884969484</v>
      </c>
      <c r="W50" s="145">
        <f ca="1">_xlfn.IFS($O$9=DATA!$T$34,CALC!H30,IPCA!$O$9=DATA!$T$33,CALC!E30/100)</f>
        <v>4.8086712554688882E-2</v>
      </c>
    </row>
    <row r="51" spans="2:23" x14ac:dyDescent="0.25">
      <c r="B51" s="101">
        <f>CURVES!H3</f>
        <v>126</v>
      </c>
      <c r="C51" s="94">
        <f>CURVES!J3</f>
        <v>15.0421</v>
      </c>
      <c r="D51" s="94">
        <f>CURVES!L3</f>
        <v>11.559799999999999</v>
      </c>
      <c r="E51" s="84">
        <f>CURVES!M3</f>
        <v>3.1214649004390305</v>
      </c>
      <c r="N51" s="15"/>
      <c r="R51" s="82"/>
      <c r="S51" s="101" t="str">
        <f ca="1">CALC!C31</f>
        <v>2027-06-30</v>
      </c>
      <c r="T51" s="94">
        <f ca="1">DATA!I30</f>
        <v>13.872</v>
      </c>
      <c r="U51" s="100"/>
      <c r="V51" s="94">
        <f ca="1">DATA!R30</f>
        <v>8.5934877164181263</v>
      </c>
      <c r="W51" s="146">
        <f ca="1">_xlfn.IFS($O$9=DATA!$T$34,CALC!H31,IPCA!$O$9=DATA!$T$33,CALC!E31/100)</f>
        <v>4.8608000300775167E-2</v>
      </c>
    </row>
    <row r="52" spans="2:23" x14ac:dyDescent="0.25">
      <c r="B52" s="98">
        <f>CURVES!H4</f>
        <v>252</v>
      </c>
      <c r="C52" s="99">
        <f>CURVES!J4</f>
        <v>14.7379</v>
      </c>
      <c r="D52" s="99">
        <f>CURVES!L4</f>
        <v>10.231</v>
      </c>
      <c r="E52" s="83">
        <f>CURVES!M4</f>
        <v>4.0885957670709683</v>
      </c>
      <c r="N52" s="15"/>
      <c r="R52" s="82"/>
      <c r="S52" s="98" t="str">
        <f ca="1">CALC!C32</f>
        <v>2027-07-30</v>
      </c>
      <c r="T52" s="99">
        <f ca="1">DATA!I31</f>
        <v>13.812353856777678</v>
      </c>
      <c r="U52" s="100"/>
      <c r="V52" s="99">
        <f ca="1">DATA!R31</f>
        <v>8.4931214332741263</v>
      </c>
      <c r="W52" s="145">
        <f ca="1">_xlfn.IFS($O$9=DATA!$T$34,CALC!H32,IPCA!$O$9=DATA!$T$33,CALC!E32/100)</f>
        <v>4.902829186986768E-2</v>
      </c>
    </row>
    <row r="53" spans="2:23" x14ac:dyDescent="0.25">
      <c r="B53" s="101">
        <f>CURVES!H5</f>
        <v>504</v>
      </c>
      <c r="C53" s="94">
        <f>CURVES!J5</f>
        <v>13.8657</v>
      </c>
      <c r="D53" s="94">
        <f>CURVES!L5</f>
        <v>8.5641999999999996</v>
      </c>
      <c r="E53" s="84">
        <f>CURVES!M5</f>
        <v>4.8832856503340905</v>
      </c>
      <c r="N53" s="15"/>
      <c r="R53" s="82"/>
      <c r="S53" s="101" t="str">
        <f ca="1">CALC!C33</f>
        <v>2027-08-30</v>
      </c>
      <c r="T53" s="94">
        <f ca="1">DATA!I32</f>
        <v>13.761008919727287</v>
      </c>
      <c r="U53" s="100"/>
      <c r="V53" s="94">
        <f ca="1">DATA!R32</f>
        <v>8.4114866914576005</v>
      </c>
      <c r="W53" s="146">
        <f ca="1">_xlfn.IFS($O$9=DATA!$T$34,CALC!H33,IPCA!$O$9=DATA!$T$33,CALC!E33/100)</f>
        <v>4.9344607213944069E-2</v>
      </c>
    </row>
    <row r="54" spans="2:23" x14ac:dyDescent="0.25">
      <c r="B54" s="98">
        <f>CURVES!H6</f>
        <v>756</v>
      </c>
      <c r="C54" s="99">
        <f>CURVES!J6</f>
        <v>13.5352</v>
      </c>
      <c r="D54" s="99">
        <f>CURVES!L6</f>
        <v>7.9858000000000002</v>
      </c>
      <c r="E54" s="83">
        <f>CURVES!M6</f>
        <v>5.1390090178523362</v>
      </c>
      <c r="M54" s="16"/>
      <c r="N54" s="16"/>
      <c r="O54" s="16"/>
      <c r="P54" s="16"/>
      <c r="Q54" s="16"/>
      <c r="R54" s="82"/>
      <c r="S54" s="98" t="str">
        <f ca="1">CALC!C34</f>
        <v>2027-09-30</v>
      </c>
      <c r="T54" s="99">
        <f ca="1">DATA!I33</f>
        <v>13.708</v>
      </c>
      <c r="U54" s="100"/>
      <c r="V54" s="99">
        <f ca="1">DATA!R33</f>
        <v>8.3391908332915268</v>
      </c>
      <c r="W54" s="145">
        <f ca="1">_xlfn.IFS($O$9=DATA!$T$34,CALC!H34,IPCA!$O$9=DATA!$T$33,CALC!E34/100)</f>
        <v>4.9555559030986407E-2</v>
      </c>
    </row>
    <row r="55" spans="2:23" x14ac:dyDescent="0.25">
      <c r="B55" s="101">
        <f>CURVES!H7</f>
        <v>1008</v>
      </c>
      <c r="C55" s="94">
        <f>CURVES!J7</f>
        <v>13.527100000000001</v>
      </c>
      <c r="D55" s="94">
        <f>CURVES!L7</f>
        <v>7.7038000000000002</v>
      </c>
      <c r="E55" s="84">
        <f>CURVES!M7</f>
        <v>5.4067730200791475</v>
      </c>
      <c r="G55" s="16"/>
      <c r="H55" s="16"/>
      <c r="I55" s="16"/>
      <c r="J55" s="16"/>
      <c r="K55" s="16"/>
      <c r="L55" s="16"/>
      <c r="M55" s="16"/>
      <c r="N55" s="16"/>
      <c r="O55" s="16"/>
      <c r="P55" s="16"/>
      <c r="Q55" s="16"/>
      <c r="S55" s="101" t="str">
        <f ca="1">CALC!C35</f>
        <v>2027-10-29</v>
      </c>
      <c r="T55" s="94">
        <f ca="1">DATA!I34</f>
        <v>13.657485912013039</v>
      </c>
      <c r="U55" s="100"/>
      <c r="V55" s="94">
        <f ca="1">DATA!R34</f>
        <v>8.2838191396672212</v>
      </c>
      <c r="W55" s="146">
        <f ca="1">_xlfn.IFS($O$9=DATA!$T$34,CALC!H35,IPCA!$O$9=DATA!$T$33,CALC!E35/100)</f>
        <v>4.9625759555217641E-2</v>
      </c>
    </row>
    <row r="56" spans="2:23" x14ac:dyDescent="0.25">
      <c r="B56" s="98">
        <f>CURVES!H8</f>
        <v>1260</v>
      </c>
      <c r="C56" s="99">
        <f>CURVES!J8</f>
        <v>13.625299999999999</v>
      </c>
      <c r="D56" s="99">
        <f>CURVES!L8</f>
        <v>7.5359999999999996</v>
      </c>
      <c r="E56" s="83">
        <f>CURVES!M8</f>
        <v>5.6625688141645369</v>
      </c>
      <c r="G56" s="16"/>
      <c r="H56" s="16"/>
      <c r="I56" s="16"/>
      <c r="J56" s="16"/>
      <c r="K56" s="16"/>
      <c r="L56" s="16"/>
      <c r="M56" s="16"/>
      <c r="N56" s="16"/>
      <c r="O56" s="16"/>
      <c r="P56" s="16"/>
      <c r="Q56" s="16"/>
      <c r="S56" s="98" t="str">
        <f ca="1">CALC!C36</f>
        <v>2027-11-30</v>
      </c>
      <c r="T56" s="99">
        <f ca="1">DATA!I35</f>
        <v>13.607479758470447</v>
      </c>
      <c r="U56" s="100"/>
      <c r="V56" s="99">
        <f ca="1">DATA!R35</f>
        <v>8.2370012447731078</v>
      </c>
      <c r="W56" s="145">
        <f ca="1">_xlfn.IFS($O$9=DATA!$T$34,CALC!H36,IPCA!$O$9=DATA!$T$33,CALC!E36/100)</f>
        <v>4.9617768895428238E-2</v>
      </c>
    </row>
    <row r="57" spans="2:23" x14ac:dyDescent="0.25">
      <c r="B57" s="101">
        <f>CURVES!H9</f>
        <v>2520</v>
      </c>
      <c r="C57" s="94" t="e">
        <f>CURVES!J9</f>
        <v>#N/A</v>
      </c>
      <c r="D57" s="94">
        <f>CURVES!L9</f>
        <v>7.1757999999999997</v>
      </c>
      <c r="E57" s="84" t="e">
        <f>CURVES!M9</f>
        <v>#N/A</v>
      </c>
      <c r="G57" s="16"/>
      <c r="H57" s="16"/>
      <c r="I57" s="16"/>
      <c r="J57" s="16"/>
      <c r="K57" s="16"/>
      <c r="L57" s="16"/>
      <c r="M57" s="16"/>
      <c r="N57" s="16"/>
      <c r="O57" s="16"/>
      <c r="S57" s="101" t="str">
        <f ca="1">CALC!C37</f>
        <v>2027-12-30</v>
      </c>
      <c r="T57" s="94">
        <f ca="1">DATA!I36</f>
        <v>13.558</v>
      </c>
      <c r="U57" s="100"/>
      <c r="V57" s="94">
        <f ca="1">DATA!R36</f>
        <v>8.1938738402769911</v>
      </c>
      <c r="W57" s="146">
        <f ca="1">_xlfn.IFS($O$9=DATA!$T$34,CALC!H37,IPCA!$O$9=DATA!$T$33,CALC!E37/100)</f>
        <v>4.9578834450847875E-2</v>
      </c>
    </row>
    <row r="58" spans="2:23" x14ac:dyDescent="0.25">
      <c r="B58" s="150" t="s">
        <v>144</v>
      </c>
      <c r="C58" s="150"/>
      <c r="D58" s="150"/>
      <c r="E58" s="150"/>
      <c r="F58" s="29"/>
      <c r="G58" s="16"/>
      <c r="H58" s="16"/>
      <c r="I58" s="16"/>
      <c r="M58" s="16"/>
      <c r="N58" s="16"/>
      <c r="O58" s="16"/>
      <c r="S58" s="98" t="str">
        <f ca="1">CALC!C38</f>
        <v>2028-01-28</v>
      </c>
      <c r="T58" s="99">
        <f ca="1">DATA!I37</f>
        <v>13.519971088843075</v>
      </c>
      <c r="U58" s="100"/>
      <c r="V58" s="99">
        <f ca="1">DATA!R37</f>
        <v>8.1593919139606506</v>
      </c>
      <c r="W58" s="145">
        <f ca="1">_xlfn.IFS($O$9=DATA!$T$34,CALC!H38,IPCA!$O$9=DATA!$T$33,CALC!E38/100)</f>
        <v>4.9561846456632308E-2</v>
      </c>
    </row>
    <row r="59" spans="2:23" x14ac:dyDescent="0.25">
      <c r="B59" s="149" t="str">
        <f>CURVES!R1</f>
        <v>SWAP PRE-DI x INFLATION SWAP</v>
      </c>
      <c r="C59" s="149"/>
      <c r="D59" s="149"/>
      <c r="E59" s="149"/>
      <c r="F59" s="16"/>
      <c r="G59" s="16"/>
      <c r="H59" s="16"/>
      <c r="I59" s="16"/>
      <c r="M59" s="16"/>
      <c r="S59" s="101" t="str">
        <f ca="1">CALC!C39</f>
        <v>2028-02-25</v>
      </c>
      <c r="T59" s="94">
        <f ca="1">DATA!I38</f>
        <v>13.491498792910228</v>
      </c>
      <c r="U59" s="100"/>
      <c r="V59" s="94">
        <f ca="1">DATA!R38</f>
        <v>8.1312633812430732</v>
      </c>
      <c r="W59" s="146">
        <f ca="1">_xlfn.IFS($O$9=DATA!$T$34,CALC!H39,IPCA!$O$9=DATA!$T$33,CALC!E39/100)</f>
        <v>4.9571560010062354E-2</v>
      </c>
    </row>
    <row r="60" spans="2:23" x14ac:dyDescent="0.25">
      <c r="C60" s="15"/>
      <c r="E60" s="13"/>
      <c r="F60" s="26"/>
      <c r="G60" s="13"/>
      <c r="H60" s="13"/>
      <c r="M60" s="16"/>
      <c r="S60" s="98" t="str">
        <f ca="1">CALC!C40</f>
        <v>2028-03-30</v>
      </c>
      <c r="T60" s="99">
        <f ca="1">DATA!I39</f>
        <v>13.466978117872603</v>
      </c>
      <c r="U60" s="100"/>
      <c r="V60" s="99">
        <f ca="1">DATA!R39</f>
        <v>8.1040992655429669</v>
      </c>
      <c r="W60" s="145">
        <f ca="1">_xlfn.IFS($O$9=DATA!$T$34,CALC!H40,IPCA!$O$9=DATA!$T$33,CALC!E40/100)</f>
        <v>4.9608468955062213E-2</v>
      </c>
    </row>
    <row r="61" spans="2:23" x14ac:dyDescent="0.25">
      <c r="B61" s="87" t="str">
        <f>CURVES!R2</f>
        <v>BD</v>
      </c>
      <c r="C61" s="87" t="str">
        <f>CURVES!S2</f>
        <v>PRE-DI</v>
      </c>
      <c r="D61" s="87" t="str">
        <f>CURVES!U2</f>
        <v>Zero Coupon</v>
      </c>
      <c r="E61" s="87" t="str">
        <f>CURVES!W2</f>
        <v>Imp Inflation</v>
      </c>
      <c r="F61" s="16"/>
      <c r="G61" s="13"/>
      <c r="H61" s="13"/>
      <c r="M61" s="16"/>
      <c r="S61" s="101" t="str">
        <f ca="1">CALC!C41</f>
        <v>2028-04-28</v>
      </c>
      <c r="T61" s="94">
        <f ca="1">DATA!I40</f>
        <v>13.450208893921888</v>
      </c>
      <c r="U61" s="100"/>
      <c r="V61" s="94">
        <f ca="1">DATA!R40</f>
        <v>8.0825735478372014</v>
      </c>
      <c r="W61" s="146">
        <f ca="1">_xlfn.IFS($O$9=DATA!$T$34,CALC!H41,IPCA!$O$9=DATA!$T$33,CALC!E41/100)</f>
        <v>4.9662356935912477E-2</v>
      </c>
    </row>
    <row r="62" spans="2:23" x14ac:dyDescent="0.25">
      <c r="B62" s="101">
        <f>CURVES!R3</f>
        <v>21</v>
      </c>
      <c r="C62" s="94">
        <f>CURVES!T3</f>
        <v>14.9054</v>
      </c>
      <c r="D62" s="94" t="str">
        <f>CURVES!V3</f>
        <v>-</v>
      </c>
      <c r="E62" s="84" t="str">
        <f>CURVES!W3</f>
        <v>-</v>
      </c>
      <c r="F62" s="16"/>
      <c r="G62" s="13"/>
      <c r="H62" s="13"/>
      <c r="M62" s="16"/>
      <c r="N62" s="15"/>
      <c r="S62" s="98" t="str">
        <f ca="1">CALC!C42</f>
        <v>2028-05-30</v>
      </c>
      <c r="T62" s="99">
        <f ca="1">DATA!I41</f>
        <v>13.436452840897507</v>
      </c>
      <c r="U62" s="100"/>
      <c r="V62" s="99">
        <f ca="1">DATA!R41</f>
        <v>8.0594972989437732</v>
      </c>
      <c r="W62" s="145">
        <f ca="1">_xlfn.IFS($O$9=DATA!$T$34,CALC!H42,IPCA!$O$9=DATA!$T$33,CALC!E42/100)</f>
        <v>4.9759212992436241E-2</v>
      </c>
    </row>
    <row r="63" spans="2:23" x14ac:dyDescent="0.25">
      <c r="B63" s="98">
        <f>CURVES!R5</f>
        <v>84</v>
      </c>
      <c r="C63" s="99">
        <f>CURVES!T5</f>
        <v>14.9514</v>
      </c>
      <c r="D63" s="99" t="str">
        <f>CURVES!V5</f>
        <v>-</v>
      </c>
      <c r="E63" s="83" t="str">
        <f>CURVES!W5</f>
        <v>-</v>
      </c>
      <c r="F63" s="16"/>
      <c r="G63" s="149" t="s">
        <v>148</v>
      </c>
      <c r="H63" s="149"/>
      <c r="I63" s="149"/>
      <c r="J63" s="149"/>
      <c r="K63" s="149"/>
      <c r="L63" s="149"/>
      <c r="M63" s="16"/>
      <c r="N63" s="151" t="s">
        <v>147</v>
      </c>
      <c r="O63" s="149"/>
      <c r="P63" s="149"/>
      <c r="Q63" s="149"/>
      <c r="S63" s="101" t="str">
        <f ca="1">CALC!C43</f>
        <v>2028-06-30</v>
      </c>
      <c r="T63" s="94">
        <f ca="1">DATA!I42</f>
        <v>13.428000000000001</v>
      </c>
      <c r="U63" s="100"/>
      <c r="V63" s="94">
        <f ca="1">DATA!R42</f>
        <v>8.0345845360928401</v>
      </c>
      <c r="W63" s="146">
        <f ca="1">_xlfn.IFS($O$9=DATA!$T$34,CALC!H43,IPCA!$O$9=DATA!$T$33,CALC!E43/100)</f>
        <v>4.9923045356880857E-2</v>
      </c>
    </row>
    <row r="64" spans="2:23" x14ac:dyDescent="0.25">
      <c r="B64" s="101">
        <f>CURVES!R6</f>
        <v>105</v>
      </c>
      <c r="C64" s="94">
        <f>CURVES!T6</f>
        <v>14.955</v>
      </c>
      <c r="D64" s="94" t="str">
        <f>CURVES!V6</f>
        <v>-</v>
      </c>
      <c r="E64" s="84" t="str">
        <f>CURVES!W6</f>
        <v>-</v>
      </c>
      <c r="F64" s="16"/>
      <c r="L64" s="15"/>
      <c r="M64" s="16"/>
      <c r="S64" s="98" t="str">
        <f ca="1">CALC!C44</f>
        <v>2028-07-28</v>
      </c>
      <c r="T64" s="99">
        <f ca="1">DATA!I43</f>
        <v>13.425550970284936</v>
      </c>
      <c r="U64" s="100"/>
      <c r="V64" s="99">
        <f ca="1">DATA!R43</f>
        <v>8.0098891514150594</v>
      </c>
      <c r="W64" s="145">
        <f ca="1">_xlfn.IFS($O$9=DATA!$T$34,CALC!H44,IPCA!$O$9=DATA!$T$33,CALC!E44/100)</f>
        <v>5.0140425672299926E-2</v>
      </c>
    </row>
    <row r="65" spans="2:23" x14ac:dyDescent="0.25">
      <c r="B65" s="98">
        <f>CURVES!R7</f>
        <v>168</v>
      </c>
      <c r="C65" s="99">
        <f>CURVES!T7</f>
        <v>14.957100000000001</v>
      </c>
      <c r="D65" s="99" t="str">
        <f>CURVES!V7</f>
        <v>-</v>
      </c>
      <c r="E65" s="83" t="str">
        <f>CURVES!W7</f>
        <v>-</v>
      </c>
      <c r="F65" s="16"/>
      <c r="G65" s="87" t="s">
        <v>39</v>
      </c>
      <c r="H65" s="87" t="s">
        <v>40</v>
      </c>
      <c r="I65" s="87" t="s">
        <v>41</v>
      </c>
      <c r="J65" s="87" t="s">
        <v>42</v>
      </c>
      <c r="K65" s="87" t="s">
        <v>43</v>
      </c>
      <c r="L65" s="87" t="s">
        <v>44</v>
      </c>
      <c r="M65" s="16"/>
      <c r="N65" s="87" t="s">
        <v>24</v>
      </c>
      <c r="O65" s="87" t="str">
        <f>T27</f>
        <v>Curve A</v>
      </c>
      <c r="P65" s="87" t="str">
        <f>V27</f>
        <v>Curve B</v>
      </c>
      <c r="Q65" s="87" t="s">
        <v>149</v>
      </c>
      <c r="S65" s="101" t="str">
        <f ca="1">CALC!C45</f>
        <v>2028-08-30</v>
      </c>
      <c r="T65" s="94">
        <f ca="1">DATA!I44</f>
        <v>13.425724022831606</v>
      </c>
      <c r="U65" s="100"/>
      <c r="V65" s="94">
        <f ca="1">DATA!R44</f>
        <v>7.9774635544175565</v>
      </c>
      <c r="W65" s="146">
        <f ca="1">_xlfn.IFS($O$9=DATA!$T$34,CALC!H45,IPCA!$O$9=DATA!$T$33,CALC!E45/100)</f>
        <v>5.0457385171566616E-2</v>
      </c>
    </row>
    <row r="66" spans="2:23" x14ac:dyDescent="0.25">
      <c r="B66" s="101">
        <f>CURVES!R9</f>
        <v>210</v>
      </c>
      <c r="C66" s="94">
        <f>CURVES!T9</f>
        <v>14.9001</v>
      </c>
      <c r="D66" s="94" t="str">
        <f>CURVES!V9</f>
        <v>-</v>
      </c>
      <c r="E66" s="84" t="str">
        <f>CURVES!W9</f>
        <v>-</v>
      </c>
      <c r="F66" s="16"/>
      <c r="G66" s="87" t="s">
        <v>40</v>
      </c>
      <c r="H66" s="88"/>
      <c r="I66" s="89">
        <f ca="1">(CALC!F55/CALC!F54)-1</f>
        <v>5.2954336775935085E-2</v>
      </c>
      <c r="J66" s="89">
        <f ca="1">(CALC!F56/CALC!F54)-1</f>
        <v>0.1083176486687083</v>
      </c>
      <c r="K66" s="89">
        <f ca="1">(CALC!F57/CALC!F54)-1</f>
        <v>0.18017471305016541</v>
      </c>
      <c r="L66" s="89">
        <f ca="1">(CALC!F58/CALC!F54)-1</f>
        <v>0.25150416352036964</v>
      </c>
      <c r="M66" s="16"/>
      <c r="N66" s="96">
        <v>110</v>
      </c>
      <c r="O66" s="99">
        <f ca="1">IFERROR(_xll.BInterpol(DATA!$G$7:$G$48, DATA!$D$7:$D$48, N66, "Cubic","Skip=True")*1,"")</f>
        <v>14.955021238406893</v>
      </c>
      <c r="P66" s="99">
        <f ca="1">IFERROR(_xll.BInterpol(DATA!$P$7:$P$48, DATA!$M$7:$M$48, N66, "Cubic","Skip=True")*1,_xll.BInterpol(FUT!$F$7:$F$28, FUT!$E$7:$E$28, N66, "Cubic","Skip=True"))</f>
        <v>10.481619725883727</v>
      </c>
      <c r="Q66" s="83">
        <f ca="1">(((1+O66%)/(1+P66%))-1)*100</f>
        <v>4.0490006605823803</v>
      </c>
      <c r="S66" s="98" t="str">
        <f ca="1">CALC!C46</f>
        <v>2028-09-29</v>
      </c>
      <c r="T66" s="99">
        <f ca="1">DATA!I45</f>
        <v>13.425000000000001</v>
      </c>
      <c r="U66" s="100"/>
      <c r="V66" s="99">
        <f ca="1">DATA!R45</f>
        <v>7.9439071239185353</v>
      </c>
      <c r="W66" s="145">
        <f ca="1">_xlfn.IFS($O$9=DATA!$T$34,CALC!H46,IPCA!$O$9=DATA!$T$33,CALC!E46/100)</f>
        <v>5.0777232565699437E-2</v>
      </c>
    </row>
    <row r="67" spans="2:23" x14ac:dyDescent="0.25">
      <c r="B67" s="98">
        <f>CURVES!R11</f>
        <v>252</v>
      </c>
      <c r="C67" s="99">
        <f>CURVES!T11</f>
        <v>14.7919</v>
      </c>
      <c r="D67" s="99" t="str">
        <f>CURVES!V11</f>
        <v>-</v>
      </c>
      <c r="E67" s="83" t="str">
        <f>CURVES!W11</f>
        <v>-</v>
      </c>
      <c r="F67" s="16"/>
      <c r="G67" s="87" t="s">
        <v>41</v>
      </c>
      <c r="H67" s="88"/>
      <c r="I67" s="88"/>
      <c r="J67" s="90">
        <f ca="1">(CALC!F56/CALC!F55)-1</f>
        <v>5.2579024520941209E-2</v>
      </c>
      <c r="K67" s="91">
        <f ca="1">(CALC!F57/CALC!F55)-1</f>
        <v>0.12082231093113638</v>
      </c>
      <c r="L67" s="91">
        <f ca="1">(CALC!F58/CALC!F55)-1</f>
        <v>0.18856451776662864</v>
      </c>
      <c r="M67" s="16"/>
      <c r="N67" s="97">
        <v>200</v>
      </c>
      <c r="O67" s="95">
        <f ca="1">IFERROR(_xll.BInterpol(DATA!$G$7:$G$48, DATA!$D$7:$D$48, N67, "Cubic","Skip=True")*1,"")</f>
        <v>14.919648348929893</v>
      </c>
      <c r="P67" s="94">
        <f ca="1">IFERROR(_xll.BInterpol(DATA!$P$7:$P$48, DATA!$M$7:$M$48, N67, "Cubic","Skip=True")*1,_xll.BInterpol(FUT!$F$7:$F$28, FUT!$E$7:$E$28, N67, "Cubic","Skip=True"))</f>
        <v>10.052060618702507</v>
      </c>
      <c r="Q67" s="84">
        <f t="shared" ref="Q67:Q69" ca="1" si="0">(((1+O67%)/(1+P67%))-1)*100</f>
        <v>4.4229864510144212</v>
      </c>
      <c r="R67" s="16"/>
      <c r="S67" s="101" t="str">
        <f ca="1">CALC!C47</f>
        <v>2028-10-30</v>
      </c>
      <c r="T67" s="94">
        <f ca="1">DATA!I46</f>
        <v>13.421113641693486</v>
      </c>
      <c r="U67" s="100"/>
      <c r="V67" s="94">
        <f ca="1">DATA!R46</f>
        <v>7.909327106720311</v>
      </c>
      <c r="W67" s="146">
        <f ca="1">_xlfn.IFS($O$9=DATA!$T$34,CALC!H47,IPCA!$O$9=DATA!$T$33,CALC!E47/100)</f>
        <v>5.1077943702884099E-2</v>
      </c>
    </row>
    <row r="68" spans="2:23" x14ac:dyDescent="0.25">
      <c r="B68" s="101">
        <f>CURVES!R12</f>
        <v>504</v>
      </c>
      <c r="C68" s="94">
        <f>CURVES!T12</f>
        <v>13.8865</v>
      </c>
      <c r="D68" s="94" t="str">
        <f>CURVES!V12</f>
        <v>-</v>
      </c>
      <c r="E68" s="84" t="str">
        <f>CURVES!W12</f>
        <v>-</v>
      </c>
      <c r="F68" s="16"/>
      <c r="G68" s="87" t="s">
        <v>42</v>
      </c>
      <c r="H68" s="88"/>
      <c r="I68" s="88"/>
      <c r="J68" s="88"/>
      <c r="K68" s="89">
        <f ca="1">(CALC!F57/CALC!F56)-1</f>
        <v>6.4834359055610635E-2</v>
      </c>
      <c r="L68" s="89">
        <f ca="1">(CALC!F58/CALC!F56)-1</f>
        <v>0.12919266874767765</v>
      </c>
      <c r="M68" s="16"/>
      <c r="N68" s="96">
        <v>230</v>
      </c>
      <c r="O68" s="99">
        <f ca="1">IFERROR(_xll.BInterpol(DATA!$G$7:$G$48, DATA!$D$7:$D$48, N68, "Cubic","Skip=True")*1,"")</f>
        <v>14.852100914180129</v>
      </c>
      <c r="P68" s="99">
        <f ca="1">IFERROR(_xll.BInterpol(DATA!$P$7:$P$48, DATA!$M$7:$M$48, N68, "Cubic","Skip=True")*1,_xll.BInterpol(FUT!$F$7:$F$28, FUT!$E$7:$E$28, N68, "Cubic","Skip=True"))</f>
        <v>9.9860521394621404</v>
      </c>
      <c r="Q68" s="83">
        <f t="shared" ca="1" si="0"/>
        <v>4.4242416925264649</v>
      </c>
      <c r="S68" s="98" t="str">
        <f ca="1">CALC!C48</f>
        <v>2029-06-29</v>
      </c>
      <c r="T68" s="99">
        <f ca="1">DATA!I47</f>
        <v>13.433</v>
      </c>
      <c r="U68" s="100"/>
      <c r="V68" s="99">
        <f ca="1">DATA!R47</f>
        <v>7.6383036121491346</v>
      </c>
      <c r="W68" s="145">
        <f ca="1">_xlfn.IFS($O$9=DATA!$T$34,CALC!H48,IPCA!$O$9=DATA!$T$33,CALC!E48/100)</f>
        <v>5.383489142239517E-2</v>
      </c>
    </row>
    <row r="69" spans="2:23" x14ac:dyDescent="0.25">
      <c r="B69" s="98">
        <f>CURVES!R13</f>
        <v>756</v>
      </c>
      <c r="C69" s="99">
        <f>CURVES!T13</f>
        <v>13.430899999999999</v>
      </c>
      <c r="D69" s="99" t="str">
        <f>CURVES!V13</f>
        <v>-</v>
      </c>
      <c r="E69" s="83" t="str">
        <f>CURVES!W13</f>
        <v>-</v>
      </c>
      <c r="F69" s="16"/>
      <c r="G69" s="87" t="s">
        <v>43</v>
      </c>
      <c r="H69" s="88"/>
      <c r="I69" s="88"/>
      <c r="J69" s="88"/>
      <c r="K69" s="88"/>
      <c r="L69" s="91">
        <f ca="1">(CALC!F58/CALC!F57)-1</f>
        <v>6.0439738016291544E-2</v>
      </c>
      <c r="M69" s="16"/>
      <c r="N69" s="97">
        <v>580</v>
      </c>
      <c r="O69" s="95">
        <f ca="1">IFERROR(_xll.BInterpol(DATA!$G$7:$G$48, DATA!$D$7:$D$48, N69, "Cubic","Skip=True")*1,"")</f>
        <v>13.69052126141902</v>
      </c>
      <c r="P69" s="94">
        <f ca="1">IFERROR(_xll.BInterpol(DATA!$P$7:$P$48, DATA!$M$7:$M$48, N69, "Cubic","Skip=True")*1,_xll.BInterpol(FUT!$F$7:$F$28, FUT!$E$7:$E$28, N69, "Cubic","Skip=True"))</f>
        <v>8.3187587312021485</v>
      </c>
      <c r="Q69" s="84">
        <f t="shared" ca="1" si="0"/>
        <v>4.95921721513366</v>
      </c>
      <c r="S69" s="101" t="str">
        <f ca="1">CALC!C49</f>
        <v>2030-06-28</v>
      </c>
      <c r="T69" s="94">
        <f ca="1">DATA!I48</f>
        <v>13.494999999999999</v>
      </c>
      <c r="U69" s="100"/>
      <c r="V69" s="94">
        <f ca="1">DATA!R48</f>
        <v>7.5442559448341466</v>
      </c>
      <c r="W69" s="146">
        <f ca="1">_xlfn.IFS($O$9=DATA!$T$34,CALC!H49,IPCA!$O$9=DATA!$T$33,CALC!E49/100)</f>
        <v>5.5332978994418136E-2</v>
      </c>
    </row>
    <row r="70" spans="2:23" x14ac:dyDescent="0.25">
      <c r="B70" s="101">
        <f>CURVES!R14</f>
        <v>1260</v>
      </c>
      <c r="C70" s="94">
        <f>CURVES!T14</f>
        <v>13.495900000000001</v>
      </c>
      <c r="D70" s="94" t="str">
        <f>CURVES!V14</f>
        <v>-</v>
      </c>
      <c r="E70" s="84" t="str">
        <f>CURVES!W14</f>
        <v>-</v>
      </c>
      <c r="F70" s="16"/>
      <c r="G70" s="93" t="s">
        <v>192</v>
      </c>
      <c r="H70" s="16"/>
      <c r="I70" s="16"/>
      <c r="J70" s="16"/>
      <c r="K70" s="16"/>
      <c r="L70" s="16"/>
      <c r="N70" s="93" t="str">
        <f ca="1">"Set your period. *Curve Reference "&amp;_xll.BQL.DATE(DATA!U6)</f>
        <v>Set your period. *Curve Reference 2025-06-20</v>
      </c>
      <c r="O70" s="16"/>
      <c r="P70" s="92"/>
      <c r="Q70" s="92"/>
      <c r="S70" s="112" t="s">
        <v>206</v>
      </c>
      <c r="T70" s="113"/>
      <c r="U70" s="113"/>
      <c r="V70" s="113"/>
      <c r="W70" s="113"/>
    </row>
    <row r="71" spans="2:23" x14ac:dyDescent="0.25">
      <c r="B71" s="98">
        <f>CURVES!R19</f>
        <v>2520</v>
      </c>
      <c r="C71" s="99">
        <f>CURVES!T19</f>
        <v>13.587199999999999</v>
      </c>
      <c r="D71" s="99" t="str">
        <f>CURVES!V19</f>
        <v>-</v>
      </c>
      <c r="E71" s="83" t="str">
        <f>CURVES!W19</f>
        <v>-</v>
      </c>
      <c r="F71" s="16"/>
      <c r="N71" s="16"/>
      <c r="O71" s="16"/>
      <c r="P71" s="16"/>
      <c r="Q71" s="16"/>
    </row>
    <row r="72" spans="2:23" x14ac:dyDescent="0.25">
      <c r="B72" s="85" t="str">
        <f>"*BRL SW BMF DI FUT x BRL Inflation Swap Zero Coupon"</f>
        <v>*BRL SW BMF DI FUT x BRL Inflation Swap Zero Coupon</v>
      </c>
      <c r="C72" s="85"/>
      <c r="D72" s="85"/>
      <c r="E72" s="85"/>
      <c r="N72" s="16"/>
      <c r="O72" s="16"/>
      <c r="P72" s="16"/>
      <c r="Q72" s="16"/>
    </row>
    <row r="73" spans="2:23" x14ac:dyDescent="0.25">
      <c r="B73" s="26"/>
      <c r="C73" s="26"/>
      <c r="D73" s="26"/>
      <c r="E73" s="26"/>
      <c r="N73" s="16"/>
      <c r="O73" s="16"/>
      <c r="P73" s="16"/>
      <c r="Q73" s="16"/>
    </row>
    <row r="74" spans="2:23" x14ac:dyDescent="0.25">
      <c r="N74" s="16"/>
      <c r="O74" s="16"/>
      <c r="P74" s="16"/>
      <c r="Q74" s="16"/>
    </row>
    <row r="76" spans="2:23" x14ac:dyDescent="0.25">
      <c r="J76" s="30"/>
    </row>
    <row r="80" spans="2:23" x14ac:dyDescent="0.25">
      <c r="F80" s="85"/>
    </row>
  </sheetData>
  <mergeCells count="33">
    <mergeCell ref="S25:W25"/>
    <mergeCell ref="S2:W2"/>
    <mergeCell ref="S4:T4"/>
    <mergeCell ref="V4:W4"/>
    <mergeCell ref="S11:W11"/>
    <mergeCell ref="S13:T13"/>
    <mergeCell ref="V13:W13"/>
    <mergeCell ref="S17:T17"/>
    <mergeCell ref="V17:W17"/>
    <mergeCell ref="S21:T21"/>
    <mergeCell ref="V21:W21"/>
    <mergeCell ref="N63:Q63"/>
    <mergeCell ref="G10:K10"/>
    <mergeCell ref="H9:K9"/>
    <mergeCell ref="H7:K7"/>
    <mergeCell ref="F5:K5"/>
    <mergeCell ref="O32:P32"/>
    <mergeCell ref="O33:P33"/>
    <mergeCell ref="O7:P7"/>
    <mergeCell ref="M7:N7"/>
    <mergeCell ref="M5:P5"/>
    <mergeCell ref="M6:P6"/>
    <mergeCell ref="M9:N9"/>
    <mergeCell ref="O9:P9"/>
    <mergeCell ref="M10:P10"/>
    <mergeCell ref="M8:P8"/>
    <mergeCell ref="B8:C8"/>
    <mergeCell ref="G6:K6"/>
    <mergeCell ref="B59:E59"/>
    <mergeCell ref="G63:L63"/>
    <mergeCell ref="B48:E48"/>
    <mergeCell ref="B58:E58"/>
    <mergeCell ref="B10:C10"/>
  </mergeCells>
  <conditionalFormatting sqref="T14:T15">
    <cfRule type="cellIs" dxfId="11" priority="1" operator="lessThan">
      <formula>0</formula>
    </cfRule>
    <cfRule type="cellIs" dxfId="10" priority="2" operator="greaterThan">
      <formula>0</formula>
    </cfRule>
  </conditionalFormatting>
  <conditionalFormatting sqref="T18:T19">
    <cfRule type="cellIs" dxfId="9" priority="9" operator="lessThan">
      <formula>0</formula>
    </cfRule>
    <cfRule type="cellIs" dxfId="8" priority="10" operator="greaterThan">
      <formula>0</formula>
    </cfRule>
  </conditionalFormatting>
  <conditionalFormatting sqref="T22:T23">
    <cfRule type="cellIs" dxfId="7" priority="5" operator="lessThan">
      <formula>0</formula>
    </cfRule>
    <cfRule type="cellIs" dxfId="6" priority="6" operator="greaterThan">
      <formula>0</formula>
    </cfRule>
  </conditionalFormatting>
  <conditionalFormatting sqref="W14:W15">
    <cfRule type="cellIs" dxfId="5" priority="13" operator="lessThan">
      <formula>0</formula>
    </cfRule>
    <cfRule type="cellIs" dxfId="4" priority="14" operator="greaterThan">
      <formula>0</formula>
    </cfRule>
  </conditionalFormatting>
  <conditionalFormatting sqref="W18:W19">
    <cfRule type="cellIs" dxfId="3" priority="7" operator="lessThan">
      <formula>0</formula>
    </cfRule>
    <cfRule type="cellIs" dxfId="2" priority="8" operator="greaterThan">
      <formula>0</formula>
    </cfRule>
  </conditionalFormatting>
  <conditionalFormatting sqref="W22:W23">
    <cfRule type="cellIs" dxfId="1" priority="3" operator="lessThan">
      <formula>0</formula>
    </cfRule>
    <cfRule type="cellIs" dxfId="0" priority="4" operator="greaterThan">
      <formula>0</formula>
    </cfRule>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4">
        <x14:dataValidation type="list" errorStyle="information" allowBlank="1" showInputMessage="1" showErrorMessage="1" errorTitle="Error" error="Curve invalid or not applicable." promptTitle="Select the curve B" prompt="Select curve to calculate the implied inflation. _x000a__x000a_*(Curve will be interpolated)." xr:uid="{5A3BF0A4-AB12-43FD-A141-276CCF0FC607}">
          <x14:formula1>
            <xm:f>DATA!$T$16:$T$18</xm:f>
          </x14:formula1>
          <xm:sqref>G9</xm:sqref>
        </x14:dataValidation>
        <x14:dataValidation type="list" allowBlank="1" showInputMessage="1" showErrorMessage="1" promptTitle="Select Curve A" prompt="Select curve to calculate the implied inflation. _x000a__x000a_*(Curve will be interpolated)." xr:uid="{40E1F298-9669-494D-A1D8-57C3E4AA8FA9}">
          <x14:formula1>
            <xm:f>DATA!$T$9:$T$10</xm:f>
          </x14:formula1>
          <xm:sqref>G7</xm:sqref>
        </x14:dataValidation>
        <x14:dataValidation type="list" allowBlank="1" showInputMessage="1" showErrorMessage="1" promptTitle="Select the tenor type:" xr:uid="{1C47C49C-E88C-407C-A2F3-98460CF7CAA9}">
          <x14:formula1>
            <xm:f>DATA!$T$26:$T$28</xm:f>
          </x14:formula1>
          <xm:sqref>O7</xm:sqref>
        </x14:dataValidation>
        <x14:dataValidation type="list" allowBlank="1" showInputMessage="1" showErrorMessage="1" promptTitle="Select the type of rate:" xr:uid="{E6844D6C-8907-428C-BE14-432B14DC5453}">
          <x14:formula1>
            <xm:f>DATA!$T$33:$T$34</xm:f>
          </x14:formula1>
          <xm:sqref>O9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BDEBB-BE2A-4C72-9972-153E3511B360}">
  <dimension ref="B1:AC61"/>
  <sheetViews>
    <sheetView showGridLines="0" showRowColHeaders="0" zoomScale="110" zoomScaleNormal="110" workbookViewId="0">
      <selection activeCell="J3" sqref="J3"/>
    </sheetView>
  </sheetViews>
  <sheetFormatPr defaultRowHeight="15" x14ac:dyDescent="0.25"/>
  <cols>
    <col min="1" max="1" width="1.7109375" style="13" customWidth="1"/>
    <col min="2" max="3" width="9.140625" style="13" customWidth="1"/>
    <col min="4" max="4" width="3.5703125" style="13" customWidth="1"/>
    <col min="5" max="5" width="11" style="13" customWidth="1"/>
    <col min="6" max="6" width="9.140625" style="13"/>
    <col min="7" max="7" width="4.140625" style="13" customWidth="1"/>
    <col min="8" max="8" width="15.140625" style="13" customWidth="1"/>
    <col min="9" max="9" width="9.140625" style="13"/>
    <col min="10" max="16" width="9.140625" style="13" customWidth="1"/>
    <col min="17" max="20" width="9.140625" style="13"/>
    <col min="21" max="21" width="12.85546875" style="13" customWidth="1"/>
    <col min="22" max="24" width="9.140625" style="13"/>
    <col min="25" max="25" width="1.85546875" style="13" customWidth="1"/>
    <col min="26" max="26" width="12" style="13" customWidth="1"/>
    <col min="27" max="255" width="9.140625" style="13"/>
    <col min="256" max="260" width="9.140625" style="13" customWidth="1"/>
    <col min="261" max="261" width="9.140625" style="13"/>
    <col min="262" max="263" width="9.140625" style="13" customWidth="1"/>
    <col min="264" max="264" width="9.140625" style="13"/>
    <col min="265" max="271" width="9.140625" style="13" customWidth="1"/>
    <col min="272" max="511" width="9.140625" style="13"/>
    <col min="512" max="516" width="9.140625" style="13" customWidth="1"/>
    <col min="517" max="517" width="9.140625" style="13"/>
    <col min="518" max="519" width="9.140625" style="13" customWidth="1"/>
    <col min="520" max="520" width="9.140625" style="13"/>
    <col min="521" max="527" width="9.140625" style="13" customWidth="1"/>
    <col min="528" max="767" width="9.140625" style="13"/>
    <col min="768" max="772" width="9.140625" style="13" customWidth="1"/>
    <col min="773" max="773" width="9.140625" style="13"/>
    <col min="774" max="775" width="9.140625" style="13" customWidth="1"/>
    <col min="776" max="776" width="9.140625" style="13"/>
    <col min="777" max="783" width="9.140625" style="13" customWidth="1"/>
    <col min="784" max="1023" width="9.140625" style="13"/>
    <col min="1024" max="1028" width="9.140625" style="13" customWidth="1"/>
    <col min="1029" max="1029" width="9.140625" style="13"/>
    <col min="1030" max="1031" width="9.140625" style="13" customWidth="1"/>
    <col min="1032" max="1032" width="9.140625" style="13"/>
    <col min="1033" max="1039" width="9.140625" style="13" customWidth="1"/>
    <col min="1040" max="1279" width="9.140625" style="13"/>
    <col min="1280" max="1284" width="9.140625" style="13" customWidth="1"/>
    <col min="1285" max="1285" width="9.140625" style="13"/>
    <col min="1286" max="1287" width="9.140625" style="13" customWidth="1"/>
    <col min="1288" max="1288" width="9.140625" style="13"/>
    <col min="1289" max="1295" width="9.140625" style="13" customWidth="1"/>
    <col min="1296" max="1535" width="9.140625" style="13"/>
    <col min="1536" max="1540" width="9.140625" style="13" customWidth="1"/>
    <col min="1541" max="1541" width="9.140625" style="13"/>
    <col min="1542" max="1543" width="9.140625" style="13" customWidth="1"/>
    <col min="1544" max="1544" width="9.140625" style="13"/>
    <col min="1545" max="1551" width="9.140625" style="13" customWidth="1"/>
    <col min="1552" max="1791" width="9.140625" style="13"/>
    <col min="1792" max="1796" width="9.140625" style="13" customWidth="1"/>
    <col min="1797" max="1797" width="9.140625" style="13"/>
    <col min="1798" max="1799" width="9.140625" style="13" customWidth="1"/>
    <col min="1800" max="1800" width="9.140625" style="13"/>
    <col min="1801" max="1807" width="9.140625" style="13" customWidth="1"/>
    <col min="1808" max="2047" width="9.140625" style="13"/>
    <col min="2048" max="2052" width="9.140625" style="13" customWidth="1"/>
    <col min="2053" max="2053" width="9.140625" style="13"/>
    <col min="2054" max="2055" width="9.140625" style="13" customWidth="1"/>
    <col min="2056" max="2056" width="9.140625" style="13"/>
    <col min="2057" max="2063" width="9.140625" style="13" customWidth="1"/>
    <col min="2064" max="2303" width="9.140625" style="13"/>
    <col min="2304" max="2308" width="9.140625" style="13" customWidth="1"/>
    <col min="2309" max="2309" width="9.140625" style="13"/>
    <col min="2310" max="2311" width="9.140625" style="13" customWidth="1"/>
    <col min="2312" max="2312" width="9.140625" style="13"/>
    <col min="2313" max="2319" width="9.140625" style="13" customWidth="1"/>
    <col min="2320" max="2559" width="9.140625" style="13"/>
    <col min="2560" max="2564" width="9.140625" style="13" customWidth="1"/>
    <col min="2565" max="2565" width="9.140625" style="13"/>
    <col min="2566" max="2567" width="9.140625" style="13" customWidth="1"/>
    <col min="2568" max="2568" width="9.140625" style="13"/>
    <col min="2569" max="2575" width="9.140625" style="13" customWidth="1"/>
    <col min="2576" max="2815" width="9.140625" style="13"/>
    <col min="2816" max="2820" width="9.140625" style="13" customWidth="1"/>
    <col min="2821" max="2821" width="9.140625" style="13"/>
    <col min="2822" max="2823" width="9.140625" style="13" customWidth="1"/>
    <col min="2824" max="2824" width="9.140625" style="13"/>
    <col min="2825" max="2831" width="9.140625" style="13" customWidth="1"/>
    <col min="2832" max="3071" width="9.140625" style="13"/>
    <col min="3072" max="3076" width="9.140625" style="13" customWidth="1"/>
    <col min="3077" max="3077" width="9.140625" style="13"/>
    <col min="3078" max="3079" width="9.140625" style="13" customWidth="1"/>
    <col min="3080" max="3080" width="9.140625" style="13"/>
    <col min="3081" max="3087" width="9.140625" style="13" customWidth="1"/>
    <col min="3088" max="3327" width="9.140625" style="13"/>
    <col min="3328" max="3332" width="9.140625" style="13" customWidth="1"/>
    <col min="3333" max="3333" width="9.140625" style="13"/>
    <col min="3334" max="3335" width="9.140625" style="13" customWidth="1"/>
    <col min="3336" max="3336" width="9.140625" style="13"/>
    <col min="3337" max="3343" width="9.140625" style="13" customWidth="1"/>
    <col min="3344" max="3583" width="9.140625" style="13"/>
    <col min="3584" max="3588" width="9.140625" style="13" customWidth="1"/>
    <col min="3589" max="3589" width="9.140625" style="13"/>
    <col min="3590" max="3591" width="9.140625" style="13" customWidth="1"/>
    <col min="3592" max="3592" width="9.140625" style="13"/>
    <col min="3593" max="3599" width="9.140625" style="13" customWidth="1"/>
    <col min="3600" max="3839" width="9.140625" style="13"/>
    <col min="3840" max="3844" width="9.140625" style="13" customWidth="1"/>
    <col min="3845" max="3845" width="9.140625" style="13"/>
    <col min="3846" max="3847" width="9.140625" style="13" customWidth="1"/>
    <col min="3848" max="3848" width="9.140625" style="13"/>
    <col min="3849" max="3855" width="9.140625" style="13" customWidth="1"/>
    <col min="3856" max="4095" width="9.140625" style="13"/>
    <col min="4096" max="4100" width="9.140625" style="13" customWidth="1"/>
    <col min="4101" max="4101" width="9.140625" style="13"/>
    <col min="4102" max="4103" width="9.140625" style="13" customWidth="1"/>
    <col min="4104" max="4104" width="9.140625" style="13"/>
    <col min="4105" max="4111" width="9.140625" style="13" customWidth="1"/>
    <col min="4112" max="4351" width="9.140625" style="13"/>
    <col min="4352" max="4356" width="9.140625" style="13" customWidth="1"/>
    <col min="4357" max="4357" width="9.140625" style="13"/>
    <col min="4358" max="4359" width="9.140625" style="13" customWidth="1"/>
    <col min="4360" max="4360" width="9.140625" style="13"/>
    <col min="4361" max="4367" width="9.140625" style="13" customWidth="1"/>
    <col min="4368" max="4607" width="9.140625" style="13"/>
    <col min="4608" max="4612" width="9.140625" style="13" customWidth="1"/>
    <col min="4613" max="4613" width="9.140625" style="13"/>
    <col min="4614" max="4615" width="9.140625" style="13" customWidth="1"/>
    <col min="4616" max="4616" width="9.140625" style="13"/>
    <col min="4617" max="4623" width="9.140625" style="13" customWidth="1"/>
    <col min="4624" max="4863" width="9.140625" style="13"/>
    <col min="4864" max="4868" width="9.140625" style="13" customWidth="1"/>
    <col min="4869" max="4869" width="9.140625" style="13"/>
    <col min="4870" max="4871" width="9.140625" style="13" customWidth="1"/>
    <col min="4872" max="4872" width="9.140625" style="13"/>
    <col min="4873" max="4879" width="9.140625" style="13" customWidth="1"/>
    <col min="4880" max="5119" width="9.140625" style="13"/>
    <col min="5120" max="5124" width="9.140625" style="13" customWidth="1"/>
    <col min="5125" max="5125" width="9.140625" style="13"/>
    <col min="5126" max="5127" width="9.140625" style="13" customWidth="1"/>
    <col min="5128" max="5128" width="9.140625" style="13"/>
    <col min="5129" max="5135" width="9.140625" style="13" customWidth="1"/>
    <col min="5136" max="5375" width="9.140625" style="13"/>
    <col min="5376" max="5380" width="9.140625" style="13" customWidth="1"/>
    <col min="5381" max="5381" width="9.140625" style="13"/>
    <col min="5382" max="5383" width="9.140625" style="13" customWidth="1"/>
    <col min="5384" max="5384" width="9.140625" style="13"/>
    <col min="5385" max="5391" width="9.140625" style="13" customWidth="1"/>
    <col min="5392" max="5631" width="9.140625" style="13"/>
    <col min="5632" max="5636" width="9.140625" style="13" customWidth="1"/>
    <col min="5637" max="5637" width="9.140625" style="13"/>
    <col min="5638" max="5639" width="9.140625" style="13" customWidth="1"/>
    <col min="5640" max="5640" width="9.140625" style="13"/>
    <col min="5641" max="5647" width="9.140625" style="13" customWidth="1"/>
    <col min="5648" max="5887" width="9.140625" style="13"/>
    <col min="5888" max="5892" width="9.140625" style="13" customWidth="1"/>
    <col min="5893" max="5893" width="9.140625" style="13"/>
    <col min="5894" max="5895" width="9.140625" style="13" customWidth="1"/>
    <col min="5896" max="5896" width="9.140625" style="13"/>
    <col min="5897" max="5903" width="9.140625" style="13" customWidth="1"/>
    <col min="5904" max="6143" width="9.140625" style="13"/>
    <col min="6144" max="6148" width="9.140625" style="13" customWidth="1"/>
    <col min="6149" max="6149" width="9.140625" style="13"/>
    <col min="6150" max="6151" width="9.140625" style="13" customWidth="1"/>
    <col min="6152" max="6152" width="9.140625" style="13"/>
    <col min="6153" max="6159" width="9.140625" style="13" customWidth="1"/>
    <col min="6160" max="6399" width="9.140625" style="13"/>
    <col min="6400" max="6404" width="9.140625" style="13" customWidth="1"/>
    <col min="6405" max="6405" width="9.140625" style="13"/>
    <col min="6406" max="6407" width="9.140625" style="13" customWidth="1"/>
    <col min="6408" max="6408" width="9.140625" style="13"/>
    <col min="6409" max="6415" width="9.140625" style="13" customWidth="1"/>
    <col min="6416" max="6655" width="9.140625" style="13"/>
    <col min="6656" max="6660" width="9.140625" style="13" customWidth="1"/>
    <col min="6661" max="6661" width="9.140625" style="13"/>
    <col min="6662" max="6663" width="9.140625" style="13" customWidth="1"/>
    <col min="6664" max="6664" width="9.140625" style="13"/>
    <col min="6665" max="6671" width="9.140625" style="13" customWidth="1"/>
    <col min="6672" max="6911" width="9.140625" style="13"/>
    <col min="6912" max="6916" width="9.140625" style="13" customWidth="1"/>
    <col min="6917" max="6917" width="9.140625" style="13"/>
    <col min="6918" max="6919" width="9.140625" style="13" customWidth="1"/>
    <col min="6920" max="6920" width="9.140625" style="13"/>
    <col min="6921" max="6927" width="9.140625" style="13" customWidth="1"/>
    <col min="6928" max="7167" width="9.140625" style="13"/>
    <col min="7168" max="7172" width="9.140625" style="13" customWidth="1"/>
    <col min="7173" max="7173" width="9.140625" style="13"/>
    <col min="7174" max="7175" width="9.140625" style="13" customWidth="1"/>
    <col min="7176" max="7176" width="9.140625" style="13"/>
    <col min="7177" max="7183" width="9.140625" style="13" customWidth="1"/>
    <col min="7184" max="7423" width="9.140625" style="13"/>
    <col min="7424" max="7428" width="9.140625" style="13" customWidth="1"/>
    <col min="7429" max="7429" width="9.140625" style="13"/>
    <col min="7430" max="7431" width="9.140625" style="13" customWidth="1"/>
    <col min="7432" max="7432" width="9.140625" style="13"/>
    <col min="7433" max="7439" width="9.140625" style="13" customWidth="1"/>
    <col min="7440" max="7679" width="9.140625" style="13"/>
    <col min="7680" max="7684" width="9.140625" style="13" customWidth="1"/>
    <col min="7685" max="7685" width="9.140625" style="13"/>
    <col min="7686" max="7687" width="9.140625" style="13" customWidth="1"/>
    <col min="7688" max="7688" width="9.140625" style="13"/>
    <col min="7689" max="7695" width="9.140625" style="13" customWidth="1"/>
    <col min="7696" max="7935" width="9.140625" style="13"/>
    <col min="7936" max="7940" width="9.140625" style="13" customWidth="1"/>
    <col min="7941" max="7941" width="9.140625" style="13"/>
    <col min="7942" max="7943" width="9.140625" style="13" customWidth="1"/>
    <col min="7944" max="7944" width="9.140625" style="13"/>
    <col min="7945" max="7951" width="9.140625" style="13" customWidth="1"/>
    <col min="7952" max="8191" width="9.140625" style="13"/>
    <col min="8192" max="8196" width="9.140625" style="13" customWidth="1"/>
    <col min="8197" max="8197" width="9.140625" style="13"/>
    <col min="8198" max="8199" width="9.140625" style="13" customWidth="1"/>
    <col min="8200" max="8200" width="9.140625" style="13"/>
    <col min="8201" max="8207" width="9.140625" style="13" customWidth="1"/>
    <col min="8208" max="8447" width="9.140625" style="13"/>
    <col min="8448" max="8452" width="9.140625" style="13" customWidth="1"/>
    <col min="8453" max="8453" width="9.140625" style="13"/>
    <col min="8454" max="8455" width="9.140625" style="13" customWidth="1"/>
    <col min="8456" max="8456" width="9.140625" style="13"/>
    <col min="8457" max="8463" width="9.140625" style="13" customWidth="1"/>
    <col min="8464" max="8703" width="9.140625" style="13"/>
    <col min="8704" max="8708" width="9.140625" style="13" customWidth="1"/>
    <col min="8709" max="8709" width="9.140625" style="13"/>
    <col min="8710" max="8711" width="9.140625" style="13" customWidth="1"/>
    <col min="8712" max="8712" width="9.140625" style="13"/>
    <col min="8713" max="8719" width="9.140625" style="13" customWidth="1"/>
    <col min="8720" max="8959" width="9.140625" style="13"/>
    <col min="8960" max="8964" width="9.140625" style="13" customWidth="1"/>
    <col min="8965" max="8965" width="9.140625" style="13"/>
    <col min="8966" max="8967" width="9.140625" style="13" customWidth="1"/>
    <col min="8968" max="8968" width="9.140625" style="13"/>
    <col min="8969" max="8975" width="9.140625" style="13" customWidth="1"/>
    <col min="8976" max="9215" width="9.140625" style="13"/>
    <col min="9216" max="9220" width="9.140625" style="13" customWidth="1"/>
    <col min="9221" max="9221" width="9.140625" style="13"/>
    <col min="9222" max="9223" width="9.140625" style="13" customWidth="1"/>
    <col min="9224" max="9224" width="9.140625" style="13"/>
    <col min="9225" max="9231" width="9.140625" style="13" customWidth="1"/>
    <col min="9232" max="9471" width="9.140625" style="13"/>
    <col min="9472" max="9476" width="9.140625" style="13" customWidth="1"/>
    <col min="9477" max="9477" width="9.140625" style="13"/>
    <col min="9478" max="9479" width="9.140625" style="13" customWidth="1"/>
    <col min="9480" max="9480" width="9.140625" style="13"/>
    <col min="9481" max="9487" width="9.140625" style="13" customWidth="1"/>
    <col min="9488" max="9727" width="9.140625" style="13"/>
    <col min="9728" max="9732" width="9.140625" style="13" customWidth="1"/>
    <col min="9733" max="9733" width="9.140625" style="13"/>
    <col min="9734" max="9735" width="9.140625" style="13" customWidth="1"/>
    <col min="9736" max="9736" width="9.140625" style="13"/>
    <col min="9737" max="9743" width="9.140625" style="13" customWidth="1"/>
    <col min="9744" max="9983" width="9.140625" style="13"/>
    <col min="9984" max="9988" width="9.140625" style="13" customWidth="1"/>
    <col min="9989" max="9989" width="9.140625" style="13"/>
    <col min="9990" max="9991" width="9.140625" style="13" customWidth="1"/>
    <col min="9992" max="9992" width="9.140625" style="13"/>
    <col min="9993" max="9999" width="9.140625" style="13" customWidth="1"/>
    <col min="10000" max="10239" width="9.140625" style="13"/>
    <col min="10240" max="10244" width="9.140625" style="13" customWidth="1"/>
    <col min="10245" max="10245" width="9.140625" style="13"/>
    <col min="10246" max="10247" width="9.140625" style="13" customWidth="1"/>
    <col min="10248" max="10248" width="9.140625" style="13"/>
    <col min="10249" max="10255" width="9.140625" style="13" customWidth="1"/>
    <col min="10256" max="10495" width="9.140625" style="13"/>
    <col min="10496" max="10500" width="9.140625" style="13" customWidth="1"/>
    <col min="10501" max="10501" width="9.140625" style="13"/>
    <col min="10502" max="10503" width="9.140625" style="13" customWidth="1"/>
    <col min="10504" max="10504" width="9.140625" style="13"/>
    <col min="10505" max="10511" width="9.140625" style="13" customWidth="1"/>
    <col min="10512" max="10751" width="9.140625" style="13"/>
    <col min="10752" max="10756" width="9.140625" style="13" customWidth="1"/>
    <col min="10757" max="10757" width="9.140625" style="13"/>
    <col min="10758" max="10759" width="9.140625" style="13" customWidth="1"/>
    <col min="10760" max="10760" width="9.140625" style="13"/>
    <col min="10761" max="10767" width="9.140625" style="13" customWidth="1"/>
    <col min="10768" max="11007" width="9.140625" style="13"/>
    <col min="11008" max="11012" width="9.140625" style="13" customWidth="1"/>
    <col min="11013" max="11013" width="9.140625" style="13"/>
    <col min="11014" max="11015" width="9.140625" style="13" customWidth="1"/>
    <col min="11016" max="11016" width="9.140625" style="13"/>
    <col min="11017" max="11023" width="9.140625" style="13" customWidth="1"/>
    <col min="11024" max="11263" width="9.140625" style="13"/>
    <col min="11264" max="11268" width="9.140625" style="13" customWidth="1"/>
    <col min="11269" max="11269" width="9.140625" style="13"/>
    <col min="11270" max="11271" width="9.140625" style="13" customWidth="1"/>
    <col min="11272" max="11272" width="9.140625" style="13"/>
    <col min="11273" max="11279" width="9.140625" style="13" customWidth="1"/>
    <col min="11280" max="11519" width="9.140625" style="13"/>
    <col min="11520" max="11524" width="9.140625" style="13" customWidth="1"/>
    <col min="11525" max="11525" width="9.140625" style="13"/>
    <col min="11526" max="11527" width="9.140625" style="13" customWidth="1"/>
    <col min="11528" max="11528" width="9.140625" style="13"/>
    <col min="11529" max="11535" width="9.140625" style="13" customWidth="1"/>
    <col min="11536" max="11775" width="9.140625" style="13"/>
    <col min="11776" max="11780" width="9.140625" style="13" customWidth="1"/>
    <col min="11781" max="11781" width="9.140625" style="13"/>
    <col min="11782" max="11783" width="9.140625" style="13" customWidth="1"/>
    <col min="11784" max="11784" width="9.140625" style="13"/>
    <col min="11785" max="11791" width="9.140625" style="13" customWidth="1"/>
    <col min="11792" max="12031" width="9.140625" style="13"/>
    <col min="12032" max="12036" width="9.140625" style="13" customWidth="1"/>
    <col min="12037" max="12037" width="9.140625" style="13"/>
    <col min="12038" max="12039" width="9.140625" style="13" customWidth="1"/>
    <col min="12040" max="12040" width="9.140625" style="13"/>
    <col min="12041" max="12047" width="9.140625" style="13" customWidth="1"/>
    <col min="12048" max="12287" width="9.140625" style="13"/>
    <col min="12288" max="12292" width="9.140625" style="13" customWidth="1"/>
    <col min="12293" max="12293" width="9.140625" style="13"/>
    <col min="12294" max="12295" width="9.140625" style="13" customWidth="1"/>
    <col min="12296" max="12296" width="9.140625" style="13"/>
    <col min="12297" max="12303" width="9.140625" style="13" customWidth="1"/>
    <col min="12304" max="12543" width="9.140625" style="13"/>
    <col min="12544" max="12548" width="9.140625" style="13" customWidth="1"/>
    <col min="12549" max="12549" width="9.140625" style="13"/>
    <col min="12550" max="12551" width="9.140625" style="13" customWidth="1"/>
    <col min="12552" max="12552" width="9.140625" style="13"/>
    <col min="12553" max="12559" width="9.140625" style="13" customWidth="1"/>
    <col min="12560" max="12799" width="9.140625" style="13"/>
    <col min="12800" max="12804" width="9.140625" style="13" customWidth="1"/>
    <col min="12805" max="12805" width="9.140625" style="13"/>
    <col min="12806" max="12807" width="9.140625" style="13" customWidth="1"/>
    <col min="12808" max="12808" width="9.140625" style="13"/>
    <col min="12809" max="12815" width="9.140625" style="13" customWidth="1"/>
    <col min="12816" max="13055" width="9.140625" style="13"/>
    <col min="13056" max="13060" width="9.140625" style="13" customWidth="1"/>
    <col min="13061" max="13061" width="9.140625" style="13"/>
    <col min="13062" max="13063" width="9.140625" style="13" customWidth="1"/>
    <col min="13064" max="13064" width="9.140625" style="13"/>
    <col min="13065" max="13071" width="9.140625" style="13" customWidth="1"/>
    <col min="13072" max="13311" width="9.140625" style="13"/>
    <col min="13312" max="13316" width="9.140625" style="13" customWidth="1"/>
    <col min="13317" max="13317" width="9.140625" style="13"/>
    <col min="13318" max="13319" width="9.140625" style="13" customWidth="1"/>
    <col min="13320" max="13320" width="9.140625" style="13"/>
    <col min="13321" max="13327" width="9.140625" style="13" customWidth="1"/>
    <col min="13328" max="13567" width="9.140625" style="13"/>
    <col min="13568" max="13572" width="9.140625" style="13" customWidth="1"/>
    <col min="13573" max="13573" width="9.140625" style="13"/>
    <col min="13574" max="13575" width="9.140625" style="13" customWidth="1"/>
    <col min="13576" max="13576" width="9.140625" style="13"/>
    <col min="13577" max="13583" width="9.140625" style="13" customWidth="1"/>
    <col min="13584" max="13823" width="9.140625" style="13"/>
    <col min="13824" max="13828" width="9.140625" style="13" customWidth="1"/>
    <col min="13829" max="13829" width="9.140625" style="13"/>
    <col min="13830" max="13831" width="9.140625" style="13" customWidth="1"/>
    <col min="13832" max="13832" width="9.140625" style="13"/>
    <col min="13833" max="13839" width="9.140625" style="13" customWidth="1"/>
    <col min="13840" max="14079" width="9.140625" style="13"/>
    <col min="14080" max="14084" width="9.140625" style="13" customWidth="1"/>
    <col min="14085" max="14085" width="9.140625" style="13"/>
    <col min="14086" max="14087" width="9.140625" style="13" customWidth="1"/>
    <col min="14088" max="14088" width="9.140625" style="13"/>
    <col min="14089" max="14095" width="9.140625" style="13" customWidth="1"/>
    <col min="14096" max="14335" width="9.140625" style="13"/>
    <col min="14336" max="14340" width="9.140625" style="13" customWidth="1"/>
    <col min="14341" max="14341" width="9.140625" style="13"/>
    <col min="14342" max="14343" width="9.140625" style="13" customWidth="1"/>
    <col min="14344" max="14344" width="9.140625" style="13"/>
    <col min="14345" max="14351" width="9.140625" style="13" customWidth="1"/>
    <col min="14352" max="14591" width="9.140625" style="13"/>
    <col min="14592" max="14596" width="9.140625" style="13" customWidth="1"/>
    <col min="14597" max="14597" width="9.140625" style="13"/>
    <col min="14598" max="14599" width="9.140625" style="13" customWidth="1"/>
    <col min="14600" max="14600" width="9.140625" style="13"/>
    <col min="14601" max="14607" width="9.140625" style="13" customWidth="1"/>
    <col min="14608" max="14847" width="9.140625" style="13"/>
    <col min="14848" max="14852" width="9.140625" style="13" customWidth="1"/>
    <col min="14853" max="14853" width="9.140625" style="13"/>
    <col min="14854" max="14855" width="9.140625" style="13" customWidth="1"/>
    <col min="14856" max="14856" width="9.140625" style="13"/>
    <col min="14857" max="14863" width="9.140625" style="13" customWidth="1"/>
    <col min="14864" max="15103" width="9.140625" style="13"/>
    <col min="15104" max="15108" width="9.140625" style="13" customWidth="1"/>
    <col min="15109" max="15109" width="9.140625" style="13"/>
    <col min="15110" max="15111" width="9.140625" style="13" customWidth="1"/>
    <col min="15112" max="15112" width="9.140625" style="13"/>
    <col min="15113" max="15119" width="9.140625" style="13" customWidth="1"/>
    <col min="15120" max="15359" width="9.140625" style="13"/>
    <col min="15360" max="15364" width="9.140625" style="13" customWidth="1"/>
    <col min="15365" max="15365" width="9.140625" style="13"/>
    <col min="15366" max="15367" width="9.140625" style="13" customWidth="1"/>
    <col min="15368" max="15368" width="9.140625" style="13"/>
    <col min="15369" max="15375" width="9.140625" style="13" customWidth="1"/>
    <col min="15376" max="15615" width="9.140625" style="13"/>
    <col min="15616" max="15620" width="9.140625" style="13" customWidth="1"/>
    <col min="15621" max="15621" width="9.140625" style="13"/>
    <col min="15622" max="15623" width="9.140625" style="13" customWidth="1"/>
    <col min="15624" max="15624" width="9.140625" style="13"/>
    <col min="15625" max="15631" width="9.140625" style="13" customWidth="1"/>
    <col min="15632" max="15871" width="9.140625" style="13"/>
    <col min="15872" max="15876" width="9.140625" style="13" customWidth="1"/>
    <col min="15877" max="15877" width="9.140625" style="13"/>
    <col min="15878" max="15879" width="9.140625" style="13" customWidth="1"/>
    <col min="15880" max="15880" width="9.140625" style="13"/>
    <col min="15881" max="15887" width="9.140625" style="13" customWidth="1"/>
    <col min="15888" max="16127" width="9.140625" style="13"/>
    <col min="16128" max="16132" width="9.140625" style="13" customWidth="1"/>
    <col min="16133" max="16133" width="9.140625" style="13"/>
    <col min="16134" max="16135" width="9.140625" style="13" customWidth="1"/>
    <col min="16136" max="16136" width="9.140625" style="13"/>
    <col min="16137" max="16143" width="9.140625" style="13" customWidth="1"/>
    <col min="16144" max="16384" width="9.140625" style="13"/>
  </cols>
  <sheetData>
    <row r="1" spans="2:29" ht="5.0999999999999996" customHeight="1" x14ac:dyDescent="0.25"/>
    <row r="2" spans="2:29" ht="15" customHeight="1" x14ac:dyDescent="0.25"/>
    <row r="3" spans="2:29" ht="15" customHeight="1" x14ac:dyDescent="0.25"/>
    <row r="4" spans="2:29" ht="15" customHeight="1" x14ac:dyDescent="0.25"/>
    <row r="7" spans="2:29" x14ac:dyDescent="0.25">
      <c r="B7" s="170" t="s">
        <v>150</v>
      </c>
      <c r="C7" s="149"/>
      <c r="D7" s="149"/>
      <c r="E7" s="149"/>
      <c r="F7" s="149"/>
      <c r="G7" s="149"/>
      <c r="H7" s="149"/>
      <c r="I7" s="149"/>
      <c r="L7" s="170" t="s">
        <v>187</v>
      </c>
      <c r="M7" s="149"/>
      <c r="N7" s="149"/>
      <c r="O7" s="149"/>
      <c r="P7" s="149"/>
    </row>
    <row r="8" spans="2:29" x14ac:dyDescent="0.25">
      <c r="L8" s="15"/>
      <c r="M8" s="15"/>
    </row>
    <row r="9" spans="2:29" x14ac:dyDescent="0.25">
      <c r="B9" s="102" t="s">
        <v>29</v>
      </c>
      <c r="C9" s="12">
        <v>45268</v>
      </c>
      <c r="D9" s="16"/>
      <c r="E9" s="102" t="s">
        <v>26</v>
      </c>
      <c r="F9" s="115" t="str">
        <f>CALC!$N$5</f>
        <v>#N/A Requesting Data...</v>
      </c>
      <c r="H9" s="102" t="s">
        <v>200</v>
      </c>
      <c r="I9" s="115">
        <f>CALC!$O$5</f>
        <v>6716.74</v>
      </c>
      <c r="L9" s="86" t="s">
        <v>162</v>
      </c>
      <c r="M9" s="153" t="str">
        <f>IPCA!H7</f>
        <v>BM&amp;F Pre x DI Curve</v>
      </c>
      <c r="N9" s="154"/>
      <c r="O9" s="154"/>
      <c r="P9" s="155"/>
    </row>
    <row r="10" spans="2:29" x14ac:dyDescent="0.25">
      <c r="B10" s="16"/>
      <c r="C10" s="17"/>
      <c r="D10" s="16"/>
      <c r="E10" s="16"/>
      <c r="F10" s="16"/>
      <c r="H10" s="16"/>
      <c r="I10" s="16"/>
      <c r="L10" s="15"/>
      <c r="M10" s="15"/>
    </row>
    <row r="11" spans="2:29" x14ac:dyDescent="0.25">
      <c r="B11" s="102" t="s">
        <v>30</v>
      </c>
      <c r="C11" s="12">
        <v>45085</v>
      </c>
      <c r="D11" s="16"/>
      <c r="E11" s="102" t="s">
        <v>26</v>
      </c>
      <c r="F11" s="115">
        <f>CALC!$V$5</f>
        <v>6665.28</v>
      </c>
      <c r="H11" s="102" t="s">
        <v>200</v>
      </c>
      <c r="I11" s="115">
        <f>CALC!$W$5</f>
        <v>6649.99</v>
      </c>
      <c r="L11" s="86" t="s">
        <v>163</v>
      </c>
      <c r="M11" s="153" t="str">
        <f>IPCA!H9</f>
        <v>ID x IPCA Spread Futures</v>
      </c>
      <c r="N11" s="154"/>
      <c r="O11" s="154"/>
      <c r="P11" s="155"/>
    </row>
    <row r="12" spans="2:29" x14ac:dyDescent="0.25">
      <c r="B12" s="169" t="s">
        <v>153</v>
      </c>
      <c r="C12" s="169"/>
      <c r="D12" s="169"/>
      <c r="E12" s="169"/>
      <c r="F12" s="169"/>
      <c r="K12" s="15"/>
      <c r="L12" s="15"/>
      <c r="P12" s="15"/>
    </row>
    <row r="13" spans="2:29" x14ac:dyDescent="0.25">
      <c r="K13" s="15"/>
      <c r="L13" s="15"/>
      <c r="P13" s="15"/>
    </row>
    <row r="14" spans="2:29" x14ac:dyDescent="0.25">
      <c r="K14" s="15"/>
      <c r="L14" s="15"/>
      <c r="P14" s="15"/>
      <c r="U14" s="149" t="s">
        <v>146</v>
      </c>
      <c r="V14" s="149"/>
      <c r="W14" s="149"/>
      <c r="X14" s="149"/>
      <c r="Y14" s="149"/>
      <c r="Z14" s="149"/>
      <c r="AA14" s="149"/>
      <c r="AB14" s="149"/>
      <c r="AC14" s="149"/>
    </row>
    <row r="15" spans="2:29" x14ac:dyDescent="0.25">
      <c r="K15" s="15"/>
      <c r="L15" s="15"/>
      <c r="P15" s="15"/>
    </row>
    <row r="16" spans="2:29" x14ac:dyDescent="0.25">
      <c r="K16" s="15"/>
      <c r="L16" s="15"/>
      <c r="P16" s="15"/>
      <c r="U16" s="166" t="str">
        <f>"A Curve as of date: "&amp;_xll.BQL.DATE(DATA!$U$4)</f>
        <v>A Curve as of date: 2023-12-08</v>
      </c>
      <c r="V16" s="167"/>
      <c r="W16" s="167"/>
      <c r="X16" s="168"/>
      <c r="Z16" s="166" t="str">
        <f>"B Curve as of date: "&amp;_xll.BQL.DATE(DATA!$U$5)</f>
        <v>B Curve as of date: 2023-06-07</v>
      </c>
      <c r="AA16" s="167"/>
      <c r="AB16" s="167"/>
      <c r="AC16" s="168"/>
    </row>
    <row r="17" spans="11:29" x14ac:dyDescent="0.25">
      <c r="K17" s="15"/>
      <c r="L17" s="15"/>
      <c r="P17" s="15"/>
    </row>
    <row r="18" spans="11:29" x14ac:dyDescent="0.25">
      <c r="K18" s="15"/>
      <c r="L18" s="15"/>
      <c r="P18" s="15"/>
      <c r="U18" s="87" t="str">
        <f>CALC!L7</f>
        <v>Tenor</v>
      </c>
      <c r="V18" s="87" t="s">
        <v>188</v>
      </c>
      <c r="W18" s="87" t="s">
        <v>189</v>
      </c>
      <c r="X18" s="87" t="s">
        <v>190</v>
      </c>
      <c r="Z18" s="87" t="str">
        <f>CALC!U7</f>
        <v>Tenor</v>
      </c>
      <c r="AA18" s="87" t="s">
        <v>188</v>
      </c>
      <c r="AB18" s="87" t="s">
        <v>189</v>
      </c>
      <c r="AC18" s="87" t="s">
        <v>190</v>
      </c>
    </row>
    <row r="19" spans="11:29" x14ac:dyDescent="0.25">
      <c r="K19" s="15"/>
      <c r="L19" s="15"/>
      <c r="P19" s="15"/>
      <c r="U19" s="98" t="str">
        <f>CALC!L8</f>
        <v>2024-01-31</v>
      </c>
      <c r="V19" s="99">
        <f>DATA!I66</f>
        <v>11.699</v>
      </c>
      <c r="W19" s="99">
        <f>DATA!R66</f>
        <v>6.7550594034504963</v>
      </c>
      <c r="X19" s="145">
        <f>_xlfn.IFS(IPCA!$O$9=DATA!$T$34,CALC!Q8,IPCA!$O$9=DATA!$T$33,CALC!N8/100)</f>
        <v>4.6311065950188635E-2</v>
      </c>
      <c r="Z19" s="98" t="str">
        <f>CALC!U8</f>
        <v>2023-07-28</v>
      </c>
      <c r="AA19" s="99">
        <f>DATA!I126</f>
        <v>13.635494695575854</v>
      </c>
      <c r="AB19" s="99">
        <f>DATA!R126</f>
        <v>12.285830482435562</v>
      </c>
      <c r="AC19" s="145">
        <f>_xlfn.IFS(IPCA!$O$9=DATA!$T$34,CALC!Z8,IPCA!$O$9=DATA!$T$33,CALC!W8/100)</f>
        <v>1.2019897856581307E-2</v>
      </c>
    </row>
    <row r="20" spans="11:29" x14ac:dyDescent="0.25">
      <c r="K20" s="15"/>
      <c r="L20" s="15"/>
      <c r="P20" s="15"/>
      <c r="U20" s="98" t="str">
        <f>CALC!L9</f>
        <v>2024-02-29</v>
      </c>
      <c r="V20" s="99">
        <f>DATA!I67</f>
        <v>11.504</v>
      </c>
      <c r="W20" s="99">
        <f>DATA!R67</f>
        <v>6.2576160158777299</v>
      </c>
      <c r="X20" s="145">
        <f>_xlfn.IFS(IPCA!$O$9=DATA!$T$34,CALC!Q9,IPCA!$O$9=DATA!$T$33,CALC!N9/100)</f>
        <v>4.9374192465774236E-2</v>
      </c>
      <c r="Z20" s="98" t="str">
        <f>CALC!U9</f>
        <v>2023-08-30</v>
      </c>
      <c r="AA20" s="99">
        <f>DATA!I127</f>
        <v>13.568858865442721</v>
      </c>
      <c r="AB20" s="99">
        <f>DATA!R127</f>
        <v>9.1070385026270451</v>
      </c>
      <c r="AC20" s="145">
        <f>_xlfn.IFS(IPCA!$O$9=DATA!$T$34,CALC!Z9,IPCA!$O$9=DATA!$T$33,CALC!W9/100)</f>
        <v>4.089397369820702E-2</v>
      </c>
    </row>
    <row r="21" spans="11:29" x14ac:dyDescent="0.25">
      <c r="K21" s="15"/>
      <c r="L21" s="15"/>
      <c r="P21" s="15"/>
      <c r="U21" s="98" t="str">
        <f>CALC!L10</f>
        <v>2024-03-28</v>
      </c>
      <c r="V21" s="99">
        <f>DATA!I68</f>
        <v>11.374000000000001</v>
      </c>
      <c r="W21" s="99">
        <f>DATA!R68</f>
        <v>6.2195967247936368</v>
      </c>
      <c r="X21" s="145">
        <f>_xlfn.IFS(IPCA!$O$9=DATA!$T$34,CALC!Q10,IPCA!$O$9=DATA!$T$33,CALC!N10/100)</f>
        <v>4.8525916442339723E-2</v>
      </c>
      <c r="Z21" s="98" t="str">
        <f>CALC!U10</f>
        <v>2023-09-29</v>
      </c>
      <c r="AA21" s="99">
        <f>DATA!I128</f>
        <v>13.484</v>
      </c>
      <c r="AB21" s="99">
        <f>DATA!R128</f>
        <v>7.7554755394591055</v>
      </c>
      <c r="AC21" s="145">
        <f>_xlfn.IFS(IPCA!$O$9=DATA!$T$34,CALC!Z10,IPCA!$O$9=DATA!$T$33,CALC!W10/100)</f>
        <v>5.316225864033397E-2</v>
      </c>
    </row>
    <row r="22" spans="11:29" x14ac:dyDescent="0.25">
      <c r="K22" s="15"/>
      <c r="L22" s="15"/>
      <c r="P22" s="15"/>
      <c r="U22" s="98" t="str">
        <f>CALC!L11</f>
        <v>2024-04-30</v>
      </c>
      <c r="V22" s="99">
        <f>DATA!I69</f>
        <v>11.199</v>
      </c>
      <c r="W22" s="99">
        <f>DATA!R69</f>
        <v>6.4582084632432384</v>
      </c>
      <c r="X22" s="145">
        <f>_xlfn.IFS(IPCA!$O$9=DATA!$T$34,CALC!Q11,IPCA!$O$9=DATA!$T$33,CALC!N11/100)</f>
        <v>4.4531949252120118E-2</v>
      </c>
      <c r="Z22" s="98" t="str">
        <f>CALC!U11</f>
        <v>2023-10-30</v>
      </c>
      <c r="AA22" s="99">
        <f>DATA!I129</f>
        <v>13.390863740201901</v>
      </c>
      <c r="AB22" s="99">
        <f>DATA!R129</f>
        <v>7.5827876059431354</v>
      </c>
      <c r="AC22" s="145">
        <f>_xlfn.IFS(IPCA!$O$9=DATA!$T$34,CALC!Z11,IPCA!$O$9=DATA!$T$33,CALC!W11/100)</f>
        <v>5.3987038851723623E-2</v>
      </c>
    </row>
    <row r="23" spans="11:29" x14ac:dyDescent="0.25">
      <c r="K23" s="15"/>
      <c r="L23" s="15"/>
      <c r="P23" s="15"/>
      <c r="U23" s="98" t="str">
        <f>CALC!L12</f>
        <v>2024-05-31</v>
      </c>
      <c r="V23" s="99">
        <f>DATA!I70</f>
        <v>11.045</v>
      </c>
      <c r="W23" s="99">
        <f>DATA!R70</f>
        <v>6.50530353261275</v>
      </c>
      <c r="X23" s="145">
        <f>_xlfn.IFS(IPCA!$O$9=DATA!$T$34,CALC!Q12,IPCA!$O$9=DATA!$T$33,CALC!N12/100)</f>
        <v>4.2624135294794474E-2</v>
      </c>
      <c r="Z23" s="98" t="str">
        <f>CALC!U12</f>
        <v>2023-11-30</v>
      </c>
      <c r="AA23" s="99">
        <f>DATA!I130</f>
        <v>13.242000000000001</v>
      </c>
      <c r="AB23" s="99">
        <f>DATA!R130</f>
        <v>8.1077528877890401</v>
      </c>
      <c r="AC23" s="145">
        <f>_xlfn.IFS(IPCA!$O$9=DATA!$T$34,CALC!Z12,IPCA!$O$9=DATA!$T$33,CALC!W12/100)</f>
        <v>4.7491941836401708E-2</v>
      </c>
    </row>
    <row r="24" spans="11:29" x14ac:dyDescent="0.25">
      <c r="K24" s="15"/>
      <c r="L24" s="15"/>
      <c r="P24" s="15"/>
      <c r="U24" s="98" t="str">
        <f>CALC!L13</f>
        <v>2024-06-28</v>
      </c>
      <c r="V24" s="99">
        <f>DATA!I71</f>
        <v>10.91</v>
      </c>
      <c r="W24" s="99">
        <f>DATA!R71</f>
        <v>6.608267757397015</v>
      </c>
      <c r="X24" s="145">
        <f>_xlfn.IFS(IPCA!$O$9=DATA!$T$34,CALC!Q13,IPCA!$O$9=DATA!$T$33,CALC!N13/100)</f>
        <v>4.0350831442006019E-2</v>
      </c>
      <c r="Z24" s="98" t="str">
        <f>CALC!U13</f>
        <v>2023-12-29</v>
      </c>
      <c r="AA24" s="99">
        <f>DATA!I131</f>
        <v>13.088493829568442</v>
      </c>
      <c r="AB24" s="99">
        <f>DATA!R131</f>
        <v>8.845641446061439</v>
      </c>
      <c r="AC24" s="145">
        <f>_xlfn.IFS(IPCA!$O$9=DATA!$T$34,CALC!Z13,IPCA!$O$9=DATA!$T$33,CALC!W13/100)</f>
        <v>3.8980452750692507E-2</v>
      </c>
    </row>
    <row r="25" spans="11:29" x14ac:dyDescent="0.25">
      <c r="K25" s="15"/>
      <c r="L25" s="15"/>
      <c r="P25" s="15"/>
      <c r="U25" s="98" t="str">
        <f>CALC!L14</f>
        <v>2024-07-31</v>
      </c>
      <c r="V25" s="99">
        <f>DATA!I72</f>
        <v>10.769</v>
      </c>
      <c r="W25" s="99">
        <f>DATA!R72</f>
        <v>6.7093396339159517</v>
      </c>
      <c r="X25" s="145">
        <f>_xlfn.IFS(IPCA!$O$9=DATA!$T$34,CALC!Q14,IPCA!$O$9=DATA!$T$33,CALC!N14/100)</f>
        <v>3.8044096046432108E-2</v>
      </c>
      <c r="Z25" s="98" t="str">
        <f>CALC!U14</f>
        <v>2024-01-30</v>
      </c>
      <c r="AA25" s="99">
        <f>DATA!I132</f>
        <v>12.931685473868905</v>
      </c>
      <c r="AB25" s="99">
        <f>DATA!R132</f>
        <v>9.423746047061961</v>
      </c>
      <c r="AC25" s="145">
        <f>_xlfn.IFS(IPCA!$O$9=DATA!$T$34,CALC!Z14,IPCA!$O$9=DATA!$T$33,CALC!W14/100)</f>
        <v>3.2058301360823549E-2</v>
      </c>
    </row>
    <row r="26" spans="11:29" x14ac:dyDescent="0.25">
      <c r="K26" s="15"/>
      <c r="L26" s="15"/>
      <c r="P26" s="15"/>
      <c r="U26" s="98" t="str">
        <f>CALC!L15</f>
        <v>2024-08-30</v>
      </c>
      <c r="V26" s="99">
        <f>DATA!I73</f>
        <v>10.664999999999999</v>
      </c>
      <c r="W26" s="99">
        <f>DATA!R73</f>
        <v>6.6917198730403316</v>
      </c>
      <c r="X26" s="145">
        <f>_xlfn.IFS(IPCA!$O$9=DATA!$T$34,CALC!Q15,IPCA!$O$9=DATA!$T$33,CALC!N15/100)</f>
        <v>3.7240754312403368E-2</v>
      </c>
      <c r="Z26" s="98" t="str">
        <f>CALC!U15</f>
        <v>2024-02-29</v>
      </c>
      <c r="AA26" s="99">
        <f>DATA!I133</f>
        <v>12.771000000000001</v>
      </c>
      <c r="AB26" s="99">
        <f>DATA!R133</f>
        <v>9.6326027788039781</v>
      </c>
      <c r="AC26" s="145">
        <f>_xlfn.IFS(IPCA!$O$9=DATA!$T$34,CALC!Z15,IPCA!$O$9=DATA!$T$33,CALC!W15/100)</f>
        <v>2.8626495601204338E-2</v>
      </c>
    </row>
    <row r="27" spans="11:29" x14ac:dyDescent="0.25">
      <c r="K27" s="15"/>
      <c r="L27" s="15"/>
      <c r="P27" s="15"/>
      <c r="U27" s="98" t="str">
        <f>CALC!L16</f>
        <v>2024-09-30</v>
      </c>
      <c r="V27" s="99">
        <f>DATA!I74</f>
        <v>10.574</v>
      </c>
      <c r="W27" s="99">
        <f>DATA!R74</f>
        <v>6.5528458811677215</v>
      </c>
      <c r="X27" s="145">
        <f>_xlfn.IFS(IPCA!$O$9=DATA!$T$34,CALC!Q16,IPCA!$O$9=DATA!$T$33,CALC!N16/100)</f>
        <v>3.7738589575700754E-2</v>
      </c>
      <c r="Z27" s="98" t="str">
        <f>CALC!U16</f>
        <v>2024-03-28</v>
      </c>
      <c r="AA27" s="99">
        <f>DATA!I134</f>
        <v>12.602</v>
      </c>
      <c r="AB27" s="99">
        <f>DATA!R134</f>
        <v>9.5700988482984304</v>
      </c>
      <c r="AC27" s="145">
        <f>_xlfn.IFS(IPCA!$O$9=DATA!$T$34,CALC!Z16,IPCA!$O$9=DATA!$T$33,CALC!W16/100)</f>
        <v>2.7670880865949599E-2</v>
      </c>
    </row>
    <row r="28" spans="11:29" x14ac:dyDescent="0.25">
      <c r="K28" s="15"/>
      <c r="L28" s="15"/>
      <c r="P28" s="15"/>
      <c r="U28" s="98" t="str">
        <f>CALC!L17</f>
        <v>2024-10-31</v>
      </c>
      <c r="V28" s="99">
        <f>DATA!I75</f>
        <v>10.487</v>
      </c>
      <c r="W28" s="99">
        <f>DATA!R75</f>
        <v>6.3199465521610323</v>
      </c>
      <c r="X28" s="145">
        <f>_xlfn.IFS(IPCA!$O$9=DATA!$T$34,CALC!Q17,IPCA!$O$9=DATA!$T$33,CALC!N17/100)</f>
        <v>3.9193524667495927E-2</v>
      </c>
      <c r="Z28" s="98" t="str">
        <f>CALC!U17</f>
        <v>2024-04-30</v>
      </c>
      <c r="AA28" s="99">
        <f>DATA!I135</f>
        <v>12.416</v>
      </c>
      <c r="AB28" s="99">
        <f>DATA!R135</f>
        <v>9.2687679247012049</v>
      </c>
      <c r="AC28" s="145">
        <f>_xlfn.IFS(IPCA!$O$9=DATA!$T$34,CALC!Z17,IPCA!$O$9=DATA!$T$33,CALC!W17/100)</f>
        <v>2.8802668274502619E-2</v>
      </c>
    </row>
    <row r="29" spans="11:29" x14ac:dyDescent="0.25">
      <c r="K29" s="15"/>
      <c r="L29" s="15"/>
      <c r="P29" s="15"/>
      <c r="U29" s="98" t="str">
        <f>CALC!L18</f>
        <v>2024-11-29</v>
      </c>
      <c r="V29" s="99">
        <f>DATA!I76</f>
        <v>10.42</v>
      </c>
      <c r="W29" s="99">
        <f>DATA!R76</f>
        <v>6.1079534368057882</v>
      </c>
      <c r="X29" s="145">
        <f>_xlfn.IFS(IPCA!$O$9=DATA!$T$34,CALC!Q18,IPCA!$O$9=DATA!$T$33,CALC!N18/100)</f>
        <v>4.0638297352161512E-2</v>
      </c>
      <c r="Z29" s="98" t="str">
        <f>CALC!U18</f>
        <v>2024-05-29</v>
      </c>
      <c r="AA29" s="99">
        <f>DATA!I136</f>
        <v>12.243511101312517</v>
      </c>
      <c r="AB29" s="99">
        <f>DATA!R136</f>
        <v>8.8568928712616337</v>
      </c>
      <c r="AC29" s="145">
        <f>_xlfn.IFS(IPCA!$O$9=DATA!$T$34,CALC!Z18,IPCA!$O$9=DATA!$T$33,CALC!W18/100)</f>
        <v>3.1110737599832294E-2</v>
      </c>
    </row>
    <row r="30" spans="11:29" x14ac:dyDescent="0.25">
      <c r="K30" s="15"/>
      <c r="L30" s="15"/>
      <c r="P30" s="15"/>
      <c r="U30" s="98" t="str">
        <f>CALC!L19</f>
        <v>2024-12-31</v>
      </c>
      <c r="V30" s="99">
        <f>DATA!I77</f>
        <v>10.356591054229654</v>
      </c>
      <c r="W30" s="99">
        <f>DATA!R77</f>
        <v>5.8994528375696396</v>
      </c>
      <c r="X30" s="145">
        <f>_xlfn.IFS(IPCA!$O$9=DATA!$T$34,CALC!Q19,IPCA!$O$9=DATA!$T$33,CALC!N19/100)</f>
        <v>4.2088397033518854E-2</v>
      </c>
      <c r="Z30" s="98" t="str">
        <f>CALC!U19</f>
        <v>2024-06-28</v>
      </c>
      <c r="AA30" s="99">
        <f>DATA!I137</f>
        <v>12.070527694689439</v>
      </c>
      <c r="AB30" s="99">
        <f>DATA!R137</f>
        <v>8.3595856221795568</v>
      </c>
      <c r="AC30" s="145">
        <f>_xlfn.IFS(IPCA!$O$9=DATA!$T$34,CALC!Z19,IPCA!$O$9=DATA!$T$33,CALC!W19/100)</f>
        <v>3.4246550973800582E-2</v>
      </c>
    </row>
    <row r="31" spans="11:29" x14ac:dyDescent="0.25">
      <c r="K31" s="15"/>
      <c r="L31" s="15"/>
      <c r="P31" s="15"/>
      <c r="U31" s="98" t="str">
        <f>CALC!L20</f>
        <v>2025-01-31</v>
      </c>
      <c r="V31" s="99">
        <f>DATA!I78</f>
        <v>10.301415001101004</v>
      </c>
      <c r="W31" s="99">
        <f>DATA!R78</f>
        <v>5.7586509820046166</v>
      </c>
      <c r="X31" s="145">
        <f>_xlfn.IFS(IPCA!$O$9=DATA!$T$34,CALC!Q20,IPCA!$O$9=DATA!$T$33,CALC!N20/100)</f>
        <v>4.2954065477531111E-2</v>
      </c>
      <c r="Z31" s="98" t="str">
        <f>CALC!U20</f>
        <v>2024-07-30</v>
      </c>
      <c r="AA31" s="99">
        <f>DATA!I138</f>
        <v>11.901826107809571</v>
      </c>
      <c r="AB31" s="99">
        <f>DATA!R138</f>
        <v>7.8514624672950752</v>
      </c>
      <c r="AC31" s="145">
        <f>_xlfn.IFS(IPCA!$O$9=DATA!$T$34,CALC!Z20,IPCA!$O$9=DATA!$T$33,CALC!W20/100)</f>
        <v>3.7555018243194738E-2</v>
      </c>
    </row>
    <row r="32" spans="11:29" x14ac:dyDescent="0.25">
      <c r="K32" s="15"/>
      <c r="L32" s="15"/>
      <c r="P32" s="15"/>
      <c r="U32" s="98" t="str">
        <f>CALC!L21</f>
        <v>2025-02-28</v>
      </c>
      <c r="V32" s="99">
        <f>DATA!I79</f>
        <v>10.258018203021638</v>
      </c>
      <c r="W32" s="99">
        <f>DATA!R79</f>
        <v>5.706639394350745</v>
      </c>
      <c r="X32" s="145">
        <f>_xlfn.IFS(IPCA!$O$9=DATA!$T$34,CALC!Q21,IPCA!$O$9=DATA!$T$33,CALC!N21/100)</f>
        <v>4.3056697618504947E-2</v>
      </c>
      <c r="Z32" s="98" t="str">
        <f>CALC!U21</f>
        <v>2024-08-30</v>
      </c>
      <c r="AA32" s="99">
        <f>DATA!I139</f>
        <v>11.73838172346956</v>
      </c>
      <c r="AB32" s="99">
        <f>DATA!R139</f>
        <v>7.4274459908661852</v>
      </c>
      <c r="AC32" s="145">
        <f>_xlfn.IFS(IPCA!$O$9=DATA!$T$34,CALC!Z21,IPCA!$O$9=DATA!$T$33,CALC!W21/100)</f>
        <v>4.0128811523360008E-2</v>
      </c>
    </row>
    <row r="33" spans="2:29" x14ac:dyDescent="0.25">
      <c r="K33" s="15"/>
      <c r="L33" s="15"/>
      <c r="P33" s="15"/>
      <c r="U33" s="98" t="str">
        <f>CALC!L22</f>
        <v>2025-03-31</v>
      </c>
      <c r="V33" s="99">
        <f>DATA!I80</f>
        <v>10.220000000000001</v>
      </c>
      <c r="W33" s="99">
        <f>DATA!R80</f>
        <v>5.7049564866730655</v>
      </c>
      <c r="X33" s="145">
        <f>_xlfn.IFS(IPCA!$O$9=DATA!$T$34,CALC!Q22,IPCA!$O$9=DATA!$T$33,CALC!N22/100)</f>
        <v>4.2713640527312302E-2</v>
      </c>
      <c r="Z33" s="98" t="str">
        <f>CALC!U22</f>
        <v>2024-09-30</v>
      </c>
      <c r="AA33" s="99">
        <f>DATA!I140</f>
        <v>11.6</v>
      </c>
      <c r="AB33" s="99">
        <f>DATA!R140</f>
        <v>7.1632036600356424</v>
      </c>
      <c r="AC33" s="145">
        <f>_xlfn.IFS(IPCA!$O$9=DATA!$T$34,CALC!Z22,IPCA!$O$9=DATA!$T$33,CALC!W22/100)</f>
        <v>4.1402236853982588E-2</v>
      </c>
    </row>
    <row r="34" spans="2:29" x14ac:dyDescent="0.25">
      <c r="K34" s="15"/>
      <c r="L34" s="15"/>
      <c r="P34" s="15"/>
      <c r="U34" s="98" t="str">
        <f>CALC!L23</f>
        <v>2025-04-30</v>
      </c>
      <c r="V34" s="99">
        <f>DATA!I81</f>
        <v>10.181703496342818</v>
      </c>
      <c r="W34" s="99">
        <f>DATA!R81</f>
        <v>5.7329825849509408</v>
      </c>
      <c r="X34" s="145">
        <f>_xlfn.IFS(IPCA!$O$9=DATA!$T$34,CALC!Q23,IPCA!$O$9=DATA!$T$33,CALC!N23/100)</f>
        <v>4.2075053617423253E-2</v>
      </c>
      <c r="Z34" s="98" t="str">
        <f>CALC!U23</f>
        <v>2024-10-30</v>
      </c>
      <c r="AA34" s="99">
        <f>DATA!I141</f>
        <v>11.46615947881479</v>
      </c>
      <c r="AB34" s="99">
        <f>DATA!R141</f>
        <v>6.9844560008992769</v>
      </c>
      <c r="AC34" s="145">
        <f>_xlfn.IFS(IPCA!$O$9=DATA!$T$34,CALC!Z23,IPCA!$O$9=DATA!$T$33,CALC!W23/100)</f>
        <v>4.189116480508015E-2</v>
      </c>
    </row>
    <row r="35" spans="2:29" x14ac:dyDescent="0.25">
      <c r="K35" s="15"/>
      <c r="L35" s="15"/>
      <c r="P35" s="15"/>
      <c r="U35" s="98" t="str">
        <f>CALC!L24</f>
        <v>2025-05-30</v>
      </c>
      <c r="V35" s="99">
        <f>DATA!I82</f>
        <v>10.146535766399513</v>
      </c>
      <c r="W35" s="99">
        <f>DATA!R82</f>
        <v>5.75</v>
      </c>
      <c r="X35" s="145">
        <f>_xlfn.IFS(IPCA!$O$9=DATA!$T$34,CALC!Q24,IPCA!$O$9=DATA!$T$33,CALC!N24/100)</f>
        <v>4.1574806301650336E-2</v>
      </c>
      <c r="Z35" s="98" t="str">
        <f>CALC!U24</f>
        <v>2024-11-29</v>
      </c>
      <c r="AA35" s="99">
        <f>DATA!I142</f>
        <v>11.356800634931357</v>
      </c>
      <c r="AB35" s="99">
        <f>DATA!R142</f>
        <v>6.8835272968285164</v>
      </c>
      <c r="AC35" s="145">
        <f>_xlfn.IFS(IPCA!$O$9=DATA!$T$34,CALC!Z24,IPCA!$O$9=DATA!$T$33,CALC!W24/100)</f>
        <v>4.1851849870935043E-2</v>
      </c>
    </row>
    <row r="36" spans="2:29" x14ac:dyDescent="0.25">
      <c r="K36" s="15"/>
      <c r="L36" s="15"/>
      <c r="P36" s="15"/>
      <c r="U36" s="98" t="str">
        <f>CALC!L25</f>
        <v>2025-06-30</v>
      </c>
      <c r="V36" s="99">
        <f>DATA!I83</f>
        <v>10.122</v>
      </c>
      <c r="W36" s="99">
        <f>DATA!R83</f>
        <v>5.75</v>
      </c>
      <c r="X36" s="145">
        <f>_xlfn.IFS(IPCA!$O$9=DATA!$T$34,CALC!Q25,IPCA!$O$9=DATA!$T$33,CALC!N25/100)</f>
        <v>4.1342789598108665E-2</v>
      </c>
      <c r="Z36" s="98" t="str">
        <f>CALC!U25</f>
        <v>2024-12-30</v>
      </c>
      <c r="AA36" s="99">
        <f>DATA!I143</f>
        <v>11.262</v>
      </c>
      <c r="AB36" s="99">
        <f>DATA!R143</f>
        <v>6.8173180483243305</v>
      </c>
      <c r="AC36" s="145">
        <f>_xlfn.IFS(IPCA!$O$9=DATA!$T$34,CALC!Z25,IPCA!$O$9=DATA!$T$33,CALC!W25/100)</f>
        <v>4.161012495806049E-2</v>
      </c>
    </row>
    <row r="37" spans="2:29" x14ac:dyDescent="0.25">
      <c r="K37" s="15"/>
      <c r="L37" s="15"/>
      <c r="P37" s="15"/>
      <c r="U37" s="98" t="str">
        <f>CALC!L26</f>
        <v>2025-07-31</v>
      </c>
      <c r="V37" s="99">
        <f>DATA!I84</f>
        <v>10.106861324411591</v>
      </c>
      <c r="W37" s="99">
        <f>DATA!R84</f>
        <v>5.75</v>
      </c>
      <c r="X37" s="145">
        <f>_xlfn.IFS(IPCA!$O$9=DATA!$T$34,CALC!Q26,IPCA!$O$9=DATA!$T$33,CALC!N26/100)</f>
        <v>4.1199634273395569E-2</v>
      </c>
      <c r="Z37" s="98" t="str">
        <f>CALC!U26</f>
        <v>2025-01-30</v>
      </c>
      <c r="AA37" s="99">
        <f>DATA!I144</f>
        <v>11.175871736385441</v>
      </c>
      <c r="AB37" s="99">
        <f>DATA!R144</f>
        <v>6.79</v>
      </c>
      <c r="AC37" s="145">
        <f>_xlfn.IFS(IPCA!$O$9=DATA!$T$34,CALC!Z26,IPCA!$O$9=DATA!$T$33,CALC!W26/100)</f>
        <v>4.1070060271424458E-2</v>
      </c>
    </row>
    <row r="38" spans="2:29" x14ac:dyDescent="0.25">
      <c r="K38" s="15"/>
      <c r="L38" s="15"/>
      <c r="P38" s="15"/>
      <c r="U38" s="98" t="str">
        <f>CALC!L27</f>
        <v>2025-08-29</v>
      </c>
      <c r="V38" s="99">
        <f>DATA!I85</f>
        <v>10.097779667847544</v>
      </c>
      <c r="W38" s="99">
        <f>DATA!R85</f>
        <v>5.75</v>
      </c>
      <c r="X38" s="145">
        <f>_xlfn.IFS(IPCA!$O$9=DATA!$T$34,CALC!Q27,IPCA!$O$9=DATA!$T$33,CALC!N27/100)</f>
        <v>4.1113755724326628E-2</v>
      </c>
      <c r="Z38" s="98" t="str">
        <f>CALC!U27</f>
        <v>2025-02-28</v>
      </c>
      <c r="AA38" s="99">
        <f>DATA!I145</f>
        <v>11.105886235647036</v>
      </c>
      <c r="AB38" s="99">
        <f>DATA!R145</f>
        <v>6.79</v>
      </c>
      <c r="AC38" s="145">
        <f>_xlfn.IFS(IPCA!$O$9=DATA!$T$34,CALC!Z27,IPCA!$O$9=DATA!$T$33,CALC!W27/100)</f>
        <v>4.0414703957739828E-2</v>
      </c>
    </row>
    <row r="39" spans="2:29" x14ac:dyDescent="0.25">
      <c r="K39" s="15"/>
      <c r="L39" s="15"/>
      <c r="P39" s="15"/>
      <c r="U39" s="98" t="str">
        <f>CALC!L28</f>
        <v>2025-09-30</v>
      </c>
      <c r="V39" s="99">
        <f>DATA!I86</f>
        <v>10.083</v>
      </c>
      <c r="W39" s="99">
        <f>DATA!R86</f>
        <v>5.75</v>
      </c>
      <c r="X39" s="145">
        <f>_xlfn.IFS(IPCA!$O$9=DATA!$T$34,CALC!Q28,IPCA!$O$9=DATA!$T$33,CALC!N28/100)</f>
        <v>4.0973995271867514E-2</v>
      </c>
      <c r="Z39" s="98" t="str">
        <f>CALC!U28</f>
        <v>2025-03-28</v>
      </c>
      <c r="AA39" s="99">
        <f>DATA!I146</f>
        <v>11.050081525312041</v>
      </c>
      <c r="AB39" s="99">
        <f>DATA!R146</f>
        <v>6.79</v>
      </c>
      <c r="AC39" s="145">
        <f>_xlfn.IFS(IPCA!$O$9=DATA!$T$34,CALC!Z28,IPCA!$O$9=DATA!$T$33,CALC!W28/100)</f>
        <v>3.9892139014065187E-2</v>
      </c>
    </row>
    <row r="40" spans="2:29" x14ac:dyDescent="0.25">
      <c r="K40" s="15"/>
      <c r="L40" s="15"/>
      <c r="P40" s="15"/>
      <c r="U40" s="98" t="str">
        <f>CALC!L29</f>
        <v>2025-10-31</v>
      </c>
      <c r="V40" s="99">
        <f>DATA!I87</f>
        <v>10.055150654678705</v>
      </c>
      <c r="W40" s="99">
        <f>DATA!R87</f>
        <v>5.75</v>
      </c>
      <c r="X40" s="145">
        <f>_xlfn.IFS(IPCA!$O$9=DATA!$T$34,CALC!Q29,IPCA!$O$9=DATA!$T$33,CALC!N29/100)</f>
        <v>4.0710644488687331E-2</v>
      </c>
      <c r="Z40" s="98" t="str">
        <f>CALC!U29</f>
        <v>2025-04-30</v>
      </c>
      <c r="AA40" s="99">
        <f>DATA!I147</f>
        <v>10.98543412535386</v>
      </c>
      <c r="AB40" s="99">
        <f>DATA!R147</f>
        <v>6.79</v>
      </c>
      <c r="AC40" s="145">
        <f>_xlfn.IFS(IPCA!$O$9=DATA!$T$34,CALC!Z29,IPCA!$O$9=DATA!$T$33,CALC!W29/100)</f>
        <v>3.9286769597844939E-2</v>
      </c>
    </row>
    <row r="41" spans="2:29" x14ac:dyDescent="0.25">
      <c r="K41" s="15"/>
      <c r="L41" s="15"/>
      <c r="P41" s="15"/>
      <c r="U41" s="98" t="str">
        <f>CALC!L30</f>
        <v>2025-11-28</v>
      </c>
      <c r="V41" s="99">
        <f>DATA!I88</f>
        <v>10.029793036839749</v>
      </c>
      <c r="W41" s="99">
        <f>DATA!R88</f>
        <v>5.75</v>
      </c>
      <c r="X41" s="145">
        <f>_xlfn.IFS(IPCA!$O$9=DATA!$T$34,CALC!Q30,IPCA!$O$9=DATA!$T$33,CALC!N30/100)</f>
        <v>4.0470856140328415E-2</v>
      </c>
      <c r="Z41" s="98" t="str">
        <f>CALC!U30</f>
        <v>2025-05-30</v>
      </c>
      <c r="AA41" s="99">
        <f>DATA!I148</f>
        <v>10.924042589779328</v>
      </c>
      <c r="AB41" s="99">
        <f>DATA!R148</f>
        <v>6.79</v>
      </c>
      <c r="AC41" s="145">
        <f>_xlfn.IFS(IPCA!$O$9=DATA!$T$34,CALC!Z30,IPCA!$O$9=DATA!$T$33,CALC!W30/100)</f>
        <v>3.8711888657920301E-2</v>
      </c>
    </row>
    <row r="42" spans="2:29" x14ac:dyDescent="0.25">
      <c r="K42" s="15"/>
      <c r="L42" s="15"/>
      <c r="P42" s="15"/>
      <c r="U42" s="98" t="str">
        <f>CALC!L31</f>
        <v>2025-12-31</v>
      </c>
      <c r="V42" s="99">
        <f>DATA!I89</f>
        <v>10.009455310846333</v>
      </c>
      <c r="W42" s="99">
        <f>DATA!R89</f>
        <v>5.75</v>
      </c>
      <c r="X42" s="145">
        <f>_xlfn.IFS(IPCA!$O$9=DATA!$T$34,CALC!Q31,IPCA!$O$9=DATA!$T$33,CALC!N31/100)</f>
        <v>4.0278537218404908E-2</v>
      </c>
      <c r="Z42" s="98" t="str">
        <f>CALC!U31</f>
        <v>2025-06-30</v>
      </c>
      <c r="AA42" s="99">
        <f>DATA!I149</f>
        <v>10.872999999999999</v>
      </c>
      <c r="AB42" s="99">
        <f>DATA!R149</f>
        <v>6.79</v>
      </c>
      <c r="AC42" s="145">
        <f>_xlfn.IFS(IPCA!$O$9=DATA!$T$34,CALC!Z31,IPCA!$O$9=DATA!$T$33,CALC!W31/100)</f>
        <v>3.8233917033430043E-2</v>
      </c>
    </row>
    <row r="43" spans="2:29" x14ac:dyDescent="0.25">
      <c r="K43" s="15"/>
      <c r="L43" s="15"/>
      <c r="P43" s="15"/>
      <c r="U43" s="98" t="str">
        <f>CALC!L32</f>
        <v>2026-01-30</v>
      </c>
      <c r="V43" s="99">
        <f>DATA!I90</f>
        <v>10.006732774196832</v>
      </c>
      <c r="W43" s="99">
        <f>DATA!R90</f>
        <v>5.75</v>
      </c>
      <c r="X43" s="145">
        <f>_xlfn.IFS(IPCA!$O$9=DATA!$T$34,CALC!Q32,IPCA!$O$9=DATA!$T$33,CALC!N32/100)</f>
        <v>4.0252792190986542E-2</v>
      </c>
      <c r="Z43" s="98" t="str">
        <f>CALC!U32</f>
        <v>2025-07-30</v>
      </c>
      <c r="AA43" s="99">
        <f>DATA!I150</f>
        <v>10.828090160510985</v>
      </c>
      <c r="AB43" s="99">
        <f>DATA!R150</f>
        <v>6.79</v>
      </c>
      <c r="AC43" s="145">
        <f>_xlfn.IFS(IPCA!$O$9=DATA!$T$34,CALC!Z32,IPCA!$O$9=DATA!$T$33,CALC!W32/100)</f>
        <v>3.7813373541632833E-2</v>
      </c>
    </row>
    <row r="44" spans="2:29" x14ac:dyDescent="0.25">
      <c r="K44" s="15"/>
      <c r="L44" s="15"/>
      <c r="P44" s="15"/>
      <c r="U44" s="98" t="str">
        <f>CALC!L33</f>
        <v>2026-02-27</v>
      </c>
      <c r="V44" s="99">
        <f>DATA!I91</f>
        <v>10.013637418505184</v>
      </c>
      <c r="W44" s="99">
        <f>DATA!R91</f>
        <v>5.75</v>
      </c>
      <c r="X44" s="145">
        <f>_xlfn.IFS(IPCA!$O$9=DATA!$T$34,CALC!Q33,IPCA!$O$9=DATA!$T$33,CALC!N33/100)</f>
        <v>4.031808433574624E-2</v>
      </c>
      <c r="Z44" s="98" t="str">
        <f>CALC!U33</f>
        <v>2025-08-29</v>
      </c>
      <c r="AA44" s="99">
        <f>DATA!I151</f>
        <v>10.789581367251593</v>
      </c>
      <c r="AB44" s="99">
        <f>DATA!R151</f>
        <v>6.79</v>
      </c>
      <c r="AC44" s="145">
        <f>_xlfn.IFS(IPCA!$O$9=DATA!$T$34,CALC!Z33,IPCA!$O$9=DATA!$T$33,CALC!W33/100)</f>
        <v>3.7452770552032888E-2</v>
      </c>
    </row>
    <row r="45" spans="2:29" x14ac:dyDescent="0.25">
      <c r="B45" s="116" t="str">
        <f>"*annualized rate spread: (Date 1: "&amp;_xll.BQL.DATE(DATA!U4)&amp;" - Date 2: "&amp;_xll.BQL.DATE(DATA!U5)&amp;")"</f>
        <v>*annualized rate spread: (Date 1: 2023-12-08 - Date 2: 2023-06-07)</v>
      </c>
      <c r="K45" s="15"/>
      <c r="L45" s="15"/>
      <c r="P45" s="15"/>
      <c r="U45" s="98" t="str">
        <f>CALC!L34</f>
        <v>2026-03-31</v>
      </c>
      <c r="V45" s="99">
        <f>DATA!I92</f>
        <v>10.026</v>
      </c>
      <c r="W45" s="99">
        <f>DATA!R92</f>
        <v>5.75</v>
      </c>
      <c r="X45" s="145">
        <f>_xlfn.IFS(IPCA!$O$9=DATA!$T$34,CALC!Q34,IPCA!$O$9=DATA!$T$33,CALC!N34/100)</f>
        <v>4.043498817966884E-2</v>
      </c>
      <c r="Z45" s="98" t="str">
        <f>CALC!U34</f>
        <v>2025-09-30</v>
      </c>
      <c r="AA45" s="99">
        <f>DATA!I152</f>
        <v>10.75</v>
      </c>
      <c r="AB45" s="99">
        <f>DATA!R152</f>
        <v>6.79</v>
      </c>
      <c r="AC45" s="145">
        <f>_xlfn.IFS(IPCA!$O$9=DATA!$T$34,CALC!Z34,IPCA!$O$9=DATA!$T$33,CALC!W34/100)</f>
        <v>3.7082123794362598E-2</v>
      </c>
    </row>
    <row r="46" spans="2:29" x14ac:dyDescent="0.25">
      <c r="K46" s="15"/>
      <c r="L46" s="15"/>
      <c r="P46" s="15"/>
      <c r="U46" s="98" t="str">
        <f>CALC!L35</f>
        <v>2026-04-30</v>
      </c>
      <c r="V46" s="99">
        <f>DATA!I93</f>
        <v>10.03538391529611</v>
      </c>
      <c r="W46" s="99">
        <f>DATA!R93</f>
        <v>5.75</v>
      </c>
      <c r="X46" s="145">
        <f>_xlfn.IFS(IPCA!$O$9=DATA!$T$34,CALC!Q35,IPCA!$O$9=DATA!$T$33,CALC!N35/100)</f>
        <v>4.0523724967338914E-2</v>
      </c>
      <c r="Z46" s="98" t="str">
        <f>CALC!U35</f>
        <v>2025-10-30</v>
      </c>
      <c r="AA46" s="99">
        <f>DATA!I153</f>
        <v>10.704909015931356</v>
      </c>
      <c r="AB46" s="99">
        <f>DATA!R153</f>
        <v>6.79</v>
      </c>
      <c r="AC46" s="145">
        <f>_xlfn.IFS(IPCA!$O$9=DATA!$T$34,CALC!Z35,IPCA!$O$9=DATA!$T$33,CALC!W35/100)</f>
        <v>3.6659884033442669E-2</v>
      </c>
    </row>
    <row r="47" spans="2:29" x14ac:dyDescent="0.25">
      <c r="K47" s="85"/>
      <c r="L47" s="15"/>
      <c r="P47" s="15"/>
      <c r="U47" s="98" t="str">
        <f>CALC!L36</f>
        <v>2026-05-29</v>
      </c>
      <c r="V47" s="99">
        <f>DATA!I94</f>
        <v>10.043948095243779</v>
      </c>
      <c r="W47" s="99">
        <f>DATA!R94</f>
        <v>5.75</v>
      </c>
      <c r="X47" s="145">
        <f>_xlfn.IFS(IPCA!$O$9=DATA!$T$34,CALC!Q36,IPCA!$O$9=DATA!$T$33,CALC!N36/100)</f>
        <v>4.060471012050848E-2</v>
      </c>
      <c r="Z47" s="98" t="str">
        <f>CALC!U36</f>
        <v>2025-11-28</v>
      </c>
      <c r="AA47" s="99">
        <f>DATA!I154</f>
        <v>10.665543426463982</v>
      </c>
      <c r="AB47" s="99">
        <f>DATA!R154</f>
        <v>6.79</v>
      </c>
      <c r="AC47" s="145">
        <f>_xlfn.IFS(IPCA!$O$9=DATA!$T$34,CALC!Z36,IPCA!$O$9=DATA!$T$33,CALC!W36/100)</f>
        <v>3.6291257856203352E-2</v>
      </c>
    </row>
    <row r="48" spans="2:29" x14ac:dyDescent="0.25">
      <c r="L48" s="85"/>
      <c r="P48" s="15"/>
      <c r="U48" s="98" t="str">
        <f>CALC!L37</f>
        <v>2026-06-30</v>
      </c>
      <c r="V48" s="99">
        <f>DATA!I95</f>
        <v>10.055</v>
      </c>
      <c r="W48" s="99">
        <f>DATA!R95</f>
        <v>5.75</v>
      </c>
      <c r="X48" s="145">
        <f>_xlfn.IFS(IPCA!$O$9=DATA!$T$34,CALC!Q37,IPCA!$O$9=DATA!$T$33,CALC!N37/100)</f>
        <v>4.0709219858155787E-2</v>
      </c>
      <c r="Z48" s="98" t="str">
        <f>CALC!U37</f>
        <v>2025-12-30</v>
      </c>
      <c r="AA48" s="99">
        <f>DATA!I155</f>
        <v>10.635</v>
      </c>
      <c r="AB48" s="99">
        <f>DATA!R155</f>
        <v>6.79</v>
      </c>
      <c r="AC48" s="145">
        <f>_xlfn.IFS(IPCA!$O$9=DATA!$T$34,CALC!Z37,IPCA!$O$9=DATA!$T$33,CALC!W37/100)</f>
        <v>3.6005243936698017E-2</v>
      </c>
    </row>
    <row r="49" spans="11:29" x14ac:dyDescent="0.25">
      <c r="K49" s="15"/>
      <c r="L49" s="15"/>
      <c r="P49" s="15"/>
      <c r="U49" s="98" t="str">
        <f>CALC!L38</f>
        <v>2026-07-31</v>
      </c>
      <c r="V49" s="99">
        <f>DATA!I96</f>
        <v>10.071435303209597</v>
      </c>
      <c r="W49" s="99">
        <f>DATA!R96</f>
        <v>5.75</v>
      </c>
      <c r="X49" s="145">
        <f>_xlfn.IFS(IPCA!$O$9=DATA!$T$34,CALC!Q38,IPCA!$O$9=DATA!$T$33,CALC!N38/100)</f>
        <v>4.0864636436970025E-2</v>
      </c>
      <c r="Z49" s="98" t="str">
        <f>CALC!U38</f>
        <v>2026-01-30</v>
      </c>
      <c r="AA49" s="99">
        <f>DATA!I156</f>
        <v>10.621376330681002</v>
      </c>
      <c r="AB49" s="99">
        <f>DATA!R156</f>
        <v>6.79</v>
      </c>
      <c r="AC49" s="145">
        <f>_xlfn.IFS(IPCA!$O$9=DATA!$T$34,CALC!Z38,IPCA!$O$9=DATA!$T$33,CALC!W38/100)</f>
        <v>3.5877669544723378E-2</v>
      </c>
    </row>
    <row r="50" spans="11:29" x14ac:dyDescent="0.25">
      <c r="K50" s="15"/>
      <c r="L50" s="15"/>
      <c r="P50" s="15"/>
      <c r="U50" s="98" t="str">
        <f>CALC!L39</f>
        <v>2026-08-31</v>
      </c>
      <c r="V50" s="99">
        <f>DATA!I97</f>
        <v>10.086588502276863</v>
      </c>
      <c r="W50" s="99">
        <f>DATA!R97</f>
        <v>5.75</v>
      </c>
      <c r="X50" s="145">
        <f>_xlfn.IFS(IPCA!$O$9=DATA!$T$34,CALC!Q39,IPCA!$O$9=DATA!$T$33,CALC!N39/100)</f>
        <v>4.1007929099544649E-2</v>
      </c>
      <c r="Z50" s="98" t="str">
        <f>CALC!U39</f>
        <v>2026-02-27</v>
      </c>
      <c r="AA50" s="99">
        <f>DATA!I157</f>
        <v>10.619572426712736</v>
      </c>
      <c r="AB50" s="99">
        <f>DATA!R157</f>
        <v>6.79</v>
      </c>
      <c r="AC50" s="145">
        <f>_xlfn.IFS(IPCA!$O$9=DATA!$T$34,CALC!Z39,IPCA!$O$9=DATA!$T$33,CALC!W39/100)</f>
        <v>3.5860777476474759E-2</v>
      </c>
    </row>
    <row r="51" spans="11:29" x14ac:dyDescent="0.25">
      <c r="K51" s="15"/>
      <c r="L51" s="15"/>
      <c r="P51" s="15"/>
      <c r="U51" s="98" t="str">
        <f>CALC!L40</f>
        <v>2026-09-30</v>
      </c>
      <c r="V51" s="99">
        <f>DATA!I98</f>
        <v>10.097</v>
      </c>
      <c r="W51" s="99">
        <f>DATA!R98</f>
        <v>5.75</v>
      </c>
      <c r="X51" s="145">
        <f>_xlfn.IFS(IPCA!$O$9=DATA!$T$34,CALC!Q40,IPCA!$O$9=DATA!$T$33,CALC!N40/100)</f>
        <v>4.1106382978723266E-2</v>
      </c>
      <c r="Z51" s="98" t="str">
        <f>CALC!U40</f>
        <v>2026-03-30</v>
      </c>
      <c r="AA51" s="99">
        <f>DATA!I158</f>
        <v>10.620049642452679</v>
      </c>
      <c r="AB51" s="99">
        <f>DATA!R158</f>
        <v>6.79</v>
      </c>
      <c r="AC51" s="145">
        <f>_xlfn.IFS(IPCA!$O$9=DATA!$T$34,CALC!Z40,IPCA!$O$9=DATA!$T$33,CALC!W40/100)</f>
        <v>3.5865246207066992E-2</v>
      </c>
    </row>
    <row r="52" spans="11:29" x14ac:dyDescent="0.25">
      <c r="U52" s="98" t="str">
        <f>CALC!L41</f>
        <v>2026-10-30</v>
      </c>
      <c r="V52" s="99">
        <f>DATA!I99</f>
        <v>10.100080873742122</v>
      </c>
      <c r="W52" s="99">
        <f>DATA!R99</f>
        <v>5.75</v>
      </c>
      <c r="X52" s="145">
        <f>_xlfn.IFS(IPCA!$O$9=DATA!$T$34,CALC!Q41,IPCA!$O$9=DATA!$T$33,CALC!N41/100)</f>
        <v>4.1135516536568328E-2</v>
      </c>
      <c r="Z52" s="98" t="str">
        <f>CALC!U41</f>
        <v>2026-04-30</v>
      </c>
      <c r="AA52" s="99">
        <f>DATA!I159</f>
        <v>10.616865007637498</v>
      </c>
      <c r="AB52" s="99">
        <f>DATA!R159</f>
        <v>6.79</v>
      </c>
      <c r="AC52" s="145">
        <f>_xlfn.IFS(IPCA!$O$9=DATA!$T$34,CALC!Z41,IPCA!$O$9=DATA!$T$33,CALC!W41/100)</f>
        <v>3.583542473674961E-2</v>
      </c>
    </row>
    <row r="53" spans="11:29" x14ac:dyDescent="0.25">
      <c r="U53" s="98" t="str">
        <f>CALC!L42</f>
        <v>2026-11-30</v>
      </c>
      <c r="V53" s="99">
        <f>DATA!I100</f>
        <v>10.101484659023177</v>
      </c>
      <c r="W53" s="99">
        <f>DATA!R100</f>
        <v>5.75</v>
      </c>
      <c r="X53" s="145">
        <f>_xlfn.IFS(IPCA!$O$9=DATA!$T$34,CALC!Q42,IPCA!$O$9=DATA!$T$33,CALC!N42/100)</f>
        <v>4.1148791101873972E-2</v>
      </c>
      <c r="Z53" s="98" t="str">
        <f>CALC!U42</f>
        <v>2026-05-29</v>
      </c>
      <c r="AA53" s="99">
        <f>DATA!I160</f>
        <v>10.612886509810702</v>
      </c>
      <c r="AB53" s="99">
        <f>DATA!R160</f>
        <v>6.79</v>
      </c>
      <c r="AC53" s="145">
        <f>_xlfn.IFS(IPCA!$O$9=DATA!$T$34,CALC!Z42,IPCA!$O$9=DATA!$T$33,CALC!W42/100)</f>
        <v>3.5798169396110913E-2</v>
      </c>
    </row>
    <row r="54" spans="11:29" x14ac:dyDescent="0.25">
      <c r="U54" s="98" t="str">
        <f>CALC!L43</f>
        <v>2026-12-31</v>
      </c>
      <c r="V54" s="99">
        <f>DATA!I101</f>
        <v>10.109645711419319</v>
      </c>
      <c r="W54" s="99">
        <f>DATA!R101</f>
        <v>5.75</v>
      </c>
      <c r="X54" s="145">
        <f>_xlfn.IFS(IPCA!$O$9=DATA!$T$34,CALC!Q43,IPCA!$O$9=DATA!$T$33,CALC!N43/100)</f>
        <v>4.1225964174177898E-2</v>
      </c>
      <c r="Z54" s="98" t="str">
        <f>CALC!U43</f>
        <v>2026-06-30</v>
      </c>
      <c r="AA54" s="99">
        <f>DATA!I161</f>
        <v>10.613</v>
      </c>
      <c r="AB54" s="99">
        <f>DATA!R161</f>
        <v>6.79</v>
      </c>
      <c r="AC54" s="145">
        <f>_xlfn.IFS(IPCA!$O$9=DATA!$T$34,CALC!Z43,IPCA!$O$9=DATA!$T$33,CALC!W43/100)</f>
        <v>3.5799232137840642E-2</v>
      </c>
    </row>
    <row r="55" spans="11:29" x14ac:dyDescent="0.25">
      <c r="U55" s="98" t="str">
        <f>CALC!L44</f>
        <v>2027-01-29</v>
      </c>
      <c r="V55" s="99">
        <f>DATA!I102</f>
        <v>10.128228793321476</v>
      </c>
      <c r="W55" s="99">
        <f>DATA!R102</f>
        <v>5.75</v>
      </c>
      <c r="X55" s="145">
        <f>_xlfn.IFS(IPCA!$O$9=DATA!$T$34,CALC!Q44,IPCA!$O$9=DATA!$T$33,CALC!N44/100)</f>
        <v>4.1401690716987849E-2</v>
      </c>
      <c r="Z55" s="98" t="str">
        <f>CALC!U44</f>
        <v>2026-07-30</v>
      </c>
      <c r="AA55" s="99">
        <f>DATA!I162</f>
        <v>10.621489194896416</v>
      </c>
      <c r="AB55" s="99">
        <f>DATA!R162</f>
        <v>6.79</v>
      </c>
      <c r="AC55" s="145">
        <f>_xlfn.IFS(IPCA!$O$9=DATA!$T$34,CALC!Z44,IPCA!$O$9=DATA!$T$33,CALC!W44/100)</f>
        <v>3.5878726424725116E-2</v>
      </c>
    </row>
    <row r="56" spans="11:29" x14ac:dyDescent="0.25">
      <c r="U56" s="98" t="str">
        <f>CALC!L45</f>
        <v>2027-02-26</v>
      </c>
      <c r="V56" s="99">
        <f>DATA!I103</f>
        <v>10.151126632191703</v>
      </c>
      <c r="W56" s="99">
        <f>DATA!R103</f>
        <v>5.75</v>
      </c>
      <c r="X56" s="145">
        <f>_xlfn.IFS(IPCA!$O$9=DATA!$T$34,CALC!Q45,IPCA!$O$9=DATA!$T$33,CALC!N45/100)</f>
        <v>4.1618218744129631E-2</v>
      </c>
      <c r="Z56" s="98" t="str">
        <f>CALC!U45</f>
        <v>2026-08-28</v>
      </c>
      <c r="AA56" s="99">
        <f>DATA!I163</f>
        <v>10.633077652246898</v>
      </c>
      <c r="AB56" s="99">
        <f>DATA!R163</f>
        <v>6.79</v>
      </c>
      <c r="AC56" s="145">
        <f>_xlfn.IFS(IPCA!$O$9=DATA!$T$34,CALC!Z45,IPCA!$O$9=DATA!$T$33,CALC!W45/100)</f>
        <v>3.5987242740395997E-2</v>
      </c>
    </row>
    <row r="57" spans="11:29" x14ac:dyDescent="0.25">
      <c r="U57" s="98" t="str">
        <f>CALC!L46</f>
        <v>2027-03-31</v>
      </c>
      <c r="V57" s="99">
        <f>DATA!I104</f>
        <v>10.180999999999999</v>
      </c>
      <c r="W57" s="99">
        <f>DATA!R104</f>
        <v>5.75</v>
      </c>
      <c r="X57" s="145">
        <f>_xlfn.IFS(IPCA!$O$9=DATA!$T$34,CALC!Q46,IPCA!$O$9=DATA!$T$33,CALC!N46/100)</f>
        <v>4.1900709219858001E-2</v>
      </c>
      <c r="Z57" s="98" t="str">
        <f>CALC!U46</f>
        <v>2026-09-30</v>
      </c>
      <c r="AA57" s="99">
        <f>DATA!I164</f>
        <v>10.641999999999999</v>
      </c>
      <c r="AB57" s="99">
        <f>DATA!R164</f>
        <v>6.79</v>
      </c>
      <c r="AC57" s="145">
        <f>_xlfn.IFS(IPCA!$O$9=DATA!$T$34,CALC!Z46,IPCA!$O$9=DATA!$T$33,CALC!W46/100)</f>
        <v>3.6070793145425384E-2</v>
      </c>
    </row>
    <row r="58" spans="11:29" x14ac:dyDescent="0.25">
      <c r="U58" s="98" t="str">
        <f>CALC!L47</f>
        <v>2027-04-30</v>
      </c>
      <c r="V58" s="99">
        <f>DATA!I105</f>
        <v>10.206439760855174</v>
      </c>
      <c r="W58" s="99">
        <f>DATA!R105</f>
        <v>5.75</v>
      </c>
      <c r="X58" s="145">
        <f>_xlfn.IFS(IPCA!$O$9=DATA!$T$34,CALC!Q47,IPCA!$O$9=DATA!$T$33,CALC!N47/100)</f>
        <v>4.2141274334327905E-2</v>
      </c>
      <c r="Z58" s="98" t="str">
        <f>CALC!U47</f>
        <v>2026-10-30</v>
      </c>
      <c r="AA58" s="99">
        <f>DATA!I165</f>
        <v>10.643164037099037</v>
      </c>
      <c r="AB58" s="99">
        <f>DATA!R165</f>
        <v>6.79</v>
      </c>
      <c r="AC58" s="145">
        <f>_xlfn.IFS(IPCA!$O$9=DATA!$T$34,CALC!Z47,IPCA!$O$9=DATA!$T$33,CALC!W47/100)</f>
        <v>3.6081693389821368E-2</v>
      </c>
    </row>
    <row r="59" spans="11:29" x14ac:dyDescent="0.25">
      <c r="U59" s="98" t="str">
        <f>CALC!L48</f>
        <v>2027-12-31</v>
      </c>
      <c r="V59" s="99">
        <f>DATA!I106</f>
        <v>10.368862537639943</v>
      </c>
      <c r="W59" s="99">
        <f>DATA!R106</f>
        <v>5.75</v>
      </c>
      <c r="X59" s="145">
        <f>_xlfn.IFS(IPCA!$O$9=DATA!$T$34,CALC!Q48,IPCA!$O$9=DATA!$T$33,CALC!N48/100)</f>
        <v>4.3677187117162397E-2</v>
      </c>
      <c r="Z59" s="98" t="str">
        <f>CALC!U48</f>
        <v>2027-06-30</v>
      </c>
      <c r="AA59" s="99">
        <f>DATA!I166</f>
        <v>10.728999999999999</v>
      </c>
      <c r="AB59" s="99">
        <f>DATA!R166</f>
        <v>6.79</v>
      </c>
      <c r="AC59" s="145">
        <f>_xlfn.IFS(IPCA!$O$9=DATA!$T$34,CALC!Z48,IPCA!$O$9=DATA!$T$33,CALC!W48/100)</f>
        <v>3.6885476168180276E-2</v>
      </c>
    </row>
    <row r="60" spans="11:29" x14ac:dyDescent="0.25">
      <c r="U60" s="98" t="str">
        <f>CALC!L49</f>
        <v>2028-12-29</v>
      </c>
      <c r="V60" s="99">
        <f>DATA!I107</f>
        <v>10.54258820068328</v>
      </c>
      <c r="W60" s="99">
        <f>DATA!R107</f>
        <v>5.75</v>
      </c>
      <c r="X60" s="145">
        <f>_xlfn.IFS(IPCA!$O$9=DATA!$T$34,CALC!Q49,IPCA!$O$9=DATA!$T$33,CALC!N49/100)</f>
        <v>4.531998298518447E-2</v>
      </c>
      <c r="Z60" s="98" t="str">
        <f>CALC!U49</f>
        <v>2028-06-30</v>
      </c>
      <c r="AA60" s="99">
        <f>DATA!I167</f>
        <v>10.869322668484738</v>
      </c>
      <c r="AB60" s="99">
        <f>DATA!R167</f>
        <v>6.79</v>
      </c>
      <c r="AC60" s="145">
        <f>_xlfn.IFS(IPCA!$O$9=DATA!$T$34,CALC!Z49,IPCA!$O$9=DATA!$T$33,CALC!W49/100)</f>
        <v>3.8199481866136642E-2</v>
      </c>
    </row>
    <row r="61" spans="11:29" x14ac:dyDescent="0.25">
      <c r="U61" s="85" t="s">
        <v>145</v>
      </c>
      <c r="V61" s="85"/>
      <c r="W61" s="85"/>
      <c r="X61" s="85"/>
      <c r="Y61" s="85"/>
      <c r="Z61" s="85" t="s">
        <v>145</v>
      </c>
      <c r="AA61" s="85"/>
      <c r="AB61" s="85"/>
      <c r="AC61" s="85"/>
    </row>
  </sheetData>
  <mergeCells count="8">
    <mergeCell ref="U16:X16"/>
    <mergeCell ref="Z16:AC16"/>
    <mergeCell ref="B12:F12"/>
    <mergeCell ref="U14:AC14"/>
    <mergeCell ref="B7:I7"/>
    <mergeCell ref="L7:P7"/>
    <mergeCell ref="M9:P9"/>
    <mergeCell ref="M11:P1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89C46-3C45-47A3-840F-60022ACE6770}">
  <dimension ref="B1:Z45"/>
  <sheetViews>
    <sheetView showGridLines="0" workbookViewId="0">
      <selection activeCell="X4" sqref="X4:X45"/>
    </sheetView>
  </sheetViews>
  <sheetFormatPr defaultRowHeight="15" x14ac:dyDescent="0.25"/>
  <cols>
    <col min="2" max="2" width="11.28515625" bestFit="1" customWidth="1"/>
    <col min="3" max="3" width="9.42578125" bestFit="1" customWidth="1"/>
    <col min="4" max="4" width="4.7109375" bestFit="1" customWidth="1"/>
    <col min="5" max="5" width="5" bestFit="1" customWidth="1"/>
    <col min="6" max="6" width="10.7109375" bestFit="1" customWidth="1"/>
    <col min="7" max="7" width="5" bestFit="1" customWidth="1"/>
    <col min="8" max="8" width="10.7109375" bestFit="1" customWidth="1"/>
    <col min="11" max="11" width="11.28515625" bestFit="1" customWidth="1"/>
    <col min="12" max="12" width="8.7109375" bestFit="1" customWidth="1"/>
    <col min="13" max="13" width="4.7109375" bestFit="1" customWidth="1"/>
    <col min="14" max="14" width="5" bestFit="1" customWidth="1"/>
    <col min="15" max="15" width="10.7109375" bestFit="1" customWidth="1"/>
    <col min="16" max="16" width="5" bestFit="1" customWidth="1"/>
    <col min="17" max="17" width="10.7109375" bestFit="1" customWidth="1"/>
    <col min="20" max="20" width="11.28515625" bestFit="1" customWidth="1"/>
    <col min="21" max="21" width="8.42578125" bestFit="1" customWidth="1"/>
    <col min="22" max="22" width="4.7109375" bestFit="1" customWidth="1"/>
    <col min="23" max="23" width="5" bestFit="1" customWidth="1"/>
    <col min="24" max="24" width="10.7109375" bestFit="1" customWidth="1"/>
    <col min="25" max="25" width="5" bestFit="1" customWidth="1"/>
    <col min="26" max="26" width="10.7109375" bestFit="1" customWidth="1"/>
  </cols>
  <sheetData>
    <row r="1" spans="2:26" x14ac:dyDescent="0.25">
      <c r="B1" s="41" t="s">
        <v>23</v>
      </c>
      <c r="C1" s="103">
        <f ca="1">DATA!$U$6</f>
        <v>45828</v>
      </c>
      <c r="K1" s="41" t="s">
        <v>23</v>
      </c>
      <c r="L1" s="103">
        <f>DATA!$U$4</f>
        <v>45268</v>
      </c>
      <c r="T1" s="41" t="s">
        <v>23</v>
      </c>
      <c r="U1" s="103">
        <f>DATA!$U$5</f>
        <v>45084</v>
      </c>
    </row>
    <row r="2" spans="2:26" ht="15.75" thickBot="1" x14ac:dyDescent="0.3"/>
    <row r="3" spans="2:26" ht="15.75" thickBot="1" x14ac:dyDescent="0.3">
      <c r="B3" s="65" t="s">
        <v>204</v>
      </c>
      <c r="C3" s="171" t="s">
        <v>203</v>
      </c>
      <c r="D3" s="172"/>
      <c r="E3" s="171" t="s">
        <v>202</v>
      </c>
      <c r="F3" s="172"/>
      <c r="G3" s="171" t="s">
        <v>205</v>
      </c>
      <c r="H3" s="172"/>
      <c r="K3" s="65" t="s">
        <v>204</v>
      </c>
      <c r="L3" s="171" t="s">
        <v>203</v>
      </c>
      <c r="M3" s="172"/>
      <c r="N3" s="171" t="s">
        <v>202</v>
      </c>
      <c r="O3" s="172"/>
      <c r="P3" s="171" t="s">
        <v>205</v>
      </c>
      <c r="Q3" s="172"/>
      <c r="T3" s="65" t="s">
        <v>204</v>
      </c>
      <c r="U3" s="171" t="s">
        <v>203</v>
      </c>
      <c r="V3" s="172"/>
      <c r="W3" s="171" t="s">
        <v>202</v>
      </c>
      <c r="X3" s="172"/>
      <c r="Y3" s="171" t="s">
        <v>205</v>
      </c>
      <c r="Z3" s="172"/>
    </row>
    <row r="4" spans="2:26" x14ac:dyDescent="0.25">
      <c r="B4" s="136">
        <v>1</v>
      </c>
      <c r="C4" s="134">
        <v>21</v>
      </c>
      <c r="D4" s="43" t="s">
        <v>0</v>
      </c>
      <c r="E4" s="3">
        <f ca="1">IFERROR(_xll.BCOUNTPERIODS($C$1,F4,"CDR=BZ")*1,"")</f>
        <v>17</v>
      </c>
      <c r="F4" s="137" t="str" cm="1">
        <f t="array" aca="1" ref="F4" ca="1">_xll.BQL.DATE(_xll.BADDPERIODS(DATE(YEAR($C$1),MONTH($C$1),DAY(15)),"NUMBEROFPERIODS",B4,"PER=M","CDR=BZ","BusDayAdj=-1"))</f>
        <v>2025-07-15</v>
      </c>
      <c r="G4" s="3">
        <f ca="1">IFERROR(_xll.BCOUNTPERIODS($C$1,H4,"CDR=BZ")*1,"")</f>
        <v>28</v>
      </c>
      <c r="H4" s="137" t="str" cm="1">
        <f t="array" aca="1" ref="H4" ca="1">_xll.BQL.DATE(_xll.BADDPERIODS(EOMONTH($C$1,0),"NUMBEROFPERIODS",B4,"PER=M","CDR=BZ","BusDayAdj=2"))</f>
        <v>2025-07-30</v>
      </c>
      <c r="I4" s="34"/>
      <c r="K4" s="136">
        <v>1</v>
      </c>
      <c r="L4" s="134">
        <v>21</v>
      </c>
      <c r="M4" s="43" t="s">
        <v>0</v>
      </c>
      <c r="N4" s="3">
        <f>IFERROR(_xll.BCOUNTPERIODS($L$1,O4,"CDR=BZ")*1,"")</f>
        <v>24</v>
      </c>
      <c r="O4" s="137" t="str" cm="1">
        <f t="array" ref="O4">_xll.BQL.DATE(_xll.BADDPERIODS(DATE(YEAR($L$1),MONTH($L$1),DAY(15)),"NUMBEROFPERIODS",K4,"PER=M","CDR=BZ","BusDayAdj=-1"))</f>
        <v>2024-01-15</v>
      </c>
      <c r="P4" s="3">
        <f>IFERROR(_xll.BCOUNTPERIODS($L$1,Q4,"CDR=BZ")*1,"")</f>
        <v>36</v>
      </c>
      <c r="Q4" s="137" t="str" cm="1">
        <f t="array" ref="Q4">_xll.BQL.DATE(_xll.BADDPERIODS(EOMONTH($L$1,0),"NUMBEROFPERIODS",K4,"PER=M","CDR=BZ","BusDayAdj=2"))</f>
        <v>2024-01-31</v>
      </c>
      <c r="T4" s="136">
        <v>1</v>
      </c>
      <c r="U4" s="134">
        <v>21</v>
      </c>
      <c r="V4" s="43" t="s">
        <v>0</v>
      </c>
      <c r="W4" s="3">
        <f>IFERROR(_xll.BCOUNTPERIODS($U$1,X4,"CDR=BZ")*1,"")</f>
        <v>27</v>
      </c>
      <c r="X4" s="137" t="str" cm="1">
        <f t="array" ref="X4">_xll.BQL.DATE(_xll.BADDPERIODS(DATE(YEAR($U$1),MONTH($U$1),DAY(15)),"NUMBEROFPERIODS",T4,"PER=M","CDR=BZ","BusDayAdj=-1"))</f>
        <v>2023-07-17</v>
      </c>
      <c r="Y4" s="3">
        <f>IFERROR(_xll.BCOUNTPERIODS($U$1,Z4,"CDR=BZ")*1,"")</f>
        <v>36</v>
      </c>
      <c r="Z4" s="137" t="str" cm="1">
        <f t="array" ref="Z4">_xll.BQL.DATE(_xll.BADDPERIODS(EOMONTH($U$1,0),"NUMBEROFPERIODS",T4,"PER=M","CDR=BZ","BusDayAdj=2"))</f>
        <v>2023-07-28</v>
      </c>
    </row>
    <row r="5" spans="2:26" x14ac:dyDescent="0.25">
      <c r="B5" s="136">
        <v>2</v>
      </c>
      <c r="C5" s="134">
        <v>42</v>
      </c>
      <c r="D5" s="43" t="s">
        <v>1</v>
      </c>
      <c r="E5" s="3">
        <f ca="1">IFERROR(_xll.BCOUNTPERIODS($C$1,F5,"CDR=BZ")*1,"")</f>
        <v>40</v>
      </c>
      <c r="F5" s="137" t="str" cm="1">
        <f t="array" aca="1" ref="F5" ca="1">_xll.BQL.DATE(_xll.BADDPERIODS(DATE(YEAR($C$1),MONTH($C$1),DAY(15)),"NUMBEROFPERIODS",B5,"PER=M","CDR=BZ","BusDayAdj=-1"))</f>
        <v>2025-08-15</v>
      </c>
      <c r="G5" s="3">
        <f ca="1">IFERROR(_xll.BCOUNTPERIODS($C$1,H5,"CDR=BZ")*1,"")</f>
        <v>50</v>
      </c>
      <c r="H5" s="137" t="str" cm="1">
        <f t="array" aca="1" ref="H5" ca="1">_xll.BQL.DATE(_xll.BADDPERIODS(EOMONTH($C$1,0),"NUMBEROFPERIODS",B5,"PER=M","CDR=BZ","BusDayAdj=2"))</f>
        <v>2025-08-29</v>
      </c>
      <c r="K5" s="136">
        <v>2</v>
      </c>
      <c r="L5" s="134">
        <v>42</v>
      </c>
      <c r="M5" s="43" t="s">
        <v>1</v>
      </c>
      <c r="N5" s="3">
        <f>IFERROR(_xll.BCOUNTPERIODS($L$1,O5,"CDR=BZ")*1,"")</f>
        <v>45</v>
      </c>
      <c r="O5" s="137" t="str" cm="1">
        <f t="array" ref="O5">_xll.BQL.DATE(_xll.BADDPERIODS(DATE(YEAR($L$1),MONTH($L$1),DAY(15)),"NUMBEROFPERIODS",K5,"PER=M","CDR=BZ","BusDayAdj=-1"))</f>
        <v>2024-02-15</v>
      </c>
      <c r="P5" s="3">
        <f>IFERROR(_xll.BCOUNTPERIODS($L$1,Q5,"CDR=BZ")*1,"")</f>
        <v>55</v>
      </c>
      <c r="Q5" s="137" t="str" cm="1">
        <f t="array" ref="Q5">_xll.BQL.DATE(_xll.BADDPERIODS(EOMONTH($L$1,0),"NUMBEROFPERIODS",K5,"PER=M","CDR=BZ","BusDayAdj=2"))</f>
        <v>2024-02-29</v>
      </c>
      <c r="T5" s="136">
        <v>2</v>
      </c>
      <c r="U5" s="134">
        <v>42</v>
      </c>
      <c r="V5" s="43" t="s">
        <v>1</v>
      </c>
      <c r="W5" s="3">
        <f>IFERROR(_xll.BCOUNTPERIODS($U$1,X5,"CDR=BZ")*1,"")</f>
        <v>48</v>
      </c>
      <c r="X5" s="137" t="str" cm="1">
        <f t="array" ref="X5">_xll.BQL.DATE(_xll.BADDPERIODS(DATE(YEAR($U$1),MONTH($U$1),DAY(15)),"NUMBEROFPERIODS",T5,"PER=M","CDR=BZ","BusDayAdj=-1"))</f>
        <v>2023-08-15</v>
      </c>
      <c r="Y5" s="3">
        <f>IFERROR(_xll.BCOUNTPERIODS($U$1,Z5,"CDR=BZ")*1,"")</f>
        <v>59</v>
      </c>
      <c r="Z5" s="137" t="str" cm="1">
        <f t="array" ref="Z5">_xll.BQL.DATE(_xll.BADDPERIODS(EOMONTH($U$1,0),"NUMBEROFPERIODS",T5,"PER=M","CDR=BZ","BusDayAdj=2"))</f>
        <v>2023-08-30</v>
      </c>
    </row>
    <row r="6" spans="2:26" x14ac:dyDescent="0.25">
      <c r="B6" s="136">
        <v>3</v>
      </c>
      <c r="C6" s="134">
        <v>63</v>
      </c>
      <c r="D6" s="43" t="s">
        <v>2</v>
      </c>
      <c r="E6" s="3">
        <f ca="1">IFERROR(_xll.BCOUNTPERIODS($C$1,F6,"CDR=BZ")*1,"")</f>
        <v>61</v>
      </c>
      <c r="F6" s="137" t="str" cm="1">
        <f t="array" aca="1" ref="F6" ca="1">_xll.BQL.DATE(_xll.BADDPERIODS(DATE(YEAR($C$1),MONTH($C$1),DAY(15)),"NUMBEROFPERIODS",B6,"PER=M","CDR=BZ","BusDayAdj=-1"))</f>
        <v>2025-09-15</v>
      </c>
      <c r="G6" s="3">
        <f ca="1">IFERROR(_xll.BCOUNTPERIODS($C$1,H6,"CDR=BZ")*1,"")</f>
        <v>72</v>
      </c>
      <c r="H6" s="137" t="str" cm="1">
        <f t="array" aca="1" ref="H6" ca="1">_xll.BQL.DATE(_xll.BADDPERIODS(EOMONTH($C$1,0),"NUMBEROFPERIODS",B6,"PER=M","CDR=BZ","BusDayAdj=2"))</f>
        <v>2025-09-30</v>
      </c>
      <c r="K6" s="136">
        <v>3</v>
      </c>
      <c r="L6" s="134">
        <v>63</v>
      </c>
      <c r="M6" s="43" t="s">
        <v>2</v>
      </c>
      <c r="N6" s="3">
        <f>IFERROR(_xll.BCOUNTPERIODS($L$1,O6,"CDR=BZ")*1,"")</f>
        <v>66</v>
      </c>
      <c r="O6" s="137" t="str" cm="1">
        <f t="array" ref="O6">_xll.BQL.DATE(_xll.BADDPERIODS(DATE(YEAR($L$1),MONTH($L$1),DAY(15)),"NUMBEROFPERIODS",K6,"PER=M","CDR=BZ","BusDayAdj=-1"))</f>
        <v>2024-03-15</v>
      </c>
      <c r="P6" s="3">
        <f>IFERROR(_xll.BCOUNTPERIODS($L$1,Q6,"CDR=BZ")*1,"")</f>
        <v>75</v>
      </c>
      <c r="Q6" s="137" t="str" cm="1">
        <f t="array" ref="Q6">_xll.BQL.DATE(_xll.BADDPERIODS(EOMONTH($L$1,0),"NUMBEROFPERIODS",K6,"PER=M","CDR=BZ","BusDayAdj=2"))</f>
        <v>2024-03-28</v>
      </c>
      <c r="T6" s="136">
        <v>3</v>
      </c>
      <c r="U6" s="134">
        <v>63</v>
      </c>
      <c r="V6" s="43" t="s">
        <v>2</v>
      </c>
      <c r="W6" s="3">
        <f>IFERROR(_xll.BCOUNTPERIODS($U$1,X6,"CDR=BZ")*1,"")</f>
        <v>70</v>
      </c>
      <c r="X6" s="137" t="str" cm="1">
        <f t="array" ref="X6">_xll.BQL.DATE(_xll.BADDPERIODS(DATE(YEAR($U$1),MONTH($U$1),DAY(15)),"NUMBEROFPERIODS",T6,"PER=M","CDR=BZ","BusDayAdj=-1"))</f>
        <v>2023-09-15</v>
      </c>
      <c r="Y6" s="3">
        <f>IFERROR(_xll.BCOUNTPERIODS($U$1,Z6,"CDR=BZ")*1,"")</f>
        <v>80</v>
      </c>
      <c r="Z6" s="137" t="str" cm="1">
        <f t="array" ref="Z6">_xll.BQL.DATE(_xll.BADDPERIODS(EOMONTH($U$1,0),"NUMBEROFPERIODS",T6,"PER=M","CDR=BZ","BusDayAdj=2"))</f>
        <v>2023-09-29</v>
      </c>
    </row>
    <row r="7" spans="2:26" x14ac:dyDescent="0.25">
      <c r="B7" s="136">
        <v>4</v>
      </c>
      <c r="C7" s="134">
        <v>84</v>
      </c>
      <c r="D7" s="43" t="s">
        <v>3</v>
      </c>
      <c r="E7" s="3">
        <f ca="1">IFERROR(_xll.BCOUNTPERIODS($C$1,F7,"CDR=BZ")*1,"")</f>
        <v>83</v>
      </c>
      <c r="F7" s="137" t="str" cm="1">
        <f t="array" aca="1" ref="F7" ca="1">_xll.BQL.DATE(_xll.BADDPERIODS(DATE(YEAR($C$1),MONTH($C$1),DAY(15)),"NUMBEROFPERIODS",B7,"PER=M","CDR=BZ","BusDayAdj=-1"))</f>
        <v>2025-10-15</v>
      </c>
      <c r="G7" s="3">
        <f ca="1">IFERROR(_xll.BCOUNTPERIODS($C$1,H7,"CDR=BZ")*1,"")</f>
        <v>94</v>
      </c>
      <c r="H7" s="137" t="str" cm="1">
        <f t="array" aca="1" ref="H7" ca="1">_xll.BQL.DATE(_xll.BADDPERIODS(EOMONTH($C$1,0),"NUMBEROFPERIODS",B7,"PER=M","CDR=BZ","BusDayAdj=2"))</f>
        <v>2025-10-30</v>
      </c>
      <c r="K7" s="136">
        <v>4</v>
      </c>
      <c r="L7" s="134">
        <v>84</v>
      </c>
      <c r="M7" s="43" t="s">
        <v>3</v>
      </c>
      <c r="N7" s="3">
        <f>IFERROR(_xll.BCOUNTPERIODS($L$1,O7,"CDR=BZ")*1,"")</f>
        <v>86</v>
      </c>
      <c r="O7" s="137" t="str" cm="1">
        <f t="array" ref="O7">_xll.BQL.DATE(_xll.BADDPERIODS(DATE(YEAR($L$1),MONTH($L$1),DAY(15)),"NUMBEROFPERIODS",K7,"PER=M","CDR=BZ","BusDayAdj=-1"))</f>
        <v>2024-04-15</v>
      </c>
      <c r="P7" s="3">
        <f>IFERROR(_xll.BCOUNTPERIODS($L$1,Q7,"CDR=BZ")*1,"")</f>
        <v>97</v>
      </c>
      <c r="Q7" s="137" t="str" cm="1">
        <f t="array" ref="Q7">_xll.BQL.DATE(_xll.BADDPERIODS(EOMONTH($L$1,0),"NUMBEROFPERIODS",K7,"PER=M","CDR=BZ","BusDayAdj=2"))</f>
        <v>2024-04-30</v>
      </c>
      <c r="T7" s="136">
        <v>4</v>
      </c>
      <c r="U7" s="134">
        <v>84</v>
      </c>
      <c r="V7" s="43" t="s">
        <v>3</v>
      </c>
      <c r="W7" s="3">
        <f>IFERROR(_xll.BCOUNTPERIODS($U$1,X7,"CDR=BZ")*1,"")</f>
        <v>90</v>
      </c>
      <c r="X7" s="137" t="str" cm="1">
        <f t="array" ref="X7">_xll.BQL.DATE(_xll.BADDPERIODS(DATE(YEAR($U$1),MONTH($U$1),DAY(15)),"NUMBEROFPERIODS",T7,"PER=M","CDR=BZ","BusDayAdj=-1"))</f>
        <v>2023-10-16</v>
      </c>
      <c r="Y7" s="3">
        <f>IFERROR(_xll.BCOUNTPERIODS($U$1,Z7,"CDR=BZ")*1,"")</f>
        <v>100</v>
      </c>
      <c r="Z7" s="137" t="str" cm="1">
        <f t="array" ref="Z7">_xll.BQL.DATE(_xll.BADDPERIODS(EOMONTH($U$1,0),"NUMBEROFPERIODS",T7,"PER=M","CDR=BZ","BusDayAdj=2"))</f>
        <v>2023-10-30</v>
      </c>
    </row>
    <row r="8" spans="2:26" x14ac:dyDescent="0.25">
      <c r="B8" s="136">
        <v>5</v>
      </c>
      <c r="C8" s="134">
        <v>105</v>
      </c>
      <c r="D8" s="43" t="s">
        <v>4</v>
      </c>
      <c r="E8" s="3">
        <f ca="1">IFERROR(_xll.BCOUNTPERIODS($C$1,F8,"CDR=BZ")*1,"")</f>
        <v>106</v>
      </c>
      <c r="F8" s="137" t="str" cm="1">
        <f t="array" aca="1" ref="F8" ca="1">_xll.BQL.DATE(_xll.BADDPERIODS(DATE(YEAR($C$1),MONTH($C$1),DAY(15)),"NUMBEROFPERIODS",B8,"PER=M","CDR=BZ","BusDayAdj=-1"))</f>
        <v>2025-11-17</v>
      </c>
      <c r="G8" s="3">
        <f ca="1">IFERROR(_xll.BCOUNTPERIODS($C$1,H8,"CDR=BZ")*1,"")</f>
        <v>114</v>
      </c>
      <c r="H8" s="137" t="str" cm="1">
        <f t="array" aca="1" ref="H8" ca="1">_xll.BQL.DATE(_xll.BADDPERIODS(EOMONTH($C$1,0),"NUMBEROFPERIODS",B8,"PER=M","CDR=BZ","BusDayAdj=2"))</f>
        <v>2025-11-28</v>
      </c>
      <c r="K8" s="136">
        <v>5</v>
      </c>
      <c r="L8" s="134">
        <v>105</v>
      </c>
      <c r="M8" s="43" t="s">
        <v>4</v>
      </c>
      <c r="N8" s="3">
        <f>IFERROR(_xll.BCOUNTPERIODS($L$1,O8,"CDR=BZ")*1,"")</f>
        <v>107</v>
      </c>
      <c r="O8" s="137" t="str" cm="1">
        <f t="array" ref="O8">_xll.BQL.DATE(_xll.BADDPERIODS(DATE(YEAR($L$1),MONTH($L$1),DAY(15)),"NUMBEROFPERIODS",K8,"PER=M","CDR=BZ","BusDayAdj=-1"))</f>
        <v>2024-05-15</v>
      </c>
      <c r="P8" s="3">
        <f>IFERROR(_xll.BCOUNTPERIODS($L$1,Q8,"CDR=BZ")*1,"")</f>
        <v>118</v>
      </c>
      <c r="Q8" s="137" t="str" cm="1">
        <f t="array" ref="Q8">_xll.BQL.DATE(_xll.BADDPERIODS(EOMONTH($L$1,0),"NUMBEROFPERIODS",K8,"PER=M","CDR=BZ","BusDayAdj=2"))</f>
        <v>2024-05-31</v>
      </c>
      <c r="T8" s="136">
        <v>5</v>
      </c>
      <c r="U8" s="134">
        <v>105</v>
      </c>
      <c r="V8" s="43" t="s">
        <v>4</v>
      </c>
      <c r="W8" s="3">
        <f>IFERROR(_xll.BCOUNTPERIODS($U$1,X8,"CDR=BZ")*1,"")</f>
        <v>111</v>
      </c>
      <c r="X8" s="137" t="str" cm="1">
        <f t="array" ref="X8">_xll.BQL.DATE(_xll.BADDPERIODS(DATE(YEAR($U$1),MONTH($U$1),DAY(15)),"NUMBEROFPERIODS",T8,"PER=M","CDR=BZ","BusDayAdj=-1"))</f>
        <v>2023-11-16</v>
      </c>
      <c r="Y8" s="3">
        <f>IFERROR(_xll.BCOUNTPERIODS($U$1,Z8,"CDR=BZ")*1,"")</f>
        <v>121</v>
      </c>
      <c r="Z8" s="137" t="str" cm="1">
        <f t="array" ref="Z8">_xll.BQL.DATE(_xll.BADDPERIODS(EOMONTH($U$1,0),"NUMBEROFPERIODS",T8,"PER=M","CDR=BZ","BusDayAdj=2"))</f>
        <v>2023-11-30</v>
      </c>
    </row>
    <row r="9" spans="2:26" x14ac:dyDescent="0.25">
      <c r="B9" s="136">
        <v>6</v>
      </c>
      <c r="C9" s="134">
        <v>126</v>
      </c>
      <c r="D9" s="43" t="s">
        <v>5</v>
      </c>
      <c r="E9" s="3">
        <f ca="1">IFERROR(_xll.BCOUNTPERIODS($C$1,F9,"CDR=BZ")*1,"")</f>
        <v>125</v>
      </c>
      <c r="F9" s="137" t="str" cm="1">
        <f t="array" aca="1" ref="F9" ca="1">_xll.BQL.DATE(_xll.BADDPERIODS(DATE(YEAR($C$1),MONTH($C$1),DAY(15)),"NUMBEROFPERIODS",B9,"PER=M","CDR=BZ","BusDayAdj=-1"))</f>
        <v>2025-12-15</v>
      </c>
      <c r="G9" s="3">
        <f ca="1">IFERROR(_xll.BCOUNTPERIODS($C$1,H9,"CDR=BZ")*1,"")</f>
        <v>135</v>
      </c>
      <c r="H9" s="137" t="str" cm="1">
        <f t="array" aca="1" ref="H9" ca="1">_xll.BQL.DATE(_xll.BADDPERIODS(EOMONTH($C$1,0),"NUMBEROFPERIODS",B9,"PER=M","CDR=BZ","BusDayAdj=2"))</f>
        <v>2025-12-30</v>
      </c>
      <c r="K9" s="136">
        <v>6</v>
      </c>
      <c r="L9" s="134">
        <v>126</v>
      </c>
      <c r="M9" s="43" t="s">
        <v>5</v>
      </c>
      <c r="N9" s="3">
        <f>IFERROR(_xll.BCOUNTPERIODS($L$1,O9,"CDR=BZ")*1,"")</f>
        <v>129</v>
      </c>
      <c r="O9" s="137" t="str" cm="1">
        <f t="array" ref="O9">_xll.BQL.DATE(_xll.BADDPERIODS(DATE(YEAR($L$1),MONTH($L$1),DAY(15)),"NUMBEROFPERIODS",K9,"PER=M","CDR=BZ","BusDayAdj=-1"))</f>
        <v>2024-06-17</v>
      </c>
      <c r="P9" s="3">
        <f>IFERROR(_xll.BCOUNTPERIODS($L$1,Q9,"CDR=BZ")*1,"")</f>
        <v>138</v>
      </c>
      <c r="Q9" s="137" t="str" cm="1">
        <f t="array" ref="Q9">_xll.BQL.DATE(_xll.BADDPERIODS(EOMONTH($L$1,0),"NUMBEROFPERIODS",K9,"PER=M","CDR=BZ","BusDayAdj=2"))</f>
        <v>2024-06-28</v>
      </c>
      <c r="T9" s="136">
        <v>6</v>
      </c>
      <c r="U9" s="134">
        <v>126</v>
      </c>
      <c r="V9" s="43" t="s">
        <v>5</v>
      </c>
      <c r="W9" s="3">
        <f>IFERROR(_xll.BCOUNTPERIODS($U$1,X9,"CDR=BZ")*1,"")</f>
        <v>132</v>
      </c>
      <c r="X9" s="137" t="str" cm="1">
        <f t="array" ref="X9">_xll.BQL.DATE(_xll.BADDPERIODS(DATE(YEAR($U$1),MONTH($U$1),DAY(15)),"NUMBEROFPERIODS",T9,"PER=M","CDR=BZ","BusDayAdj=-1"))</f>
        <v>2023-12-15</v>
      </c>
      <c r="Y9" s="3">
        <f>IFERROR(_xll.BCOUNTPERIODS($U$1,Z9,"CDR=BZ")*1,"")</f>
        <v>141</v>
      </c>
      <c r="Z9" s="137" t="str" cm="1">
        <f t="array" ref="Z9">_xll.BQL.DATE(_xll.BADDPERIODS(EOMONTH($U$1,0),"NUMBEROFPERIODS",T9,"PER=M","CDR=BZ","BusDayAdj=2"))</f>
        <v>2023-12-29</v>
      </c>
    </row>
    <row r="10" spans="2:26" x14ac:dyDescent="0.25">
      <c r="B10" s="136">
        <v>7</v>
      </c>
      <c r="C10" s="134">
        <v>147</v>
      </c>
      <c r="D10" s="43" t="s">
        <v>6</v>
      </c>
      <c r="E10" s="3">
        <f ca="1">IFERROR(_xll.BCOUNTPERIODS($C$1,F10,"CDR=BZ")*1,"")</f>
        <v>146</v>
      </c>
      <c r="F10" s="137" t="str" cm="1">
        <f t="array" aca="1" ref="F10" ca="1">_xll.BQL.DATE(_xll.BADDPERIODS(DATE(YEAR($C$1),MONTH($C$1),DAY(15)),"NUMBEROFPERIODS",B10,"PER=M","CDR=BZ","BusDayAdj=-1"))</f>
        <v>2026-01-15</v>
      </c>
      <c r="G10" s="3">
        <f ca="1">IFERROR(_xll.BCOUNTPERIODS($C$1,H10,"CDR=BZ")*1,"")</f>
        <v>157</v>
      </c>
      <c r="H10" s="137" t="str" cm="1">
        <f t="array" aca="1" ref="H10" ca="1">_xll.BQL.DATE(_xll.BADDPERIODS(EOMONTH($C$1,0),"NUMBEROFPERIODS",B10,"PER=M","CDR=BZ","BusDayAdj=2"))</f>
        <v>2026-01-30</v>
      </c>
      <c r="K10" s="136">
        <v>7</v>
      </c>
      <c r="L10" s="134">
        <v>147</v>
      </c>
      <c r="M10" s="43" t="s">
        <v>6</v>
      </c>
      <c r="N10" s="3">
        <f>IFERROR(_xll.BCOUNTPERIODS($L$1,O10,"CDR=BZ")*1,"")</f>
        <v>149</v>
      </c>
      <c r="O10" s="137" t="str" cm="1">
        <f t="array" ref="O10">_xll.BQL.DATE(_xll.BADDPERIODS(DATE(YEAR($L$1),MONTH($L$1),DAY(15)),"NUMBEROFPERIODS",K10,"PER=M","CDR=BZ","BusDayAdj=-1"))</f>
        <v>2024-07-15</v>
      </c>
      <c r="P10" s="3">
        <f>IFERROR(_xll.BCOUNTPERIODS($L$1,Q10,"CDR=BZ")*1,"")</f>
        <v>161</v>
      </c>
      <c r="Q10" s="137" t="str" cm="1">
        <f t="array" ref="Q10">_xll.BQL.DATE(_xll.BADDPERIODS(EOMONTH($L$1,0),"NUMBEROFPERIODS",K10,"PER=M","CDR=BZ","BusDayAdj=2"))</f>
        <v>2024-07-31</v>
      </c>
      <c r="T10" s="136">
        <v>7</v>
      </c>
      <c r="U10" s="134">
        <v>147</v>
      </c>
      <c r="V10" s="43" t="s">
        <v>6</v>
      </c>
      <c r="W10" s="3">
        <f>IFERROR(_xll.BCOUNTPERIODS($U$1,X10,"CDR=BZ")*1,"")</f>
        <v>151</v>
      </c>
      <c r="X10" s="137" t="str" cm="1">
        <f t="array" ref="X10">_xll.BQL.DATE(_xll.BADDPERIODS(DATE(YEAR($U$1),MONTH($U$1),DAY(15)),"NUMBEROFPERIODS",T10,"PER=M","CDR=BZ","BusDayAdj=-1"))</f>
        <v>2024-01-15</v>
      </c>
      <c r="Y10" s="3">
        <f>IFERROR(_xll.BCOUNTPERIODS($U$1,Z10,"CDR=BZ")*1,"")</f>
        <v>162</v>
      </c>
      <c r="Z10" s="137" t="str" cm="1">
        <f t="array" ref="Z10">_xll.BQL.DATE(_xll.BADDPERIODS(EOMONTH($U$1,0),"NUMBEROFPERIODS",T10,"PER=M","CDR=BZ","BusDayAdj=2"))</f>
        <v>2024-01-30</v>
      </c>
    </row>
    <row r="11" spans="2:26" x14ac:dyDescent="0.25">
      <c r="B11" s="136">
        <v>8</v>
      </c>
      <c r="C11" s="134">
        <v>168</v>
      </c>
      <c r="D11" s="43" t="s">
        <v>7</v>
      </c>
      <c r="E11" s="3">
        <f ca="1">IFERROR(_xll.BCOUNTPERIODS($C$1,F11,"CDR=BZ")*1,"")</f>
        <v>168</v>
      </c>
      <c r="F11" s="137" t="str" cm="1">
        <f t="array" aca="1" ref="F11" ca="1">_xll.BQL.DATE(_xll.BADDPERIODS(DATE(YEAR($C$1),MONTH($C$1),DAY(15)),"NUMBEROFPERIODS",B11,"PER=M","CDR=BZ","BusDayAdj=-1"))</f>
        <v>2026-02-18</v>
      </c>
      <c r="G11" s="3">
        <f ca="1">IFERROR(_xll.BCOUNTPERIODS($C$1,H11,"CDR=BZ")*1,"")</f>
        <v>175</v>
      </c>
      <c r="H11" s="137" t="str" cm="1">
        <f t="array" aca="1" ref="H11" ca="1">_xll.BQL.DATE(_xll.BADDPERIODS(EOMONTH($C$1,0),"NUMBEROFPERIODS",B11,"PER=M","CDR=BZ","BusDayAdj=2"))</f>
        <v>2026-02-27</v>
      </c>
      <c r="K11" s="136">
        <v>8</v>
      </c>
      <c r="L11" s="134">
        <v>168</v>
      </c>
      <c r="M11" s="43" t="s">
        <v>7</v>
      </c>
      <c r="N11" s="3">
        <f>IFERROR(_xll.BCOUNTPERIODS($L$1,O11,"CDR=BZ")*1,"")</f>
        <v>172</v>
      </c>
      <c r="O11" s="137" t="str" cm="1">
        <f t="array" ref="O11">_xll.BQL.DATE(_xll.BADDPERIODS(DATE(YEAR($L$1),MONTH($L$1),DAY(15)),"NUMBEROFPERIODS",K11,"PER=M","CDR=BZ","BusDayAdj=-1"))</f>
        <v>2024-08-15</v>
      </c>
      <c r="P11" s="3">
        <f>IFERROR(_xll.BCOUNTPERIODS($L$1,Q11,"CDR=BZ")*1,"")</f>
        <v>183</v>
      </c>
      <c r="Q11" s="137" t="str" cm="1">
        <f t="array" ref="Q11">_xll.BQL.DATE(_xll.BADDPERIODS(EOMONTH($L$1,0),"NUMBEROFPERIODS",K11,"PER=M","CDR=BZ","BusDayAdj=2"))</f>
        <v>2024-08-30</v>
      </c>
      <c r="T11" s="136">
        <v>8</v>
      </c>
      <c r="U11" s="134">
        <v>168</v>
      </c>
      <c r="V11" s="43" t="s">
        <v>7</v>
      </c>
      <c r="W11" s="3">
        <f>IFERROR(_xll.BCOUNTPERIODS($U$1,X11,"CDR=BZ")*1,"")</f>
        <v>172</v>
      </c>
      <c r="X11" s="137" t="str" cm="1">
        <f t="array" ref="X11">_xll.BQL.DATE(_xll.BADDPERIODS(DATE(YEAR($U$1),MONTH($U$1),DAY(15)),"NUMBEROFPERIODS",T11,"PER=M","CDR=BZ","BusDayAdj=-1"))</f>
        <v>2024-02-15</v>
      </c>
      <c r="Y11" s="3">
        <f>IFERROR(_xll.BCOUNTPERIODS($U$1,Z11,"CDR=BZ")*1,"")</f>
        <v>182</v>
      </c>
      <c r="Z11" s="137" t="str" cm="1">
        <f t="array" ref="Z11">_xll.BQL.DATE(_xll.BADDPERIODS(EOMONTH($U$1,0),"NUMBEROFPERIODS",T11,"PER=M","CDR=BZ","BusDayAdj=2"))</f>
        <v>2024-02-29</v>
      </c>
    </row>
    <row r="12" spans="2:26" x14ac:dyDescent="0.25">
      <c r="B12" s="136">
        <v>9</v>
      </c>
      <c r="C12" s="134">
        <v>189</v>
      </c>
      <c r="D12" s="43" t="s">
        <v>8</v>
      </c>
      <c r="E12" s="3">
        <f ca="1">IFERROR(_xll.BCOUNTPERIODS($C$1,F12,"CDR=BZ")*1,"")</f>
        <v>186</v>
      </c>
      <c r="F12" s="137" t="str" cm="1">
        <f t="array" aca="1" ref="F12" ca="1">_xll.BQL.DATE(_xll.BADDPERIODS(DATE(YEAR($C$1),MONTH($C$1),DAY(15)),"NUMBEROFPERIODS",B12,"PER=M","CDR=BZ","BusDayAdj=-1"))</f>
        <v>2026-03-16</v>
      </c>
      <c r="G12" s="3">
        <f ca="1">IFERROR(_xll.BCOUNTPERIODS($C$1,H12,"CDR=BZ")*1,"")</f>
        <v>196</v>
      </c>
      <c r="H12" s="137" t="str" cm="1">
        <f t="array" aca="1" ref="H12" ca="1">_xll.BQL.DATE(_xll.BADDPERIODS(EOMONTH($C$1,0),"NUMBEROFPERIODS",B12,"PER=M","CDR=BZ","BusDayAdj=2"))</f>
        <v>2026-03-30</v>
      </c>
      <c r="K12" s="136">
        <v>9</v>
      </c>
      <c r="L12" s="134">
        <v>189</v>
      </c>
      <c r="M12" s="43" t="s">
        <v>8</v>
      </c>
      <c r="N12" s="3">
        <f>IFERROR(_xll.BCOUNTPERIODS($L$1,O12,"CDR=BZ")*1,"")</f>
        <v>194</v>
      </c>
      <c r="O12" s="137" t="str" cm="1">
        <f t="array" ref="O12">_xll.BQL.DATE(_xll.BADDPERIODS(DATE(YEAR($L$1),MONTH($L$1),DAY(15)),"NUMBEROFPERIODS",K12,"PER=M","CDR=BZ","BusDayAdj=-1"))</f>
        <v>2024-09-16</v>
      </c>
      <c r="P12" s="3">
        <f>IFERROR(_xll.BCOUNTPERIODS($L$1,Q12,"CDR=BZ")*1,"")</f>
        <v>204</v>
      </c>
      <c r="Q12" s="137" t="str" cm="1">
        <f t="array" ref="Q12">_xll.BQL.DATE(_xll.BADDPERIODS(EOMONTH($L$1,0),"NUMBEROFPERIODS",K12,"PER=M","CDR=BZ","BusDayAdj=2"))</f>
        <v>2024-09-30</v>
      </c>
      <c r="T12" s="136">
        <v>9</v>
      </c>
      <c r="U12" s="134">
        <v>189</v>
      </c>
      <c r="V12" s="43" t="s">
        <v>8</v>
      </c>
      <c r="W12" s="3">
        <f>IFERROR(_xll.BCOUNTPERIODS($U$1,X12,"CDR=BZ")*1,"")</f>
        <v>193</v>
      </c>
      <c r="X12" s="137" t="str" cm="1">
        <f t="array" ref="X12">_xll.BQL.DATE(_xll.BADDPERIODS(DATE(YEAR($U$1),MONTH($U$1),DAY(15)),"NUMBEROFPERIODS",T12,"PER=M","CDR=BZ","BusDayAdj=-1"))</f>
        <v>2024-03-15</v>
      </c>
      <c r="Y12" s="3">
        <f>IFERROR(_xll.BCOUNTPERIODS($U$1,Z12,"CDR=BZ")*1,"")</f>
        <v>202</v>
      </c>
      <c r="Z12" s="137" t="str" cm="1">
        <f t="array" ref="Z12">_xll.BQL.DATE(_xll.BADDPERIODS(EOMONTH($U$1,0),"NUMBEROFPERIODS",T12,"PER=M","CDR=BZ","BusDayAdj=2"))</f>
        <v>2024-03-28</v>
      </c>
    </row>
    <row r="13" spans="2:26" x14ac:dyDescent="0.25">
      <c r="B13" s="136">
        <v>10</v>
      </c>
      <c r="C13" s="134">
        <v>210</v>
      </c>
      <c r="D13" s="43" t="s">
        <v>9</v>
      </c>
      <c r="E13" s="3">
        <f ca="1">IFERROR(_xll.BCOUNTPERIODS($C$1,F13,"CDR=BZ")*1,"")</f>
        <v>207</v>
      </c>
      <c r="F13" s="137" t="str" cm="1">
        <f t="array" aca="1" ref="F13" ca="1">_xll.BQL.DATE(_xll.BADDPERIODS(DATE(YEAR($C$1),MONTH($C$1),DAY(15)),"NUMBEROFPERIODS",B13,"PER=M","CDR=BZ","BusDayAdj=-1"))</f>
        <v>2026-04-15</v>
      </c>
      <c r="G13" s="3">
        <f ca="1">IFERROR(_xll.BCOUNTPERIODS($C$1,H13,"CDR=BZ")*1,"")</f>
        <v>217</v>
      </c>
      <c r="H13" s="137" t="str" cm="1">
        <f t="array" aca="1" ref="H13" ca="1">_xll.BQL.DATE(_xll.BADDPERIODS(EOMONTH($C$1,0),"NUMBEROFPERIODS",B13,"PER=M","CDR=BZ","BusDayAdj=2"))</f>
        <v>2026-04-30</v>
      </c>
      <c r="K13" s="136">
        <v>10</v>
      </c>
      <c r="L13" s="134">
        <v>210</v>
      </c>
      <c r="M13" s="43" t="s">
        <v>9</v>
      </c>
      <c r="N13" s="3">
        <f>IFERROR(_xll.BCOUNTPERIODS($L$1,O13,"CDR=BZ")*1,"")</f>
        <v>215</v>
      </c>
      <c r="O13" s="137" t="str" cm="1">
        <f t="array" ref="O13">_xll.BQL.DATE(_xll.BADDPERIODS(DATE(YEAR($L$1),MONTH($L$1),DAY(15)),"NUMBEROFPERIODS",K13,"PER=M","CDR=BZ","BusDayAdj=-1"))</f>
        <v>2024-10-15</v>
      </c>
      <c r="P13" s="3">
        <f>IFERROR(_xll.BCOUNTPERIODS($L$1,Q13,"CDR=BZ")*1,"")</f>
        <v>227</v>
      </c>
      <c r="Q13" s="137" t="str" cm="1">
        <f t="array" ref="Q13">_xll.BQL.DATE(_xll.BADDPERIODS(EOMONTH($L$1,0),"NUMBEROFPERIODS",K13,"PER=M","CDR=BZ","BusDayAdj=2"))</f>
        <v>2024-10-31</v>
      </c>
      <c r="T13" s="136">
        <v>10</v>
      </c>
      <c r="U13" s="134">
        <v>210</v>
      </c>
      <c r="V13" s="43" t="s">
        <v>9</v>
      </c>
      <c r="W13" s="3">
        <f>IFERROR(_xll.BCOUNTPERIODS($U$1,X13,"CDR=BZ")*1,"")</f>
        <v>213</v>
      </c>
      <c r="X13" s="137" t="str" cm="1">
        <f t="array" ref="X13">_xll.BQL.DATE(_xll.BADDPERIODS(DATE(YEAR($U$1),MONTH($U$1),DAY(15)),"NUMBEROFPERIODS",T13,"PER=M","CDR=BZ","BusDayAdj=-1"))</f>
        <v>2024-04-15</v>
      </c>
      <c r="Y13" s="3">
        <f>IFERROR(_xll.BCOUNTPERIODS($U$1,Z13,"CDR=BZ")*1,"")</f>
        <v>224</v>
      </c>
      <c r="Z13" s="137" t="str" cm="1">
        <f t="array" ref="Z13">_xll.BQL.DATE(_xll.BADDPERIODS(EOMONTH($U$1,0),"NUMBEROFPERIODS",T13,"PER=M","CDR=BZ","BusDayAdj=2"))</f>
        <v>2024-04-30</v>
      </c>
    </row>
    <row r="14" spans="2:26" x14ac:dyDescent="0.25">
      <c r="B14" s="136">
        <v>11</v>
      </c>
      <c r="C14" s="134">
        <v>231</v>
      </c>
      <c r="D14" s="43" t="s">
        <v>10</v>
      </c>
      <c r="E14" s="3">
        <f ca="1">IFERROR(_xll.BCOUNTPERIODS($C$1,F14,"CDR=BZ")*1,"")</f>
        <v>227</v>
      </c>
      <c r="F14" s="137" t="str" cm="1">
        <f t="array" aca="1" ref="F14" ca="1">_xll.BQL.DATE(_xll.BADDPERIODS(DATE(YEAR($C$1),MONTH($C$1),DAY(15)),"NUMBEROFPERIODS",B14,"PER=M","CDR=BZ","BusDayAdj=-1"))</f>
        <v>2026-05-15</v>
      </c>
      <c r="G14" s="3">
        <f ca="1">IFERROR(_xll.BCOUNTPERIODS($C$1,H14,"CDR=BZ")*1,"")</f>
        <v>237</v>
      </c>
      <c r="H14" s="137" t="str" cm="1">
        <f t="array" aca="1" ref="H14" ca="1">_xll.BQL.DATE(_xll.BADDPERIODS(EOMONTH($C$1,0),"NUMBEROFPERIODS",B14,"PER=M","CDR=BZ","BusDayAdj=2"))</f>
        <v>2026-05-29</v>
      </c>
      <c r="K14" s="136">
        <v>11</v>
      </c>
      <c r="L14" s="134">
        <v>231</v>
      </c>
      <c r="M14" s="43" t="s">
        <v>10</v>
      </c>
      <c r="N14" s="3">
        <f>IFERROR(_xll.BCOUNTPERIODS($L$1,O14,"CDR=BZ")*1,"")</f>
        <v>238</v>
      </c>
      <c r="O14" s="137" t="str" cm="1">
        <f t="array" ref="O14">_xll.BQL.DATE(_xll.BADDPERIODS(DATE(YEAR($L$1),MONTH($L$1),DAY(15)),"NUMBEROFPERIODS",K14,"PER=M","CDR=BZ","BusDayAdj=-1"))</f>
        <v>2024-11-18</v>
      </c>
      <c r="P14" s="3">
        <f>IFERROR(_xll.BCOUNTPERIODS($L$1,Q14,"CDR=BZ")*1,"")</f>
        <v>246</v>
      </c>
      <c r="Q14" s="137" t="str" cm="1">
        <f t="array" ref="Q14">_xll.BQL.DATE(_xll.BADDPERIODS(EOMONTH($L$1,0),"NUMBEROFPERIODS",K14,"PER=M","CDR=BZ","BusDayAdj=2"))</f>
        <v>2024-11-29</v>
      </c>
      <c r="T14" s="136">
        <v>11</v>
      </c>
      <c r="U14" s="134">
        <v>231</v>
      </c>
      <c r="V14" s="43" t="s">
        <v>10</v>
      </c>
      <c r="W14" s="3">
        <f>IFERROR(_xll.BCOUNTPERIODS($U$1,X14,"CDR=BZ")*1,"")</f>
        <v>234</v>
      </c>
      <c r="X14" s="137" t="str" cm="1">
        <f t="array" ref="X14">_xll.BQL.DATE(_xll.BADDPERIODS(DATE(YEAR($U$1),MONTH($U$1),DAY(15)),"NUMBEROFPERIODS",T14,"PER=M","CDR=BZ","BusDayAdj=-1"))</f>
        <v>2024-05-15</v>
      </c>
      <c r="Y14" s="3">
        <f>IFERROR(_xll.BCOUNTPERIODS($U$1,Z14,"CDR=BZ")*1,"")</f>
        <v>244</v>
      </c>
      <c r="Z14" s="137" t="str" cm="1">
        <f t="array" ref="Z14">_xll.BQL.DATE(_xll.BADDPERIODS(EOMONTH($U$1,0),"NUMBEROFPERIODS",T14,"PER=M","CDR=BZ","BusDayAdj=2"))</f>
        <v>2024-05-29</v>
      </c>
    </row>
    <row r="15" spans="2:26" x14ac:dyDescent="0.25">
      <c r="B15" s="136">
        <v>12</v>
      </c>
      <c r="C15" s="134">
        <v>252</v>
      </c>
      <c r="D15" s="43" t="s">
        <v>11</v>
      </c>
      <c r="E15" s="3">
        <f ca="1">IFERROR(_xll.BCOUNTPERIODS($C$1,F15,"CDR=BZ")*1,"")</f>
        <v>247</v>
      </c>
      <c r="F15" s="137" t="str" cm="1">
        <f t="array" aca="1" ref="F15" ca="1">_xll.BQL.DATE(_xll.BADDPERIODS(DATE(YEAR($C$1),MONTH($C$1),DAY(15)),"NUMBEROFPERIODS",B15,"PER=M","CDR=BZ","BusDayAdj=-1"))</f>
        <v>2026-06-15</v>
      </c>
      <c r="G15" s="3">
        <f ca="1">IFERROR(_xll.BCOUNTPERIODS($C$1,H15,"CDR=BZ")*1,"")</f>
        <v>258</v>
      </c>
      <c r="H15" s="137" t="str" cm="1">
        <f t="array" aca="1" ref="H15" ca="1">_xll.BQL.DATE(_xll.BADDPERIODS(EOMONTH($C$1,0),"NUMBEROFPERIODS",B15,"PER=M","CDR=BZ","BusDayAdj=2"))</f>
        <v>2026-06-30</v>
      </c>
      <c r="K15" s="136">
        <v>12</v>
      </c>
      <c r="L15" s="134">
        <v>252</v>
      </c>
      <c r="M15" s="43" t="s">
        <v>11</v>
      </c>
      <c r="N15" s="3">
        <f>IFERROR(_xll.BCOUNTPERIODS($L$1,O15,"CDR=BZ")*1,"")</f>
        <v>257</v>
      </c>
      <c r="O15" s="137" t="str" cm="1">
        <f t="array" ref="O15">_xll.BQL.DATE(_xll.BADDPERIODS(DATE(YEAR($L$1),MONTH($L$1),DAY(15)),"NUMBEROFPERIODS",K15,"PER=M","CDR=BZ","BusDayAdj=-1"))</f>
        <v>2024-12-16</v>
      </c>
      <c r="P15" s="3">
        <f>IFERROR(_xll.BCOUNTPERIODS($L$1,Q15,"CDR=BZ")*1,"")</f>
        <v>267</v>
      </c>
      <c r="Q15" s="137" t="str" cm="1">
        <f t="array" ref="Q15">_xll.BQL.DATE(_xll.BADDPERIODS(EOMONTH($L$1,0),"NUMBEROFPERIODS",K15,"PER=M","CDR=BZ","BusDayAdj=2"))</f>
        <v>2024-12-31</v>
      </c>
      <c r="T15" s="136">
        <v>12</v>
      </c>
      <c r="U15" s="134">
        <v>252</v>
      </c>
      <c r="V15" s="43" t="s">
        <v>11</v>
      </c>
      <c r="W15" s="3">
        <f>IFERROR(_xll.BCOUNTPERIODS($U$1,X15,"CDR=BZ")*1,"")</f>
        <v>256</v>
      </c>
      <c r="X15" s="137" t="str" cm="1">
        <f t="array" ref="X15">_xll.BQL.DATE(_xll.BADDPERIODS(DATE(YEAR($U$1),MONTH($U$1),DAY(15)),"NUMBEROFPERIODS",T15,"PER=M","CDR=BZ","BusDayAdj=-1"))</f>
        <v>2024-06-17</v>
      </c>
      <c r="Y15" s="3">
        <f>IFERROR(_xll.BCOUNTPERIODS($U$1,Z15,"CDR=BZ")*1,"")</f>
        <v>265</v>
      </c>
      <c r="Z15" s="137" t="str" cm="1">
        <f t="array" ref="Z15">_xll.BQL.DATE(_xll.BADDPERIODS(EOMONTH($U$1,0),"NUMBEROFPERIODS",T15,"PER=M","CDR=BZ","BusDayAdj=2"))</f>
        <v>2024-06-28</v>
      </c>
    </row>
    <row r="16" spans="2:26" x14ac:dyDescent="0.25">
      <c r="B16" s="136">
        <v>13</v>
      </c>
      <c r="C16" s="134">
        <v>273</v>
      </c>
      <c r="D16" s="43" t="s">
        <v>63</v>
      </c>
      <c r="E16" s="3">
        <f ca="1">IFERROR(_xll.BCOUNTPERIODS($C$1,F16,"CDR=BZ")*1,"")</f>
        <v>269</v>
      </c>
      <c r="F16" s="137" t="str" cm="1">
        <f t="array" aca="1" ref="F16" ca="1">_xll.BQL.DATE(_xll.BADDPERIODS(DATE(YEAR($C$1),MONTH($C$1),DAY(15)),"NUMBEROFPERIODS",B16,"PER=M","CDR=BZ","BusDayAdj=-1"))</f>
        <v>2026-07-15</v>
      </c>
      <c r="G16" s="3">
        <f ca="1">IFERROR(_xll.BCOUNTPERIODS($C$1,H16,"CDR=BZ")*1,"")</f>
        <v>280</v>
      </c>
      <c r="H16" s="137" t="str" cm="1">
        <f t="array" aca="1" ref="H16" ca="1">_xll.BQL.DATE(_xll.BADDPERIODS(EOMONTH($C$1,0),"NUMBEROFPERIODS",B16,"PER=M","CDR=BZ","BusDayAdj=2"))</f>
        <v>2026-07-30</v>
      </c>
      <c r="K16" s="136">
        <v>13</v>
      </c>
      <c r="L16" s="134">
        <v>273</v>
      </c>
      <c r="M16" s="43" t="s">
        <v>63</v>
      </c>
      <c r="N16" s="3">
        <f>IFERROR(_xll.BCOUNTPERIODS($L$1,O16,"CDR=BZ")*1,"")</f>
        <v>277</v>
      </c>
      <c r="O16" s="137" t="str" cm="1">
        <f t="array" ref="O16">_xll.BQL.DATE(_xll.BADDPERIODS(DATE(YEAR($L$1),MONTH($L$1),DAY(15)),"NUMBEROFPERIODS",K16,"PER=M","CDR=BZ","BusDayAdj=-1"))</f>
        <v>2025-01-15</v>
      </c>
      <c r="P16" s="3">
        <f>IFERROR(_xll.BCOUNTPERIODS($L$1,Q16,"CDR=BZ")*1,"")</f>
        <v>289</v>
      </c>
      <c r="Q16" s="137" t="str" cm="1">
        <f t="array" ref="Q16">_xll.BQL.DATE(_xll.BADDPERIODS(EOMONTH($L$1,0),"NUMBEROFPERIODS",K16,"PER=M","CDR=BZ","BusDayAdj=2"))</f>
        <v>2025-01-31</v>
      </c>
      <c r="T16" s="136">
        <v>13</v>
      </c>
      <c r="U16" s="134">
        <v>273</v>
      </c>
      <c r="V16" s="43" t="s">
        <v>63</v>
      </c>
      <c r="W16" s="3">
        <f>IFERROR(_xll.BCOUNTPERIODS($U$1,X16,"CDR=BZ")*1,"")</f>
        <v>276</v>
      </c>
      <c r="X16" s="137" t="str" cm="1">
        <f t="array" ref="X16">_xll.BQL.DATE(_xll.BADDPERIODS(DATE(YEAR($U$1),MONTH($U$1),DAY(15)),"NUMBEROFPERIODS",T16,"PER=M","CDR=BZ","BusDayAdj=-1"))</f>
        <v>2024-07-15</v>
      </c>
      <c r="Y16" s="3">
        <f>IFERROR(_xll.BCOUNTPERIODS($U$1,Z16,"CDR=BZ")*1,"")</f>
        <v>287</v>
      </c>
      <c r="Z16" s="137" t="str" cm="1">
        <f t="array" ref="Z16">_xll.BQL.DATE(_xll.BADDPERIODS(EOMONTH($U$1,0),"NUMBEROFPERIODS",T16,"PER=M","CDR=BZ","BusDayAdj=2"))</f>
        <v>2024-07-30</v>
      </c>
    </row>
    <row r="17" spans="2:26" x14ac:dyDescent="0.25">
      <c r="B17" s="136">
        <v>14</v>
      </c>
      <c r="C17" s="134">
        <v>294</v>
      </c>
      <c r="D17" s="43" t="s">
        <v>64</v>
      </c>
      <c r="E17" s="3">
        <f ca="1">IFERROR(_xll.BCOUNTPERIODS($C$1,F17,"CDR=BZ")*1,"")</f>
        <v>292</v>
      </c>
      <c r="F17" s="137" t="str" cm="1">
        <f t="array" aca="1" ref="F17" ca="1">_xll.BQL.DATE(_xll.BADDPERIODS(DATE(YEAR($C$1),MONTH($C$1),DAY(15)),"NUMBEROFPERIODS",B17,"PER=M","CDR=BZ","BusDayAdj=-1"))</f>
        <v>2026-08-17</v>
      </c>
      <c r="G17" s="3">
        <f ca="1">IFERROR(_xll.BCOUNTPERIODS($C$1,H17,"CDR=BZ")*1,"")</f>
        <v>301</v>
      </c>
      <c r="H17" s="137" t="str" cm="1">
        <f t="array" aca="1" ref="H17" ca="1">_xll.BQL.DATE(_xll.BADDPERIODS(EOMONTH($C$1,0),"NUMBEROFPERIODS",B17,"PER=M","CDR=BZ","BusDayAdj=2"))</f>
        <v>2026-08-28</v>
      </c>
      <c r="K17" s="136">
        <v>14</v>
      </c>
      <c r="L17" s="134">
        <v>294</v>
      </c>
      <c r="M17" s="43" t="s">
        <v>64</v>
      </c>
      <c r="N17" s="3">
        <f>IFERROR(_xll.BCOUNTPERIODS($L$1,O17,"CDR=BZ")*1,"")</f>
        <v>300</v>
      </c>
      <c r="O17" s="137" t="str" cm="1">
        <f t="array" ref="O17">_xll.BQL.DATE(_xll.BADDPERIODS(DATE(YEAR($L$1),MONTH($L$1),DAY(15)),"NUMBEROFPERIODS",K17,"PER=M","CDR=BZ","BusDayAdj=-1"))</f>
        <v>2025-02-17</v>
      </c>
      <c r="P17" s="3">
        <f>IFERROR(_xll.BCOUNTPERIODS($L$1,Q17,"CDR=BZ")*1,"")</f>
        <v>309</v>
      </c>
      <c r="Q17" s="137" t="str" cm="1">
        <f t="array" ref="Q17">_xll.BQL.DATE(_xll.BADDPERIODS(EOMONTH($L$1,0),"NUMBEROFPERIODS",K17,"PER=M","CDR=BZ","BusDayAdj=2"))</f>
        <v>2025-02-28</v>
      </c>
      <c r="T17" s="136">
        <v>14</v>
      </c>
      <c r="U17" s="134">
        <v>294</v>
      </c>
      <c r="V17" s="43" t="s">
        <v>64</v>
      </c>
      <c r="W17" s="3">
        <f>IFERROR(_xll.BCOUNTPERIODS($U$1,X17,"CDR=BZ")*1,"")</f>
        <v>299</v>
      </c>
      <c r="X17" s="137" t="str" cm="1">
        <f t="array" ref="X17">_xll.BQL.DATE(_xll.BADDPERIODS(DATE(YEAR($U$1),MONTH($U$1),DAY(15)),"NUMBEROFPERIODS",T17,"PER=M","CDR=BZ","BusDayAdj=-1"))</f>
        <v>2024-08-15</v>
      </c>
      <c r="Y17" s="3">
        <f>IFERROR(_xll.BCOUNTPERIODS($U$1,Z17,"CDR=BZ")*1,"")</f>
        <v>310</v>
      </c>
      <c r="Z17" s="137" t="str" cm="1">
        <f t="array" ref="Z17">_xll.BQL.DATE(_xll.BADDPERIODS(EOMONTH($U$1,0),"NUMBEROFPERIODS",T17,"PER=M","CDR=BZ","BusDayAdj=2"))</f>
        <v>2024-08-30</v>
      </c>
    </row>
    <row r="18" spans="2:26" x14ac:dyDescent="0.25">
      <c r="B18" s="136">
        <v>15</v>
      </c>
      <c r="C18" s="134">
        <v>315</v>
      </c>
      <c r="D18" s="43" t="s">
        <v>12</v>
      </c>
      <c r="E18" s="3">
        <f ca="1">IFERROR(_xll.BCOUNTPERIODS($C$1,F18,"CDR=BZ")*1,"")</f>
        <v>312</v>
      </c>
      <c r="F18" s="137" t="str" cm="1">
        <f t="array" aca="1" ref="F18" ca="1">_xll.BQL.DATE(_xll.BADDPERIODS(DATE(YEAR($C$1),MONTH($C$1),DAY(15)),"NUMBEROFPERIODS",B18,"PER=M","CDR=BZ","BusDayAdj=-1"))</f>
        <v>2026-09-15</v>
      </c>
      <c r="G18" s="3">
        <f ca="1">IFERROR(_xll.BCOUNTPERIODS($C$1,H18,"CDR=BZ")*1,"")</f>
        <v>323</v>
      </c>
      <c r="H18" s="137" t="str" cm="1">
        <f t="array" aca="1" ref="H18" ca="1">_xll.BQL.DATE(_xll.BADDPERIODS(EOMONTH($C$1,0),"NUMBEROFPERIODS",B18,"PER=M","CDR=BZ","BusDayAdj=2"))</f>
        <v>2026-09-30</v>
      </c>
      <c r="K18" s="136">
        <v>15</v>
      </c>
      <c r="L18" s="134">
        <v>315</v>
      </c>
      <c r="M18" s="43" t="s">
        <v>12</v>
      </c>
      <c r="N18" s="3">
        <f>IFERROR(_xll.BCOUNTPERIODS($L$1,O18,"CDR=BZ")*1,"")</f>
        <v>318</v>
      </c>
      <c r="O18" s="137" t="str" cm="1">
        <f t="array" ref="O18">_xll.BQL.DATE(_xll.BADDPERIODS(DATE(YEAR($L$1),MONTH($L$1),DAY(15)),"NUMBEROFPERIODS",K18,"PER=M","CDR=BZ","BusDayAdj=-1"))</f>
        <v>2025-03-17</v>
      </c>
      <c r="P18" s="3">
        <f>IFERROR(_xll.BCOUNTPERIODS($L$1,Q18,"CDR=BZ")*1,"")</f>
        <v>328</v>
      </c>
      <c r="Q18" s="137" t="str" cm="1">
        <f t="array" ref="Q18">_xll.BQL.DATE(_xll.BADDPERIODS(EOMONTH($L$1,0),"NUMBEROFPERIODS",K18,"PER=M","CDR=BZ","BusDayAdj=2"))</f>
        <v>2025-03-31</v>
      </c>
      <c r="T18" s="136">
        <v>15</v>
      </c>
      <c r="U18" s="134">
        <v>315</v>
      </c>
      <c r="V18" s="43" t="s">
        <v>12</v>
      </c>
      <c r="W18" s="3">
        <f>IFERROR(_xll.BCOUNTPERIODS($U$1,X18,"CDR=BZ")*1,"")</f>
        <v>321</v>
      </c>
      <c r="X18" s="137" t="str" cm="1">
        <f t="array" ref="X18">_xll.BQL.DATE(_xll.BADDPERIODS(DATE(YEAR($U$1),MONTH($U$1),DAY(15)),"NUMBEROFPERIODS",T18,"PER=M","CDR=BZ","BusDayAdj=-1"))</f>
        <v>2024-09-16</v>
      </c>
      <c r="Y18" s="3">
        <f>IFERROR(_xll.BCOUNTPERIODS($U$1,Z18,"CDR=BZ")*1,"")</f>
        <v>331</v>
      </c>
      <c r="Z18" s="137" t="str" cm="1">
        <f t="array" ref="Z18">_xll.BQL.DATE(_xll.BADDPERIODS(EOMONTH($U$1,0),"NUMBEROFPERIODS",T18,"PER=M","CDR=BZ","BusDayAdj=2"))</f>
        <v>2024-09-30</v>
      </c>
    </row>
    <row r="19" spans="2:26" x14ac:dyDescent="0.25">
      <c r="B19" s="136">
        <v>16</v>
      </c>
      <c r="C19" s="134">
        <v>336</v>
      </c>
      <c r="D19" s="43" t="s">
        <v>65</v>
      </c>
      <c r="E19" s="3">
        <f ca="1">IFERROR(_xll.BCOUNTPERIODS($C$1,F19,"CDR=BZ")*1,"")</f>
        <v>333</v>
      </c>
      <c r="F19" s="137" t="str" cm="1">
        <f t="array" aca="1" ref="F19" ca="1">_xll.BQL.DATE(_xll.BADDPERIODS(DATE(YEAR($C$1),MONTH($C$1),DAY(15)),"NUMBEROFPERIODS",B19,"PER=M","CDR=BZ","BusDayAdj=-1"))</f>
        <v>2026-10-15</v>
      </c>
      <c r="G19" s="3">
        <f ca="1">IFERROR(_xll.BCOUNTPERIODS($C$1,H19,"CDR=BZ")*1,"")</f>
        <v>344</v>
      </c>
      <c r="H19" s="137" t="str" cm="1">
        <f t="array" aca="1" ref="H19" ca="1">_xll.BQL.DATE(_xll.BADDPERIODS(EOMONTH($C$1,0),"NUMBEROFPERIODS",B19,"PER=M","CDR=BZ","BusDayAdj=2"))</f>
        <v>2026-10-30</v>
      </c>
      <c r="K19" s="136">
        <v>16</v>
      </c>
      <c r="L19" s="134">
        <v>336</v>
      </c>
      <c r="M19" s="43" t="s">
        <v>65</v>
      </c>
      <c r="N19" s="3">
        <f>IFERROR(_xll.BCOUNTPERIODS($L$1,O19,"CDR=BZ")*1,"")</f>
        <v>339</v>
      </c>
      <c r="O19" s="137" t="str" cm="1">
        <f t="array" ref="O19">_xll.BQL.DATE(_xll.BADDPERIODS(DATE(YEAR($L$1),MONTH($L$1),DAY(15)),"NUMBEROFPERIODS",K19,"PER=M","CDR=BZ","BusDayAdj=-1"))</f>
        <v>2025-04-15</v>
      </c>
      <c r="P19" s="3">
        <f>IFERROR(_xll.BCOUNTPERIODS($L$1,Q19,"CDR=BZ")*1,"")</f>
        <v>348</v>
      </c>
      <c r="Q19" s="137" t="str" cm="1">
        <f t="array" ref="Q19">_xll.BQL.DATE(_xll.BADDPERIODS(EOMONTH($L$1,0),"NUMBEROFPERIODS",K19,"PER=M","CDR=BZ","BusDayAdj=2"))</f>
        <v>2025-04-30</v>
      </c>
      <c r="T19" s="136">
        <v>16</v>
      </c>
      <c r="U19" s="134">
        <v>336</v>
      </c>
      <c r="V19" s="43" t="s">
        <v>65</v>
      </c>
      <c r="W19" s="3">
        <f>IFERROR(_xll.BCOUNTPERIODS($U$1,X19,"CDR=BZ")*1,"")</f>
        <v>342</v>
      </c>
      <c r="X19" s="137" t="str" cm="1">
        <f t="array" ref="X19">_xll.BQL.DATE(_xll.BADDPERIODS(DATE(YEAR($U$1),MONTH($U$1),DAY(15)),"NUMBEROFPERIODS",T19,"PER=M","CDR=BZ","BusDayAdj=-1"))</f>
        <v>2024-10-15</v>
      </c>
      <c r="Y19" s="3">
        <f>IFERROR(_xll.BCOUNTPERIODS($U$1,Z19,"CDR=BZ")*1,"")</f>
        <v>353</v>
      </c>
      <c r="Z19" s="137" t="str" cm="1">
        <f t="array" ref="Z19">_xll.BQL.DATE(_xll.BADDPERIODS(EOMONTH($U$1,0),"NUMBEROFPERIODS",T19,"PER=M","CDR=BZ","BusDayAdj=2"))</f>
        <v>2024-10-30</v>
      </c>
    </row>
    <row r="20" spans="2:26" x14ac:dyDescent="0.25">
      <c r="B20" s="136">
        <v>17</v>
      </c>
      <c r="C20" s="134">
        <v>357</v>
      </c>
      <c r="D20" s="43" t="s">
        <v>66</v>
      </c>
      <c r="E20" s="3">
        <f ca="1">IFERROR(_xll.BCOUNTPERIODS($C$1,F20,"CDR=BZ")*1,"")</f>
        <v>354</v>
      </c>
      <c r="F20" s="137" t="str" cm="1">
        <f t="array" aca="1" ref="F20" ca="1">_xll.BQL.DATE(_xll.BADDPERIODS(DATE(YEAR($C$1),MONTH($C$1),DAY(15)),"NUMBEROFPERIODS",B20,"PER=M","CDR=BZ","BusDayAdj=-1"))</f>
        <v>2026-11-16</v>
      </c>
      <c r="G20" s="3">
        <f ca="1">IFERROR(_xll.BCOUNTPERIODS($C$1,H20,"CDR=BZ")*1,"")</f>
        <v>363</v>
      </c>
      <c r="H20" s="137" t="str" cm="1">
        <f t="array" aca="1" ref="H20" ca="1">_xll.BQL.DATE(_xll.BADDPERIODS(EOMONTH($C$1,0),"NUMBEROFPERIODS",B20,"PER=M","CDR=BZ","BusDayAdj=2"))</f>
        <v>2026-11-30</v>
      </c>
      <c r="K20" s="136">
        <v>17</v>
      </c>
      <c r="L20" s="134">
        <v>357</v>
      </c>
      <c r="M20" s="43" t="s">
        <v>66</v>
      </c>
      <c r="N20" s="3">
        <f>IFERROR(_xll.BCOUNTPERIODS($L$1,O20,"CDR=BZ")*1,"")</f>
        <v>358</v>
      </c>
      <c r="O20" s="137" t="str" cm="1">
        <f t="array" ref="O20">_xll.BQL.DATE(_xll.BADDPERIODS(DATE(YEAR($L$1),MONTH($L$1),DAY(15)),"NUMBEROFPERIODS",K20,"PER=M","CDR=BZ","BusDayAdj=-1"))</f>
        <v>2025-05-15</v>
      </c>
      <c r="P20" s="3">
        <f>IFERROR(_xll.BCOUNTPERIODS($L$1,Q20,"CDR=BZ")*1,"")</f>
        <v>369</v>
      </c>
      <c r="Q20" s="137" t="str" cm="1">
        <f t="array" ref="Q20">_xll.BQL.DATE(_xll.BADDPERIODS(EOMONTH($L$1,0),"NUMBEROFPERIODS",K20,"PER=M","CDR=BZ","BusDayAdj=2"))</f>
        <v>2025-05-30</v>
      </c>
      <c r="T20" s="136">
        <v>17</v>
      </c>
      <c r="U20" s="134">
        <v>357</v>
      </c>
      <c r="V20" s="43" t="s">
        <v>66</v>
      </c>
      <c r="W20" s="3">
        <f>IFERROR(_xll.BCOUNTPERIODS($U$1,X20,"CDR=BZ")*1,"")</f>
        <v>365</v>
      </c>
      <c r="X20" s="137" t="str" cm="1">
        <f t="array" ref="X20">_xll.BQL.DATE(_xll.BADDPERIODS(DATE(YEAR($U$1),MONTH($U$1),DAY(15)),"NUMBEROFPERIODS",T20,"PER=M","CDR=BZ","BusDayAdj=-1"))</f>
        <v>2024-11-18</v>
      </c>
      <c r="Y20" s="3">
        <f>IFERROR(_xll.BCOUNTPERIODS($U$1,Z20,"CDR=BZ")*1,"")</f>
        <v>373</v>
      </c>
      <c r="Z20" s="137" t="str" cm="1">
        <f t="array" ref="Z20">_xll.BQL.DATE(_xll.BADDPERIODS(EOMONTH($U$1,0),"NUMBEROFPERIODS",T20,"PER=M","CDR=BZ","BusDayAdj=2"))</f>
        <v>2024-11-29</v>
      </c>
    </row>
    <row r="21" spans="2:26" x14ac:dyDescent="0.25">
      <c r="B21" s="136">
        <v>18</v>
      </c>
      <c r="C21" s="134">
        <v>378</v>
      </c>
      <c r="D21" s="43" t="s">
        <v>82</v>
      </c>
      <c r="E21" s="3">
        <f ca="1">IFERROR(_xll.BCOUNTPERIODS($C$1,F21,"CDR=BZ")*1,"")</f>
        <v>374</v>
      </c>
      <c r="F21" s="137" t="str" cm="1">
        <f t="array" aca="1" ref="F21" ca="1">_xll.BQL.DATE(_xll.BADDPERIODS(DATE(YEAR($C$1),MONTH($C$1),DAY(15)),"NUMBEROFPERIODS",B21,"PER=M","CDR=BZ","BusDayAdj=-1"))</f>
        <v>2026-12-15</v>
      </c>
      <c r="G21" s="3">
        <f ca="1">IFERROR(_xll.BCOUNTPERIODS($C$1,H21,"CDR=BZ")*1,"")</f>
        <v>384</v>
      </c>
      <c r="H21" s="137" t="str" cm="1">
        <f t="array" aca="1" ref="H21" ca="1">_xll.BQL.DATE(_xll.BADDPERIODS(EOMONTH($C$1,0),"NUMBEROFPERIODS",B21,"PER=M","CDR=BZ","BusDayAdj=2"))</f>
        <v>2026-12-30</v>
      </c>
      <c r="K21" s="136">
        <v>18</v>
      </c>
      <c r="L21" s="134">
        <v>378</v>
      </c>
      <c r="M21" s="43" t="s">
        <v>82</v>
      </c>
      <c r="N21" s="3">
        <f>IFERROR(_xll.BCOUNTPERIODS($L$1,O21,"CDR=BZ")*1,"")</f>
        <v>380</v>
      </c>
      <c r="O21" s="137" t="str" cm="1">
        <f t="array" ref="O21">_xll.BQL.DATE(_xll.BADDPERIODS(DATE(YEAR($L$1),MONTH($L$1),DAY(15)),"NUMBEROFPERIODS",K21,"PER=M","CDR=BZ","BusDayAdj=-1"))</f>
        <v>2025-06-16</v>
      </c>
      <c r="P21" s="3">
        <f>IFERROR(_xll.BCOUNTPERIODS($L$1,Q21,"CDR=BZ")*1,"")</f>
        <v>389</v>
      </c>
      <c r="Q21" s="137" t="str" cm="1">
        <f t="array" ref="Q21">_xll.BQL.DATE(_xll.BADDPERIODS(EOMONTH($L$1,0),"NUMBEROFPERIODS",K21,"PER=M","CDR=BZ","BusDayAdj=2"))</f>
        <v>2025-06-30</v>
      </c>
      <c r="T21" s="136">
        <v>18</v>
      </c>
      <c r="U21" s="134">
        <v>378</v>
      </c>
      <c r="V21" s="43" t="s">
        <v>82</v>
      </c>
      <c r="W21" s="3">
        <f>IFERROR(_xll.BCOUNTPERIODS($U$1,X21,"CDR=BZ")*1,"")</f>
        <v>384</v>
      </c>
      <c r="X21" s="137" t="str" cm="1">
        <f t="array" ref="X21">_xll.BQL.DATE(_xll.BADDPERIODS(DATE(YEAR($U$1),MONTH($U$1),DAY(15)),"NUMBEROFPERIODS",T21,"PER=M","CDR=BZ","BusDayAdj=-1"))</f>
        <v>2024-12-16</v>
      </c>
      <c r="Y21" s="3">
        <f>IFERROR(_xll.BCOUNTPERIODS($U$1,Z21,"CDR=BZ")*1,"")</f>
        <v>393</v>
      </c>
      <c r="Z21" s="137" t="str" cm="1">
        <f t="array" ref="Z21">_xll.BQL.DATE(_xll.BADDPERIODS(EOMONTH($U$1,0),"NUMBEROFPERIODS",T21,"PER=M","CDR=BZ","BusDayAdj=2"))</f>
        <v>2024-12-30</v>
      </c>
    </row>
    <row r="22" spans="2:26" x14ac:dyDescent="0.25">
      <c r="B22" s="136">
        <v>19</v>
      </c>
      <c r="C22" s="134">
        <v>399</v>
      </c>
      <c r="D22" s="43" t="s">
        <v>67</v>
      </c>
      <c r="E22" s="3">
        <f ca="1">IFERROR(_xll.BCOUNTPERIODS($C$1,F22,"CDR=BZ")*1,"")</f>
        <v>395</v>
      </c>
      <c r="F22" s="137" t="str" cm="1">
        <f t="array" aca="1" ref="F22" ca="1">_xll.BQL.DATE(_xll.BADDPERIODS(DATE(YEAR($C$1),MONTH($C$1),DAY(15)),"NUMBEROFPERIODS",B22,"PER=M","CDR=BZ","BusDayAdj=-1"))</f>
        <v>2027-01-15</v>
      </c>
      <c r="G22" s="3">
        <f ca="1">IFERROR(_xll.BCOUNTPERIODS($C$1,H22,"CDR=BZ")*1,"")</f>
        <v>405</v>
      </c>
      <c r="H22" s="137" t="str" cm="1">
        <f t="array" aca="1" ref="H22" ca="1">_xll.BQL.DATE(_xll.BADDPERIODS(EOMONTH($C$1,0),"NUMBEROFPERIODS",B22,"PER=M","CDR=BZ","BusDayAdj=2"))</f>
        <v>2027-01-29</v>
      </c>
      <c r="K22" s="136">
        <v>19</v>
      </c>
      <c r="L22" s="134">
        <v>399</v>
      </c>
      <c r="M22" s="43" t="s">
        <v>67</v>
      </c>
      <c r="N22" s="3">
        <f>IFERROR(_xll.BCOUNTPERIODS($L$1,O22,"CDR=BZ")*1,"")</f>
        <v>400</v>
      </c>
      <c r="O22" s="137" t="str" cm="1">
        <f t="array" ref="O22">_xll.BQL.DATE(_xll.BADDPERIODS(DATE(YEAR($L$1),MONTH($L$1),DAY(15)),"NUMBEROFPERIODS",K22,"PER=M","CDR=BZ","BusDayAdj=-1"))</f>
        <v>2025-07-15</v>
      </c>
      <c r="P22" s="3">
        <f>IFERROR(_xll.BCOUNTPERIODS($L$1,Q22,"CDR=BZ")*1,"")</f>
        <v>412</v>
      </c>
      <c r="Q22" s="137" t="str" cm="1">
        <f t="array" ref="Q22">_xll.BQL.DATE(_xll.BADDPERIODS(EOMONTH($L$1,0),"NUMBEROFPERIODS",K22,"PER=M","CDR=BZ","BusDayAdj=2"))</f>
        <v>2025-07-31</v>
      </c>
      <c r="T22" s="136">
        <v>19</v>
      </c>
      <c r="U22" s="134">
        <v>399</v>
      </c>
      <c r="V22" s="43" t="s">
        <v>67</v>
      </c>
      <c r="W22" s="3">
        <f>IFERROR(_xll.BCOUNTPERIODS($U$1,X22,"CDR=BZ")*1,"")</f>
        <v>404</v>
      </c>
      <c r="X22" s="137" t="str" cm="1">
        <f t="array" ref="X22">_xll.BQL.DATE(_xll.BADDPERIODS(DATE(YEAR($U$1),MONTH($U$1),DAY(15)),"NUMBEROFPERIODS",T22,"PER=M","CDR=BZ","BusDayAdj=-1"))</f>
        <v>2025-01-15</v>
      </c>
      <c r="Y22" s="3">
        <f>IFERROR(_xll.BCOUNTPERIODS($U$1,Z22,"CDR=BZ")*1,"")</f>
        <v>415</v>
      </c>
      <c r="Z22" s="137" t="str" cm="1">
        <f t="array" ref="Z22">_xll.BQL.DATE(_xll.BADDPERIODS(EOMONTH($U$1,0),"NUMBEROFPERIODS",T22,"PER=M","CDR=BZ","BusDayAdj=2"))</f>
        <v>2025-01-30</v>
      </c>
    </row>
    <row r="23" spans="2:26" x14ac:dyDescent="0.25">
      <c r="B23" s="136">
        <v>20</v>
      </c>
      <c r="C23" s="134">
        <v>420</v>
      </c>
      <c r="D23" s="43" t="s">
        <v>68</v>
      </c>
      <c r="E23" s="3">
        <f ca="1">IFERROR(_xll.BCOUNTPERIODS($C$1,F23,"CDR=BZ")*1,"")</f>
        <v>414</v>
      </c>
      <c r="F23" s="137" t="str" cm="1">
        <f t="array" aca="1" ref="F23" ca="1">_xll.BQL.DATE(_xll.BADDPERIODS(DATE(YEAR($C$1),MONTH($C$1),DAY(15)),"NUMBEROFPERIODS",B23,"PER=M","CDR=BZ","BusDayAdj=-1"))</f>
        <v>2027-02-15</v>
      </c>
      <c r="G23" s="3">
        <f ca="1">IFERROR(_xll.BCOUNTPERIODS($C$1,H23,"CDR=BZ")*1,"")</f>
        <v>423</v>
      </c>
      <c r="H23" s="137" t="str" cm="1">
        <f t="array" aca="1" ref="H23" ca="1">_xll.BQL.DATE(_xll.BADDPERIODS(EOMONTH($C$1,0),"NUMBEROFPERIODS",B23,"PER=M","CDR=BZ","BusDayAdj=2"))</f>
        <v>2027-02-26</v>
      </c>
      <c r="K23" s="136">
        <v>20</v>
      </c>
      <c r="L23" s="134">
        <v>420</v>
      </c>
      <c r="M23" s="43" t="s">
        <v>68</v>
      </c>
      <c r="N23" s="3">
        <f>IFERROR(_xll.BCOUNTPERIODS($L$1,O23,"CDR=BZ")*1,"")</f>
        <v>423</v>
      </c>
      <c r="O23" s="137" t="str" cm="1">
        <f t="array" ref="O23">_xll.BQL.DATE(_xll.BADDPERIODS(DATE(YEAR($L$1),MONTH($L$1),DAY(15)),"NUMBEROFPERIODS",K23,"PER=M","CDR=BZ","BusDayAdj=-1"))</f>
        <v>2025-08-15</v>
      </c>
      <c r="P23" s="3">
        <f>IFERROR(_xll.BCOUNTPERIODS($L$1,Q23,"CDR=BZ")*1,"")</f>
        <v>433</v>
      </c>
      <c r="Q23" s="137" t="str" cm="1">
        <f t="array" ref="Q23">_xll.BQL.DATE(_xll.BADDPERIODS(EOMONTH($L$1,0),"NUMBEROFPERIODS",K23,"PER=M","CDR=BZ","BusDayAdj=2"))</f>
        <v>2025-08-29</v>
      </c>
      <c r="T23" s="136">
        <v>20</v>
      </c>
      <c r="U23" s="134">
        <v>420</v>
      </c>
      <c r="V23" s="43" t="s">
        <v>68</v>
      </c>
      <c r="W23" s="3">
        <f>IFERROR(_xll.BCOUNTPERIODS($U$1,X23,"CDR=BZ")*1,"")</f>
        <v>427</v>
      </c>
      <c r="X23" s="137" t="str" cm="1">
        <f t="array" ref="X23">_xll.BQL.DATE(_xll.BADDPERIODS(DATE(YEAR($U$1),MONTH($U$1),DAY(15)),"NUMBEROFPERIODS",T23,"PER=M","CDR=BZ","BusDayAdj=-1"))</f>
        <v>2025-02-17</v>
      </c>
      <c r="Y23" s="3">
        <f>IFERROR(_xll.BCOUNTPERIODS($U$1,Z23,"CDR=BZ")*1,"")</f>
        <v>436</v>
      </c>
      <c r="Z23" s="137" t="str" cm="1">
        <f t="array" ref="Z23">_xll.BQL.DATE(_xll.BADDPERIODS(EOMONTH($U$1,0),"NUMBEROFPERIODS",T23,"PER=M","CDR=BZ","BusDayAdj=2"))</f>
        <v>2025-02-28</v>
      </c>
    </row>
    <row r="24" spans="2:26" x14ac:dyDescent="0.25">
      <c r="B24" s="136">
        <v>21</v>
      </c>
      <c r="C24" s="134">
        <v>441</v>
      </c>
      <c r="D24" s="43" t="s">
        <v>13</v>
      </c>
      <c r="E24" s="3">
        <f ca="1">IFERROR(_xll.BCOUNTPERIODS($C$1,F24,"CDR=BZ")*1,"")</f>
        <v>434</v>
      </c>
      <c r="F24" s="137" t="str" cm="1">
        <f t="array" aca="1" ref="F24" ca="1">_xll.BQL.DATE(_xll.BADDPERIODS(DATE(YEAR($C$1),MONTH($C$1),DAY(15)),"NUMBEROFPERIODS",B24,"PER=M","CDR=BZ","BusDayAdj=-1"))</f>
        <v>2027-03-15</v>
      </c>
      <c r="G24" s="3">
        <f ca="1">IFERROR(_xll.BCOUNTPERIODS($C$1,H24,"CDR=BZ")*1,"")</f>
        <v>444</v>
      </c>
      <c r="H24" s="137" t="str" cm="1">
        <f t="array" aca="1" ref="H24" ca="1">_xll.BQL.DATE(_xll.BADDPERIODS(EOMONTH($C$1,0),"NUMBEROFPERIODS",B24,"PER=M","CDR=BZ","BusDayAdj=2"))</f>
        <v>2027-03-30</v>
      </c>
      <c r="K24" s="136">
        <v>21</v>
      </c>
      <c r="L24" s="134">
        <v>441</v>
      </c>
      <c r="M24" s="43" t="s">
        <v>13</v>
      </c>
      <c r="N24" s="3">
        <f>IFERROR(_xll.BCOUNTPERIODS($L$1,O24,"CDR=BZ")*1,"")</f>
        <v>444</v>
      </c>
      <c r="O24" s="137" t="str" cm="1">
        <f t="array" ref="O24">_xll.BQL.DATE(_xll.BADDPERIODS(DATE(YEAR($L$1),MONTH($L$1),DAY(15)),"NUMBEROFPERIODS",K24,"PER=M","CDR=BZ","BusDayAdj=-1"))</f>
        <v>2025-09-15</v>
      </c>
      <c r="P24" s="3">
        <f>IFERROR(_xll.BCOUNTPERIODS($L$1,Q24,"CDR=BZ")*1,"")</f>
        <v>455</v>
      </c>
      <c r="Q24" s="137" t="str" cm="1">
        <f t="array" ref="Q24">_xll.BQL.DATE(_xll.BADDPERIODS(EOMONTH($L$1,0),"NUMBEROFPERIODS",K24,"PER=M","CDR=BZ","BusDayAdj=2"))</f>
        <v>2025-09-30</v>
      </c>
      <c r="T24" s="136">
        <v>21</v>
      </c>
      <c r="U24" s="134">
        <v>441</v>
      </c>
      <c r="V24" s="43" t="s">
        <v>13</v>
      </c>
      <c r="W24" s="3">
        <f>IFERROR(_xll.BCOUNTPERIODS($U$1,X24,"CDR=BZ")*1,"")</f>
        <v>445</v>
      </c>
      <c r="X24" s="137" t="str" cm="1">
        <f t="array" ref="X24">_xll.BQL.DATE(_xll.BADDPERIODS(DATE(YEAR($U$1),MONTH($U$1),DAY(15)),"NUMBEROFPERIODS",T24,"PER=M","CDR=BZ","BusDayAdj=-1"))</f>
        <v>2025-03-17</v>
      </c>
      <c r="Y24" s="3">
        <f>IFERROR(_xll.BCOUNTPERIODS($U$1,Z24,"CDR=BZ")*1,"")</f>
        <v>454</v>
      </c>
      <c r="Z24" s="137" t="str" cm="1">
        <f t="array" ref="Z24">_xll.BQL.DATE(_xll.BADDPERIODS(EOMONTH($U$1,0),"NUMBEROFPERIODS",T24,"PER=M","CDR=BZ","BusDayAdj=2"))</f>
        <v>2025-03-28</v>
      </c>
    </row>
    <row r="25" spans="2:26" x14ac:dyDescent="0.25">
      <c r="B25" s="136">
        <v>22</v>
      </c>
      <c r="C25" s="134">
        <v>462</v>
      </c>
      <c r="D25" s="43" t="s">
        <v>69</v>
      </c>
      <c r="E25" s="3">
        <f ca="1">IFERROR(_xll.BCOUNTPERIODS($C$1,F25,"CDR=BZ")*1,"")</f>
        <v>456</v>
      </c>
      <c r="F25" s="137" t="str" cm="1">
        <f t="array" aca="1" ref="F25" ca="1">_xll.BQL.DATE(_xll.BADDPERIODS(DATE(YEAR($C$1),MONTH($C$1),DAY(15)),"NUMBEROFPERIODS",B25,"PER=M","CDR=BZ","BusDayAdj=-1"))</f>
        <v>2027-04-15</v>
      </c>
      <c r="G25" s="3">
        <f ca="1">IFERROR(_xll.BCOUNTPERIODS($C$1,H25,"CDR=BZ")*1,"")</f>
        <v>466</v>
      </c>
      <c r="H25" s="137" t="str" cm="1">
        <f t="array" aca="1" ref="H25" ca="1">_xll.BQL.DATE(_xll.BADDPERIODS(EOMONTH($C$1,0),"NUMBEROFPERIODS",B25,"PER=M","CDR=BZ","BusDayAdj=2"))</f>
        <v>2027-04-30</v>
      </c>
      <c r="K25" s="136">
        <v>22</v>
      </c>
      <c r="L25" s="134">
        <v>462</v>
      </c>
      <c r="M25" s="43" t="s">
        <v>69</v>
      </c>
      <c r="N25" s="3">
        <f>IFERROR(_xll.BCOUNTPERIODS($L$1,O25,"CDR=BZ")*1,"")</f>
        <v>466</v>
      </c>
      <c r="O25" s="137" t="str" cm="1">
        <f t="array" ref="O25">_xll.BQL.DATE(_xll.BADDPERIODS(DATE(YEAR($L$1),MONTH($L$1),DAY(15)),"NUMBEROFPERIODS",K25,"PER=M","CDR=BZ","BusDayAdj=-1"))</f>
        <v>2025-10-15</v>
      </c>
      <c r="P25" s="3">
        <f>IFERROR(_xll.BCOUNTPERIODS($L$1,Q25,"CDR=BZ")*1,"")</f>
        <v>478</v>
      </c>
      <c r="Q25" s="137" t="str" cm="1">
        <f t="array" ref="Q25">_xll.BQL.DATE(_xll.BADDPERIODS(EOMONTH($L$1,0),"NUMBEROFPERIODS",K25,"PER=M","CDR=BZ","BusDayAdj=2"))</f>
        <v>2025-10-31</v>
      </c>
      <c r="T25" s="136">
        <v>22</v>
      </c>
      <c r="U25" s="134">
        <v>462</v>
      </c>
      <c r="V25" s="43" t="s">
        <v>69</v>
      </c>
      <c r="W25" s="3">
        <f>IFERROR(_xll.BCOUNTPERIODS($U$1,X25,"CDR=BZ")*1,"")</f>
        <v>466</v>
      </c>
      <c r="X25" s="137" t="str" cm="1">
        <f t="array" ref="X25">_xll.BQL.DATE(_xll.BADDPERIODS(DATE(YEAR($U$1),MONTH($U$1),DAY(15)),"NUMBEROFPERIODS",T25,"PER=M","CDR=BZ","BusDayAdj=-1"))</f>
        <v>2025-04-15</v>
      </c>
      <c r="Y25" s="3">
        <f>IFERROR(_xll.BCOUNTPERIODS($U$1,Z25,"CDR=BZ")*1,"")</f>
        <v>475</v>
      </c>
      <c r="Z25" s="137" t="str" cm="1">
        <f t="array" ref="Z25">_xll.BQL.DATE(_xll.BADDPERIODS(EOMONTH($U$1,0),"NUMBEROFPERIODS",T25,"PER=M","CDR=BZ","BusDayAdj=2"))</f>
        <v>2025-04-30</v>
      </c>
    </row>
    <row r="26" spans="2:26" x14ac:dyDescent="0.25">
      <c r="B26" s="136">
        <v>23</v>
      </c>
      <c r="C26" s="134">
        <v>483</v>
      </c>
      <c r="D26" s="43" t="s">
        <v>70</v>
      </c>
      <c r="E26" s="3">
        <f ca="1">IFERROR(_xll.BCOUNTPERIODS($C$1,F26,"CDR=BZ")*1,"")</f>
        <v>477</v>
      </c>
      <c r="F26" s="137" t="str" cm="1">
        <f t="array" aca="1" ref="F26" ca="1">_xll.BQL.DATE(_xll.BADDPERIODS(DATE(YEAR($C$1),MONTH($C$1),DAY(15)),"NUMBEROFPERIODS",B26,"PER=M","CDR=BZ","BusDayAdj=-1"))</f>
        <v>2027-05-17</v>
      </c>
      <c r="G26" s="3">
        <f ca="1">IFERROR(_xll.BCOUNTPERIODS($C$1,H26,"CDR=BZ")*1,"")</f>
        <v>485</v>
      </c>
      <c r="H26" s="137" t="str" cm="1">
        <f t="array" aca="1" ref="H26" ca="1">_xll.BQL.DATE(_xll.BADDPERIODS(EOMONTH($C$1,0),"NUMBEROFPERIODS",B26,"PER=M","CDR=BZ","BusDayAdj=2"))</f>
        <v>2027-05-28</v>
      </c>
      <c r="K26" s="136">
        <v>23</v>
      </c>
      <c r="L26" s="134">
        <v>483</v>
      </c>
      <c r="M26" s="43" t="s">
        <v>70</v>
      </c>
      <c r="N26" s="3">
        <f>IFERROR(_xll.BCOUNTPERIODS($L$1,O26,"CDR=BZ")*1,"")</f>
        <v>489</v>
      </c>
      <c r="O26" s="137" t="str" cm="1">
        <f t="array" ref="O26">_xll.BQL.DATE(_xll.BADDPERIODS(DATE(YEAR($L$1),MONTH($L$1),DAY(15)),"NUMBEROFPERIODS",K26,"PER=M","CDR=BZ","BusDayAdj=-1"))</f>
        <v>2025-11-17</v>
      </c>
      <c r="P26" s="3">
        <f>IFERROR(_xll.BCOUNTPERIODS($L$1,Q26,"CDR=BZ")*1,"")</f>
        <v>497</v>
      </c>
      <c r="Q26" s="137" t="str" cm="1">
        <f t="array" ref="Q26">_xll.BQL.DATE(_xll.BADDPERIODS(EOMONTH($L$1,0),"NUMBEROFPERIODS",K26,"PER=M","CDR=BZ","BusDayAdj=2"))</f>
        <v>2025-11-28</v>
      </c>
      <c r="T26" s="136">
        <v>23</v>
      </c>
      <c r="U26" s="134">
        <v>483</v>
      </c>
      <c r="V26" s="43" t="s">
        <v>70</v>
      </c>
      <c r="W26" s="3">
        <f>IFERROR(_xll.BCOUNTPERIODS($U$1,X26,"CDR=BZ")*1,"")</f>
        <v>485</v>
      </c>
      <c r="X26" s="137" t="str" cm="1">
        <f t="array" ref="X26">_xll.BQL.DATE(_xll.BADDPERIODS(DATE(YEAR($U$1),MONTH($U$1),DAY(15)),"NUMBEROFPERIODS",T26,"PER=M","CDR=BZ","BusDayAdj=-1"))</f>
        <v>2025-05-15</v>
      </c>
      <c r="Y26" s="3">
        <f>IFERROR(_xll.BCOUNTPERIODS($U$1,Z26,"CDR=BZ")*1,"")</f>
        <v>496</v>
      </c>
      <c r="Z26" s="137" t="str" cm="1">
        <f t="array" ref="Z26">_xll.BQL.DATE(_xll.BADDPERIODS(EOMONTH($U$1,0),"NUMBEROFPERIODS",T26,"PER=M","CDR=BZ","BusDayAdj=2"))</f>
        <v>2025-05-30</v>
      </c>
    </row>
    <row r="27" spans="2:26" x14ac:dyDescent="0.25">
      <c r="B27" s="136">
        <v>24</v>
      </c>
      <c r="C27" s="134">
        <v>504</v>
      </c>
      <c r="D27" s="43" t="s">
        <v>14</v>
      </c>
      <c r="E27" s="3">
        <f ca="1">IFERROR(_xll.BCOUNTPERIODS($C$1,F27,"CDR=BZ")*1,"")</f>
        <v>497</v>
      </c>
      <c r="F27" s="137" t="str" cm="1">
        <f t="array" aca="1" ref="F27" ca="1">_xll.BQL.DATE(_xll.BADDPERIODS(DATE(YEAR($C$1),MONTH($C$1),DAY(15)),"NUMBEROFPERIODS",B27,"PER=M","CDR=BZ","BusDayAdj=-1"))</f>
        <v>2027-06-15</v>
      </c>
      <c r="G27" s="3">
        <f ca="1">IFERROR(_xll.BCOUNTPERIODS($C$1,H27,"CDR=BZ")*1,"")</f>
        <v>508</v>
      </c>
      <c r="H27" s="137" t="str" cm="1">
        <f t="array" aca="1" ref="H27" ca="1">_xll.BQL.DATE(_xll.BADDPERIODS(EOMONTH($C$1,0),"NUMBEROFPERIODS",B27,"PER=M","CDR=BZ","BusDayAdj=2"))</f>
        <v>2027-06-30</v>
      </c>
      <c r="K27" s="136">
        <v>24</v>
      </c>
      <c r="L27" s="134">
        <v>504</v>
      </c>
      <c r="M27" s="43" t="s">
        <v>14</v>
      </c>
      <c r="N27" s="3">
        <f>IFERROR(_xll.BCOUNTPERIODS($L$1,O27,"CDR=BZ")*1,"")</f>
        <v>508</v>
      </c>
      <c r="O27" s="137" t="str" cm="1">
        <f t="array" ref="O27">_xll.BQL.DATE(_xll.BADDPERIODS(DATE(YEAR($L$1),MONTH($L$1),DAY(15)),"NUMBEROFPERIODS",K27,"PER=M","CDR=BZ","BusDayAdj=-1"))</f>
        <v>2025-12-15</v>
      </c>
      <c r="P27" s="3">
        <f>IFERROR(_xll.BCOUNTPERIODS($L$1,Q27,"CDR=BZ")*1,"")</f>
        <v>519</v>
      </c>
      <c r="Q27" s="137" t="str" cm="1">
        <f t="array" ref="Q27">_xll.BQL.DATE(_xll.BADDPERIODS(EOMONTH($L$1,0),"NUMBEROFPERIODS",K27,"PER=M","CDR=BZ","BusDayAdj=2"))</f>
        <v>2025-12-31</v>
      </c>
      <c r="T27" s="136">
        <v>24</v>
      </c>
      <c r="U27" s="134">
        <v>504</v>
      </c>
      <c r="V27" s="43" t="s">
        <v>14</v>
      </c>
      <c r="W27" s="3">
        <f>IFERROR(_xll.BCOUNTPERIODS($U$1,X27,"CDR=BZ")*1,"")</f>
        <v>507</v>
      </c>
      <c r="X27" s="137" t="str" cm="1">
        <f t="array" ref="X27">_xll.BQL.DATE(_xll.BADDPERIODS(DATE(YEAR($U$1),MONTH($U$1),DAY(15)),"NUMBEROFPERIODS",T27,"PER=M","CDR=BZ","BusDayAdj=-1"))</f>
        <v>2025-06-16</v>
      </c>
      <c r="Y27" s="3">
        <f>IFERROR(_xll.BCOUNTPERIODS($U$1,Z27,"CDR=BZ")*1,"")</f>
        <v>516</v>
      </c>
      <c r="Z27" s="137" t="str" cm="1">
        <f t="array" ref="Z27">_xll.BQL.DATE(_xll.BADDPERIODS(EOMONTH($U$1,0),"NUMBEROFPERIODS",T27,"PER=M","CDR=BZ","BusDayAdj=2"))</f>
        <v>2025-06-30</v>
      </c>
    </row>
    <row r="28" spans="2:26" x14ac:dyDescent="0.25">
      <c r="B28" s="136">
        <v>25</v>
      </c>
      <c r="C28" s="134">
        <v>525</v>
      </c>
      <c r="D28" s="43" t="s">
        <v>71</v>
      </c>
      <c r="E28" s="3">
        <f ca="1">IFERROR(_xll.BCOUNTPERIODS($C$1,F28,"CDR=BZ")*1,"")</f>
        <v>519</v>
      </c>
      <c r="F28" s="137" t="str" cm="1">
        <f t="array" aca="1" ref="F28" ca="1">_xll.BQL.DATE(_xll.BADDPERIODS(DATE(YEAR($C$1),MONTH($C$1),DAY(15)),"NUMBEROFPERIODS",B28,"PER=M","CDR=BZ","BusDayAdj=-1"))</f>
        <v>2027-07-15</v>
      </c>
      <c r="G28" s="3">
        <f ca="1">IFERROR(_xll.BCOUNTPERIODS($C$1,H28,"CDR=BZ")*1,"")</f>
        <v>530</v>
      </c>
      <c r="H28" s="137" t="str" cm="1">
        <f t="array" aca="1" ref="H28" ca="1">_xll.BQL.DATE(_xll.BADDPERIODS(EOMONTH($C$1,0),"NUMBEROFPERIODS",B28,"PER=M","CDR=BZ","BusDayAdj=2"))</f>
        <v>2027-07-30</v>
      </c>
      <c r="K28" s="136">
        <v>25</v>
      </c>
      <c r="L28" s="134">
        <v>525</v>
      </c>
      <c r="M28" s="43" t="s">
        <v>71</v>
      </c>
      <c r="N28" s="3">
        <f>IFERROR(_xll.BCOUNTPERIODS($L$1,O28,"CDR=BZ")*1,"")</f>
        <v>529</v>
      </c>
      <c r="O28" s="137" t="str" cm="1">
        <f t="array" ref="O28">_xll.BQL.DATE(_xll.BADDPERIODS(DATE(YEAR($L$1),MONTH($L$1),DAY(15)),"NUMBEROFPERIODS",K28,"PER=M","CDR=BZ","BusDayAdj=-1"))</f>
        <v>2026-01-15</v>
      </c>
      <c r="P28" s="3">
        <f>IFERROR(_xll.BCOUNTPERIODS($L$1,Q28,"CDR=BZ")*1,"")</f>
        <v>540</v>
      </c>
      <c r="Q28" s="137" t="str" cm="1">
        <f t="array" ref="Q28">_xll.BQL.DATE(_xll.BADDPERIODS(EOMONTH($L$1,0),"NUMBEROFPERIODS",K28,"PER=M","CDR=BZ","BusDayAdj=2"))</f>
        <v>2026-01-30</v>
      </c>
      <c r="T28" s="136">
        <v>25</v>
      </c>
      <c r="U28" s="134">
        <v>525</v>
      </c>
      <c r="V28" s="43" t="s">
        <v>71</v>
      </c>
      <c r="W28" s="3">
        <f>IFERROR(_xll.BCOUNTPERIODS($U$1,X28,"CDR=BZ")*1,"")</f>
        <v>527</v>
      </c>
      <c r="X28" s="137" t="str" cm="1">
        <f t="array" ref="X28">_xll.BQL.DATE(_xll.BADDPERIODS(DATE(YEAR($U$1),MONTH($U$1),DAY(15)),"NUMBEROFPERIODS",T28,"PER=M","CDR=BZ","BusDayAdj=-1"))</f>
        <v>2025-07-15</v>
      </c>
      <c r="Y28" s="3">
        <f>IFERROR(_xll.BCOUNTPERIODS($U$1,Z28,"CDR=BZ")*1,"")</f>
        <v>538</v>
      </c>
      <c r="Z28" s="137" t="str" cm="1">
        <f t="array" ref="Z28">_xll.BQL.DATE(_xll.BADDPERIODS(EOMONTH($U$1,0),"NUMBEROFPERIODS",T28,"PER=M","CDR=BZ","BusDayAdj=2"))</f>
        <v>2025-07-30</v>
      </c>
    </row>
    <row r="29" spans="2:26" x14ac:dyDescent="0.25">
      <c r="B29" s="136">
        <v>26</v>
      </c>
      <c r="C29" s="134">
        <v>546</v>
      </c>
      <c r="D29" s="43" t="s">
        <v>72</v>
      </c>
      <c r="E29" s="3">
        <f ca="1">IFERROR(_xll.BCOUNTPERIODS($C$1,F29,"CDR=BZ")*1,"")</f>
        <v>541</v>
      </c>
      <c r="F29" s="137" t="str" cm="1">
        <f t="array" aca="1" ref="F29" ca="1">_xll.BQL.DATE(_xll.BADDPERIODS(DATE(YEAR($C$1),MONTH($C$1),DAY(15)),"NUMBEROFPERIODS",B29,"PER=M","CDR=BZ","BusDayAdj=-1"))</f>
        <v>2027-08-16</v>
      </c>
      <c r="G29" s="3">
        <f ca="1">IFERROR(_xll.BCOUNTPERIODS($C$1,H29,"CDR=BZ")*1,"")</f>
        <v>551</v>
      </c>
      <c r="H29" s="137" t="str" cm="1">
        <f t="array" aca="1" ref="H29" ca="1">_xll.BQL.DATE(_xll.BADDPERIODS(EOMONTH($C$1,0),"NUMBEROFPERIODS",B29,"PER=M","CDR=BZ","BusDayAdj=2"))</f>
        <v>2027-08-30</v>
      </c>
      <c r="K29" s="136">
        <v>26</v>
      </c>
      <c r="L29" s="134">
        <v>546</v>
      </c>
      <c r="M29" s="43" t="s">
        <v>72</v>
      </c>
      <c r="N29" s="3">
        <f>IFERROR(_xll.BCOUNTPERIODS($L$1,O29,"CDR=BZ")*1,"")</f>
        <v>551</v>
      </c>
      <c r="O29" s="137" t="str" cm="1">
        <f t="array" ref="O29">_xll.BQL.DATE(_xll.BADDPERIODS(DATE(YEAR($L$1),MONTH($L$1),DAY(15)),"NUMBEROFPERIODS",K29,"PER=M","CDR=BZ","BusDayAdj=-1"))</f>
        <v>2026-02-18</v>
      </c>
      <c r="P29" s="3">
        <f>IFERROR(_xll.BCOUNTPERIODS($L$1,Q29,"CDR=BZ")*1,"")</f>
        <v>558</v>
      </c>
      <c r="Q29" s="137" t="str" cm="1">
        <f t="array" ref="Q29">_xll.BQL.DATE(_xll.BADDPERIODS(EOMONTH($L$1,0),"NUMBEROFPERIODS",K29,"PER=M","CDR=BZ","BusDayAdj=2"))</f>
        <v>2026-02-27</v>
      </c>
      <c r="T29" s="136">
        <v>26</v>
      </c>
      <c r="U29" s="134">
        <v>546</v>
      </c>
      <c r="V29" s="43" t="s">
        <v>72</v>
      </c>
      <c r="W29" s="3">
        <f>IFERROR(_xll.BCOUNTPERIODS($U$1,X29,"CDR=BZ")*1,"")</f>
        <v>550</v>
      </c>
      <c r="X29" s="137" t="str" cm="1">
        <f t="array" ref="X29">_xll.BQL.DATE(_xll.BADDPERIODS(DATE(YEAR($U$1),MONTH($U$1),DAY(15)),"NUMBEROFPERIODS",T29,"PER=M","CDR=BZ","BusDayAdj=-1"))</f>
        <v>2025-08-15</v>
      </c>
      <c r="Y29" s="3">
        <f>IFERROR(_xll.BCOUNTPERIODS($U$1,Z29,"CDR=BZ")*1,"")</f>
        <v>560</v>
      </c>
      <c r="Z29" s="137" t="str" cm="1">
        <f t="array" ref="Z29">_xll.BQL.DATE(_xll.BADDPERIODS(EOMONTH($U$1,0),"NUMBEROFPERIODS",T29,"PER=M","CDR=BZ","BusDayAdj=2"))</f>
        <v>2025-08-29</v>
      </c>
    </row>
    <row r="30" spans="2:26" x14ac:dyDescent="0.25">
      <c r="B30" s="136">
        <v>27</v>
      </c>
      <c r="C30" s="134">
        <v>567</v>
      </c>
      <c r="D30" s="43" t="s">
        <v>15</v>
      </c>
      <c r="E30" s="3">
        <f ca="1">IFERROR(_xll.BCOUNTPERIODS($C$1,F30,"CDR=BZ")*1,"")</f>
        <v>562</v>
      </c>
      <c r="F30" s="137" t="str" cm="1">
        <f t="array" aca="1" ref="F30" ca="1">_xll.BQL.DATE(_xll.BADDPERIODS(DATE(YEAR($C$1),MONTH($C$1),DAY(15)),"NUMBEROFPERIODS",B30,"PER=M","CDR=BZ","BusDayAdj=-1"))</f>
        <v>2027-09-15</v>
      </c>
      <c r="G30" s="3">
        <f ca="1">IFERROR(_xll.BCOUNTPERIODS($C$1,H30,"CDR=BZ")*1,"")</f>
        <v>573</v>
      </c>
      <c r="H30" s="137" t="str" cm="1">
        <f t="array" aca="1" ref="H30" ca="1">_xll.BQL.DATE(_xll.BADDPERIODS(EOMONTH($C$1,0),"NUMBEROFPERIODS",B30,"PER=M","CDR=BZ","BusDayAdj=2"))</f>
        <v>2027-09-30</v>
      </c>
      <c r="K30" s="136">
        <v>27</v>
      </c>
      <c r="L30" s="134">
        <v>567</v>
      </c>
      <c r="M30" s="43" t="s">
        <v>15</v>
      </c>
      <c r="N30" s="3">
        <f>IFERROR(_xll.BCOUNTPERIODS($L$1,O30,"CDR=BZ")*1,"")</f>
        <v>569</v>
      </c>
      <c r="O30" s="137" t="str" cm="1">
        <f t="array" ref="O30">_xll.BQL.DATE(_xll.BADDPERIODS(DATE(YEAR($L$1),MONTH($L$1),DAY(15)),"NUMBEROFPERIODS",K30,"PER=M","CDR=BZ","BusDayAdj=-1"))</f>
        <v>2026-03-16</v>
      </c>
      <c r="P30" s="3">
        <f>IFERROR(_xll.BCOUNTPERIODS($L$1,Q30,"CDR=BZ")*1,"")</f>
        <v>580</v>
      </c>
      <c r="Q30" s="137" t="str" cm="1">
        <f t="array" ref="Q30">_xll.BQL.DATE(_xll.BADDPERIODS(EOMONTH($L$1,0),"NUMBEROFPERIODS",K30,"PER=M","CDR=BZ","BusDayAdj=2"))</f>
        <v>2026-03-31</v>
      </c>
      <c r="T30" s="136">
        <v>27</v>
      </c>
      <c r="U30" s="134">
        <v>567</v>
      </c>
      <c r="V30" s="43" t="s">
        <v>15</v>
      </c>
      <c r="W30" s="3">
        <f>IFERROR(_xll.BCOUNTPERIODS($U$1,X30,"CDR=BZ")*1,"")</f>
        <v>571</v>
      </c>
      <c r="X30" s="137" t="str" cm="1">
        <f t="array" ref="X30">_xll.BQL.DATE(_xll.BADDPERIODS(DATE(YEAR($U$1),MONTH($U$1),DAY(15)),"NUMBEROFPERIODS",T30,"PER=M","CDR=BZ","BusDayAdj=-1"))</f>
        <v>2025-09-15</v>
      </c>
      <c r="Y30" s="3">
        <f>IFERROR(_xll.BCOUNTPERIODS($U$1,Z30,"CDR=BZ")*1,"")</f>
        <v>582</v>
      </c>
      <c r="Z30" s="137" t="str" cm="1">
        <f t="array" ref="Z30">_xll.BQL.DATE(_xll.BADDPERIODS(EOMONTH($U$1,0),"NUMBEROFPERIODS",T30,"PER=M","CDR=BZ","BusDayAdj=2"))</f>
        <v>2025-09-30</v>
      </c>
    </row>
    <row r="31" spans="2:26" x14ac:dyDescent="0.25">
      <c r="B31" s="136">
        <v>28</v>
      </c>
      <c r="C31" s="134">
        <v>588</v>
      </c>
      <c r="D31" s="43" t="s">
        <v>73</v>
      </c>
      <c r="E31" s="3">
        <f ca="1">IFERROR(_xll.BCOUNTPERIODS($C$1,F31,"CDR=BZ")*1,"")</f>
        <v>583</v>
      </c>
      <c r="F31" s="137" t="str" cm="1">
        <f t="array" aca="1" ref="F31" ca="1">_xll.BQL.DATE(_xll.BADDPERIODS(DATE(YEAR($C$1),MONTH($C$1),DAY(15)),"NUMBEROFPERIODS",B31,"PER=M","CDR=BZ","BusDayAdj=-1"))</f>
        <v>2027-10-15</v>
      </c>
      <c r="G31" s="3">
        <f ca="1">IFERROR(_xll.BCOUNTPERIODS($C$1,H31,"CDR=BZ")*1,"")</f>
        <v>593</v>
      </c>
      <c r="H31" s="137" t="str" cm="1">
        <f t="array" aca="1" ref="H31" ca="1">_xll.BQL.DATE(_xll.BADDPERIODS(EOMONTH($C$1,0),"NUMBEROFPERIODS",B31,"PER=M","CDR=BZ","BusDayAdj=2"))</f>
        <v>2027-10-29</v>
      </c>
      <c r="K31" s="136">
        <v>28</v>
      </c>
      <c r="L31" s="134">
        <v>588</v>
      </c>
      <c r="M31" s="43" t="s">
        <v>73</v>
      </c>
      <c r="N31" s="3">
        <f>IFERROR(_xll.BCOUNTPERIODS($L$1,O31,"CDR=BZ")*1,"")</f>
        <v>590</v>
      </c>
      <c r="O31" s="137" t="str" cm="1">
        <f t="array" ref="O31">_xll.BQL.DATE(_xll.BADDPERIODS(DATE(YEAR($L$1),MONTH($L$1),DAY(15)),"NUMBEROFPERIODS",K31,"PER=M","CDR=BZ","BusDayAdj=-1"))</f>
        <v>2026-04-15</v>
      </c>
      <c r="P31" s="3">
        <f>IFERROR(_xll.BCOUNTPERIODS($L$1,Q31,"CDR=BZ")*1,"")</f>
        <v>600</v>
      </c>
      <c r="Q31" s="137" t="str" cm="1">
        <f t="array" ref="Q31">_xll.BQL.DATE(_xll.BADDPERIODS(EOMONTH($L$1,0),"NUMBEROFPERIODS",K31,"PER=M","CDR=BZ","BusDayAdj=2"))</f>
        <v>2026-04-30</v>
      </c>
      <c r="T31" s="136">
        <v>28</v>
      </c>
      <c r="U31" s="134">
        <v>588</v>
      </c>
      <c r="V31" s="43" t="s">
        <v>73</v>
      </c>
      <c r="W31" s="3">
        <f>IFERROR(_xll.BCOUNTPERIODS($U$1,X31,"CDR=BZ")*1,"")</f>
        <v>593</v>
      </c>
      <c r="X31" s="137" t="str" cm="1">
        <f t="array" ref="X31">_xll.BQL.DATE(_xll.BADDPERIODS(DATE(YEAR($U$1),MONTH($U$1),DAY(15)),"NUMBEROFPERIODS",T31,"PER=M","CDR=BZ","BusDayAdj=-1"))</f>
        <v>2025-10-15</v>
      </c>
      <c r="Y31" s="3">
        <f>IFERROR(_xll.BCOUNTPERIODS($U$1,Z31,"CDR=BZ")*1,"")</f>
        <v>604</v>
      </c>
      <c r="Z31" s="137" t="str" cm="1">
        <f t="array" ref="Z31">_xll.BQL.DATE(_xll.BADDPERIODS(EOMONTH($U$1,0),"NUMBEROFPERIODS",T31,"PER=M","CDR=BZ","BusDayAdj=2"))</f>
        <v>2025-10-30</v>
      </c>
    </row>
    <row r="32" spans="2:26" x14ac:dyDescent="0.25">
      <c r="B32" s="136">
        <v>29</v>
      </c>
      <c r="C32" s="134">
        <v>609</v>
      </c>
      <c r="D32" s="43" t="s">
        <v>74</v>
      </c>
      <c r="E32" s="3">
        <f ca="1">IFERROR(_xll.BCOUNTPERIODS($C$1,F32,"CDR=BZ")*1,"")</f>
        <v>603</v>
      </c>
      <c r="F32" s="137" t="str" cm="1">
        <f t="array" aca="1" ref="F32" ca="1">_xll.BQL.DATE(_xll.BADDPERIODS(DATE(YEAR($C$1),MONTH($C$1),DAY(15)),"NUMBEROFPERIODS",B32,"PER=M","CDR=BZ","BusDayAdj=-1"))</f>
        <v>2027-11-16</v>
      </c>
      <c r="G32" s="3">
        <f ca="1">IFERROR(_xll.BCOUNTPERIODS($C$1,H32,"CDR=BZ")*1,"")</f>
        <v>613</v>
      </c>
      <c r="H32" s="137" t="str" cm="1">
        <f t="array" aca="1" ref="H32" ca="1">_xll.BQL.DATE(_xll.BADDPERIODS(EOMONTH($C$1,0),"NUMBEROFPERIODS",B32,"PER=M","CDR=BZ","BusDayAdj=2"))</f>
        <v>2027-11-30</v>
      </c>
      <c r="K32" s="136">
        <v>29</v>
      </c>
      <c r="L32" s="134">
        <v>609</v>
      </c>
      <c r="M32" s="43" t="s">
        <v>74</v>
      </c>
      <c r="N32" s="3">
        <f>IFERROR(_xll.BCOUNTPERIODS($L$1,O32,"CDR=BZ")*1,"")</f>
        <v>610</v>
      </c>
      <c r="O32" s="137" t="str" cm="1">
        <f t="array" ref="O32">_xll.BQL.DATE(_xll.BADDPERIODS(DATE(YEAR($L$1),MONTH($L$1),DAY(15)),"NUMBEROFPERIODS",K32,"PER=M","CDR=BZ","BusDayAdj=-1"))</f>
        <v>2026-05-15</v>
      </c>
      <c r="P32" s="3">
        <f>IFERROR(_xll.BCOUNTPERIODS($L$1,Q32,"CDR=BZ")*1,"")</f>
        <v>620</v>
      </c>
      <c r="Q32" s="137" t="str" cm="1">
        <f t="array" ref="Q32">_xll.BQL.DATE(_xll.BADDPERIODS(EOMONTH($L$1,0),"NUMBEROFPERIODS",K32,"PER=M","CDR=BZ","BusDayAdj=2"))</f>
        <v>2026-05-29</v>
      </c>
      <c r="T32" s="136">
        <v>29</v>
      </c>
      <c r="U32" s="134">
        <v>609</v>
      </c>
      <c r="V32" s="43" t="s">
        <v>74</v>
      </c>
      <c r="W32" s="3">
        <f>IFERROR(_xll.BCOUNTPERIODS($U$1,X32,"CDR=BZ")*1,"")</f>
        <v>616</v>
      </c>
      <c r="X32" s="137" t="str" cm="1">
        <f t="array" ref="X32">_xll.BQL.DATE(_xll.BADDPERIODS(DATE(YEAR($U$1),MONTH($U$1),DAY(15)),"NUMBEROFPERIODS",T32,"PER=M","CDR=BZ","BusDayAdj=-1"))</f>
        <v>2025-11-17</v>
      </c>
      <c r="Y32" s="3">
        <f>IFERROR(_xll.BCOUNTPERIODS($U$1,Z32,"CDR=BZ")*1,"")</f>
        <v>624</v>
      </c>
      <c r="Z32" s="137" t="str" cm="1">
        <f t="array" ref="Z32">_xll.BQL.DATE(_xll.BADDPERIODS(EOMONTH($U$1,0),"NUMBEROFPERIODS",T32,"PER=M","CDR=BZ","BusDayAdj=2"))</f>
        <v>2025-11-28</v>
      </c>
    </row>
    <row r="33" spans="2:26" x14ac:dyDescent="0.25">
      <c r="B33" s="136">
        <v>30</v>
      </c>
      <c r="C33" s="134">
        <v>630</v>
      </c>
      <c r="D33" s="43" t="s">
        <v>83</v>
      </c>
      <c r="E33" s="3">
        <f ca="1">IFERROR(_xll.BCOUNTPERIODS($C$1,F33,"CDR=BZ")*1,"")</f>
        <v>624</v>
      </c>
      <c r="F33" s="137" t="str" cm="1">
        <f t="array" aca="1" ref="F33" ca="1">_xll.BQL.DATE(_xll.BADDPERIODS(DATE(YEAR($C$1),MONTH($C$1),DAY(15)),"NUMBEROFPERIODS",B33,"PER=M","CDR=BZ","BusDayAdj=-1"))</f>
        <v>2027-12-15</v>
      </c>
      <c r="G33" s="3">
        <f ca="1">IFERROR(_xll.BCOUNTPERIODS($C$1,H33,"CDR=BZ")*1,"")</f>
        <v>635</v>
      </c>
      <c r="H33" s="137" t="str" cm="1">
        <f t="array" aca="1" ref="H33" ca="1">_xll.BQL.DATE(_xll.BADDPERIODS(EOMONTH($C$1,0),"NUMBEROFPERIODS",B33,"PER=M","CDR=BZ","BusDayAdj=2"))</f>
        <v>2027-12-30</v>
      </c>
      <c r="K33" s="136">
        <v>30</v>
      </c>
      <c r="L33" s="134">
        <v>630</v>
      </c>
      <c r="M33" s="43" t="s">
        <v>83</v>
      </c>
      <c r="N33" s="3">
        <f>IFERROR(_xll.BCOUNTPERIODS($L$1,O33,"CDR=BZ")*1,"")</f>
        <v>630</v>
      </c>
      <c r="O33" s="137" t="str" cm="1">
        <f t="array" ref="O33">_xll.BQL.DATE(_xll.BADDPERIODS(DATE(YEAR($L$1),MONTH($L$1),DAY(15)),"NUMBEROFPERIODS",K33,"PER=M","CDR=BZ","BusDayAdj=-1"))</f>
        <v>2026-06-15</v>
      </c>
      <c r="P33" s="3">
        <f>IFERROR(_xll.BCOUNTPERIODS($L$1,Q33,"CDR=BZ")*1,"")</f>
        <v>641</v>
      </c>
      <c r="Q33" s="137" t="str" cm="1">
        <f t="array" ref="Q33">_xll.BQL.DATE(_xll.BADDPERIODS(EOMONTH($L$1,0),"NUMBEROFPERIODS",K33,"PER=M","CDR=BZ","BusDayAdj=2"))</f>
        <v>2026-06-30</v>
      </c>
      <c r="T33" s="136">
        <v>30</v>
      </c>
      <c r="U33" s="134">
        <v>630</v>
      </c>
      <c r="V33" s="43" t="s">
        <v>83</v>
      </c>
      <c r="W33" s="3">
        <f>IFERROR(_xll.BCOUNTPERIODS($U$1,X33,"CDR=BZ")*1,"")</f>
        <v>635</v>
      </c>
      <c r="X33" s="137" t="str" cm="1">
        <f t="array" ref="X33">_xll.BQL.DATE(_xll.BADDPERIODS(DATE(YEAR($U$1),MONTH($U$1),DAY(15)),"NUMBEROFPERIODS",T33,"PER=M","CDR=BZ","BusDayAdj=-1"))</f>
        <v>2025-12-15</v>
      </c>
      <c r="Y33" s="3">
        <f>IFERROR(_xll.BCOUNTPERIODS($U$1,Z33,"CDR=BZ")*1,"")</f>
        <v>645</v>
      </c>
      <c r="Z33" s="137" t="str" cm="1">
        <f t="array" ref="Z33">_xll.BQL.DATE(_xll.BADDPERIODS(EOMONTH($U$1,0),"NUMBEROFPERIODS",T33,"PER=M","CDR=BZ","BusDayAdj=2"))</f>
        <v>2025-12-30</v>
      </c>
    </row>
    <row r="34" spans="2:26" x14ac:dyDescent="0.25">
      <c r="B34" s="136">
        <v>31</v>
      </c>
      <c r="C34" s="134">
        <v>651</v>
      </c>
      <c r="D34" s="43" t="s">
        <v>75</v>
      </c>
      <c r="E34" s="3">
        <f ca="1">IFERROR(_xll.BCOUNTPERIODS($C$1,F34,"CDR=BZ")*1,"")</f>
        <v>647</v>
      </c>
      <c r="F34" s="137" t="str" cm="1">
        <f t="array" aca="1" ref="F34" ca="1">_xll.BQL.DATE(_xll.BADDPERIODS(DATE(YEAR($C$1),MONTH($C$1),DAY(15)),"NUMBEROFPERIODS",B34,"PER=M","CDR=BZ","BusDayAdj=-1"))</f>
        <v>2028-01-17</v>
      </c>
      <c r="G34" s="3">
        <f ca="1">IFERROR(_xll.BCOUNTPERIODS($C$1,H34,"CDR=BZ")*1,"")</f>
        <v>656</v>
      </c>
      <c r="H34" s="137" t="str" cm="1">
        <f t="array" aca="1" ref="H34" ca="1">_xll.BQL.DATE(_xll.BADDPERIODS(EOMONTH($C$1,0),"NUMBEROFPERIODS",B34,"PER=M","CDR=BZ","BusDayAdj=2"))</f>
        <v>2028-01-28</v>
      </c>
      <c r="K34" s="136">
        <v>31</v>
      </c>
      <c r="L34" s="134">
        <v>651</v>
      </c>
      <c r="M34" s="43" t="s">
        <v>75</v>
      </c>
      <c r="N34" s="3">
        <f>IFERROR(_xll.BCOUNTPERIODS($L$1,O34,"CDR=BZ")*1,"")</f>
        <v>652</v>
      </c>
      <c r="O34" s="137" t="str" cm="1">
        <f t="array" ref="O34">_xll.BQL.DATE(_xll.BADDPERIODS(DATE(YEAR($L$1),MONTH($L$1),DAY(15)),"NUMBEROFPERIODS",K34,"PER=M","CDR=BZ","BusDayAdj=-1"))</f>
        <v>2026-07-15</v>
      </c>
      <c r="P34" s="3">
        <f>IFERROR(_xll.BCOUNTPERIODS($L$1,Q34,"CDR=BZ")*1,"")</f>
        <v>664</v>
      </c>
      <c r="Q34" s="137" t="str" cm="1">
        <f t="array" ref="Q34">_xll.BQL.DATE(_xll.BADDPERIODS(EOMONTH($L$1,0),"NUMBEROFPERIODS",K34,"PER=M","CDR=BZ","BusDayAdj=2"))</f>
        <v>2026-07-31</v>
      </c>
      <c r="T34" s="136">
        <v>31</v>
      </c>
      <c r="U34" s="134">
        <v>651</v>
      </c>
      <c r="V34" s="43" t="s">
        <v>75</v>
      </c>
      <c r="W34" s="3">
        <f>IFERROR(_xll.BCOUNTPERIODS($U$1,X34,"CDR=BZ")*1,"")</f>
        <v>656</v>
      </c>
      <c r="X34" s="137" t="str" cm="1">
        <f t="array" ref="X34">_xll.BQL.DATE(_xll.BADDPERIODS(DATE(YEAR($U$1),MONTH($U$1),DAY(15)),"NUMBEROFPERIODS",T34,"PER=M","CDR=BZ","BusDayAdj=-1"))</f>
        <v>2026-01-15</v>
      </c>
      <c r="Y34" s="3">
        <f>IFERROR(_xll.BCOUNTPERIODS($U$1,Z34,"CDR=BZ")*1,"")</f>
        <v>667</v>
      </c>
      <c r="Z34" s="137" t="str" cm="1">
        <f t="array" ref="Z34">_xll.BQL.DATE(_xll.BADDPERIODS(EOMONTH($U$1,0),"NUMBEROFPERIODS",T34,"PER=M","CDR=BZ","BusDayAdj=2"))</f>
        <v>2026-01-30</v>
      </c>
    </row>
    <row r="35" spans="2:26" x14ac:dyDescent="0.25">
      <c r="B35" s="136">
        <v>32</v>
      </c>
      <c r="C35" s="134">
        <v>672</v>
      </c>
      <c r="D35" s="43" t="s">
        <v>76</v>
      </c>
      <c r="E35" s="3">
        <f ca="1">IFERROR(_xll.BCOUNTPERIODS($C$1,F35,"CDR=BZ")*1,"")</f>
        <v>668</v>
      </c>
      <c r="F35" s="137" t="str" cm="1">
        <f t="array" aca="1" ref="F35" ca="1">_xll.BQL.DATE(_xll.BADDPERIODS(DATE(YEAR($C$1),MONTH($C$1),DAY(15)),"NUMBEROFPERIODS",B35,"PER=M","CDR=BZ","BusDayAdj=-1"))</f>
        <v>2028-02-15</v>
      </c>
      <c r="G35" s="3">
        <f ca="1">IFERROR(_xll.BCOUNTPERIODS($C$1,H35,"CDR=BZ")*1,"")</f>
        <v>676</v>
      </c>
      <c r="H35" s="137" t="str" cm="1">
        <f t="array" aca="1" ref="H35" ca="1">_xll.BQL.DATE(_xll.BADDPERIODS(EOMONTH($C$1,0),"NUMBEROFPERIODS",B35,"PER=M","CDR=BZ","BusDayAdj=2"))</f>
        <v>2028-02-25</v>
      </c>
      <c r="K35" s="136">
        <v>32</v>
      </c>
      <c r="L35" s="134">
        <v>672</v>
      </c>
      <c r="M35" s="43" t="s">
        <v>76</v>
      </c>
      <c r="N35" s="3">
        <f>IFERROR(_xll.BCOUNTPERIODS($L$1,O35,"CDR=BZ")*1,"")</f>
        <v>675</v>
      </c>
      <c r="O35" s="137" t="str" cm="1">
        <f t="array" ref="O35">_xll.BQL.DATE(_xll.BADDPERIODS(DATE(YEAR($L$1),MONTH($L$1),DAY(15)),"NUMBEROFPERIODS",K35,"PER=M","CDR=BZ","BusDayAdj=-1"))</f>
        <v>2026-08-17</v>
      </c>
      <c r="P35" s="3">
        <f>IFERROR(_xll.BCOUNTPERIODS($L$1,Q35,"CDR=BZ")*1,"")</f>
        <v>685</v>
      </c>
      <c r="Q35" s="137" t="str" cm="1">
        <f t="array" ref="Q35">_xll.BQL.DATE(_xll.BADDPERIODS(EOMONTH($L$1,0),"NUMBEROFPERIODS",K35,"PER=M","CDR=BZ","BusDayAdj=2"))</f>
        <v>2026-08-31</v>
      </c>
      <c r="T35" s="136">
        <v>32</v>
      </c>
      <c r="U35" s="134">
        <v>672</v>
      </c>
      <c r="V35" s="43" t="s">
        <v>76</v>
      </c>
      <c r="W35" s="3">
        <f>IFERROR(_xll.BCOUNTPERIODS($U$1,X35,"CDR=BZ")*1,"")</f>
        <v>678</v>
      </c>
      <c r="X35" s="137" t="str" cm="1">
        <f t="array" ref="X35">_xll.BQL.DATE(_xll.BADDPERIODS(DATE(YEAR($U$1),MONTH($U$1),DAY(15)),"NUMBEROFPERIODS",T35,"PER=M","CDR=BZ","BusDayAdj=-1"))</f>
        <v>2026-02-18</v>
      </c>
      <c r="Y35" s="3">
        <f>IFERROR(_xll.BCOUNTPERIODS($U$1,Z35,"CDR=BZ")*1,"")</f>
        <v>685</v>
      </c>
      <c r="Z35" s="137" t="str" cm="1">
        <f t="array" ref="Z35">_xll.BQL.DATE(_xll.BADDPERIODS(EOMONTH($U$1,0),"NUMBEROFPERIODS",T35,"PER=M","CDR=BZ","BusDayAdj=2"))</f>
        <v>2026-02-27</v>
      </c>
    </row>
    <row r="36" spans="2:26" x14ac:dyDescent="0.25">
      <c r="B36" s="136">
        <v>33</v>
      </c>
      <c r="C36" s="134">
        <v>693</v>
      </c>
      <c r="D36" s="43" t="s">
        <v>16</v>
      </c>
      <c r="E36" s="3">
        <f ca="1">IFERROR(_xll.BCOUNTPERIODS($C$1,F36,"CDR=BZ")*1,"")</f>
        <v>687</v>
      </c>
      <c r="F36" s="137" t="str" cm="1">
        <f t="array" aca="1" ref="F36" ca="1">_xll.BQL.DATE(_xll.BADDPERIODS(DATE(YEAR($C$1),MONTH($C$1),DAY(15)),"NUMBEROFPERIODS",B36,"PER=M","CDR=BZ","BusDayAdj=-1"))</f>
        <v>2028-03-15</v>
      </c>
      <c r="G36" s="3">
        <f ca="1">IFERROR(_xll.BCOUNTPERIODS($C$1,H36,"CDR=BZ")*1,"")</f>
        <v>698</v>
      </c>
      <c r="H36" s="137" t="str" cm="1">
        <f t="array" aca="1" ref="H36" ca="1">_xll.BQL.DATE(_xll.BADDPERIODS(EOMONTH($C$1,0),"NUMBEROFPERIODS",B36,"PER=M","CDR=BZ","BusDayAdj=2"))</f>
        <v>2028-03-30</v>
      </c>
      <c r="K36" s="136">
        <v>33</v>
      </c>
      <c r="L36" s="134">
        <v>693</v>
      </c>
      <c r="M36" s="43" t="s">
        <v>16</v>
      </c>
      <c r="N36" s="3">
        <f>IFERROR(_xll.BCOUNTPERIODS($L$1,O36,"CDR=BZ")*1,"")</f>
        <v>695</v>
      </c>
      <c r="O36" s="137" t="str" cm="1">
        <f t="array" ref="O36">_xll.BQL.DATE(_xll.BADDPERIODS(DATE(YEAR($L$1),MONTH($L$1),DAY(15)),"NUMBEROFPERIODS",K36,"PER=M","CDR=BZ","BusDayAdj=-1"))</f>
        <v>2026-09-15</v>
      </c>
      <c r="P36" s="3">
        <f>IFERROR(_xll.BCOUNTPERIODS($L$1,Q36,"CDR=BZ")*1,"")</f>
        <v>706</v>
      </c>
      <c r="Q36" s="137" t="str" cm="1">
        <f t="array" ref="Q36">_xll.BQL.DATE(_xll.BADDPERIODS(EOMONTH($L$1,0),"NUMBEROFPERIODS",K36,"PER=M","CDR=BZ","BusDayAdj=2"))</f>
        <v>2026-09-30</v>
      </c>
      <c r="T36" s="136">
        <v>33</v>
      </c>
      <c r="U36" s="134">
        <v>693</v>
      </c>
      <c r="V36" s="43" t="s">
        <v>16</v>
      </c>
      <c r="W36" s="3">
        <f>IFERROR(_xll.BCOUNTPERIODS($U$1,X36,"CDR=BZ")*1,"")</f>
        <v>696</v>
      </c>
      <c r="X36" s="137" t="str" cm="1">
        <f t="array" ref="X36">_xll.BQL.DATE(_xll.BADDPERIODS(DATE(YEAR($U$1),MONTH($U$1),DAY(15)),"NUMBEROFPERIODS",T36,"PER=M","CDR=BZ","BusDayAdj=-1"))</f>
        <v>2026-03-16</v>
      </c>
      <c r="Y36" s="3">
        <f>IFERROR(_xll.BCOUNTPERIODS($U$1,Z36,"CDR=BZ")*1,"")</f>
        <v>706</v>
      </c>
      <c r="Z36" s="137" t="str" cm="1">
        <f t="array" ref="Z36">_xll.BQL.DATE(_xll.BADDPERIODS(EOMONTH($U$1,0),"NUMBEROFPERIODS",T36,"PER=M","CDR=BZ","BusDayAdj=2"))</f>
        <v>2026-03-30</v>
      </c>
    </row>
    <row r="37" spans="2:26" x14ac:dyDescent="0.25">
      <c r="B37" s="136">
        <v>34</v>
      </c>
      <c r="C37" s="134">
        <v>714</v>
      </c>
      <c r="D37" s="43" t="s">
        <v>77</v>
      </c>
      <c r="E37" s="3">
        <f ca="1">IFERROR(_xll.BCOUNTPERIODS($C$1,F37,"CDR=BZ")*1,"")</f>
        <v>709</v>
      </c>
      <c r="F37" s="137" t="str" cm="1">
        <f t="array" aca="1" ref="F37" ca="1">_xll.BQL.DATE(_xll.BADDPERIODS(DATE(YEAR($C$1),MONTH($C$1),DAY(15)),"NUMBEROFPERIODS",B37,"PER=M","CDR=BZ","BusDayAdj=-1"))</f>
        <v>2028-04-17</v>
      </c>
      <c r="G37" s="3">
        <f ca="1">IFERROR(_xll.BCOUNTPERIODS($C$1,H37,"CDR=BZ")*1,"")</f>
        <v>717</v>
      </c>
      <c r="H37" s="137" t="str" cm="1">
        <f t="array" aca="1" ref="H37" ca="1">_xll.BQL.DATE(_xll.BADDPERIODS(EOMONTH($C$1,0),"NUMBEROFPERIODS",B37,"PER=M","CDR=BZ","BusDayAdj=2"))</f>
        <v>2028-04-28</v>
      </c>
      <c r="K37" s="136">
        <v>34</v>
      </c>
      <c r="L37" s="134">
        <v>714</v>
      </c>
      <c r="M37" s="43" t="s">
        <v>77</v>
      </c>
      <c r="N37" s="3">
        <f>IFERROR(_xll.BCOUNTPERIODS($L$1,O37,"CDR=BZ")*1,"")</f>
        <v>716</v>
      </c>
      <c r="O37" s="137" t="str" cm="1">
        <f t="array" ref="O37">_xll.BQL.DATE(_xll.BADDPERIODS(DATE(YEAR($L$1),MONTH($L$1),DAY(15)),"NUMBEROFPERIODS",K37,"PER=M","CDR=BZ","BusDayAdj=-1"))</f>
        <v>2026-10-15</v>
      </c>
      <c r="P37" s="3">
        <f>IFERROR(_xll.BCOUNTPERIODS($L$1,Q37,"CDR=BZ")*1,"")</f>
        <v>727</v>
      </c>
      <c r="Q37" s="137" t="str" cm="1">
        <f t="array" ref="Q37">_xll.BQL.DATE(_xll.BADDPERIODS(EOMONTH($L$1,0),"NUMBEROFPERIODS",K37,"PER=M","CDR=BZ","BusDayAdj=2"))</f>
        <v>2026-10-30</v>
      </c>
      <c r="T37" s="136">
        <v>34</v>
      </c>
      <c r="U37" s="134">
        <v>714</v>
      </c>
      <c r="V37" s="43" t="s">
        <v>77</v>
      </c>
      <c r="W37" s="3">
        <f>IFERROR(_xll.BCOUNTPERIODS($U$1,X37,"CDR=BZ")*1,"")</f>
        <v>717</v>
      </c>
      <c r="X37" s="137" t="str" cm="1">
        <f t="array" ref="X37">_xll.BQL.DATE(_xll.BADDPERIODS(DATE(YEAR($U$1),MONTH($U$1),DAY(15)),"NUMBEROFPERIODS",T37,"PER=M","CDR=BZ","BusDayAdj=-1"))</f>
        <v>2026-04-15</v>
      </c>
      <c r="Y37" s="3">
        <f>IFERROR(_xll.BCOUNTPERIODS($U$1,Z37,"CDR=BZ")*1,"")</f>
        <v>727</v>
      </c>
      <c r="Z37" s="137" t="str" cm="1">
        <f t="array" ref="Z37">_xll.BQL.DATE(_xll.BADDPERIODS(EOMONTH($U$1,0),"NUMBEROFPERIODS",T37,"PER=M","CDR=BZ","BusDayAdj=2"))</f>
        <v>2026-04-30</v>
      </c>
    </row>
    <row r="38" spans="2:26" x14ac:dyDescent="0.25">
      <c r="B38" s="136">
        <v>35</v>
      </c>
      <c r="C38" s="134">
        <v>735</v>
      </c>
      <c r="D38" s="43" t="s">
        <v>78</v>
      </c>
      <c r="E38" s="3">
        <f ca="1">IFERROR(_xll.BCOUNTPERIODS($C$1,F38,"CDR=BZ")*1,"")</f>
        <v>727</v>
      </c>
      <c r="F38" s="137" t="str" cm="1">
        <f t="array" aca="1" ref="F38" ca="1">_xll.BQL.DATE(_xll.BADDPERIODS(DATE(YEAR($C$1),MONTH($C$1),DAY(15)),"NUMBEROFPERIODS",B38,"PER=M","CDR=BZ","BusDayAdj=-1"))</f>
        <v>2028-05-15</v>
      </c>
      <c r="G38" s="3">
        <f ca="1">IFERROR(_xll.BCOUNTPERIODS($C$1,H38,"CDR=BZ")*1,"")</f>
        <v>738</v>
      </c>
      <c r="H38" s="137" t="str" cm="1">
        <f t="array" aca="1" ref="H38" ca="1">_xll.BQL.DATE(_xll.BADDPERIODS(EOMONTH($C$1,0),"NUMBEROFPERIODS",B38,"PER=M","CDR=BZ","BusDayAdj=2"))</f>
        <v>2028-05-30</v>
      </c>
      <c r="K38" s="136">
        <v>35</v>
      </c>
      <c r="L38" s="134">
        <v>735</v>
      </c>
      <c r="M38" s="43" t="s">
        <v>78</v>
      </c>
      <c r="N38" s="3">
        <f>IFERROR(_xll.BCOUNTPERIODS($L$1,O38,"CDR=BZ")*1,"")</f>
        <v>737</v>
      </c>
      <c r="O38" s="137" t="str" cm="1">
        <f t="array" ref="O38">_xll.BQL.DATE(_xll.BADDPERIODS(DATE(YEAR($L$1),MONTH($L$1),DAY(15)),"NUMBEROFPERIODS",K38,"PER=M","CDR=BZ","BusDayAdj=-1"))</f>
        <v>2026-11-16</v>
      </c>
      <c r="P38" s="3">
        <f>IFERROR(_xll.BCOUNTPERIODS($L$1,Q38,"CDR=BZ")*1,"")</f>
        <v>746</v>
      </c>
      <c r="Q38" s="137" t="str" cm="1">
        <f t="array" ref="Q38">_xll.BQL.DATE(_xll.BADDPERIODS(EOMONTH($L$1,0),"NUMBEROFPERIODS",K38,"PER=M","CDR=BZ","BusDayAdj=2"))</f>
        <v>2026-11-30</v>
      </c>
      <c r="T38" s="136">
        <v>35</v>
      </c>
      <c r="U38" s="134">
        <v>735</v>
      </c>
      <c r="V38" s="43" t="s">
        <v>78</v>
      </c>
      <c r="W38" s="3">
        <f>IFERROR(_xll.BCOUNTPERIODS($U$1,X38,"CDR=BZ")*1,"")</f>
        <v>737</v>
      </c>
      <c r="X38" s="137" t="str" cm="1">
        <f t="array" ref="X38">_xll.BQL.DATE(_xll.BADDPERIODS(DATE(YEAR($U$1),MONTH($U$1),DAY(15)),"NUMBEROFPERIODS",T38,"PER=M","CDR=BZ","BusDayAdj=-1"))</f>
        <v>2026-05-15</v>
      </c>
      <c r="Y38" s="3">
        <f>IFERROR(_xll.BCOUNTPERIODS($U$1,Z38,"CDR=BZ")*1,"")</f>
        <v>747</v>
      </c>
      <c r="Z38" s="137" t="str" cm="1">
        <f t="array" ref="Z38">_xll.BQL.DATE(_xll.BADDPERIODS(EOMONTH($U$1,0),"NUMBEROFPERIODS",T38,"PER=M","CDR=BZ","BusDayAdj=2"))</f>
        <v>2026-05-29</v>
      </c>
    </row>
    <row r="39" spans="2:26" x14ac:dyDescent="0.25">
      <c r="B39" s="136">
        <v>36</v>
      </c>
      <c r="C39" s="134">
        <v>756</v>
      </c>
      <c r="D39" s="43" t="s">
        <v>17</v>
      </c>
      <c r="E39" s="3">
        <f ca="1">IFERROR(_xll.BCOUNTPERIODS($C$1,F39,"CDR=BZ")*1,"")</f>
        <v>750</v>
      </c>
      <c r="F39" s="137" t="str" cm="1">
        <f t="array" aca="1" ref="F39" ca="1">_xll.BQL.DATE(_xll.BADDPERIODS(DATE(YEAR($C$1),MONTH($C$1),DAY(15)),"NUMBEROFPERIODS",B39,"PER=M","CDR=BZ","BusDayAdj=-1"))</f>
        <v>2028-06-16</v>
      </c>
      <c r="G39" s="3">
        <f ca="1">IFERROR(_xll.BCOUNTPERIODS($C$1,H39,"CDR=BZ")*1,"")</f>
        <v>760</v>
      </c>
      <c r="H39" s="137" t="str" cm="1">
        <f t="array" aca="1" ref="H39" ca="1">_xll.BQL.DATE(_xll.BADDPERIODS(EOMONTH($C$1,0),"NUMBEROFPERIODS",B39,"PER=M","CDR=BZ","BusDayAdj=2"))</f>
        <v>2028-06-30</v>
      </c>
      <c r="K39" s="136">
        <v>36</v>
      </c>
      <c r="L39" s="134">
        <v>756</v>
      </c>
      <c r="M39" s="43" t="s">
        <v>17</v>
      </c>
      <c r="N39" s="3">
        <f>IFERROR(_xll.BCOUNTPERIODS($L$1,O39,"CDR=BZ")*1,"")</f>
        <v>757</v>
      </c>
      <c r="O39" s="137" t="str" cm="1">
        <f t="array" ref="O39">_xll.BQL.DATE(_xll.BADDPERIODS(DATE(YEAR($L$1),MONTH($L$1),DAY(15)),"NUMBEROFPERIODS",K39,"PER=M","CDR=BZ","BusDayAdj=-1"))</f>
        <v>2026-12-15</v>
      </c>
      <c r="P39" s="3">
        <f>IFERROR(_xll.BCOUNTPERIODS($L$1,Q39,"CDR=BZ")*1,"")</f>
        <v>768</v>
      </c>
      <c r="Q39" s="137" t="str" cm="1">
        <f t="array" ref="Q39">_xll.BQL.DATE(_xll.BADDPERIODS(EOMONTH($L$1,0),"NUMBEROFPERIODS",K39,"PER=M","CDR=BZ","BusDayAdj=2"))</f>
        <v>2026-12-31</v>
      </c>
      <c r="T39" s="136">
        <v>36</v>
      </c>
      <c r="U39" s="134">
        <v>756</v>
      </c>
      <c r="V39" s="43" t="s">
        <v>17</v>
      </c>
      <c r="W39" s="3">
        <f>IFERROR(_xll.BCOUNTPERIODS($U$1,X39,"CDR=BZ")*1,"")</f>
        <v>757</v>
      </c>
      <c r="X39" s="137" t="str" cm="1">
        <f t="array" ref="X39">_xll.BQL.DATE(_xll.BADDPERIODS(DATE(YEAR($U$1),MONTH($U$1),DAY(15)),"NUMBEROFPERIODS",T39,"PER=M","CDR=BZ","BusDayAdj=-1"))</f>
        <v>2026-06-15</v>
      </c>
      <c r="Y39" s="3">
        <f>IFERROR(_xll.BCOUNTPERIODS($U$1,Z39,"CDR=BZ")*1,"")</f>
        <v>768</v>
      </c>
      <c r="Z39" s="137" t="str" cm="1">
        <f t="array" ref="Z39">_xll.BQL.DATE(_xll.BADDPERIODS(EOMONTH($U$1,0),"NUMBEROFPERIODS",T39,"PER=M","CDR=BZ","BusDayAdj=2"))</f>
        <v>2026-06-30</v>
      </c>
    </row>
    <row r="40" spans="2:26" x14ac:dyDescent="0.25">
      <c r="B40" s="136">
        <v>37</v>
      </c>
      <c r="C40" s="134">
        <v>777</v>
      </c>
      <c r="D40" s="43" t="s">
        <v>79</v>
      </c>
      <c r="E40" s="3">
        <f ca="1">IFERROR(_xll.BCOUNTPERIODS($C$1,F40,"CDR=BZ")*1,"")</f>
        <v>771</v>
      </c>
      <c r="F40" s="137" t="str" cm="1">
        <f t="array" aca="1" ref="F40" ca="1">_xll.BQL.DATE(_xll.BADDPERIODS(DATE(YEAR($C$1),MONTH($C$1),DAY(15)),"NUMBEROFPERIODS",B40,"PER=M","CDR=BZ","BusDayAdj=-1"))</f>
        <v>2028-07-17</v>
      </c>
      <c r="G40" s="3">
        <f ca="1">IFERROR(_xll.BCOUNTPERIODS($C$1,H40,"CDR=BZ")*1,"")</f>
        <v>780</v>
      </c>
      <c r="H40" s="137" t="str" cm="1">
        <f t="array" aca="1" ref="H40" ca="1">_xll.BQL.DATE(_xll.BADDPERIODS(EOMONTH($C$1,0),"NUMBEROFPERIODS",B40,"PER=M","CDR=BZ","BusDayAdj=2"))</f>
        <v>2028-07-28</v>
      </c>
      <c r="K40" s="136">
        <v>37</v>
      </c>
      <c r="L40" s="134">
        <v>777</v>
      </c>
      <c r="M40" s="43" t="s">
        <v>79</v>
      </c>
      <c r="N40" s="3">
        <f>IFERROR(_xll.BCOUNTPERIODS($L$1,O40,"CDR=BZ")*1,"")</f>
        <v>778</v>
      </c>
      <c r="O40" s="137" t="str" cm="1">
        <f t="array" ref="O40">_xll.BQL.DATE(_xll.BADDPERIODS(DATE(YEAR($L$1),MONTH($L$1),DAY(15)),"NUMBEROFPERIODS",K40,"PER=M","CDR=BZ","BusDayAdj=-1"))</f>
        <v>2027-01-15</v>
      </c>
      <c r="P40" s="3">
        <f>IFERROR(_xll.BCOUNTPERIODS($L$1,Q40,"CDR=BZ")*1,"")</f>
        <v>788</v>
      </c>
      <c r="Q40" s="137" t="str" cm="1">
        <f t="array" ref="Q40">_xll.BQL.DATE(_xll.BADDPERIODS(EOMONTH($L$1,0),"NUMBEROFPERIODS",K40,"PER=M","CDR=BZ","BusDayAdj=2"))</f>
        <v>2027-01-29</v>
      </c>
      <c r="T40" s="136">
        <v>37</v>
      </c>
      <c r="U40" s="134">
        <v>777</v>
      </c>
      <c r="V40" s="43" t="s">
        <v>79</v>
      </c>
      <c r="W40" s="3">
        <f>IFERROR(_xll.BCOUNTPERIODS($U$1,X40,"CDR=BZ")*1,"")</f>
        <v>779</v>
      </c>
      <c r="X40" s="137" t="str" cm="1">
        <f t="array" ref="X40">_xll.BQL.DATE(_xll.BADDPERIODS(DATE(YEAR($U$1),MONTH($U$1),DAY(15)),"NUMBEROFPERIODS",T40,"PER=M","CDR=BZ","BusDayAdj=-1"))</f>
        <v>2026-07-15</v>
      </c>
      <c r="Y40" s="3">
        <f>IFERROR(_xll.BCOUNTPERIODS($U$1,Z40,"CDR=BZ")*1,"")</f>
        <v>790</v>
      </c>
      <c r="Z40" s="137" t="str" cm="1">
        <f t="array" ref="Z40">_xll.BQL.DATE(_xll.BADDPERIODS(EOMONTH($U$1,0),"NUMBEROFPERIODS",T40,"PER=M","CDR=BZ","BusDayAdj=2"))</f>
        <v>2026-07-30</v>
      </c>
    </row>
    <row r="41" spans="2:26" x14ac:dyDescent="0.25">
      <c r="B41" s="136">
        <v>38</v>
      </c>
      <c r="C41" s="134">
        <v>798</v>
      </c>
      <c r="D41" s="43" t="s">
        <v>80</v>
      </c>
      <c r="E41" s="3">
        <f ca="1">IFERROR(_xll.BCOUNTPERIODS($C$1,F41,"CDR=BZ")*1,"")</f>
        <v>792</v>
      </c>
      <c r="F41" s="137" t="str" cm="1">
        <f t="array" aca="1" ref="F41" ca="1">_xll.BQL.DATE(_xll.BADDPERIODS(DATE(YEAR($C$1),MONTH($C$1),DAY(15)),"NUMBEROFPERIODS",B41,"PER=M","CDR=BZ","BusDayAdj=-1"))</f>
        <v>2028-08-15</v>
      </c>
      <c r="G41" s="3">
        <f ca="1">IFERROR(_xll.BCOUNTPERIODS($C$1,H41,"CDR=BZ")*1,"")</f>
        <v>803</v>
      </c>
      <c r="H41" s="137" t="str" cm="1">
        <f t="array" aca="1" ref="H41" ca="1">_xll.BQL.DATE(_xll.BADDPERIODS(EOMONTH($C$1,0),"NUMBEROFPERIODS",B41,"PER=M","CDR=BZ","BusDayAdj=2"))</f>
        <v>2028-08-30</v>
      </c>
      <c r="K41" s="136">
        <v>38</v>
      </c>
      <c r="L41" s="134">
        <v>798</v>
      </c>
      <c r="M41" s="43" t="s">
        <v>80</v>
      </c>
      <c r="N41" s="3">
        <f>IFERROR(_xll.BCOUNTPERIODS($L$1,O41,"CDR=BZ")*1,"")</f>
        <v>797</v>
      </c>
      <c r="O41" s="137" t="str" cm="1">
        <f t="array" ref="O41">_xll.BQL.DATE(_xll.BADDPERIODS(DATE(YEAR($L$1),MONTH($L$1),DAY(15)),"NUMBEROFPERIODS",K41,"PER=M","CDR=BZ","BusDayAdj=-1"))</f>
        <v>2027-02-15</v>
      </c>
      <c r="P41" s="3">
        <f>IFERROR(_xll.BCOUNTPERIODS($L$1,Q41,"CDR=BZ")*1,"")</f>
        <v>806</v>
      </c>
      <c r="Q41" s="137" t="str" cm="1">
        <f t="array" ref="Q41">_xll.BQL.DATE(_xll.BADDPERIODS(EOMONTH($L$1,0),"NUMBEROFPERIODS",K41,"PER=M","CDR=BZ","BusDayAdj=2"))</f>
        <v>2027-02-26</v>
      </c>
      <c r="T41" s="136">
        <v>38</v>
      </c>
      <c r="U41" s="134">
        <v>798</v>
      </c>
      <c r="V41" s="43" t="s">
        <v>80</v>
      </c>
      <c r="W41" s="3">
        <f>IFERROR(_xll.BCOUNTPERIODS($U$1,X41,"CDR=BZ")*1,"")</f>
        <v>802</v>
      </c>
      <c r="X41" s="137" t="str" cm="1">
        <f t="array" ref="X41">_xll.BQL.DATE(_xll.BADDPERIODS(DATE(YEAR($U$1),MONTH($U$1),DAY(15)),"NUMBEROFPERIODS",T41,"PER=M","CDR=BZ","BusDayAdj=-1"))</f>
        <v>2026-08-17</v>
      </c>
      <c r="Y41" s="3">
        <f>IFERROR(_xll.BCOUNTPERIODS($U$1,Z41,"CDR=BZ")*1,"")</f>
        <v>811</v>
      </c>
      <c r="Z41" s="137" t="str" cm="1">
        <f t="array" ref="Z41">_xll.BQL.DATE(_xll.BADDPERIODS(EOMONTH($U$1,0),"NUMBEROFPERIODS",T41,"PER=M","CDR=BZ","BusDayAdj=2"))</f>
        <v>2026-08-28</v>
      </c>
    </row>
    <row r="42" spans="2:26" x14ac:dyDescent="0.25">
      <c r="B42" s="136">
        <v>39</v>
      </c>
      <c r="C42" s="134">
        <v>819</v>
      </c>
      <c r="D42" s="43" t="s">
        <v>18</v>
      </c>
      <c r="E42" s="3">
        <f ca="1">IFERROR(_xll.BCOUNTPERIODS($C$1,F42,"CDR=BZ")*1,"")</f>
        <v>814</v>
      </c>
      <c r="F42" s="137" t="str" cm="1">
        <f t="array" aca="1" ref="F42" ca="1">_xll.BQL.DATE(_xll.BADDPERIODS(DATE(YEAR($C$1),MONTH($C$1),DAY(15)),"NUMBEROFPERIODS",B42,"PER=M","CDR=BZ","BusDayAdj=-1"))</f>
        <v>2028-09-15</v>
      </c>
      <c r="G42" s="3">
        <f ca="1">IFERROR(_xll.BCOUNTPERIODS($C$1,H42,"CDR=BZ")*1,"")</f>
        <v>824</v>
      </c>
      <c r="H42" s="137" t="str" cm="1">
        <f t="array" aca="1" ref="H42" ca="1">_xll.BQL.DATE(_xll.BADDPERIODS(EOMONTH($C$1,0),"NUMBEROFPERIODS",B42,"PER=M","CDR=BZ","BusDayAdj=2"))</f>
        <v>2028-09-29</v>
      </c>
      <c r="K42" s="136">
        <v>39</v>
      </c>
      <c r="L42" s="134">
        <v>819</v>
      </c>
      <c r="M42" s="43" t="s">
        <v>18</v>
      </c>
      <c r="N42" s="3">
        <f>IFERROR(_xll.BCOUNTPERIODS($L$1,O42,"CDR=BZ")*1,"")</f>
        <v>817</v>
      </c>
      <c r="O42" s="137" t="str" cm="1">
        <f t="array" ref="O42">_xll.BQL.DATE(_xll.BADDPERIODS(DATE(YEAR($L$1),MONTH($L$1),DAY(15)),"NUMBEROFPERIODS",K42,"PER=M","CDR=BZ","BusDayAdj=-1"))</f>
        <v>2027-03-15</v>
      </c>
      <c r="P42" s="3">
        <f>IFERROR(_xll.BCOUNTPERIODS($L$1,Q42,"CDR=BZ")*1,"")</f>
        <v>828</v>
      </c>
      <c r="Q42" s="137" t="str" cm="1">
        <f t="array" ref="Q42">_xll.BQL.DATE(_xll.BADDPERIODS(EOMONTH($L$1,0),"NUMBEROFPERIODS",K42,"PER=M","CDR=BZ","BusDayAdj=2"))</f>
        <v>2027-03-31</v>
      </c>
      <c r="T42" s="136">
        <v>39</v>
      </c>
      <c r="U42" s="134">
        <v>819</v>
      </c>
      <c r="V42" s="43" t="s">
        <v>18</v>
      </c>
      <c r="W42" s="3">
        <f>IFERROR(_xll.BCOUNTPERIODS($U$1,X42,"CDR=BZ")*1,"")</f>
        <v>822</v>
      </c>
      <c r="X42" s="137" t="str" cm="1">
        <f t="array" ref="X42">_xll.BQL.DATE(_xll.BADDPERIODS(DATE(YEAR($U$1),MONTH($U$1),DAY(15)),"NUMBEROFPERIODS",T42,"PER=M","CDR=BZ","BusDayAdj=-1"))</f>
        <v>2026-09-15</v>
      </c>
      <c r="Y42" s="3">
        <f>IFERROR(_xll.BCOUNTPERIODS($U$1,Z42,"CDR=BZ")*1,"")</f>
        <v>833</v>
      </c>
      <c r="Z42" s="137" t="str" cm="1">
        <f t="array" ref="Z42">_xll.BQL.DATE(_xll.BADDPERIODS(EOMONTH($U$1,0),"NUMBEROFPERIODS",T42,"PER=M","CDR=BZ","BusDayAdj=2"))</f>
        <v>2026-09-30</v>
      </c>
    </row>
    <row r="43" spans="2:26" x14ac:dyDescent="0.25">
      <c r="B43" s="136">
        <v>40</v>
      </c>
      <c r="C43" s="134">
        <v>840</v>
      </c>
      <c r="D43" s="43" t="s">
        <v>81</v>
      </c>
      <c r="E43" s="3">
        <f ca="1">IFERROR(_xll.BCOUNTPERIODS($C$1,F43,"CDR=BZ")*1,"")</f>
        <v>834</v>
      </c>
      <c r="F43" s="137" t="str" cm="1">
        <f t="array" aca="1" ref="F43" ca="1">_xll.BQL.DATE(_xll.BADDPERIODS(DATE(YEAR($C$1),MONTH($C$1),DAY(15)),"NUMBEROFPERIODS",B43,"PER=M","CDR=BZ","BusDayAdj=-1"))</f>
        <v>2028-10-16</v>
      </c>
      <c r="G43" s="3">
        <f ca="1">IFERROR(_xll.BCOUNTPERIODS($C$1,H43,"CDR=BZ")*1,"")</f>
        <v>844</v>
      </c>
      <c r="H43" s="137" t="str" cm="1">
        <f t="array" aca="1" ref="H43" ca="1">_xll.BQL.DATE(_xll.BADDPERIODS(EOMONTH($C$1,0),"NUMBEROFPERIODS",B43,"PER=M","CDR=BZ","BusDayAdj=2"))</f>
        <v>2028-10-30</v>
      </c>
      <c r="K43" s="136">
        <v>40</v>
      </c>
      <c r="L43" s="134">
        <v>840</v>
      </c>
      <c r="M43" s="43" t="s">
        <v>81</v>
      </c>
      <c r="N43" s="3">
        <f>IFERROR(_xll.BCOUNTPERIODS($L$1,O43,"CDR=BZ")*1,"")</f>
        <v>839</v>
      </c>
      <c r="O43" s="137" t="str" cm="1">
        <f t="array" ref="O43">_xll.BQL.DATE(_xll.BADDPERIODS(DATE(YEAR($L$1),MONTH($L$1),DAY(15)),"NUMBEROFPERIODS",K43,"PER=M","CDR=BZ","BusDayAdj=-1"))</f>
        <v>2027-04-15</v>
      </c>
      <c r="P43" s="3">
        <f>IFERROR(_xll.BCOUNTPERIODS($L$1,Q43,"CDR=BZ")*1,"")</f>
        <v>849</v>
      </c>
      <c r="Q43" s="137" t="str" cm="1">
        <f t="array" ref="Q43">_xll.BQL.DATE(_xll.BADDPERIODS(EOMONTH($L$1,0),"NUMBEROFPERIODS",K43,"PER=M","CDR=BZ","BusDayAdj=2"))</f>
        <v>2027-04-30</v>
      </c>
      <c r="T43" s="136">
        <v>40</v>
      </c>
      <c r="U43" s="134">
        <v>840</v>
      </c>
      <c r="V43" s="43" t="s">
        <v>81</v>
      </c>
      <c r="W43" s="3">
        <f>IFERROR(_xll.BCOUNTPERIODS($U$1,X43,"CDR=BZ")*1,"")</f>
        <v>843</v>
      </c>
      <c r="X43" s="137" t="str" cm="1">
        <f t="array" ref="X43">_xll.BQL.DATE(_xll.BADDPERIODS(DATE(YEAR($U$1),MONTH($U$1),DAY(15)),"NUMBEROFPERIODS",T43,"PER=M","CDR=BZ","BusDayAdj=-1"))</f>
        <v>2026-10-15</v>
      </c>
      <c r="Y43" s="3">
        <f>IFERROR(_xll.BCOUNTPERIODS($U$1,Z43,"CDR=BZ")*1,"")</f>
        <v>854</v>
      </c>
      <c r="Z43" s="137" t="str" cm="1">
        <f t="array" ref="Z43">_xll.BQL.DATE(_xll.BADDPERIODS(EOMONTH($U$1,0),"NUMBEROFPERIODS",T43,"PER=M","CDR=BZ","BusDayAdj=2"))</f>
        <v>2026-10-30</v>
      </c>
    </row>
    <row r="44" spans="2:26" x14ac:dyDescent="0.25">
      <c r="B44" s="136">
        <v>48</v>
      </c>
      <c r="C44" s="134">
        <v>1008</v>
      </c>
      <c r="D44" s="43" t="s">
        <v>19</v>
      </c>
      <c r="E44" s="3">
        <f ca="1">IFERROR(_xll.BCOUNTPERIODS($C$1,F44,"CDR=BZ")*1,"")</f>
        <v>998</v>
      </c>
      <c r="F44" s="137" t="str" cm="1">
        <f t="array" aca="1" ref="F44" ca="1">_xll.BQL.DATE(_xll.BADDPERIODS(DATE(YEAR($C$1),MONTH($C$1),DAY(15)),"NUMBEROFPERIODS",B44,"PER=M","CDR=BZ","BusDayAdj=-1"))</f>
        <v>2029-06-15</v>
      </c>
      <c r="G44" s="3">
        <f ca="1">IFERROR(_xll.BCOUNTPERIODS($C$1,H44,"CDR=BZ")*1,"")</f>
        <v>1008</v>
      </c>
      <c r="H44" s="137" t="str" cm="1">
        <f t="array" aca="1" ref="H44" ca="1">_xll.BQL.DATE(_xll.BADDPERIODS(EOMONTH($C$1,0),"NUMBEROFPERIODS",B44,"PER=M","CDR=BZ","BusDayAdj=2"))</f>
        <v>2029-06-29</v>
      </c>
      <c r="K44" s="136">
        <v>48</v>
      </c>
      <c r="L44" s="134">
        <v>1008</v>
      </c>
      <c r="M44" s="43" t="s">
        <v>19</v>
      </c>
      <c r="N44" s="3">
        <f>IFERROR(_xll.BCOUNTPERIODS($L$1,O44,"CDR=BZ")*1,"")</f>
        <v>1007</v>
      </c>
      <c r="O44" s="137" t="str" cm="1">
        <f t="array" ref="O44">_xll.BQL.DATE(_xll.BADDPERIODS(DATE(YEAR($L$1),MONTH($L$1),DAY(15)),"NUMBEROFPERIODS",K44,"PER=M","CDR=BZ","BusDayAdj=-1"))</f>
        <v>2027-12-15</v>
      </c>
      <c r="P44" s="3">
        <f>IFERROR(_xll.BCOUNTPERIODS($L$1,Q44,"CDR=BZ")*1,"")</f>
        <v>1019</v>
      </c>
      <c r="Q44" s="137" t="str" cm="1">
        <f t="array" ref="Q44">_xll.BQL.DATE(_xll.BADDPERIODS(EOMONTH($L$1,0),"NUMBEROFPERIODS",K44,"PER=M","CDR=BZ","BusDayAdj=2"))</f>
        <v>2027-12-31</v>
      </c>
      <c r="T44" s="136">
        <v>48</v>
      </c>
      <c r="U44" s="134">
        <v>1008</v>
      </c>
      <c r="V44" s="43" t="s">
        <v>19</v>
      </c>
      <c r="W44" s="3">
        <f>IFERROR(_xll.BCOUNTPERIODS($U$1,X44,"CDR=BZ")*1,"")</f>
        <v>1007</v>
      </c>
      <c r="X44" s="137" t="str" cm="1">
        <f t="array" ref="X44">_xll.BQL.DATE(_xll.BADDPERIODS(DATE(YEAR($U$1),MONTH($U$1),DAY(15)),"NUMBEROFPERIODS",T44,"PER=M","CDR=BZ","BusDayAdj=-1"))</f>
        <v>2027-06-15</v>
      </c>
      <c r="Y44" s="3">
        <f>IFERROR(_xll.BCOUNTPERIODS($U$1,Z44,"CDR=BZ")*1,"")</f>
        <v>1018</v>
      </c>
      <c r="Z44" s="137" t="str" cm="1">
        <f t="array" ref="Z44">_xll.BQL.DATE(_xll.BADDPERIODS(EOMONTH($U$1,0),"NUMBEROFPERIODS",T44,"PER=M","CDR=BZ","BusDayAdj=2"))</f>
        <v>2027-06-30</v>
      </c>
    </row>
    <row r="45" spans="2:26" ht="15.75" thickBot="1" x14ac:dyDescent="0.3">
      <c r="B45" s="138">
        <v>60</v>
      </c>
      <c r="C45" s="135">
        <v>1260</v>
      </c>
      <c r="D45" s="139" t="s">
        <v>20</v>
      </c>
      <c r="E45" s="57">
        <f ca="1">IFERROR(_xll.BCOUNTPERIODS($C$1,F45,"CDR=BZ")*1,"")</f>
        <v>1248</v>
      </c>
      <c r="F45" s="140" t="str" cm="1">
        <f t="array" aca="1" ref="F45" ca="1">_xll.BQL.DATE(_xll.BADDPERIODS(DATE(YEAR($C$1),MONTH($C$1),DAY(15)),"NUMBEROFPERIODS",B45,"PER=M","CDR=BZ","BusDayAdj=-1"))</f>
        <v>2030-06-17</v>
      </c>
      <c r="G45" s="57">
        <f ca="1">IFERROR(_xll.BCOUNTPERIODS($C$1,H45,"CDR=BZ")*1,"")</f>
        <v>1256</v>
      </c>
      <c r="H45" s="140" t="str" cm="1">
        <f t="array" aca="1" ref="H45" ca="1">_xll.BQL.DATE(_xll.BADDPERIODS(EOMONTH($C$1,0),"NUMBEROFPERIODS",B45,"PER=M","CDR=BZ","BusDayAdj=2"))</f>
        <v>2030-06-28</v>
      </c>
      <c r="K45" s="138">
        <v>60</v>
      </c>
      <c r="L45" s="135">
        <v>1260</v>
      </c>
      <c r="M45" s="139" t="s">
        <v>20</v>
      </c>
      <c r="N45" s="57">
        <f>IFERROR(_xll.BCOUNTPERIODS($L$1,O45,"CDR=BZ")*1,"")</f>
        <v>1258</v>
      </c>
      <c r="O45" s="140" t="str" cm="1">
        <f t="array" ref="O45">_xll.BQL.DATE(_xll.BADDPERIODS(DATE(YEAR($L$1),MONTH($L$1),DAY(15)),"NUMBEROFPERIODS",K45,"PER=M","CDR=BZ","BusDayAdj=-1"))</f>
        <v>2028-12-15</v>
      </c>
      <c r="P45" s="57">
        <f>IFERROR(_xll.BCOUNTPERIODS($L$1,Q45,"CDR=BZ")*1,"")</f>
        <v>1267</v>
      </c>
      <c r="Q45" s="140" t="str" cm="1">
        <f t="array" ref="Q45">_xll.BQL.DATE(_xll.BADDPERIODS(EOMONTH($L$1,0),"NUMBEROFPERIODS",K45,"PER=M","CDR=BZ","BusDayAdj=2"))</f>
        <v>2028-12-29</v>
      </c>
      <c r="T45" s="138">
        <v>60</v>
      </c>
      <c r="U45" s="135">
        <v>1260</v>
      </c>
      <c r="V45" s="139" t="s">
        <v>20</v>
      </c>
      <c r="W45" s="57">
        <f>IFERROR(_xll.BCOUNTPERIODS($U$1,X45,"CDR=BZ")*1,"")</f>
        <v>1260</v>
      </c>
      <c r="X45" s="140" t="str" cm="1">
        <f t="array" ref="X45">_xll.BQL.DATE(_xll.BADDPERIODS(DATE(YEAR($U$1),MONTH($U$1),DAY(15)),"NUMBEROFPERIODS",T45,"PER=M","CDR=BZ","BusDayAdj=-1"))</f>
        <v>2028-06-16</v>
      </c>
      <c r="Y45" s="57">
        <f>IFERROR(_xll.BCOUNTPERIODS($U$1,Z45,"CDR=BZ")*1,"")</f>
        <v>1270</v>
      </c>
      <c r="Z45" s="140" t="str" cm="1">
        <f t="array" ref="Z45">_xll.BQL.DATE(_xll.BADDPERIODS(EOMONTH($U$1,0),"NUMBEROFPERIODS",T45,"PER=M","CDR=BZ","BusDayAdj=2"))</f>
        <v>2028-06-30</v>
      </c>
    </row>
  </sheetData>
  <mergeCells count="9">
    <mergeCell ref="U3:V3"/>
    <mergeCell ref="W3:X3"/>
    <mergeCell ref="Y3:Z3"/>
    <mergeCell ref="C3:D3"/>
    <mergeCell ref="E3:F3"/>
    <mergeCell ref="G3:H3"/>
    <mergeCell ref="L3:M3"/>
    <mergeCell ref="N3:O3"/>
    <mergeCell ref="P3:Q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EFA8F-CA1A-4D5C-AD4C-F7B7BAD98F2D}">
  <dimension ref="A1:X167"/>
  <sheetViews>
    <sheetView showGridLines="0" zoomScale="80" zoomScaleNormal="80" workbookViewId="0">
      <selection activeCell="U34" sqref="U34"/>
    </sheetView>
  </sheetViews>
  <sheetFormatPr defaultRowHeight="15" x14ac:dyDescent="0.25"/>
  <cols>
    <col min="1" max="1" width="1.85546875" customWidth="1"/>
    <col min="2" max="2" width="17.7109375" customWidth="1"/>
    <col min="3" max="3" width="23.42578125" customWidth="1"/>
    <col min="4" max="5" width="9.140625" customWidth="1"/>
    <col min="6" max="6" width="11.5703125" bestFit="1" customWidth="1"/>
    <col min="7" max="9" width="21.28515625" customWidth="1"/>
    <col min="10" max="10" width="6.28515625" customWidth="1"/>
    <col min="11" max="11" width="17.7109375" customWidth="1"/>
    <col min="12" max="12" width="23.42578125" customWidth="1"/>
    <col min="13" max="14" width="9.140625" customWidth="1"/>
    <col min="15" max="15" width="11.5703125" bestFit="1" customWidth="1"/>
    <col min="16" max="17" width="21.28515625" customWidth="1"/>
    <col min="18" max="18" width="16.28515625" customWidth="1"/>
    <col min="19" max="19" width="9.140625" customWidth="1"/>
    <col min="20" max="20" width="17" bestFit="1" customWidth="1"/>
    <col min="21" max="21" width="11.28515625" bestFit="1" customWidth="1"/>
    <col min="23" max="23" width="11.5703125" bestFit="1" customWidth="1"/>
    <col min="24" max="24" width="11.28515625" bestFit="1" customWidth="1"/>
    <col min="258" max="272" width="9.140625" customWidth="1"/>
    <col min="274" max="276" width="9.140625" customWidth="1"/>
    <col min="514" max="528" width="9.140625" customWidth="1"/>
    <col min="530" max="532" width="9.140625" customWidth="1"/>
    <col min="770" max="784" width="9.140625" customWidth="1"/>
    <col min="786" max="788" width="9.140625" customWidth="1"/>
    <col min="1026" max="1040" width="9.140625" customWidth="1"/>
    <col min="1042" max="1044" width="9.140625" customWidth="1"/>
    <col min="1282" max="1296" width="9.140625" customWidth="1"/>
    <col min="1298" max="1300" width="9.140625" customWidth="1"/>
    <col min="1538" max="1552" width="9.140625" customWidth="1"/>
    <col min="1554" max="1556" width="9.140625" customWidth="1"/>
    <col min="1794" max="1808" width="9.140625" customWidth="1"/>
    <col min="1810" max="1812" width="9.140625" customWidth="1"/>
    <col min="2050" max="2064" width="9.140625" customWidth="1"/>
    <col min="2066" max="2068" width="9.140625" customWidth="1"/>
    <col min="2306" max="2320" width="9.140625" customWidth="1"/>
    <col min="2322" max="2324" width="9.140625" customWidth="1"/>
    <col min="2562" max="2576" width="9.140625" customWidth="1"/>
    <col min="2578" max="2580" width="9.140625" customWidth="1"/>
    <col min="2818" max="2832" width="9.140625" customWidth="1"/>
    <col min="2834" max="2836" width="9.140625" customWidth="1"/>
    <col min="3074" max="3088" width="9.140625" customWidth="1"/>
    <col min="3090" max="3092" width="9.140625" customWidth="1"/>
    <col min="3330" max="3344" width="9.140625" customWidth="1"/>
    <col min="3346" max="3348" width="9.140625" customWidth="1"/>
    <col min="3586" max="3600" width="9.140625" customWidth="1"/>
    <col min="3602" max="3604" width="9.140625" customWidth="1"/>
    <col min="3842" max="3856" width="9.140625" customWidth="1"/>
    <col min="3858" max="3860" width="9.140625" customWidth="1"/>
    <col min="4098" max="4112" width="9.140625" customWidth="1"/>
    <col min="4114" max="4116" width="9.140625" customWidth="1"/>
    <col min="4354" max="4368" width="9.140625" customWidth="1"/>
    <col min="4370" max="4372" width="9.140625" customWidth="1"/>
    <col min="4610" max="4624" width="9.140625" customWidth="1"/>
    <col min="4626" max="4628" width="9.140625" customWidth="1"/>
    <col min="4866" max="4880" width="9.140625" customWidth="1"/>
    <col min="4882" max="4884" width="9.140625" customWidth="1"/>
    <col min="5122" max="5136" width="9.140625" customWidth="1"/>
    <col min="5138" max="5140" width="9.140625" customWidth="1"/>
    <col min="5378" max="5392" width="9.140625" customWidth="1"/>
    <col min="5394" max="5396" width="9.140625" customWidth="1"/>
    <col min="5634" max="5648" width="9.140625" customWidth="1"/>
    <col min="5650" max="5652" width="9.140625" customWidth="1"/>
    <col min="5890" max="5904" width="9.140625" customWidth="1"/>
    <col min="5906" max="5908" width="9.140625" customWidth="1"/>
    <col min="6146" max="6160" width="9.140625" customWidth="1"/>
    <col min="6162" max="6164" width="9.140625" customWidth="1"/>
    <col min="6402" max="6416" width="9.140625" customWidth="1"/>
    <col min="6418" max="6420" width="9.140625" customWidth="1"/>
    <col min="6658" max="6672" width="9.140625" customWidth="1"/>
    <col min="6674" max="6676" width="9.140625" customWidth="1"/>
    <col min="6914" max="6928" width="9.140625" customWidth="1"/>
    <col min="6930" max="6932" width="9.140625" customWidth="1"/>
    <col min="7170" max="7184" width="9.140625" customWidth="1"/>
    <col min="7186" max="7188" width="9.140625" customWidth="1"/>
    <col min="7426" max="7440" width="9.140625" customWidth="1"/>
    <col min="7442" max="7444" width="9.140625" customWidth="1"/>
    <col min="7682" max="7696" width="9.140625" customWidth="1"/>
    <col min="7698" max="7700" width="9.140625" customWidth="1"/>
    <col min="7938" max="7952" width="9.140625" customWidth="1"/>
    <col min="7954" max="7956" width="9.140625" customWidth="1"/>
    <col min="8194" max="8208" width="9.140625" customWidth="1"/>
    <col min="8210" max="8212" width="9.140625" customWidth="1"/>
    <col min="8450" max="8464" width="9.140625" customWidth="1"/>
    <col min="8466" max="8468" width="9.140625" customWidth="1"/>
    <col min="8706" max="8720" width="9.140625" customWidth="1"/>
    <col min="8722" max="8724" width="9.140625" customWidth="1"/>
    <col min="8962" max="8976" width="9.140625" customWidth="1"/>
    <col min="8978" max="8980" width="9.140625" customWidth="1"/>
    <col min="9218" max="9232" width="9.140625" customWidth="1"/>
    <col min="9234" max="9236" width="9.140625" customWidth="1"/>
    <col min="9474" max="9488" width="9.140625" customWidth="1"/>
    <col min="9490" max="9492" width="9.140625" customWidth="1"/>
    <col min="9730" max="9744" width="9.140625" customWidth="1"/>
    <col min="9746" max="9748" width="9.140625" customWidth="1"/>
    <col min="9986" max="10000" width="9.140625" customWidth="1"/>
    <col min="10002" max="10004" width="9.140625" customWidth="1"/>
    <col min="10242" max="10256" width="9.140625" customWidth="1"/>
    <col min="10258" max="10260" width="9.140625" customWidth="1"/>
    <col min="10498" max="10512" width="9.140625" customWidth="1"/>
    <col min="10514" max="10516" width="9.140625" customWidth="1"/>
    <col min="10754" max="10768" width="9.140625" customWidth="1"/>
    <col min="10770" max="10772" width="9.140625" customWidth="1"/>
    <col min="11010" max="11024" width="9.140625" customWidth="1"/>
    <col min="11026" max="11028" width="9.140625" customWidth="1"/>
    <col min="11266" max="11280" width="9.140625" customWidth="1"/>
    <col min="11282" max="11284" width="9.140625" customWidth="1"/>
    <col min="11522" max="11536" width="9.140625" customWidth="1"/>
    <col min="11538" max="11540" width="9.140625" customWidth="1"/>
    <col min="11778" max="11792" width="9.140625" customWidth="1"/>
    <col min="11794" max="11796" width="9.140625" customWidth="1"/>
    <col min="12034" max="12048" width="9.140625" customWidth="1"/>
    <col min="12050" max="12052" width="9.140625" customWidth="1"/>
    <col min="12290" max="12304" width="9.140625" customWidth="1"/>
    <col min="12306" max="12308" width="9.140625" customWidth="1"/>
    <col min="12546" max="12560" width="9.140625" customWidth="1"/>
    <col min="12562" max="12564" width="9.140625" customWidth="1"/>
    <col min="12802" max="12816" width="9.140625" customWidth="1"/>
    <col min="12818" max="12820" width="9.140625" customWidth="1"/>
    <col min="13058" max="13072" width="9.140625" customWidth="1"/>
    <col min="13074" max="13076" width="9.140625" customWidth="1"/>
    <col min="13314" max="13328" width="9.140625" customWidth="1"/>
    <col min="13330" max="13332" width="9.140625" customWidth="1"/>
    <col min="13570" max="13584" width="9.140625" customWidth="1"/>
    <col min="13586" max="13588" width="9.140625" customWidth="1"/>
    <col min="13826" max="13840" width="9.140625" customWidth="1"/>
    <col min="13842" max="13844" width="9.140625" customWidth="1"/>
    <col min="14082" max="14096" width="9.140625" customWidth="1"/>
    <col min="14098" max="14100" width="9.140625" customWidth="1"/>
    <col min="14338" max="14352" width="9.140625" customWidth="1"/>
    <col min="14354" max="14356" width="9.140625" customWidth="1"/>
    <col min="14594" max="14608" width="9.140625" customWidth="1"/>
    <col min="14610" max="14612" width="9.140625" customWidth="1"/>
    <col min="14850" max="14864" width="9.140625" customWidth="1"/>
    <col min="14866" max="14868" width="9.140625" customWidth="1"/>
    <col min="15106" max="15120" width="9.140625" customWidth="1"/>
    <col min="15122" max="15124" width="9.140625" customWidth="1"/>
    <col min="15362" max="15376" width="9.140625" customWidth="1"/>
    <col min="15378" max="15380" width="9.140625" customWidth="1"/>
    <col min="15618" max="15632" width="9.140625" customWidth="1"/>
    <col min="15634" max="15636" width="9.140625" customWidth="1"/>
    <col min="15874" max="15888" width="9.140625" customWidth="1"/>
    <col min="15890" max="15892" width="9.140625" customWidth="1"/>
    <col min="16130" max="16144" width="9.140625" customWidth="1"/>
    <col min="16146" max="16148" width="9.140625" customWidth="1"/>
  </cols>
  <sheetData>
    <row r="1" spans="1:24" ht="15.75" thickBot="1" x14ac:dyDescent="0.3"/>
    <row r="2" spans="1:24" x14ac:dyDescent="0.25">
      <c r="B2" s="40" t="str">
        <f>IPCA!$G$7</f>
        <v>YCSW0089 Index</v>
      </c>
      <c r="C2" s="2"/>
      <c r="D2" s="2"/>
      <c r="E2" s="2"/>
      <c r="F2" s="2"/>
      <c r="G2" s="2"/>
      <c r="H2" s="2"/>
      <c r="I2" s="35"/>
      <c r="K2" s="44" t="str">
        <f>IPCA!$G$9</f>
        <v>WLA Index</v>
      </c>
      <c r="L2" s="2"/>
      <c r="M2" s="2"/>
      <c r="N2" s="2"/>
      <c r="O2" s="2"/>
      <c r="P2" s="2"/>
      <c r="Q2" s="2"/>
      <c r="R2" s="35"/>
      <c r="S2" s="1"/>
      <c r="T2" s="11" t="s">
        <v>34</v>
      </c>
      <c r="U2" s="12">
        <f ca="1">TODAY()</f>
        <v>45829</v>
      </c>
    </row>
    <row r="3" spans="1:24" x14ac:dyDescent="0.25">
      <c r="B3" s="41" t="s">
        <v>23</v>
      </c>
      <c r="C3" s="103">
        <f ca="1">$U$6</f>
        <v>45828</v>
      </c>
      <c r="I3" s="4"/>
      <c r="K3" s="41" t="s">
        <v>23</v>
      </c>
      <c r="L3" s="103">
        <f ca="1">$U$6</f>
        <v>45828</v>
      </c>
      <c r="R3" s="4"/>
      <c r="S3" s="1"/>
      <c r="T3" s="5"/>
      <c r="U3" s="14"/>
    </row>
    <row r="4" spans="1:24" x14ac:dyDescent="0.25">
      <c r="B4" s="19" t="str">
        <f ca="1">"get(ID().tenor as #tenor, curve_rate(side=Ask).value as #yield,Ceil(id().year_fraction*252) as #Point,MATURITY().value as #Maturity) for(curveMembers(['"&amp;B2&amp;"'])) with(dates="&amp;_xll.BQL.DATE(C3)&amp;")"</f>
        <v>get(ID().tenor as #tenor, curve_rate(side=Ask).value as #yield,Ceil(id().year_fraction*252) as #Point,MATURITY().value as #Maturity) for(curveMembers(['YCSW0089 Index'])) with(dates=2025-06-20)</v>
      </c>
      <c r="I4" s="4"/>
      <c r="K4" s="6"/>
      <c r="R4" s="4"/>
      <c r="T4" s="11" t="s">
        <v>32</v>
      </c>
      <c r="U4" s="12" cm="1">
        <f t="array" ref="U4">_xll.BADDPERIODS(Comparison!$C$9,"CDR=B3","BusDayAdj=+1")</f>
        <v>45268</v>
      </c>
    </row>
    <row r="5" spans="1:24" s="7" customFormat="1" x14ac:dyDescent="0.25">
      <c r="A5" s="38"/>
      <c r="B5" s="19" t="str">
        <f ca="1">"get(ID().tenor as #tenor, curve_rate(side=Ask).value as #yield,Ceil(id().year_fraction*252) as #Point,FUT_LAST_TRADE_DT AS #maturity) for(filter(curveMembers(['"&amp;B2&amp;"']),grouprank(FUT_LAST_TRADE_DT,order=asc)&lt;=60)) with(dates="&amp;_xll.BQL.DATE(C3)&amp;")"</f>
        <v>get(ID().tenor as #tenor, curve_rate(side=Ask).value as #yield,Ceil(id().year_fraction*252) as #Point,FUT_LAST_TRADE_DT AS #maturity) for(filter(curveMembers(['YCSW0089 Index']),grouprank(FUT_LAST_TRADE_DT,order=asc)&lt;=60)) with(dates=2025-06-20)</v>
      </c>
      <c r="C5" s="36"/>
      <c r="D5" s="36"/>
      <c r="E5" s="36"/>
      <c r="F5" s="36"/>
      <c r="G5" s="36"/>
      <c r="H5" s="36"/>
      <c r="I5" s="42"/>
      <c r="J5" s="36"/>
      <c r="K5" s="19" t="str">
        <f ca="1">"get(ID().tenor as #tenor, curve_rate(side=Ask).value as #yield,Ceil(id().year_fraction*252) as #Point,MATURITY().value as #Maturity) for(curveMembers(['"&amp;K2&amp;"'])) with(dates="&amp;_xll.BQL.DATE(L3)&amp;")"</f>
        <v>get(ID().tenor as #tenor, curve_rate(side=Ask).value as #yield,Ceil(id().year_fraction*252) as #Point,MATURITY().value as #Maturity) for(curveMembers(['WLA Index'])) with(dates=2025-06-20)</v>
      </c>
      <c r="L5" s="36"/>
      <c r="M5" s="36"/>
      <c r="N5" s="36"/>
      <c r="O5" s="36"/>
      <c r="P5" s="36"/>
      <c r="Q5" s="36"/>
      <c r="R5" s="4"/>
      <c r="T5" s="11" t="s">
        <v>33</v>
      </c>
      <c r="U5" s="12" cm="1">
        <f t="array" ref="U5">_xll.BADDPERIODS(Comparison!$C$11,"CDR=B3","BusDayAdj=+1")</f>
        <v>45084</v>
      </c>
    </row>
    <row r="6" spans="1:24" x14ac:dyDescent="0.25">
      <c r="A6" s="7"/>
      <c r="B6" s="3" t="str" cm="1">
        <f t="array" aca="1" ref="B6:F44" ca="1">_xll.BQL.QUERY(_xlfn.IFS(B2=$T$9,B5,B2=$T$10,B4))</f>
        <v>ID</v>
      </c>
      <c r="C6" s="33" t="str">
        <f ca="1"/>
        <v>#tenor.TENOR</v>
      </c>
      <c r="D6" s="5" t="str">
        <f ca="1"/>
        <v>#yield</v>
      </c>
      <c r="E6" s="5" t="str">
        <f ca="1"/>
        <v>#Point</v>
      </c>
      <c r="F6" s="5" t="str">
        <f ca="1"/>
        <v>#maturity</v>
      </c>
      <c r="G6" s="5" t="s">
        <v>24</v>
      </c>
      <c r="H6" s="5" t="s">
        <v>62</v>
      </c>
      <c r="I6" s="43" t="s">
        <v>61</v>
      </c>
      <c r="J6" s="5"/>
      <c r="K6" s="3" t="str" cm="1">
        <f t="array" aca="1" ref="K6" ca="1">_xll.BQL.QUERY(K5)</f>
        <v>#N/A Invalid Security: Unable to evaluate universe. Either the identifier is invalid or you do not have access to the data. Check inputs and try again.</v>
      </c>
      <c r="L6" s="33"/>
      <c r="M6" s="5"/>
      <c r="N6" s="5"/>
      <c r="O6" s="5"/>
      <c r="P6" s="5" t="s">
        <v>24</v>
      </c>
      <c r="Q6" s="5" t="s">
        <v>62</v>
      </c>
      <c r="R6" s="4" t="s">
        <v>61</v>
      </c>
      <c r="T6" s="11" t="s">
        <v>35</v>
      </c>
      <c r="U6" s="12" cm="1">
        <f t="array" aca="1" ref="U6" ca="1">_xll.BADDPERIODS($U$2,"CDR=B3","BusDayAdj=+1")</f>
        <v>45828</v>
      </c>
    </row>
    <row r="7" spans="1:24" x14ac:dyDescent="0.25">
      <c r="A7" s="33"/>
      <c r="B7" s="3" t="str">
        <f ca="1"/>
        <v>ODN25 Comdty</v>
      </c>
      <c r="C7" s="33" t="str">
        <f ca="1"/>
        <v>1W</v>
      </c>
      <c r="D7" s="33">
        <f ca="1"/>
        <v>14.901</v>
      </c>
      <c r="E7" s="33">
        <f ca="1"/>
        <v>5</v>
      </c>
      <c r="F7" s="39">
        <f ca="1"/>
        <v>45838</v>
      </c>
      <c r="G7" s="37">
        <f ca="1">IFERROR(_xll.BCOUNTPERIODS($C$3,F7,"CDR=BZ")*1,"")</f>
        <v>6</v>
      </c>
      <c r="H7" s="37">
        <f ca="1">_xlfn.IFS(IPCA!$O$7=DATA!$T$26,PERIODS!C4,IPCA!$O$7=DATA!$T$27,PERIODS!E4,IPCA!$O$7=DATA!$T$28,PERIODS!G4)</f>
        <v>28</v>
      </c>
      <c r="I7" s="8">
        <f ca="1">IFERROR(_xll.BInterpol($G$7:$G$48, $D$7:$D$48, H7, "Cubic","Skip=True")*1,"")</f>
        <v>14.905142879132642</v>
      </c>
      <c r="J7" s="34"/>
      <c r="K7" s="3"/>
      <c r="L7" s="33"/>
      <c r="M7" s="33"/>
      <c r="N7" s="33"/>
      <c r="O7" s="39"/>
      <c r="P7" s="37" t="str">
        <f ca="1">IFERROR(_xll.BCOUNTPERIODS($L$3,O7,"CDR=BZ")*1,"")</f>
        <v/>
      </c>
      <c r="Q7" s="37">
        <f ca="1">_xlfn.IFS(IPCA!$O$7=DATA!$T$26,PERIODS!C4,IPCA!$O$7=DATA!$T$27,PERIODS!E4,IPCA!$O$7=DATA!$T$28,PERIODS!G4)</f>
        <v>28</v>
      </c>
      <c r="R7" s="8">
        <f ca="1">IFERROR(IF($K$2=$T$16,_xll.BInterpol(FUT!$F$7:$F$28, FUT!$E$7:$E$28, Q7, "Cubic","Skip=True"),_xll.BInterpol($P$7:$P$48, $M$7:$M$48, Q7, "Cubic","Skip=True"))*1,"")</f>
        <v>12.421827076137093</v>
      </c>
      <c r="T7" s="5"/>
    </row>
    <row r="8" spans="1:24" x14ac:dyDescent="0.25">
      <c r="A8" s="33"/>
      <c r="B8" s="3" t="str">
        <f ca="1"/>
        <v>ODQ25 Comdty</v>
      </c>
      <c r="C8" s="33" t="str">
        <f ca="1"/>
        <v>1M</v>
      </c>
      <c r="D8" s="33">
        <f ca="1"/>
        <v>14.906000000000001</v>
      </c>
      <c r="E8" s="33">
        <f ca="1"/>
        <v>21</v>
      </c>
      <c r="F8" s="39">
        <f ca="1"/>
        <v>45869</v>
      </c>
      <c r="G8" s="37">
        <f ca="1">IFERROR(_xll.BCOUNTPERIODS($C$3,F8,"CDR=BZ")*1,"")</f>
        <v>29</v>
      </c>
      <c r="H8" s="37">
        <f ca="1">_xlfn.IFS(IPCA!$O$7=DATA!$T$26,PERIODS!C5,IPCA!$O$7=DATA!$T$27,PERIODS!E5,IPCA!$O$7=DATA!$T$28,PERIODS!G5)</f>
        <v>50</v>
      </c>
      <c r="I8" s="8">
        <f ca="1">IFERROR(_xll.BInterpol($G$7:$G$45, $D$7:$D$45, H8, "Cubic","Skip=True")*1,"")</f>
        <v>14.933</v>
      </c>
      <c r="J8" s="34"/>
      <c r="K8" s="3"/>
      <c r="L8" s="33"/>
      <c r="M8" s="33"/>
      <c r="N8" s="33"/>
      <c r="O8" s="39"/>
      <c r="P8" s="37" t="str">
        <f ca="1">IFERROR(_xll.BCOUNTPERIODS($L$3,O8,"CDR=BZ")*1,"")</f>
        <v/>
      </c>
      <c r="Q8" s="37">
        <f ca="1">_xlfn.IFS(IPCA!$O$7=DATA!$T$26,PERIODS!C5,IPCA!$O$7=DATA!$T$27,PERIODS!E5,IPCA!$O$7=DATA!$T$28,PERIODS!G5)</f>
        <v>50</v>
      </c>
      <c r="R8" s="8">
        <f ca="1">IFERROR(IF($K$2=$T$16,_xll.BInterpol(FUT!$F$7:$F$28, FUT!$E$7:$E$28, Q8, "Cubic","Skip=True"),_xll.BInterpol($P$7:$P$48, $M$7:$M$48, Q8, "Cubic","Skip=True"))*1,"")</f>
        <v>11.758116618325399</v>
      </c>
      <c r="T8" s="5"/>
    </row>
    <row r="9" spans="1:24" x14ac:dyDescent="0.25">
      <c r="A9" s="33"/>
      <c r="B9" s="20" t="str">
        <f ca="1"/>
        <v>ODU25 Comdty</v>
      </c>
      <c r="C9" s="33" t="str">
        <f ca="1"/>
        <v>2M</v>
      </c>
      <c r="D9" s="33">
        <f ca="1"/>
        <v>14.933</v>
      </c>
      <c r="E9" s="33">
        <f ca="1"/>
        <v>42</v>
      </c>
      <c r="F9" s="39">
        <f ca="1"/>
        <v>45898</v>
      </c>
      <c r="G9" s="37">
        <f ca="1">IFERROR(_xll.BCOUNTPERIODS($C$3,F9,"CDR=BZ")*1,"")</f>
        <v>50</v>
      </c>
      <c r="H9" s="37">
        <f ca="1">_xlfn.IFS(IPCA!$O$7=DATA!$T$26,PERIODS!C6,IPCA!$O$7=DATA!$T$27,PERIODS!E6,IPCA!$O$7=DATA!$T$28,PERIODS!G6)</f>
        <v>72</v>
      </c>
      <c r="I9" s="8">
        <f ca="1">IFERROR(_xll.BInterpol($G$7:$G$45, $D$7:$D$45, H9, "Cubic","Skip=True")*1,"")</f>
        <v>14.946999999999999</v>
      </c>
      <c r="J9" s="34"/>
      <c r="K9" s="20"/>
      <c r="L9" s="33"/>
      <c r="M9" s="33"/>
      <c r="N9" s="33"/>
      <c r="O9" s="39"/>
      <c r="P9" s="37" t="str">
        <f ca="1">IFERROR(_xll.BCOUNTPERIODS($L$3,O9,"CDR=BZ")*1,"")</f>
        <v/>
      </c>
      <c r="Q9" s="37">
        <f ca="1">_xlfn.IFS(IPCA!$O$7=DATA!$T$26,PERIODS!C6,IPCA!$O$7=DATA!$T$27,PERIODS!E6,IPCA!$O$7=DATA!$T$28,PERIODS!G6)</f>
        <v>72</v>
      </c>
      <c r="R9" s="8">
        <f ca="1">IFERROR(IF($K$2=$T$16,_xll.BInterpol(FUT!$F$7:$F$28, FUT!$E$7:$E$28, Q9, "Cubic","Skip=True"),_xll.BInterpol($P$7:$P$48, $M$7:$M$48, Q9, "Cubic","Skip=True"))*1,"")</f>
        <v>10.645700310202697</v>
      </c>
      <c r="T9" s="31" t="s">
        <v>21</v>
      </c>
      <c r="U9" s="173" t="str" cm="1">
        <f t="array" ref="U9">_xll.BQL(T9,"LONG_COMP_NAME")</f>
        <v>BM&amp;F Pre x DI Curve</v>
      </c>
      <c r="V9" s="174"/>
      <c r="W9" s="174"/>
      <c r="X9" s="174"/>
    </row>
    <row r="10" spans="1:24" x14ac:dyDescent="0.25">
      <c r="A10" s="33"/>
      <c r="B10" s="3" t="str">
        <f ca="1"/>
        <v>ODV25 Comdty</v>
      </c>
      <c r="C10" s="33" t="str">
        <f ca="1"/>
        <v>3M</v>
      </c>
      <c r="D10" s="33">
        <f ca="1"/>
        <v>14.946999999999999</v>
      </c>
      <c r="E10" s="33">
        <f ca="1"/>
        <v>63</v>
      </c>
      <c r="F10" s="39">
        <f ca="1"/>
        <v>45930</v>
      </c>
      <c r="G10" s="37">
        <f ca="1">IFERROR(_xll.BCOUNTPERIODS($C$3,F10,"CDR=BZ")*1,"")</f>
        <v>72</v>
      </c>
      <c r="H10" s="37">
        <f ca="1">_xlfn.IFS(IPCA!$O$7=DATA!$T$26,PERIODS!C7,IPCA!$O$7=DATA!$T$27,PERIODS!E7,IPCA!$O$7=DATA!$T$28,PERIODS!G7)</f>
        <v>94</v>
      </c>
      <c r="I10" s="8">
        <f ca="1">IFERROR(_xll.BInterpol($G$7:$G$45, $D$7:$D$45, H10, "Cubic","Skip=True")*1,"")</f>
        <v>14.954852265187421</v>
      </c>
      <c r="J10" s="34"/>
      <c r="K10" s="3"/>
      <c r="L10" s="33"/>
      <c r="M10" s="33"/>
      <c r="N10" s="33"/>
      <c r="O10" s="39"/>
      <c r="P10" s="37" t="str">
        <f ca="1">IFERROR(_xll.BCOUNTPERIODS($L$3,O10,"CDR=BZ")*1,"")</f>
        <v/>
      </c>
      <c r="Q10" s="37">
        <f ca="1">_xlfn.IFS(IPCA!$O$7=DATA!$T$26,PERIODS!C7,IPCA!$O$7=DATA!$T$27,PERIODS!E7,IPCA!$O$7=DATA!$T$28,PERIODS!G7)</f>
        <v>94</v>
      </c>
      <c r="R10" s="8">
        <f ca="1">IFERROR(IF($K$2=$T$16,_xll.BInterpol(FUT!$F$7:$F$28, FUT!$E$7:$E$28, Q10, "Cubic","Skip=True"),_xll.BInterpol($P$7:$P$48, $M$7:$M$48, Q10, "Cubic","Skip=True"))*1,"")</f>
        <v>10.64822020435693</v>
      </c>
      <c r="T10" s="31" t="s">
        <v>155</v>
      </c>
      <c r="U10" s="173" t="str" cm="1">
        <f t="array" ref="U10">_xll.BQL(T10,"LONG_COMP_NAME")</f>
        <v>BRL Brazil Sovereign Curve</v>
      </c>
      <c r="V10" s="174"/>
      <c r="W10" s="174"/>
      <c r="X10" s="174"/>
    </row>
    <row r="11" spans="1:24" x14ac:dyDescent="0.25">
      <c r="A11" s="33"/>
      <c r="B11" s="3" t="str">
        <f ca="1"/>
        <v>ODX25 Comdty</v>
      </c>
      <c r="C11" s="33" t="str">
        <f ca="1"/>
        <v>4M</v>
      </c>
      <c r="D11" s="33">
        <f ca="1"/>
        <v>14.955</v>
      </c>
      <c r="E11" s="33">
        <f ca="1"/>
        <v>83</v>
      </c>
      <c r="F11" s="39">
        <f ca="1"/>
        <v>45961</v>
      </c>
      <c r="G11" s="37">
        <f ca="1">IFERROR(_xll.BCOUNTPERIODS($C$3,F11,"CDR=BZ")*1,"")</f>
        <v>95</v>
      </c>
      <c r="H11" s="37">
        <f ca="1">_xlfn.IFS(IPCA!$O$7=DATA!$T$26,PERIODS!C8,IPCA!$O$7=DATA!$T$27,PERIODS!E8,IPCA!$O$7=DATA!$T$28,PERIODS!G8)</f>
        <v>114</v>
      </c>
      <c r="I11" s="8">
        <f ca="1">IFERROR(_xll.BInterpol($G$7:$G$45, $D$7:$D$45, H11, "Cubic","Skip=True")*1,"")</f>
        <v>14.955</v>
      </c>
      <c r="J11" s="34"/>
      <c r="K11" s="3"/>
      <c r="L11" s="33"/>
      <c r="M11" s="33"/>
      <c r="N11" s="33"/>
      <c r="O11" s="39"/>
      <c r="P11" s="37" t="str">
        <f ca="1">IFERROR(_xll.BCOUNTPERIODS($L$3,O11,"CDR=BZ")*1,"")</f>
        <v/>
      </c>
      <c r="Q11" s="37">
        <f ca="1">_xlfn.IFS(IPCA!$O$7=DATA!$T$26,PERIODS!C8,IPCA!$O$7=DATA!$T$27,PERIODS!E8,IPCA!$O$7=DATA!$T$28,PERIODS!G8)</f>
        <v>114</v>
      </c>
      <c r="R11" s="8">
        <f ca="1">IFERROR(IF($K$2=$T$16,_xll.BInterpol(FUT!$F$7:$F$28, FUT!$E$7:$E$28, Q11, "Cubic","Skip=True"),_xll.BInterpol($P$7:$P$48, $M$7:$M$48, Q11, "Cubic","Skip=True"))*1,"")</f>
        <v>10.463594399542098</v>
      </c>
    </row>
    <row r="12" spans="1:24" x14ac:dyDescent="0.25">
      <c r="A12" s="33"/>
      <c r="B12" s="3" t="str">
        <f ca="1"/>
        <v>ODZ25 Comdty</v>
      </c>
      <c r="C12" s="33" t="str">
        <f ca="1"/>
        <v>5M</v>
      </c>
      <c r="D12" s="33">
        <f ca="1"/>
        <v>14.955</v>
      </c>
      <c r="E12" s="33">
        <f ca="1"/>
        <v>104</v>
      </c>
      <c r="F12" s="39">
        <f ca="1"/>
        <v>45989</v>
      </c>
      <c r="G12" s="37">
        <f ca="1">IFERROR(_xll.BCOUNTPERIODS($C$3,F12,"CDR=BZ")*1,"")</f>
        <v>114</v>
      </c>
      <c r="H12" s="37">
        <f ca="1">_xlfn.IFS(IPCA!$O$7=DATA!$T$26,PERIODS!C9,IPCA!$O$7=DATA!$T$27,PERIODS!E9,IPCA!$O$7=DATA!$T$28,PERIODS!G9)</f>
        <v>135</v>
      </c>
      <c r="I12" s="8">
        <f ca="1">IFERROR(_xll.BInterpol($G$7:$G$45, $D$7:$D$45, H12, "Cubic","Skip=True")*1,"")</f>
        <v>14.958</v>
      </c>
      <c r="J12" s="34"/>
      <c r="K12" s="3"/>
      <c r="L12" s="33"/>
      <c r="M12" s="33"/>
      <c r="N12" s="33"/>
      <c r="O12" s="39"/>
      <c r="P12" s="37" t="str">
        <f ca="1">IFERROR(_xll.BCOUNTPERIODS($L$3,O12,"CDR=BZ")*1,"")</f>
        <v/>
      </c>
      <c r="Q12" s="37">
        <f ca="1">_xlfn.IFS(IPCA!$O$7=DATA!$T$26,PERIODS!C9,IPCA!$O$7=DATA!$T$27,PERIODS!E9,IPCA!$O$7=DATA!$T$28,PERIODS!G9)</f>
        <v>135</v>
      </c>
      <c r="R12" s="8">
        <f ca="1">IFERROR(IF($K$2=$T$16,_xll.BInterpol(FUT!$F$7:$F$28, FUT!$E$7:$E$28, Q12, "Cubic","Skip=True"),_xll.BInterpol($P$7:$P$48, $M$7:$M$48, Q12, "Cubic","Skip=True"))*1,"")</f>
        <v>10.369619085981306</v>
      </c>
    </row>
    <row r="13" spans="1:24" x14ac:dyDescent="0.25">
      <c r="A13" s="33"/>
      <c r="B13" s="3" t="str">
        <f ca="1"/>
        <v>ODF26 Comdty</v>
      </c>
      <c r="C13" s="33" t="str">
        <f ca="1"/>
        <v>6M</v>
      </c>
      <c r="D13" s="33">
        <f ca="1"/>
        <v>14.958</v>
      </c>
      <c r="E13" s="33">
        <f ca="1"/>
        <v>125</v>
      </c>
      <c r="F13" s="39">
        <f ca="1"/>
        <v>46021</v>
      </c>
      <c r="G13" s="37">
        <f ca="1">IFERROR(_xll.BCOUNTPERIODS($C$3,F13,"CDR=BZ")*1,"")</f>
        <v>135</v>
      </c>
      <c r="H13" s="37">
        <f ca="1">_xlfn.IFS(IPCA!$O$7=DATA!$T$26,PERIODS!C10,IPCA!$O$7=DATA!$T$27,PERIODS!E10,IPCA!$O$7=DATA!$T$28,PERIODS!G10)</f>
        <v>157</v>
      </c>
      <c r="I13" s="8">
        <f ca="1">IFERROR(_xll.BInterpol($G$7:$G$45, $D$7:$D$45, H13, "Cubic","Skip=True")*1,"")</f>
        <v>14.96</v>
      </c>
      <c r="J13" s="34"/>
      <c r="K13" s="3"/>
      <c r="L13" s="33"/>
      <c r="M13" s="33"/>
      <c r="N13" s="33"/>
      <c r="O13" s="39"/>
      <c r="P13" s="37" t="str">
        <f ca="1">IFERROR(_xll.BCOUNTPERIODS($L$3,O13,"CDR=BZ")*1,"")</f>
        <v/>
      </c>
      <c r="Q13" s="37">
        <f ca="1">_xlfn.IFS(IPCA!$O$7=DATA!$T$26,PERIODS!C10,IPCA!$O$7=DATA!$T$27,PERIODS!E10,IPCA!$O$7=DATA!$T$28,PERIODS!G10)</f>
        <v>157</v>
      </c>
      <c r="R13" s="8">
        <f ca="1">IFERROR(IF($K$2=$T$16,_xll.BInterpol(FUT!$F$7:$F$28, FUT!$E$7:$E$28, Q13, "Cubic","Skip=True"),_xll.BInterpol($P$7:$P$48, $M$7:$M$48, Q13, "Cubic","Skip=True"))*1,"")</f>
        <v>10.225269933161069</v>
      </c>
      <c r="T13" s="5"/>
    </row>
    <row r="14" spans="1:24" x14ac:dyDescent="0.25">
      <c r="A14" s="33"/>
      <c r="B14" s="3" t="str">
        <f ca="1"/>
        <v>ODG26 Comdty</v>
      </c>
      <c r="C14" s="33" t="str">
        <f ca="1"/>
        <v>7M</v>
      </c>
      <c r="D14" s="33">
        <f ca="1"/>
        <v>14.96</v>
      </c>
      <c r="E14" s="33">
        <f ca="1"/>
        <v>145</v>
      </c>
      <c r="F14" s="39">
        <f ca="1"/>
        <v>46052</v>
      </c>
      <c r="G14" s="37">
        <f ca="1">IFERROR(_xll.BCOUNTPERIODS($C$3,F14,"CDR=BZ")*1,"")</f>
        <v>157</v>
      </c>
      <c r="H14" s="37">
        <f ca="1">_xlfn.IFS(IPCA!$O$7=DATA!$T$26,PERIODS!C11,IPCA!$O$7=DATA!$T$27,PERIODS!E11,IPCA!$O$7=DATA!$T$28,PERIODS!G11)</f>
        <v>175</v>
      </c>
      <c r="I14" s="8">
        <f ca="1">IFERROR(_xll.BInterpol($G$7:$G$45, $D$7:$D$45, H14, "Cubic","Skip=True")*1,"")</f>
        <v>14.955</v>
      </c>
      <c r="J14" s="34"/>
      <c r="K14" s="3"/>
      <c r="L14" s="33"/>
      <c r="M14" s="33"/>
      <c r="N14" s="33"/>
      <c r="O14" s="39"/>
      <c r="P14" s="37" t="str">
        <f ca="1">IFERROR(_xll.BCOUNTPERIODS($L$3,O14,"CDR=BZ")*1,"")</f>
        <v/>
      </c>
      <c r="Q14" s="37">
        <f ca="1">_xlfn.IFS(IPCA!$O$7=DATA!$T$26,PERIODS!C11,IPCA!$O$7=DATA!$T$27,PERIODS!E11,IPCA!$O$7=DATA!$T$28,PERIODS!G11)</f>
        <v>175</v>
      </c>
      <c r="R14" s="8">
        <f ca="1">IFERROR(IF($K$2=$T$16,_xll.BInterpol(FUT!$F$7:$F$28, FUT!$E$7:$E$28, Q14, "Cubic","Skip=True"),_xll.BInterpol($P$7:$P$48, $M$7:$M$48, Q14, "Cubic","Skip=True"))*1,"")</f>
        <v>10.137143152370708</v>
      </c>
      <c r="T14" s="5"/>
    </row>
    <row r="15" spans="1:24" x14ac:dyDescent="0.25">
      <c r="A15" s="33"/>
      <c r="B15" s="3" t="str">
        <f ca="1"/>
        <v>ODH26 Comdty</v>
      </c>
      <c r="C15" s="33" t="str">
        <f ca="1"/>
        <v>8M</v>
      </c>
      <c r="D15" s="33">
        <f ca="1"/>
        <v>14.955</v>
      </c>
      <c r="E15" s="33">
        <f ca="1"/>
        <v>166</v>
      </c>
      <c r="F15" s="39">
        <f ca="1"/>
        <v>46080</v>
      </c>
      <c r="G15" s="37">
        <f ca="1">IFERROR(_xll.BCOUNTPERIODS($C$3,F15,"CDR=BZ")*1,"")</f>
        <v>175</v>
      </c>
      <c r="H15" s="37">
        <f ca="1">_xlfn.IFS(IPCA!$O$7=DATA!$T$26,PERIODS!C12,IPCA!$O$7=DATA!$T$27,PERIODS!E12,IPCA!$O$7=DATA!$T$28,PERIODS!G12)</f>
        <v>196</v>
      </c>
      <c r="I15" s="8">
        <f ca="1">IFERROR(_xll.BInterpol($G$7:$G$45, $D$7:$D$45, H15, "Cubic","Skip=True")*1,"")</f>
        <v>14.926749093948924</v>
      </c>
      <c r="J15" s="34"/>
      <c r="K15" s="3"/>
      <c r="L15" s="33"/>
      <c r="M15" s="33"/>
      <c r="N15" s="33"/>
      <c r="O15" s="39"/>
      <c r="P15" s="37" t="str">
        <f ca="1">IFERROR(_xll.BCOUNTPERIODS($L$3,O15,"CDR=BZ")*1,"")</f>
        <v/>
      </c>
      <c r="Q15" s="37">
        <f ca="1">_xlfn.IFS(IPCA!$O$7=DATA!$T$26,PERIODS!C12,IPCA!$O$7=DATA!$T$27,PERIODS!E12,IPCA!$O$7=DATA!$T$28,PERIODS!G12)</f>
        <v>196</v>
      </c>
      <c r="R15" s="8">
        <f ca="1">IFERROR(IF($K$2=$T$16,_xll.BInterpol(FUT!$F$7:$F$28, FUT!$E$7:$E$28, Q15, "Cubic","Skip=True"),_xll.BInterpol($P$7:$P$48, $M$7:$M$48, Q15, "Cubic","Skip=True"))*1,"")</f>
        <v>10.06333417160131</v>
      </c>
      <c r="T15" s="5"/>
    </row>
    <row r="16" spans="1:24" x14ac:dyDescent="0.25">
      <c r="A16" s="33"/>
      <c r="B16" s="3" t="str">
        <f ca="1"/>
        <v>ODJ26 Comdty</v>
      </c>
      <c r="C16" s="33" t="str">
        <f ca="1"/>
        <v>9M</v>
      </c>
      <c r="D16" s="33">
        <f ca="1"/>
        <v>14.925000000000001</v>
      </c>
      <c r="E16" s="33">
        <f ca="1"/>
        <v>187</v>
      </c>
      <c r="F16" s="39">
        <f ca="1"/>
        <v>46112</v>
      </c>
      <c r="G16" s="37">
        <f ca="1">IFERROR(_xll.BCOUNTPERIODS($C$3,F16,"CDR=BZ")*1,"")</f>
        <v>197</v>
      </c>
      <c r="H16" s="37">
        <f ca="1">_xlfn.IFS(IPCA!$O$7=DATA!$T$26,PERIODS!C13,IPCA!$O$7=DATA!$T$27,PERIODS!E13,IPCA!$O$7=DATA!$T$28,PERIODS!G13)</f>
        <v>217</v>
      </c>
      <c r="I16" s="8">
        <f ca="1">IFERROR(_xll.BInterpol($G$7:$G$45, $D$7:$D$45, H16, "Cubic","Skip=True")*1,"")</f>
        <v>14.885</v>
      </c>
      <c r="J16" s="34"/>
      <c r="K16" s="3"/>
      <c r="L16" s="33"/>
      <c r="M16" s="33"/>
      <c r="N16" s="33"/>
      <c r="O16" s="39"/>
      <c r="P16" s="37" t="str">
        <f ca="1">IFERROR(_xll.BCOUNTPERIODS($L$3,O16,"CDR=BZ")*1,"")</f>
        <v/>
      </c>
      <c r="Q16" s="37">
        <f ca="1">_xlfn.IFS(IPCA!$O$7=DATA!$T$26,PERIODS!C13,IPCA!$O$7=DATA!$T$27,PERIODS!E13,IPCA!$O$7=DATA!$T$28,PERIODS!G13)</f>
        <v>217</v>
      </c>
      <c r="R16" s="8">
        <f ca="1">IFERROR(IF($K$2=$T$16,_xll.BInterpol(FUT!$F$7:$F$28, FUT!$E$7:$E$28, Q16, "Cubic","Skip=True"),_xll.BInterpol($P$7:$P$48, $M$7:$M$48, Q16, "Cubic","Skip=True"))*1,"")</f>
        <v>10.011454389104918</v>
      </c>
      <c r="T16" s="11" t="s">
        <v>154</v>
      </c>
      <c r="U16" s="173" t="str" cm="1">
        <f t="array" ref="U16">_xll.BQL( T16, "ID_BB_GLOBAL_COMPANY_NAME()")</f>
        <v>ID x IPCA Spread Futures</v>
      </c>
      <c r="V16" s="174"/>
      <c r="W16" s="174"/>
      <c r="X16" s="174"/>
    </row>
    <row r="17" spans="1:24" x14ac:dyDescent="0.25">
      <c r="A17" s="33"/>
      <c r="B17" s="3" t="str">
        <f ca="1"/>
        <v>ODK26 Comdty</v>
      </c>
      <c r="C17" s="33" t="str">
        <f ca="1"/>
        <v>10M</v>
      </c>
      <c r="D17" s="33">
        <f ca="1"/>
        <v>14.885</v>
      </c>
      <c r="E17" s="33">
        <f ca="1"/>
        <v>208</v>
      </c>
      <c r="F17" s="39">
        <f ca="1"/>
        <v>46142</v>
      </c>
      <c r="G17" s="37">
        <f ca="1">IFERROR(_xll.BCOUNTPERIODS($C$3,F17,"CDR=BZ")*1,"")</f>
        <v>217</v>
      </c>
      <c r="H17" s="37">
        <f ca="1">_xlfn.IFS(IPCA!$O$7=DATA!$T$26,PERIODS!C14,IPCA!$O$7=DATA!$T$27,PERIODS!E14,IPCA!$O$7=DATA!$T$28,PERIODS!G14)</f>
        <v>237</v>
      </c>
      <c r="I17" s="8">
        <f ca="1">IFERROR(_xll.BInterpol($G$7:$G$45, $D$7:$D$45, H17, "Cubic","Skip=True")*1,"")</f>
        <v>14.833</v>
      </c>
      <c r="J17" s="34"/>
      <c r="K17" s="3"/>
      <c r="L17" s="33"/>
      <c r="M17" s="33"/>
      <c r="N17" s="33"/>
      <c r="O17" s="39"/>
      <c r="P17" s="37" t="str">
        <f ca="1">IFERROR(_xll.BCOUNTPERIODS($L$3,O17,"CDR=BZ")*1,"")</f>
        <v/>
      </c>
      <c r="Q17" s="37">
        <f ca="1">_xlfn.IFS(IPCA!$O$7=DATA!$T$26,PERIODS!C14,IPCA!$O$7=DATA!$T$27,PERIODS!E14,IPCA!$O$7=DATA!$T$28,PERIODS!G14)</f>
        <v>237</v>
      </c>
      <c r="R17" s="8">
        <f ca="1">IFERROR(IF($K$2=$T$16,_xll.BInterpol(FUT!$F$7:$F$28, FUT!$E$7:$E$28, Q17, "Cubic","Skip=True"),_xll.BInterpol($P$7:$P$48, $M$7:$M$48, Q17, "Cubic","Skip=True"))*1,"")</f>
        <v>9.9734909956724902</v>
      </c>
      <c r="T17" s="11" t="s">
        <v>22</v>
      </c>
      <c r="U17" s="173" t="str" cm="1">
        <f t="array" ref="U17">_xll.BQL(T17,"LONG_COMP_NAME")</f>
        <v>BRL Brazil Govt IPCA-Link Curve</v>
      </c>
      <c r="V17" s="174"/>
      <c r="W17" s="174"/>
      <c r="X17" s="174"/>
    </row>
    <row r="18" spans="1:24" x14ac:dyDescent="0.25">
      <c r="A18" s="33"/>
      <c r="B18" s="3" t="str">
        <f ca="1"/>
        <v>ODM26 Comdty</v>
      </c>
      <c r="C18" s="33" t="str">
        <f ca="1"/>
        <v>11M</v>
      </c>
      <c r="D18" s="33">
        <f ca="1"/>
        <v>14.833</v>
      </c>
      <c r="E18" s="33">
        <f ca="1"/>
        <v>228</v>
      </c>
      <c r="F18" s="39">
        <f ca="1"/>
        <v>46171</v>
      </c>
      <c r="G18" s="37">
        <f ca="1">IFERROR(_xll.BCOUNTPERIODS($C$3,F18,"CDR=BZ")*1,"")</f>
        <v>237</v>
      </c>
      <c r="H18" s="37">
        <f ca="1">_xlfn.IFS(IPCA!$O$7=DATA!$T$26,PERIODS!C15,IPCA!$O$7=DATA!$T$27,PERIODS!E15,IPCA!$O$7=DATA!$T$28,PERIODS!G15)</f>
        <v>258</v>
      </c>
      <c r="I18" s="8">
        <f ca="1">IFERROR(_xll.BInterpol($G$7:$G$45, $D$7:$D$45, H18, "Cubic","Skip=True")*1,"")</f>
        <v>14.773</v>
      </c>
      <c r="J18" s="34"/>
      <c r="K18" s="3"/>
      <c r="L18" s="33"/>
      <c r="M18" s="33"/>
      <c r="N18" s="33"/>
      <c r="O18" s="39"/>
      <c r="P18" s="37" t="str">
        <f ca="1">IFERROR(_xll.BCOUNTPERIODS($L$3,O18,"CDR=BZ")*1,"")</f>
        <v/>
      </c>
      <c r="Q18" s="37">
        <f ca="1">_xlfn.IFS(IPCA!$O$7=DATA!$T$26,PERIODS!C15,IPCA!$O$7=DATA!$T$27,PERIODS!E15,IPCA!$O$7=DATA!$T$28,PERIODS!G15)</f>
        <v>258</v>
      </c>
      <c r="R18" s="8">
        <f ca="1">IFERROR(IF($K$2=$T$16,_xll.BInterpol(FUT!$F$7:$F$28, FUT!$E$7:$E$28, Q18, "Cubic","Skip=True"),_xll.BInterpol($P$7:$P$48, $M$7:$M$48, Q18, "Cubic","Skip=True"))*1,"")</f>
        <v>9.9362587968485307</v>
      </c>
      <c r="T18" s="11" t="s">
        <v>31</v>
      </c>
      <c r="U18" s="173" t="str" cm="1">
        <f t="array" ref="U18">_xll.BQL(T18,"LONG_COMP_NAME")</f>
        <v>BRL Brazil Govt Inflation Linked BVAL Curve</v>
      </c>
      <c r="V18" s="174"/>
      <c r="W18" s="174"/>
      <c r="X18" s="174"/>
    </row>
    <row r="19" spans="1:24" x14ac:dyDescent="0.25">
      <c r="A19" s="33"/>
      <c r="B19" s="3" t="str">
        <f ca="1"/>
        <v>ODN26 Comdty</v>
      </c>
      <c r="C19" s="33" t="str">
        <f ca="1"/>
        <v>1Y</v>
      </c>
      <c r="D19" s="33">
        <f ca="1"/>
        <v>14.773</v>
      </c>
      <c r="E19" s="33">
        <f ca="1"/>
        <v>252</v>
      </c>
      <c r="F19" s="39">
        <f ca="1"/>
        <v>46203</v>
      </c>
      <c r="G19" s="37">
        <f ca="1">IFERROR(_xll.BCOUNTPERIODS($C$3,F19,"CDR=BZ")*1,"")</f>
        <v>258</v>
      </c>
      <c r="H19" s="37">
        <f ca="1">_xlfn.IFS(IPCA!$O$7=DATA!$T$26,PERIODS!C16,IPCA!$O$7=DATA!$T$27,PERIODS!E16,IPCA!$O$7=DATA!$T$28,PERIODS!G16)</f>
        <v>280</v>
      </c>
      <c r="I19" s="8">
        <f ca="1">IFERROR(_xll.BInterpol($G$7:$G$45, $D$7:$D$45, H19, "Cubic","Skip=True")*1,"")</f>
        <v>14.70110889687906</v>
      </c>
      <c r="J19" s="34"/>
      <c r="K19" s="3"/>
      <c r="L19" s="33"/>
      <c r="M19" s="33"/>
      <c r="N19" s="33"/>
      <c r="O19" s="39"/>
      <c r="P19" s="37" t="str">
        <f ca="1">IFERROR(_xll.BCOUNTPERIODS($L$3,O19,"CDR=BZ")*1,"")</f>
        <v/>
      </c>
      <c r="Q19" s="37">
        <f ca="1">_xlfn.IFS(IPCA!$O$7=DATA!$T$26,PERIODS!C16,IPCA!$O$7=DATA!$T$27,PERIODS!E16,IPCA!$O$7=DATA!$T$28,PERIODS!G16)</f>
        <v>280</v>
      </c>
      <c r="R19" s="8">
        <f ca="1">IFERROR(IF($K$2=$T$16,_xll.BInterpol(FUT!$F$7:$F$28, FUT!$E$7:$E$28, Q19, "Cubic","Skip=True"),_xll.BInterpol($P$7:$P$48, $M$7:$M$48, Q19, "Cubic","Skip=True"))*1,"")</f>
        <v>9.8896604490860724</v>
      </c>
      <c r="T19" s="5"/>
    </row>
    <row r="20" spans="1:24" x14ac:dyDescent="0.25">
      <c r="A20" s="33"/>
      <c r="B20" s="3" t="str">
        <f ca="1"/>
        <v>ODV26 Comdty</v>
      </c>
      <c r="C20" s="33" t="str">
        <f ca="1"/>
        <v>15M</v>
      </c>
      <c r="D20" s="33">
        <f ca="1"/>
        <v>14.535</v>
      </c>
      <c r="E20" s="33">
        <f ca="1"/>
        <v>311</v>
      </c>
      <c r="F20" s="39">
        <f ca="1"/>
        <v>46295</v>
      </c>
      <c r="G20" s="37">
        <f ca="1">IFERROR(_xll.BCOUNTPERIODS($C$3,F20,"CDR=BZ")*1,"")</f>
        <v>323</v>
      </c>
      <c r="H20" s="37">
        <f ca="1">_xlfn.IFS(IPCA!$O$7=DATA!$T$26,PERIODS!C17,IPCA!$O$7=DATA!$T$27,PERIODS!E17,IPCA!$O$7=DATA!$T$28,PERIODS!G17)</f>
        <v>301</v>
      </c>
      <c r="I20" s="8">
        <f ca="1">IFERROR(_xll.BInterpol($G$7:$G$45, $D$7:$D$45, H20, "Cubic","Skip=True")*1,"")</f>
        <v>14.623692019266221</v>
      </c>
      <c r="J20" s="34"/>
      <c r="K20" s="3"/>
      <c r="L20" s="33"/>
      <c r="M20" s="33"/>
      <c r="N20" s="33"/>
      <c r="O20" s="39"/>
      <c r="P20" s="37" t="str">
        <f ca="1">IFERROR(_xll.BCOUNTPERIODS($L$3,O20,"CDR=BZ")*1,"")</f>
        <v/>
      </c>
      <c r="Q20" s="37">
        <f ca="1">_xlfn.IFS(IPCA!$O$7=DATA!$T$26,PERIODS!C17,IPCA!$O$7=DATA!$T$27,PERIODS!E17,IPCA!$O$7=DATA!$T$28,PERIODS!G17)</f>
        <v>301</v>
      </c>
      <c r="R20" s="8">
        <f ca="1">IFERROR(IF($K$2=$T$16,_xll.BInterpol(FUT!$F$7:$F$28, FUT!$E$7:$E$28, Q20, "Cubic","Skip=True"),_xll.BInterpol($P$7:$P$48, $M$7:$M$48, Q20, "Cubic","Skip=True"))*1,"")</f>
        <v>9.8279867297208003</v>
      </c>
      <c r="T20" s="5"/>
    </row>
    <row r="21" spans="1:24" x14ac:dyDescent="0.25">
      <c r="A21" s="33"/>
      <c r="B21" s="3" t="str">
        <f ca="1"/>
        <v>ODF27 Comdty</v>
      </c>
      <c r="C21" s="33" t="str">
        <f ca="1"/>
        <v>18M</v>
      </c>
      <c r="D21" s="33">
        <f ca="1"/>
        <v>14.281000000000001</v>
      </c>
      <c r="E21" s="33">
        <f ca="1"/>
        <v>373</v>
      </c>
      <c r="F21" s="39">
        <f ca="1"/>
        <v>46386</v>
      </c>
      <c r="G21" s="37">
        <f ca="1">IFERROR(_xll.BCOUNTPERIODS($C$3,F21,"CDR=BZ")*1,"")</f>
        <v>384</v>
      </c>
      <c r="H21" s="37">
        <f ca="1">_xlfn.IFS(IPCA!$O$7=DATA!$T$26,PERIODS!C18,IPCA!$O$7=DATA!$T$27,PERIODS!E18,IPCA!$O$7=DATA!$T$28,PERIODS!G18)</f>
        <v>323</v>
      </c>
      <c r="I21" s="8">
        <f ca="1">IFERROR(_xll.BInterpol($G$7:$G$45, $D$7:$D$45, H21, "Cubic","Skip=True")*1,"")</f>
        <v>14.535</v>
      </c>
      <c r="J21" s="34"/>
      <c r="K21" s="3"/>
      <c r="L21" s="33"/>
      <c r="M21" s="33"/>
      <c r="N21" s="33"/>
      <c r="O21" s="39"/>
      <c r="P21" s="37" t="str">
        <f ca="1">IFERROR(_xll.BCOUNTPERIODS($L$3,O21,"CDR=BZ")*1,"")</f>
        <v/>
      </c>
      <c r="Q21" s="37">
        <f ca="1">_xlfn.IFS(IPCA!$O$7=DATA!$T$26,PERIODS!C18,IPCA!$O$7=DATA!$T$27,PERIODS!E18,IPCA!$O$7=DATA!$T$28,PERIODS!G18)</f>
        <v>323</v>
      </c>
      <c r="R21" s="8">
        <f ca="1">IFERROR(IF($K$2=$T$16,_xll.BInterpol(FUT!$F$7:$F$28, FUT!$E$7:$E$28, Q21, "Cubic","Skip=True"),_xll.BInterpol($P$7:$P$48, $M$7:$M$48, Q21, "Cubic","Skip=True"))*1,"")</f>
        <v>9.7410489406214751</v>
      </c>
      <c r="T21" s="5"/>
    </row>
    <row r="22" spans="1:24" x14ac:dyDescent="0.25">
      <c r="A22" s="33"/>
      <c r="B22" s="3" t="str">
        <f ca="1"/>
        <v>ODJ27 Comdty</v>
      </c>
      <c r="C22" s="33" t="str">
        <f ca="1"/>
        <v>21M</v>
      </c>
      <c r="D22" s="33">
        <f ca="1"/>
        <v>14.079000000000001</v>
      </c>
      <c r="E22" s="33">
        <f ca="1"/>
        <v>435</v>
      </c>
      <c r="F22" s="39">
        <f ca="1"/>
        <v>46477</v>
      </c>
      <c r="G22" s="37">
        <f ca="1">IFERROR(_xll.BCOUNTPERIODS($C$3,F22,"CDR=BZ")*1,"")</f>
        <v>445</v>
      </c>
      <c r="H22" s="37">
        <f ca="1">_xlfn.IFS(IPCA!$O$7=DATA!$T$26,PERIODS!C19,IPCA!$O$7=DATA!$T$27,PERIODS!E19,IPCA!$O$7=DATA!$T$28,PERIODS!G19)</f>
        <v>344</v>
      </c>
      <c r="I22" s="8">
        <f ca="1">IFERROR(_xll.BInterpol($G$7:$G$45, $D$7:$D$45, H22, "Cubic","Skip=True")*1,"")</f>
        <v>14.445381862802394</v>
      </c>
      <c r="J22" s="34"/>
      <c r="K22" s="3"/>
      <c r="L22" s="33"/>
      <c r="M22" s="33"/>
      <c r="N22" s="33"/>
      <c r="O22" s="39"/>
      <c r="P22" s="37" t="str">
        <f ca="1">IFERROR(_xll.BCOUNTPERIODS($L$3,O22,"CDR=BZ")*1,"")</f>
        <v/>
      </c>
      <c r="Q22" s="37">
        <f ca="1">_xlfn.IFS(IPCA!$O$7=DATA!$T$26,PERIODS!C19,IPCA!$O$7=DATA!$T$27,PERIODS!E19,IPCA!$O$7=DATA!$T$28,PERIODS!G19)</f>
        <v>344</v>
      </c>
      <c r="R22" s="8">
        <f ca="1">IFERROR(IF($K$2=$T$16,_xll.BInterpol(FUT!$F$7:$F$28, FUT!$E$7:$E$28, Q22, "Cubic","Skip=True"),_xll.BInterpol($P$7:$P$48, $M$7:$M$48, Q22, "Cubic","Skip=True"))*1,"")</f>
        <v>9.638953935504782</v>
      </c>
    </row>
    <row r="23" spans="1:24" x14ac:dyDescent="0.25">
      <c r="A23" s="33"/>
      <c r="B23" s="3" t="str">
        <f ca="1"/>
        <v>ODN27 Comdty</v>
      </c>
      <c r="C23" s="33" t="str">
        <f ca="1"/>
        <v>2Y</v>
      </c>
      <c r="D23" s="33">
        <f ca="1"/>
        <v>13.872</v>
      </c>
      <c r="E23" s="33">
        <f ca="1"/>
        <v>504</v>
      </c>
      <c r="F23" s="39">
        <f ca="1"/>
        <v>46568</v>
      </c>
      <c r="G23" s="37">
        <f ca="1">IFERROR(_xll.BCOUNTPERIODS($C$3,F23,"CDR=BZ")*1,"")</f>
        <v>508</v>
      </c>
      <c r="H23" s="37">
        <f ca="1">_xlfn.IFS(IPCA!$O$7=DATA!$T$26,PERIODS!C20,IPCA!$O$7=DATA!$T$27,PERIODS!E20,IPCA!$O$7=DATA!$T$28,PERIODS!G20)</f>
        <v>363</v>
      </c>
      <c r="I23" s="8">
        <f ca="1">IFERROR(_xll.BInterpol($G$7:$G$45, $D$7:$D$45, H23, "Cubic","Skip=True")*1,"")</f>
        <v>14.36453577042734</v>
      </c>
      <c r="J23" s="34"/>
      <c r="K23" s="3"/>
      <c r="L23" s="33"/>
      <c r="M23" s="33"/>
      <c r="N23" s="33"/>
      <c r="O23" s="39"/>
      <c r="P23" s="37" t="str">
        <f ca="1">IFERROR(_xll.BCOUNTPERIODS($L$3,O23,"CDR=BZ")*1,"")</f>
        <v/>
      </c>
      <c r="Q23" s="37">
        <f ca="1">_xlfn.IFS(IPCA!$O$7=DATA!$T$26,PERIODS!C20,IPCA!$O$7=DATA!$T$27,PERIODS!E20,IPCA!$O$7=DATA!$T$28,PERIODS!G20)</f>
        <v>363</v>
      </c>
      <c r="R23" s="8">
        <f ca="1">IFERROR(IF($K$2=$T$16,_xll.BInterpol(FUT!$F$7:$F$28, FUT!$E$7:$E$28, Q23, "Cubic","Skip=True"),_xll.BInterpol($P$7:$P$48, $M$7:$M$48, Q23, "Cubic","Skip=True"))*1,"")</f>
        <v>9.5325336895434045</v>
      </c>
    </row>
    <row r="24" spans="1:24" x14ac:dyDescent="0.25">
      <c r="A24" s="33"/>
      <c r="B24" s="3" t="str">
        <f ca="1"/>
        <v>ODV27 Comdty</v>
      </c>
      <c r="C24" s="33" t="str">
        <f ca="1"/>
        <v>27M</v>
      </c>
      <c r="D24" s="33">
        <f ca="1"/>
        <v>13.708</v>
      </c>
      <c r="E24" s="33">
        <f ca="1"/>
        <v>560</v>
      </c>
      <c r="F24" s="39">
        <f ca="1"/>
        <v>46660</v>
      </c>
      <c r="G24" s="37">
        <f ca="1">IFERROR(_xll.BCOUNTPERIODS($C$3,F24,"CDR=BZ")*1,"")</f>
        <v>573</v>
      </c>
      <c r="H24" s="37">
        <f ca="1">_xlfn.IFS(IPCA!$O$7=DATA!$T$26,PERIODS!C21,IPCA!$O$7=DATA!$T$27,PERIODS!E21,IPCA!$O$7=DATA!$T$28,PERIODS!G21)</f>
        <v>384</v>
      </c>
      <c r="I24" s="8">
        <f ca="1">IFERROR(_xll.BInterpol($G$7:$G$45, $D$7:$D$45, H24, "Cubic","Skip=True")*1,"")</f>
        <v>14.281000000000001</v>
      </c>
      <c r="J24" s="34"/>
      <c r="K24" s="3"/>
      <c r="L24" s="33"/>
      <c r="M24" s="33"/>
      <c r="N24" s="33"/>
      <c r="O24" s="39"/>
      <c r="P24" s="37" t="str">
        <f ca="1">IFERROR(_xll.BCOUNTPERIODS($L$3,O24,"CDR=BZ")*1,"")</f>
        <v/>
      </c>
      <c r="Q24" s="37">
        <f ca="1">_xlfn.IFS(IPCA!$O$7=DATA!$T$26,PERIODS!C21,IPCA!$O$7=DATA!$T$27,PERIODS!E21,IPCA!$O$7=DATA!$T$28,PERIODS!G21)</f>
        <v>384</v>
      </c>
      <c r="R24" s="8">
        <f ca="1">IFERROR(IF($K$2=$T$16,_xll.BInterpol(FUT!$F$7:$F$28, FUT!$E$7:$E$28, Q24, "Cubic","Skip=True"),_xll.BInterpol($P$7:$P$48, $M$7:$M$48, Q24, "Cubic","Skip=True"))*1,"")</f>
        <v>9.401596056515551</v>
      </c>
    </row>
    <row r="25" spans="1:24" x14ac:dyDescent="0.25">
      <c r="A25" s="33"/>
      <c r="B25" s="3" t="str">
        <f ca="1"/>
        <v>ODF28 Comdty</v>
      </c>
      <c r="C25" s="33" t="str">
        <f ca="1"/>
        <v>30M</v>
      </c>
      <c r="D25" s="33">
        <f ca="1"/>
        <v>13.558</v>
      </c>
      <c r="E25" s="33">
        <f ca="1"/>
        <v>622</v>
      </c>
      <c r="F25" s="39">
        <f ca="1"/>
        <v>46751</v>
      </c>
      <c r="G25" s="37">
        <f ca="1">IFERROR(_xll.BCOUNTPERIODS($C$3,F25,"CDR=BZ")*1,"")</f>
        <v>635</v>
      </c>
      <c r="H25" s="37">
        <f ca="1">_xlfn.IFS(IPCA!$O$7=DATA!$T$26,PERIODS!C22,IPCA!$O$7=DATA!$T$27,PERIODS!E22,IPCA!$O$7=DATA!$T$28,PERIODS!G22)</f>
        <v>405</v>
      </c>
      <c r="I25" s="8">
        <f ca="1">IFERROR(_xll.BInterpol($G$7:$G$45, $D$7:$D$45, H25, "Cubic","Skip=True")*1,"")</f>
        <v>14.207420552487051</v>
      </c>
      <c r="J25" s="34"/>
      <c r="K25" s="3"/>
      <c r="L25" s="33"/>
      <c r="M25" s="33"/>
      <c r="N25" s="33"/>
      <c r="O25" s="39"/>
      <c r="P25" s="37" t="str">
        <f ca="1">IFERROR(_xll.BCOUNTPERIODS($L$3,O25,"CDR=BZ")*1,"")</f>
        <v/>
      </c>
      <c r="Q25" s="37">
        <f ca="1">_xlfn.IFS(IPCA!$O$7=DATA!$T$26,PERIODS!C22,IPCA!$O$7=DATA!$T$27,PERIODS!E22,IPCA!$O$7=DATA!$T$28,PERIODS!G22)</f>
        <v>405</v>
      </c>
      <c r="R25" s="8">
        <f ca="1">IFERROR(IF($K$2=$T$16,_xll.BInterpol(FUT!$F$7:$F$28, FUT!$E$7:$E$28, Q25, "Cubic","Skip=True"),_xll.BInterpol($P$7:$P$48, $M$7:$M$48, Q25, "Cubic","Skip=True"))*1,"")</f>
        <v>9.2591149951014131</v>
      </c>
    </row>
    <row r="26" spans="1:24" x14ac:dyDescent="0.25">
      <c r="A26" s="33"/>
      <c r="B26" s="3" t="str">
        <f ca="1"/>
        <v>ODJ28 Comdty</v>
      </c>
      <c r="C26" s="33" t="str">
        <f ca="1"/>
        <v>33M</v>
      </c>
      <c r="D26" s="33">
        <f ca="1"/>
        <v>13.465999999999999</v>
      </c>
      <c r="E26" s="33">
        <f ca="1"/>
        <v>684</v>
      </c>
      <c r="F26" s="39">
        <f ca="1"/>
        <v>46843</v>
      </c>
      <c r="G26" s="37">
        <f ca="1">IFERROR(_xll.BCOUNTPERIODS($C$3,F26,"CDR=BZ")*1,"")</f>
        <v>699</v>
      </c>
      <c r="H26" s="37">
        <f ca="1">_xlfn.IFS(IPCA!$O$7=DATA!$T$26,PERIODS!C23,IPCA!$O$7=DATA!$T$27,PERIODS!E23,IPCA!$O$7=DATA!$T$28,PERIODS!G23)</f>
        <v>423</v>
      </c>
      <c r="I26" s="8">
        <f ca="1">IFERROR(_xll.BInterpol($G$7:$G$45, $D$7:$D$45, H26, "Cubic","Skip=True")*1,"")</f>
        <v>14.149373309894495</v>
      </c>
      <c r="J26" s="34"/>
      <c r="K26" s="3"/>
      <c r="L26" s="33"/>
      <c r="M26" s="33"/>
      <c r="N26" s="33"/>
      <c r="O26" s="39"/>
      <c r="P26" s="37" t="str">
        <f ca="1">IFERROR(_xll.BCOUNTPERIODS($L$3,O26,"CDR=BZ")*1,"")</f>
        <v/>
      </c>
      <c r="Q26" s="37">
        <f ca="1">_xlfn.IFS(IPCA!$O$7=DATA!$T$26,PERIODS!C23,IPCA!$O$7=DATA!$T$27,PERIODS!E23,IPCA!$O$7=DATA!$T$28,PERIODS!G23)</f>
        <v>423</v>
      </c>
      <c r="R26" s="8">
        <f ca="1">IFERROR(IF($K$2=$T$16,_xll.BInterpol(FUT!$F$7:$F$28, FUT!$E$7:$E$28, Q26, "Cubic","Skip=True"),_xll.BInterpol($P$7:$P$48, $M$7:$M$48, Q26, "Cubic","Skip=True"))*1,"")</f>
        <v>9.131419209968259</v>
      </c>
      <c r="T26" s="11" t="s">
        <v>203</v>
      </c>
    </row>
    <row r="27" spans="1:24" x14ac:dyDescent="0.25">
      <c r="A27" s="33"/>
      <c r="B27" s="3" t="str">
        <f ca="1"/>
        <v>ODN28 Comdty</v>
      </c>
      <c r="C27" s="33" t="str">
        <f ca="1"/>
        <v>3Y</v>
      </c>
      <c r="D27" s="33">
        <f ca="1"/>
        <v>13.428000000000001</v>
      </c>
      <c r="E27" s="33">
        <f ca="1"/>
        <v>756</v>
      </c>
      <c r="F27" s="39">
        <f ca="1"/>
        <v>46934</v>
      </c>
      <c r="G27" s="37">
        <f ca="1">IFERROR(_xll.BCOUNTPERIODS($C$3,F27,"CDR=BZ")*1,"")</f>
        <v>760</v>
      </c>
      <c r="H27" s="37">
        <f ca="1">_xlfn.IFS(IPCA!$O$7=DATA!$T$26,PERIODS!C24,IPCA!$O$7=DATA!$T$27,PERIODS!E24,IPCA!$O$7=DATA!$T$28,PERIODS!G24)</f>
        <v>444</v>
      </c>
      <c r="I27" s="8">
        <f ca="1">IFERROR(_xll.BInterpol($G$7:$G$45, $D$7:$D$45, H27, "Cubic","Skip=True")*1,"")</f>
        <v>14.082272385413869</v>
      </c>
      <c r="J27" s="34"/>
      <c r="K27" s="3"/>
      <c r="L27" s="33"/>
      <c r="M27" s="33"/>
      <c r="N27" s="33"/>
      <c r="O27" s="39"/>
      <c r="P27" s="37" t="str">
        <f ca="1">IFERROR(_xll.BCOUNTPERIODS($L$3,O27,"CDR=BZ")*1,"")</f>
        <v/>
      </c>
      <c r="Q27" s="37">
        <f ca="1">_xlfn.IFS(IPCA!$O$7=DATA!$T$26,PERIODS!C24,IPCA!$O$7=DATA!$T$27,PERIODS!E24,IPCA!$O$7=DATA!$T$28,PERIODS!G24)</f>
        <v>444</v>
      </c>
      <c r="R27" s="8">
        <f ca="1">IFERROR(IF($K$2=$T$16,_xll.BInterpol(FUT!$F$7:$F$28, FUT!$E$7:$E$28, Q27, "Cubic","Skip=True"),_xll.BInterpol($P$7:$P$48, $M$7:$M$48, Q27, "Cubic","Skip=True"))*1,"")</f>
        <v>8.9822194902686441</v>
      </c>
      <c r="T27" s="11" t="s">
        <v>202</v>
      </c>
    </row>
    <row r="28" spans="1:24" x14ac:dyDescent="0.25">
      <c r="A28" s="33"/>
      <c r="B28" s="3" t="str">
        <f ca="1"/>
        <v>ODV28 Comdty</v>
      </c>
      <c r="C28" s="33" t="str">
        <f ca="1"/>
        <v>39M</v>
      </c>
      <c r="D28" s="33">
        <f ca="1"/>
        <v>13.425000000000001</v>
      </c>
      <c r="E28" s="33">
        <f ca="1"/>
        <v>808</v>
      </c>
      <c r="F28" s="39">
        <f ca="1"/>
        <v>47025</v>
      </c>
      <c r="G28" s="37">
        <f ca="1">IFERROR(_xll.BCOUNTPERIODS($C$3,F28,"CDR=BZ")*1,"")</f>
        <v>824</v>
      </c>
      <c r="H28" s="37">
        <f ca="1">_xlfn.IFS(IPCA!$O$7=DATA!$T$26,PERIODS!C25,IPCA!$O$7=DATA!$T$27,PERIODS!E25,IPCA!$O$7=DATA!$T$28,PERIODS!G25)</f>
        <v>466</v>
      </c>
      <c r="I28" s="8">
        <f ca="1">IFERROR(_xll.BInterpol($G$7:$G$45, $D$7:$D$45, H28, "Cubic","Skip=True")*1,"")</f>
        <v>14.008388619537497</v>
      </c>
      <c r="J28" s="34"/>
      <c r="K28" s="3"/>
      <c r="L28" s="33"/>
      <c r="M28" s="33"/>
      <c r="N28" s="33"/>
      <c r="O28" s="39"/>
      <c r="P28" s="37" t="str">
        <f ca="1">IFERROR(_xll.BCOUNTPERIODS($L$3,O28,"CDR=BZ")*1,"")</f>
        <v/>
      </c>
      <c r="Q28" s="37">
        <f ca="1">_xlfn.IFS(IPCA!$O$7=DATA!$T$26,PERIODS!C25,IPCA!$O$7=DATA!$T$27,PERIODS!E25,IPCA!$O$7=DATA!$T$28,PERIODS!G25)</f>
        <v>466</v>
      </c>
      <c r="R28" s="8">
        <f ca="1">IFERROR(IF($K$2=$T$16,_xll.BInterpol(FUT!$F$7:$F$28, FUT!$E$7:$E$28, Q28, "Cubic","Skip=True"),_xll.BInterpol($P$7:$P$48, $M$7:$M$48, Q28, "Cubic","Skip=True"))*1,"")</f>
        <v>8.8331308290140367</v>
      </c>
      <c r="T28" s="11" t="s">
        <v>205</v>
      </c>
    </row>
    <row r="29" spans="1:24" x14ac:dyDescent="0.25">
      <c r="A29" s="33"/>
      <c r="B29" s="3" t="str">
        <f ca="1"/>
        <v>ODF29 Comdty</v>
      </c>
      <c r="C29" s="33" t="str">
        <f ca="1"/>
        <v>42M</v>
      </c>
      <c r="D29" s="33">
        <f ca="1"/>
        <v>13.41</v>
      </c>
      <c r="E29" s="33">
        <f ca="1"/>
        <v>870</v>
      </c>
      <c r="F29" s="39">
        <f ca="1"/>
        <v>47115</v>
      </c>
      <c r="G29" s="37">
        <f ca="1">IFERROR(_xll.BCOUNTPERIODS($C$3,F29,"CDR=BZ")*1,"")</f>
        <v>883</v>
      </c>
      <c r="H29" s="37">
        <f ca="1">_xlfn.IFS(IPCA!$O$7=DATA!$T$26,PERIODS!C26,IPCA!$O$7=DATA!$T$27,PERIODS!E26,IPCA!$O$7=DATA!$T$28,PERIODS!G26)</f>
        <v>485</v>
      </c>
      <c r="I29" s="8">
        <f ca="1">IFERROR(_xll.BInterpol($G$7:$G$45, $D$7:$D$45, H29, "Cubic","Skip=True")*1,"")</f>
        <v>13.944271071024193</v>
      </c>
      <c r="J29" s="34"/>
      <c r="K29" s="3"/>
      <c r="L29" s="33"/>
      <c r="M29" s="33"/>
      <c r="N29" s="33"/>
      <c r="O29" s="39"/>
      <c r="P29" s="37" t="str">
        <f ca="1">IFERROR(_xll.BCOUNTPERIODS($L$3,O29,"CDR=BZ")*1,"")</f>
        <v/>
      </c>
      <c r="Q29" s="37">
        <f ca="1">_xlfn.IFS(IPCA!$O$7=DATA!$T$26,PERIODS!C26,IPCA!$O$7=DATA!$T$27,PERIODS!E26,IPCA!$O$7=DATA!$T$28,PERIODS!G26)</f>
        <v>485</v>
      </c>
      <c r="R29" s="8">
        <f ca="1">IFERROR(IF($K$2=$T$16,_xll.BInterpol(FUT!$F$7:$F$28, FUT!$E$7:$E$28, Q29, "Cubic","Skip=True"),_xll.BInterpol($P$7:$P$48, $M$7:$M$48, Q29, "Cubic","Skip=True"))*1,"")</f>
        <v>8.7164541884969484</v>
      </c>
    </row>
    <row r="30" spans="1:24" x14ac:dyDescent="0.25">
      <c r="A30" s="33"/>
      <c r="B30" s="3" t="str">
        <f ca="1"/>
        <v>ODJ29 Comdty</v>
      </c>
      <c r="C30" s="33" t="str">
        <f ca="1"/>
        <v>45M</v>
      </c>
      <c r="D30" s="33">
        <f ca="1"/>
        <v>13.409000000000001</v>
      </c>
      <c r="E30" s="33">
        <f ca="1"/>
        <v>933</v>
      </c>
      <c r="F30" s="39">
        <f ca="1"/>
        <v>47206</v>
      </c>
      <c r="G30" s="37">
        <f ca="1">IFERROR(_xll.BCOUNTPERIODS($C$3,F30,"CDR=BZ")*1,"")</f>
        <v>945</v>
      </c>
      <c r="H30" s="37">
        <f ca="1">_xlfn.IFS(IPCA!$O$7=DATA!$T$26,PERIODS!C27,IPCA!$O$7=DATA!$T$27,PERIODS!E27,IPCA!$O$7=DATA!$T$28,PERIODS!G27)</f>
        <v>508</v>
      </c>
      <c r="I30" s="8">
        <f ca="1">IFERROR(_xll.BInterpol($G$7:$G$45, $D$7:$D$45, H30, "Cubic","Skip=True")*1,"")</f>
        <v>13.872</v>
      </c>
      <c r="J30" s="34"/>
      <c r="K30" s="3"/>
      <c r="L30" s="33"/>
      <c r="M30" s="33"/>
      <c r="N30" s="33"/>
      <c r="O30" s="39"/>
      <c r="P30" s="37" t="str">
        <f ca="1">IFERROR(_xll.BCOUNTPERIODS($L$3,O30,"CDR=BZ")*1,"")</f>
        <v/>
      </c>
      <c r="Q30" s="37">
        <f ca="1">_xlfn.IFS(IPCA!$O$7=DATA!$T$26,PERIODS!C27,IPCA!$O$7=DATA!$T$27,PERIODS!E27,IPCA!$O$7=DATA!$T$28,PERIODS!G27)</f>
        <v>508</v>
      </c>
      <c r="R30" s="8">
        <f ca="1">IFERROR(IF($K$2=$T$16,_xll.BInterpol(FUT!$F$7:$F$28, FUT!$E$7:$E$28, Q30, "Cubic","Skip=True"),_xll.BInterpol($P$7:$P$48, $M$7:$M$48, Q30, "Cubic","Skip=True"))*1,"")</f>
        <v>8.5934877164181263</v>
      </c>
    </row>
    <row r="31" spans="1:24" x14ac:dyDescent="0.25">
      <c r="A31" s="33"/>
      <c r="B31" s="3" t="str">
        <f ca="1"/>
        <v>ODN29 Comdty</v>
      </c>
      <c r="C31" s="33" t="str">
        <f ca="1"/>
        <v>4Y</v>
      </c>
      <c r="D31" s="33">
        <f ca="1"/>
        <v>13.433</v>
      </c>
      <c r="E31" s="33">
        <f ca="1"/>
        <v>1008</v>
      </c>
      <c r="F31" s="39">
        <f ca="1"/>
        <v>47298</v>
      </c>
      <c r="G31" s="37">
        <f ca="1">IFERROR(_xll.BCOUNTPERIODS($C$3,F31,"CDR=BZ")*1,"")</f>
        <v>1008</v>
      </c>
      <c r="H31" s="37">
        <f ca="1">_xlfn.IFS(IPCA!$O$7=DATA!$T$26,PERIODS!C28,IPCA!$O$7=DATA!$T$27,PERIODS!E28,IPCA!$O$7=DATA!$T$28,PERIODS!G28)</f>
        <v>530</v>
      </c>
      <c r="I31" s="8">
        <f ca="1">IFERROR(_xll.BInterpol($G$7:$G$45, $D$7:$D$45, H31, "Cubic","Skip=True")*1,"")</f>
        <v>13.812353856777678</v>
      </c>
      <c r="J31" s="34"/>
      <c r="K31" s="3"/>
      <c r="L31" s="33"/>
      <c r="M31" s="33"/>
      <c r="N31" s="33"/>
      <c r="O31" s="39"/>
      <c r="P31" s="37" t="str">
        <f ca="1">IFERROR(_xll.BCOUNTPERIODS($L$3,O31,"CDR=BZ")*1,"")</f>
        <v/>
      </c>
      <c r="Q31" s="37">
        <f ca="1">_xlfn.IFS(IPCA!$O$7=DATA!$T$26,PERIODS!C28,IPCA!$O$7=DATA!$T$27,PERIODS!E28,IPCA!$O$7=DATA!$T$28,PERIODS!G28)</f>
        <v>530</v>
      </c>
      <c r="R31" s="8">
        <f ca="1">IFERROR(IF($K$2=$T$16,_xll.BInterpol(FUT!$F$7:$F$28, FUT!$E$7:$E$28, Q31, "Cubic","Skip=True"),_xll.BInterpol($P$7:$P$48, $M$7:$M$48, Q31, "Cubic","Skip=True"))*1,"")</f>
        <v>8.4931214332741263</v>
      </c>
    </row>
    <row r="32" spans="1:24" x14ac:dyDescent="0.25">
      <c r="A32" s="33"/>
      <c r="B32" s="3" t="str">
        <f ca="1"/>
        <v>ODV29 Comdty</v>
      </c>
      <c r="C32" s="33" t="str">
        <f ca="1"/>
        <v>51M</v>
      </c>
      <c r="D32" s="33">
        <f ca="1"/>
        <v>13.44</v>
      </c>
      <c r="E32" s="33">
        <f ca="1"/>
        <v>1057</v>
      </c>
      <c r="F32" s="39">
        <f ca="1"/>
        <v>47389</v>
      </c>
      <c r="G32" s="37">
        <f ca="1">IFERROR(_xll.BCOUNTPERIODS($C$3,F32,"CDR=BZ")*1,"")</f>
        <v>1072</v>
      </c>
      <c r="H32" s="37">
        <f ca="1">_xlfn.IFS(IPCA!$O$7=DATA!$T$26,PERIODS!C29,IPCA!$O$7=DATA!$T$27,PERIODS!E29,IPCA!$O$7=DATA!$T$28,PERIODS!G29)</f>
        <v>551</v>
      </c>
      <c r="I32" s="8">
        <f ca="1">IFERROR(_xll.BInterpol($G$7:$G$45, $D$7:$D$45, H32, "Cubic","Skip=True")*1,"")</f>
        <v>13.761008919727287</v>
      </c>
      <c r="J32" s="34"/>
      <c r="K32" s="3"/>
      <c r="L32" s="33"/>
      <c r="M32" s="33"/>
      <c r="N32" s="33"/>
      <c r="O32" s="39"/>
      <c r="P32" s="37" t="str">
        <f ca="1">IFERROR(_xll.BCOUNTPERIODS($L$3,O32,"CDR=BZ")*1,"")</f>
        <v/>
      </c>
      <c r="Q32" s="37">
        <f ca="1">_xlfn.IFS(IPCA!$O$7=DATA!$T$26,PERIODS!C29,IPCA!$O$7=DATA!$T$27,PERIODS!E29,IPCA!$O$7=DATA!$T$28,PERIODS!G29)</f>
        <v>551</v>
      </c>
      <c r="R32" s="8">
        <f ca="1">IFERROR(IF($K$2=$T$16,_xll.BInterpol(FUT!$F$7:$F$28, FUT!$E$7:$E$28, Q32, "Cubic","Skip=True"),_xll.BInterpol($P$7:$P$48, $M$7:$M$48, Q32, "Cubic","Skip=True"))*1,"")</f>
        <v>8.4114866914576005</v>
      </c>
    </row>
    <row r="33" spans="1:20" x14ac:dyDescent="0.25">
      <c r="A33" s="33"/>
      <c r="B33" s="3" t="str">
        <f ca="1"/>
        <v>ODF30 Comdty</v>
      </c>
      <c r="C33" s="33" t="str">
        <f ca="1"/>
        <v>54M</v>
      </c>
      <c r="D33" s="33">
        <f ca="1"/>
        <v>13.459</v>
      </c>
      <c r="E33" s="33">
        <f ca="1"/>
        <v>1119</v>
      </c>
      <c r="F33" s="39">
        <f ca="1"/>
        <v>47480</v>
      </c>
      <c r="G33" s="37">
        <f ca="1">IFERROR(_xll.BCOUNTPERIODS($C$3,F33,"CDR=BZ")*1,"")</f>
        <v>1132</v>
      </c>
      <c r="H33" s="37">
        <f ca="1">_xlfn.IFS(IPCA!$O$7=DATA!$T$26,PERIODS!C30,IPCA!$O$7=DATA!$T$27,PERIODS!E30,IPCA!$O$7=DATA!$T$28,PERIODS!G30)</f>
        <v>573</v>
      </c>
      <c r="I33" s="8">
        <f ca="1">IFERROR(_xll.BInterpol($G$7:$G$45, $D$7:$D$45, H33, "Cubic","Skip=True")*1,"")</f>
        <v>13.708</v>
      </c>
      <c r="J33" s="34"/>
      <c r="K33" s="3"/>
      <c r="L33" s="33"/>
      <c r="M33" s="33"/>
      <c r="N33" s="33"/>
      <c r="O33" s="39"/>
      <c r="P33" s="37" t="str">
        <f ca="1">IFERROR(_xll.BCOUNTPERIODS($L$3,O33,"CDR=BZ")*1,"")</f>
        <v/>
      </c>
      <c r="Q33" s="37">
        <f ca="1">_xlfn.IFS(IPCA!$O$7=DATA!$T$26,PERIODS!C30,IPCA!$O$7=DATA!$T$27,PERIODS!E30,IPCA!$O$7=DATA!$T$28,PERIODS!G30)</f>
        <v>573</v>
      </c>
      <c r="R33" s="8">
        <f ca="1">IFERROR(IF($K$2=$T$16,_xll.BInterpol(FUT!$F$7:$F$28, FUT!$E$7:$E$28, Q33, "Cubic","Skip=True"),_xll.BInterpol($P$7:$P$48, $M$7:$M$48, Q33, "Cubic","Skip=True"))*1,"")</f>
        <v>8.3391908332915268</v>
      </c>
      <c r="T33" s="11" t="s">
        <v>209</v>
      </c>
    </row>
    <row r="34" spans="1:20" x14ac:dyDescent="0.25">
      <c r="A34" s="33"/>
      <c r="B34" s="3" t="str">
        <f ca="1"/>
        <v>ODJ30 Comdty</v>
      </c>
      <c r="C34" s="33" t="str">
        <f ca="1"/>
        <v>57M</v>
      </c>
      <c r="D34" s="33">
        <f ca="1"/>
        <v>13.474</v>
      </c>
      <c r="E34" s="33">
        <f ca="1"/>
        <v>1181</v>
      </c>
      <c r="F34" s="39">
        <f ca="1"/>
        <v>47571</v>
      </c>
      <c r="G34" s="37">
        <f ca="1">IFERROR(_xll.BCOUNTPERIODS($C$3,F34,"CDR=BZ")*1,"")</f>
        <v>1194</v>
      </c>
      <c r="H34" s="37">
        <f ca="1">_xlfn.IFS(IPCA!$O$7=DATA!$T$26,PERIODS!C31,IPCA!$O$7=DATA!$T$27,PERIODS!E31,IPCA!$O$7=DATA!$T$28,PERIODS!G31)</f>
        <v>593</v>
      </c>
      <c r="I34" s="8">
        <f ca="1">IFERROR(_xll.BInterpol($G$7:$G$45, $D$7:$D$45, H34, "Cubic","Skip=True")*1,"")</f>
        <v>13.657485912013039</v>
      </c>
      <c r="J34" s="34"/>
      <c r="K34" s="3"/>
      <c r="L34" s="33"/>
      <c r="M34" s="33"/>
      <c r="N34" s="33"/>
      <c r="O34" s="39"/>
      <c r="P34" s="37" t="str">
        <f ca="1">IFERROR(_xll.BCOUNTPERIODS($L$3,O34,"CDR=BZ")*1,"")</f>
        <v/>
      </c>
      <c r="Q34" s="37">
        <f ca="1">_xlfn.IFS(IPCA!$O$7=DATA!$T$26,PERIODS!C31,IPCA!$O$7=DATA!$T$27,PERIODS!E31,IPCA!$O$7=DATA!$T$28,PERIODS!G31)</f>
        <v>593</v>
      </c>
      <c r="R34" s="8">
        <f ca="1">IFERROR(IF($K$2=$T$16,_xll.BInterpol(FUT!$F$7:$F$28, FUT!$E$7:$E$28, Q34, "Cubic","Skip=True"),_xll.BInterpol($P$7:$P$48, $M$7:$M$48, Q34, "Cubic","Skip=True"))*1,"")</f>
        <v>8.2838191396672212</v>
      </c>
      <c r="T34" s="11" t="s">
        <v>208</v>
      </c>
    </row>
    <row r="35" spans="1:20" x14ac:dyDescent="0.25">
      <c r="A35" s="33"/>
      <c r="B35" s="3" t="str">
        <f ca="1"/>
        <v>ODN30 Comdty</v>
      </c>
      <c r="C35" s="33" t="str">
        <f ca="1"/>
        <v>5Y</v>
      </c>
      <c r="D35" s="33">
        <f ca="1"/>
        <v>13.494999999999999</v>
      </c>
      <c r="E35" s="33">
        <f ca="1"/>
        <v>1260</v>
      </c>
      <c r="F35" s="39">
        <f ca="1"/>
        <v>47662</v>
      </c>
      <c r="G35" s="37">
        <f ca="1">IFERROR(_xll.BCOUNTPERIODS($C$3,F35,"CDR=BZ")*1,"")</f>
        <v>1256</v>
      </c>
      <c r="H35" s="37">
        <f ca="1">_xlfn.IFS(IPCA!$O$7=DATA!$T$26,PERIODS!C32,IPCA!$O$7=DATA!$T$27,PERIODS!E32,IPCA!$O$7=DATA!$T$28,PERIODS!G32)</f>
        <v>613</v>
      </c>
      <c r="I35" s="8">
        <f ca="1">IFERROR(_xll.BInterpol($G$7:$G$45, $D$7:$D$45, H35, "Cubic","Skip=True")*1,"")</f>
        <v>13.607479758470447</v>
      </c>
      <c r="J35" s="34"/>
      <c r="K35" s="3"/>
      <c r="L35" s="33"/>
      <c r="M35" s="33"/>
      <c r="N35" s="33"/>
      <c r="O35" s="39"/>
      <c r="P35" s="37" t="str">
        <f ca="1">IFERROR(_xll.BCOUNTPERIODS($L$3,O35,"CDR=BZ")*1,"")</f>
        <v/>
      </c>
      <c r="Q35" s="37">
        <f ca="1">_xlfn.IFS(IPCA!$O$7=DATA!$T$26,PERIODS!C32,IPCA!$O$7=DATA!$T$27,PERIODS!E32,IPCA!$O$7=DATA!$T$28,PERIODS!G32)</f>
        <v>613</v>
      </c>
      <c r="R35" s="8">
        <f ca="1">IFERROR(IF($K$2=$T$16,_xll.BInterpol(FUT!$F$7:$F$28, FUT!$E$7:$E$28, Q35, "Cubic","Skip=True"),_xll.BInterpol($P$7:$P$48, $M$7:$M$48, Q35, "Cubic","Skip=True"))*1,"")</f>
        <v>8.2370012447731078</v>
      </c>
    </row>
    <row r="36" spans="1:20" x14ac:dyDescent="0.25">
      <c r="A36" s="33"/>
      <c r="B36" s="3" t="str">
        <f ca="1"/>
        <v>ODF31 Comdty</v>
      </c>
      <c r="C36" s="33" t="str">
        <f ca="1"/>
        <v>66M</v>
      </c>
      <c r="D36" s="33">
        <f ca="1"/>
        <v>13.53</v>
      </c>
      <c r="E36" s="33">
        <f ca="1"/>
        <v>1368</v>
      </c>
      <c r="F36" s="39">
        <f ca="1"/>
        <v>47847</v>
      </c>
      <c r="G36" s="37">
        <f ca="1">IFERROR(_xll.BCOUNTPERIODS($C$3,F36,"CDR=BZ")*1,"")</f>
        <v>1384</v>
      </c>
      <c r="H36" s="37">
        <f ca="1">_xlfn.IFS(IPCA!$O$7=DATA!$T$26,PERIODS!C33,IPCA!$O$7=DATA!$T$27,PERIODS!E33,IPCA!$O$7=DATA!$T$28,PERIODS!G33)</f>
        <v>635</v>
      </c>
      <c r="I36" s="8">
        <f ca="1">IFERROR(_xll.BInterpol($G$7:$G$45, $D$7:$D$45, H36, "Cubic","Skip=True")*1,"")</f>
        <v>13.558</v>
      </c>
      <c r="J36" s="34"/>
      <c r="K36" s="3"/>
      <c r="L36" s="33"/>
      <c r="M36" s="33"/>
      <c r="N36" s="33"/>
      <c r="O36" s="39"/>
      <c r="P36" s="37" t="str">
        <f ca="1">IFERROR(_xll.BCOUNTPERIODS($L$3,O36,"CDR=BZ")*1,"")</f>
        <v/>
      </c>
      <c r="Q36" s="37">
        <f ca="1">_xlfn.IFS(IPCA!$O$7=DATA!$T$26,PERIODS!C33,IPCA!$O$7=DATA!$T$27,PERIODS!E33,IPCA!$O$7=DATA!$T$28,PERIODS!G33)</f>
        <v>635</v>
      </c>
      <c r="R36" s="8">
        <f ca="1">IFERROR(IF($K$2=$T$16,_xll.BInterpol(FUT!$F$7:$F$28, FUT!$E$7:$E$28, Q36, "Cubic","Skip=True"),_xll.BInterpol($P$7:$P$48, $M$7:$M$48, Q36, "Cubic","Skip=True"))*1,"")</f>
        <v>8.1938738402769911</v>
      </c>
    </row>
    <row r="37" spans="1:20" x14ac:dyDescent="0.25">
      <c r="A37" s="33"/>
      <c r="B37" s="3" t="str">
        <f ca="1"/>
        <v>ODF32 Comdty</v>
      </c>
      <c r="C37" s="33" t="str">
        <f ca="1"/>
        <v>78M</v>
      </c>
      <c r="D37" s="33">
        <f ca="1"/>
        <v>13.596</v>
      </c>
      <c r="E37" s="33">
        <f ca="1"/>
        <v>1616</v>
      </c>
      <c r="F37" s="39">
        <f ca="1"/>
        <v>48212</v>
      </c>
      <c r="G37" s="37">
        <f ca="1">IFERROR(_xll.BCOUNTPERIODS($C$3,F37,"CDR=BZ")*1,"")</f>
        <v>1636</v>
      </c>
      <c r="H37" s="37">
        <f ca="1">_xlfn.IFS(IPCA!$O$7=DATA!$T$26,PERIODS!C34,IPCA!$O$7=DATA!$T$27,PERIODS!E34,IPCA!$O$7=DATA!$T$28,PERIODS!G34)</f>
        <v>656</v>
      </c>
      <c r="I37" s="8">
        <f ca="1">IFERROR(_xll.BInterpol($G$7:$G$45, $D$7:$D$45, H37, "Cubic","Skip=True")*1,"")</f>
        <v>13.519971088843075</v>
      </c>
      <c r="J37" s="34"/>
      <c r="K37" s="3"/>
      <c r="L37" s="33"/>
      <c r="M37" s="33"/>
      <c r="N37" s="33"/>
      <c r="O37" s="39"/>
      <c r="P37" s="37" t="str">
        <f ca="1">IFERROR(_xll.BCOUNTPERIODS($L$3,O37,"CDR=BZ")*1,"")</f>
        <v/>
      </c>
      <c r="Q37" s="37">
        <f ca="1">_xlfn.IFS(IPCA!$O$7=DATA!$T$26,PERIODS!C34,IPCA!$O$7=DATA!$T$27,PERIODS!E34,IPCA!$O$7=DATA!$T$28,PERIODS!G34)</f>
        <v>656</v>
      </c>
      <c r="R37" s="8">
        <f ca="1">IFERROR(IF($K$2=$T$16,_xll.BInterpol(FUT!$F$7:$F$28, FUT!$E$7:$E$28, Q37, "Cubic","Skip=True"),_xll.BInterpol($P$7:$P$48, $M$7:$M$48, Q37, "Cubic","Skip=True"))*1,"")</f>
        <v>8.1593919139606506</v>
      </c>
    </row>
    <row r="38" spans="1:20" x14ac:dyDescent="0.25">
      <c r="A38" s="33"/>
      <c r="B38" s="3" t="str">
        <f ca="1"/>
        <v>ODF33 Comdty</v>
      </c>
      <c r="C38" s="33" t="str">
        <f ca="1"/>
        <v>90M</v>
      </c>
      <c r="D38" s="33">
        <f ca="1"/>
        <v>13.608000000000001</v>
      </c>
      <c r="E38" s="33">
        <f ca="1"/>
        <v>1865</v>
      </c>
      <c r="F38" s="39">
        <f ca="1"/>
        <v>48578</v>
      </c>
      <c r="G38" s="37">
        <f ca="1">IFERROR(_xll.BCOUNTPERIODS($C$3,F38,"CDR=BZ")*1,"")</f>
        <v>1888</v>
      </c>
      <c r="H38" s="37">
        <f ca="1">_xlfn.IFS(IPCA!$O$7=DATA!$T$26,PERIODS!C35,IPCA!$O$7=DATA!$T$27,PERIODS!E35,IPCA!$O$7=DATA!$T$28,PERIODS!G35)</f>
        <v>676</v>
      </c>
      <c r="I38" s="8">
        <f ca="1">IFERROR(_xll.BInterpol($G$7:$G$45, $D$7:$D$45, H38, "Cubic","Skip=True")*1,"")</f>
        <v>13.491498792910228</v>
      </c>
      <c r="J38" s="34"/>
      <c r="K38" s="3"/>
      <c r="L38" s="33"/>
      <c r="M38" s="33"/>
      <c r="N38" s="33"/>
      <c r="O38" s="39"/>
      <c r="P38" s="37" t="str">
        <f ca="1">IFERROR(_xll.BCOUNTPERIODS($L$3,O38,"CDR=BZ")*1,"")</f>
        <v/>
      </c>
      <c r="Q38" s="37">
        <f ca="1">_xlfn.IFS(IPCA!$O$7=DATA!$T$26,PERIODS!C35,IPCA!$O$7=DATA!$T$27,PERIODS!E35,IPCA!$O$7=DATA!$T$28,PERIODS!G35)</f>
        <v>676</v>
      </c>
      <c r="R38" s="8">
        <f ca="1">IFERROR(IF($K$2=$T$16,_xll.BInterpol(FUT!$F$7:$F$28, FUT!$E$7:$E$28, Q38, "Cubic","Skip=True"),_xll.BInterpol($P$7:$P$48, $M$7:$M$48, Q38, "Cubic","Skip=True"))*1,"")</f>
        <v>8.1312633812430732</v>
      </c>
    </row>
    <row r="39" spans="1:20" x14ac:dyDescent="0.25">
      <c r="A39" s="33"/>
      <c r="B39" s="3" t="str">
        <f ca="1"/>
        <v>ODF34 Comdty</v>
      </c>
      <c r="C39" s="33" t="str">
        <f ca="1"/>
        <v>8Y</v>
      </c>
      <c r="D39" s="33">
        <f ca="1"/>
        <v>13.587</v>
      </c>
      <c r="E39" s="33">
        <f ca="1"/>
        <v>2016</v>
      </c>
      <c r="F39" s="39">
        <f ca="1"/>
        <v>48942</v>
      </c>
      <c r="G39" s="37">
        <f ca="1">IFERROR(_xll.BCOUNTPERIODS($C$3,F39,"CDR=BZ")*1,"")</f>
        <v>2139</v>
      </c>
      <c r="H39" s="37">
        <f ca="1">_xlfn.IFS(IPCA!$O$7=DATA!$T$26,PERIODS!C36,IPCA!$O$7=DATA!$T$27,PERIODS!E36,IPCA!$O$7=DATA!$T$28,PERIODS!G36)</f>
        <v>698</v>
      </c>
      <c r="I39" s="8">
        <f ca="1">IFERROR(_xll.BInterpol($G$7:$G$45, $D$7:$D$45, H39, "Cubic","Skip=True")*1,"")</f>
        <v>13.466978117872603</v>
      </c>
      <c r="J39" s="34"/>
      <c r="K39" s="3"/>
      <c r="L39" s="33"/>
      <c r="M39" s="33"/>
      <c r="N39" s="33"/>
      <c r="O39" s="39"/>
      <c r="P39" s="37" t="str">
        <f ca="1">IFERROR(_xll.BCOUNTPERIODS($L$3,O39,"CDR=BZ")*1,"")</f>
        <v/>
      </c>
      <c r="Q39" s="37">
        <f ca="1">_xlfn.IFS(IPCA!$O$7=DATA!$T$26,PERIODS!C36,IPCA!$O$7=DATA!$T$27,PERIODS!E36,IPCA!$O$7=DATA!$T$28,PERIODS!G36)</f>
        <v>698</v>
      </c>
      <c r="R39" s="8">
        <f ca="1">IFERROR(IF($K$2=$T$16,_xll.BInterpol(FUT!$F$7:$F$28, FUT!$E$7:$E$28, Q39, "Cubic","Skip=True"),_xll.BInterpol($P$7:$P$48, $M$7:$M$48, Q39, "Cubic","Skip=True"))*1,"")</f>
        <v>8.1040992655429669</v>
      </c>
    </row>
    <row r="40" spans="1:20" x14ac:dyDescent="0.25">
      <c r="A40" s="33"/>
      <c r="B40" s="3" t="str">
        <f ca="1"/>
        <v>ODF35 Comdty</v>
      </c>
      <c r="C40" s="33" t="str">
        <f ca="1"/>
        <v>9Y</v>
      </c>
      <c r="D40" s="33">
        <f ca="1"/>
        <v>13.601000000000001</v>
      </c>
      <c r="E40" s="33">
        <f ca="1"/>
        <v>2268</v>
      </c>
      <c r="F40" s="39">
        <f ca="1"/>
        <v>49306</v>
      </c>
      <c r="G40" s="37">
        <f ca="1">IFERROR(_xll.BCOUNTPERIODS($C$3,F40,"CDR=BZ")*1,"")</f>
        <v>2387</v>
      </c>
      <c r="H40" s="37">
        <f ca="1">_xlfn.IFS(IPCA!$O$7=DATA!$T$26,PERIODS!C37,IPCA!$O$7=DATA!$T$27,PERIODS!E37,IPCA!$O$7=DATA!$T$28,PERIODS!G37)</f>
        <v>717</v>
      </c>
      <c r="I40" s="8">
        <f ca="1">IFERROR(_xll.BInterpol($G$7:$G$45, $D$7:$D$45, H40, "Cubic","Skip=True")*1,"")</f>
        <v>13.450208893921888</v>
      </c>
      <c r="J40" s="34"/>
      <c r="K40" s="3"/>
      <c r="L40" s="33"/>
      <c r="M40" s="33"/>
      <c r="N40" s="33"/>
      <c r="O40" s="39"/>
      <c r="P40" s="37" t="str">
        <f ca="1">IFERROR(_xll.BCOUNTPERIODS($L$3,O40,"CDR=BZ")*1,"")</f>
        <v/>
      </c>
      <c r="Q40" s="37">
        <f ca="1">_xlfn.IFS(IPCA!$O$7=DATA!$T$26,PERIODS!C37,IPCA!$O$7=DATA!$T$27,PERIODS!E37,IPCA!$O$7=DATA!$T$28,PERIODS!G37)</f>
        <v>717</v>
      </c>
      <c r="R40" s="8">
        <f ca="1">IFERROR(IF($K$2=$T$16,_xll.BInterpol(FUT!$F$7:$F$28, FUT!$E$7:$E$28, Q40, "Cubic","Skip=True"),_xll.BInterpol($P$7:$P$48, $M$7:$M$48, Q40, "Cubic","Skip=True"))*1,"")</f>
        <v>8.0825735478372014</v>
      </c>
    </row>
    <row r="41" spans="1:20" x14ac:dyDescent="0.25">
      <c r="A41" s="33"/>
      <c r="B41" s="3" t="str">
        <f ca="1"/>
        <v>ODF36 Comdty</v>
      </c>
      <c r="C41" s="33" t="str">
        <f ca="1"/>
        <v>10Y</v>
      </c>
      <c r="D41" s="33">
        <f ca="1"/>
        <v>13.576000000000001</v>
      </c>
      <c r="E41" s="33">
        <f ca="1"/>
        <v>2520</v>
      </c>
      <c r="F41" s="39">
        <f ca="1"/>
        <v>49671</v>
      </c>
      <c r="G41" s="37">
        <f ca="1">IFERROR(_xll.BCOUNTPERIODS($C$3,F41,"CDR=BZ")*1,"")</f>
        <v>2636</v>
      </c>
      <c r="H41" s="37">
        <f ca="1">_xlfn.IFS(IPCA!$O$7=DATA!$T$26,PERIODS!C38,IPCA!$O$7=DATA!$T$27,PERIODS!E38,IPCA!$O$7=DATA!$T$28,PERIODS!G38)</f>
        <v>738</v>
      </c>
      <c r="I41" s="8">
        <f ca="1">IFERROR(_xll.BInterpol($G$7:$G$45, $D$7:$D$45, H41, "Cubic","Skip=True")*1,"")</f>
        <v>13.436452840897507</v>
      </c>
      <c r="J41" s="34"/>
      <c r="K41" s="3"/>
      <c r="L41" s="33"/>
      <c r="M41" s="33"/>
      <c r="N41" s="33"/>
      <c r="O41" s="39"/>
      <c r="P41" s="37" t="str">
        <f ca="1">IFERROR(_xll.BCOUNTPERIODS($L$3,O41,"CDR=BZ")*1,"")</f>
        <v/>
      </c>
      <c r="Q41" s="37">
        <f ca="1">_xlfn.IFS(IPCA!$O$7=DATA!$T$26,PERIODS!C38,IPCA!$O$7=DATA!$T$27,PERIODS!E38,IPCA!$O$7=DATA!$T$28,PERIODS!G38)</f>
        <v>738</v>
      </c>
      <c r="R41" s="8">
        <f ca="1">IFERROR(IF($K$2=$T$16,_xll.BInterpol(FUT!$F$7:$F$28, FUT!$E$7:$E$28, Q41, "Cubic","Skip=True"),_xll.BInterpol($P$7:$P$48, $M$7:$M$48, Q41, "Cubic","Skip=True"))*1,"")</f>
        <v>8.0594972989437732</v>
      </c>
    </row>
    <row r="42" spans="1:20" x14ac:dyDescent="0.25">
      <c r="A42" s="33"/>
      <c r="B42" s="3" t="str">
        <f ca="1"/>
        <v>ODF37 Comdty</v>
      </c>
      <c r="C42" s="33" t="str">
        <f ca="1"/>
        <v>11Y</v>
      </c>
      <c r="D42" s="33">
        <f ca="1"/>
        <v>13.558999999999999</v>
      </c>
      <c r="E42" s="33">
        <f ca="1"/>
        <v>2772</v>
      </c>
      <c r="F42" s="39">
        <f ca="1"/>
        <v>50039</v>
      </c>
      <c r="G42" s="37">
        <f ca="1">IFERROR(_xll.BCOUNTPERIODS($C$3,F42,"CDR=BZ")*1,"")</f>
        <v>2889</v>
      </c>
      <c r="H42" s="37">
        <f ca="1">_xlfn.IFS(IPCA!$O$7=DATA!$T$26,PERIODS!C39,IPCA!$O$7=DATA!$T$27,PERIODS!E39,IPCA!$O$7=DATA!$T$28,PERIODS!G39)</f>
        <v>760</v>
      </c>
      <c r="I42" s="8">
        <f ca="1">IFERROR(_xll.BInterpol($G$7:$G$45, $D$7:$D$45, H42, "Cubic","Skip=True")*1,"")</f>
        <v>13.428000000000001</v>
      </c>
      <c r="J42" s="34"/>
      <c r="K42" s="3"/>
      <c r="L42" s="33"/>
      <c r="M42" s="33"/>
      <c r="N42" s="33"/>
      <c r="O42" s="39"/>
      <c r="P42" s="37" t="str">
        <f ca="1">IFERROR(_xll.BCOUNTPERIODS($L$3,O42,"CDR=BZ")*1,"")</f>
        <v/>
      </c>
      <c r="Q42" s="37">
        <f ca="1">_xlfn.IFS(IPCA!$O$7=DATA!$T$26,PERIODS!C39,IPCA!$O$7=DATA!$T$27,PERIODS!E39,IPCA!$O$7=DATA!$T$28,PERIODS!G39)</f>
        <v>760</v>
      </c>
      <c r="R42" s="8">
        <f ca="1">IFERROR(IF($K$2=$T$16,_xll.BInterpol(FUT!$F$7:$F$28, FUT!$E$7:$E$28, Q42, "Cubic","Skip=True"),_xll.BInterpol($P$7:$P$48, $M$7:$M$48, Q42, "Cubic","Skip=True"))*1,"")</f>
        <v>8.0345845360928401</v>
      </c>
    </row>
    <row r="43" spans="1:20" x14ac:dyDescent="0.25">
      <c r="A43" s="33"/>
      <c r="B43" s="3" t="str">
        <f ca="1"/>
        <v>ODF38 Comdty</v>
      </c>
      <c r="C43" s="33" t="str">
        <f ca="1"/>
        <v>12Y</v>
      </c>
      <c r="D43" s="33">
        <f ca="1"/>
        <v>13.515000000000001</v>
      </c>
      <c r="E43" s="33">
        <f ca="1"/>
        <v>3024</v>
      </c>
      <c r="F43" s="39">
        <f ca="1"/>
        <v>50404</v>
      </c>
      <c r="G43" s="37">
        <f ca="1">IFERROR(_xll.BCOUNTPERIODS($C$3,F43,"CDR=BZ")*1,"")</f>
        <v>3138</v>
      </c>
      <c r="H43" s="37">
        <f ca="1">_xlfn.IFS(IPCA!$O$7=DATA!$T$26,PERIODS!C40,IPCA!$O$7=DATA!$T$27,PERIODS!E40,IPCA!$O$7=DATA!$T$28,PERIODS!G40)</f>
        <v>780</v>
      </c>
      <c r="I43" s="8">
        <f ca="1">IFERROR(_xll.BInterpol($G$7:$G$45, $D$7:$D$45, H43, "Cubic","Skip=True")*1,"")</f>
        <v>13.425550970284936</v>
      </c>
      <c r="J43" s="34"/>
      <c r="K43" s="3"/>
      <c r="L43" s="33"/>
      <c r="M43" s="33"/>
      <c r="N43" s="33"/>
      <c r="O43" s="39"/>
      <c r="P43" s="37" t="str">
        <f ca="1">IFERROR(_xll.BCOUNTPERIODS($L$3,O43,"CDR=BZ")*1,"")</f>
        <v/>
      </c>
      <c r="Q43" s="37">
        <f ca="1">_xlfn.IFS(IPCA!$O$7=DATA!$T$26,PERIODS!C40,IPCA!$O$7=DATA!$T$27,PERIODS!E40,IPCA!$O$7=DATA!$T$28,PERIODS!G40)</f>
        <v>780</v>
      </c>
      <c r="R43" s="8">
        <f ca="1">IFERROR(IF($K$2=$T$16,_xll.BInterpol(FUT!$F$7:$F$28, FUT!$E$7:$E$28, Q43, "Cubic","Skip=True"),_xll.BInterpol($P$7:$P$48, $M$7:$M$48, Q43, "Cubic","Skip=True"))*1,"")</f>
        <v>8.0098891514150594</v>
      </c>
    </row>
    <row r="44" spans="1:20" x14ac:dyDescent="0.25">
      <c r="A44" s="33"/>
      <c r="B44" s="3" t="str">
        <f ca="1"/>
        <v>ODF39 Comdty</v>
      </c>
      <c r="C44" s="33" t="str">
        <f ca="1"/>
        <v>13Y</v>
      </c>
      <c r="D44" s="37">
        <f ca="1"/>
        <v>13.462</v>
      </c>
      <c r="E44" s="37">
        <f ca="1"/>
        <v>3276</v>
      </c>
      <c r="F44" s="39">
        <f ca="1"/>
        <v>1058.7303703703703</v>
      </c>
      <c r="G44" s="37" t="str">
        <f ca="1">IFERROR(_xll.BCOUNTPERIODS($C$3,F44,"CDR=BZ")*1,"")</f>
        <v/>
      </c>
      <c r="H44" s="37">
        <f ca="1">_xlfn.IFS(IPCA!$O$7=DATA!$T$26,PERIODS!C41,IPCA!$O$7=DATA!$T$27,PERIODS!E41,IPCA!$O$7=DATA!$T$28,PERIODS!G41)</f>
        <v>803</v>
      </c>
      <c r="I44" s="8">
        <f ca="1">IFERROR(_xll.BInterpol($G$7:$G$45, $D$7:$D$45, H44, "Cubic","Skip=True")*1,"")</f>
        <v>13.425724022831606</v>
      </c>
      <c r="J44" s="34"/>
      <c r="K44" s="3"/>
      <c r="L44" s="33"/>
      <c r="M44" s="37"/>
      <c r="N44" s="37"/>
      <c r="O44" s="37"/>
      <c r="P44" s="37" t="str">
        <f ca="1">IFERROR(_xll.BCOUNTPERIODS($L$3,O44,"CDR=BZ")*1,"")</f>
        <v/>
      </c>
      <c r="Q44" s="37">
        <f ca="1">_xlfn.IFS(IPCA!$O$7=DATA!$T$26,PERIODS!C41,IPCA!$O$7=DATA!$T$27,PERIODS!E41,IPCA!$O$7=DATA!$T$28,PERIODS!G41)</f>
        <v>803</v>
      </c>
      <c r="R44" s="8">
        <f ca="1">IFERROR(IF($K$2=$T$16,_xll.BInterpol(FUT!$F$7:$F$28, FUT!$E$7:$E$28, Q44, "Cubic","Skip=True"),_xll.BInterpol($P$7:$P$48, $M$7:$M$48, Q44, "Cubic","Skip=True"))*1,"")</f>
        <v>7.9774635544175565</v>
      </c>
    </row>
    <row r="45" spans="1:20" x14ac:dyDescent="0.25">
      <c r="A45" s="33"/>
      <c r="B45" s="3"/>
      <c r="C45" s="33"/>
      <c r="D45" s="37"/>
      <c r="E45" s="37"/>
      <c r="F45" s="39"/>
      <c r="G45" s="37" t="str">
        <f ca="1">IFERROR(_xll.BCOUNTPERIODS($C$3,F45,"CDR=BZ")*1,"")</f>
        <v/>
      </c>
      <c r="H45" s="37">
        <f ca="1">_xlfn.IFS(IPCA!$O$7=DATA!$T$26,PERIODS!C42,IPCA!$O$7=DATA!$T$27,PERIODS!E42,IPCA!$O$7=DATA!$T$28,PERIODS!G42)</f>
        <v>824</v>
      </c>
      <c r="I45" s="8">
        <f ca="1">IFERROR(_xll.BInterpol($G$7:$G$45, $D$7:$D$45, H45, "Cubic","Skip=True")*1,"")</f>
        <v>13.425000000000001</v>
      </c>
      <c r="J45" s="34"/>
      <c r="K45" s="3"/>
      <c r="L45" s="33"/>
      <c r="M45" s="37"/>
      <c r="N45" s="37"/>
      <c r="O45" s="37"/>
      <c r="P45" s="37" t="str">
        <f ca="1">IFERROR(_xll.BCOUNTPERIODS($L$3,O45,"CDR=BZ")*1,"")</f>
        <v/>
      </c>
      <c r="Q45" s="37">
        <f ca="1">_xlfn.IFS(IPCA!$O$7=DATA!$T$26,PERIODS!C42,IPCA!$O$7=DATA!$T$27,PERIODS!E42,IPCA!$O$7=DATA!$T$28,PERIODS!G42)</f>
        <v>824</v>
      </c>
      <c r="R45" s="8">
        <f ca="1">IFERROR(IF($K$2=$T$16,_xll.BInterpol(FUT!$F$7:$F$28, FUT!$E$7:$E$28, Q45, "Cubic","Skip=True"),_xll.BInterpol($P$7:$P$48, $M$7:$M$48, Q45, "Cubic","Skip=True"))*1,"")</f>
        <v>7.9439071239185353</v>
      </c>
    </row>
    <row r="46" spans="1:20" x14ac:dyDescent="0.25">
      <c r="A46" s="33"/>
      <c r="B46" s="3"/>
      <c r="C46" s="33"/>
      <c r="D46" s="37"/>
      <c r="E46" s="37"/>
      <c r="F46" s="37"/>
      <c r="G46" s="37" t="str">
        <f ca="1">IFERROR(_xll.BCOUNTPERIODS($C$3,F46,"CDR=BZ")*1,"")</f>
        <v/>
      </c>
      <c r="H46" s="37">
        <f ca="1">_xlfn.IFS(IPCA!$O$7=DATA!$T$26,PERIODS!C43,IPCA!$O$7=DATA!$T$27,PERIODS!E43,IPCA!$O$7=DATA!$T$28,PERIODS!G43)</f>
        <v>844</v>
      </c>
      <c r="I46" s="8">
        <f ca="1">IFERROR(_xll.BInterpol($G$7:$G$45, $D$7:$D$45, H46, "Cubic","Skip=True")*1,"")</f>
        <v>13.421113641693486</v>
      </c>
      <c r="J46" s="34"/>
      <c r="K46" s="3"/>
      <c r="L46" s="33"/>
      <c r="M46" s="37"/>
      <c r="N46" s="37"/>
      <c r="O46" s="37"/>
      <c r="P46" s="37" t="str">
        <f ca="1">IFERROR(_xll.BCOUNTPERIODS($L$3,O46,"CDR=BZ")*1,"")</f>
        <v/>
      </c>
      <c r="Q46" s="37">
        <f ca="1">_xlfn.IFS(IPCA!$O$7=DATA!$T$26,PERIODS!C43,IPCA!$O$7=DATA!$T$27,PERIODS!E43,IPCA!$O$7=DATA!$T$28,PERIODS!G43)</f>
        <v>844</v>
      </c>
      <c r="R46" s="8">
        <f ca="1">IFERROR(IF($K$2=$T$16,_xll.BInterpol(FUT!$F$7:$F$28, FUT!$E$7:$E$28, Q46, "Cubic","Skip=True"),_xll.BInterpol($P$7:$P$48, $M$7:$M$48, Q46, "Cubic","Skip=True"))*1,"")</f>
        <v>7.909327106720311</v>
      </c>
    </row>
    <row r="47" spans="1:20" x14ac:dyDescent="0.25">
      <c r="A47" s="33"/>
      <c r="B47" s="3"/>
      <c r="C47" s="33"/>
      <c r="D47" s="37"/>
      <c r="E47" s="37"/>
      <c r="F47" s="37"/>
      <c r="G47" s="37" t="str">
        <f ca="1">IFERROR(_xll.BCOUNTPERIODS($C$3,F47,"CDR=BZ")*1,"")</f>
        <v/>
      </c>
      <c r="H47" s="37">
        <f ca="1">_xlfn.IFS(IPCA!$O$7=DATA!$T$26,PERIODS!C44,IPCA!$O$7=DATA!$T$27,PERIODS!E44,IPCA!$O$7=DATA!$T$28,PERIODS!G44)</f>
        <v>1008</v>
      </c>
      <c r="I47" s="8">
        <f ca="1">IFERROR(_xll.BInterpol($G$7:$G$45, $D$7:$D$45, H47, "Cubic","Skip=True")*1,"")</f>
        <v>13.433</v>
      </c>
      <c r="J47" s="34"/>
      <c r="K47" s="3"/>
      <c r="L47" s="33"/>
      <c r="M47" s="37"/>
      <c r="N47" s="37"/>
      <c r="O47" s="37"/>
      <c r="P47" s="37" t="str">
        <f ca="1">IFERROR(_xll.BCOUNTPERIODS($L$3,O47,"CDR=BZ")*1,"")</f>
        <v/>
      </c>
      <c r="Q47" s="37">
        <f ca="1">_xlfn.IFS(IPCA!$O$7=DATA!$T$26,PERIODS!C44,IPCA!$O$7=DATA!$T$27,PERIODS!E44,IPCA!$O$7=DATA!$T$28,PERIODS!G44)</f>
        <v>1008</v>
      </c>
      <c r="R47" s="8">
        <f ca="1">IFERROR(IF($K$2=$T$16,_xll.BInterpol(FUT!$F$7:$F$28, FUT!$E$7:$E$28, Q47, "Cubic","Skip=True"),_xll.BInterpol($P$7:$P$48, $M$7:$M$48, Q47, "Cubic","Skip=True"))*1,"")</f>
        <v>7.6383036121491346</v>
      </c>
    </row>
    <row r="48" spans="1:20" ht="15.75" thickBot="1" x14ac:dyDescent="0.3">
      <c r="A48" s="33"/>
      <c r="B48" s="18"/>
      <c r="C48" s="9"/>
      <c r="D48" s="9"/>
      <c r="E48" s="9"/>
      <c r="F48" s="9"/>
      <c r="G48" s="9" t="str">
        <f ca="1">IFERROR(_xll.BCOUNTPERIODS($C$3,F48,"CDR=BZ")*1,"")</f>
        <v/>
      </c>
      <c r="H48" s="37">
        <f ca="1">_xlfn.IFS(IPCA!$O$7=DATA!$T$26,PERIODS!C45,IPCA!$O$7=DATA!$T$27,PERIODS!E45,IPCA!$O$7=DATA!$T$28,PERIODS!G45)</f>
        <v>1256</v>
      </c>
      <c r="I48" s="10">
        <f ca="1">IFERROR(_xll.BInterpol($G$7:$G$45, $D$7:$D$45, H48, "Cubic","Skip=True")*1,"")</f>
        <v>13.494999999999999</v>
      </c>
      <c r="J48" s="34"/>
      <c r="K48" s="18"/>
      <c r="L48" s="9"/>
      <c r="M48" s="9"/>
      <c r="N48" s="9"/>
      <c r="O48" s="9"/>
      <c r="P48" s="9" t="str">
        <f ca="1">IFERROR(_xll.BCOUNTPERIODS($L$3,O48,"CDR=BZ")*1,"")</f>
        <v/>
      </c>
      <c r="Q48" s="37">
        <f ca="1">_xlfn.IFS(IPCA!$O$7=DATA!$T$26,PERIODS!C45,IPCA!$O$7=DATA!$T$27,PERIODS!E45,IPCA!$O$7=DATA!$T$28,PERIODS!G45)</f>
        <v>1256</v>
      </c>
      <c r="R48" s="8">
        <f ca="1">IFERROR(IF($K$2=$T$16,_xll.BInterpol(FUT!$F$7:$F$28, FUT!$E$7:$E$28, Q48, "Cubic","Skip=True"),_xll.BInterpol($P$7:$P$48, $M$7:$M$48, Q48, "Cubic","Skip=True"))*1,"")</f>
        <v>7.5442559448341466</v>
      </c>
    </row>
    <row r="60" spans="2:18" ht="15.75" thickBot="1" x14ac:dyDescent="0.3"/>
    <row r="61" spans="2:18" x14ac:dyDescent="0.25">
      <c r="B61" s="40" t="str">
        <f>IPCA!$G$7</f>
        <v>YCSW0089 Index</v>
      </c>
      <c r="C61" s="2"/>
      <c r="D61" s="2"/>
      <c r="E61" s="2"/>
      <c r="F61" s="2"/>
      <c r="G61" s="2"/>
      <c r="H61" s="2"/>
      <c r="I61" s="35"/>
      <c r="K61" s="44" t="str">
        <f>IPCA!$G$9</f>
        <v>WLA Index</v>
      </c>
      <c r="L61" s="2"/>
      <c r="M61" s="2"/>
      <c r="N61" s="2"/>
      <c r="O61" s="2"/>
      <c r="P61" s="2"/>
      <c r="Q61" s="2"/>
      <c r="R61" s="35"/>
    </row>
    <row r="62" spans="2:18" x14ac:dyDescent="0.25">
      <c r="B62" s="41" t="s">
        <v>23</v>
      </c>
      <c r="C62" s="103">
        <f>$U$4</f>
        <v>45268</v>
      </c>
      <c r="I62" s="4"/>
      <c r="K62" s="41" t="s">
        <v>23</v>
      </c>
      <c r="L62" s="103">
        <f>$U$4</f>
        <v>45268</v>
      </c>
      <c r="R62" s="4"/>
    </row>
    <row r="63" spans="2:18" x14ac:dyDescent="0.25">
      <c r="B63" s="19" t="str">
        <f>"get(ID().tenor as #tenor, curve_rate(side=Ask).value as #yield,Ceil(id().year_fraction*252) as #Point,MATURITY().value as #Maturity) for(curveMembers(['"&amp;B61&amp;"'])) with(dates="&amp;_xll.BQL.DATE(C62)&amp;")"</f>
        <v>get(ID().tenor as #tenor, curve_rate(side=Ask).value as #yield,Ceil(id().year_fraction*252) as #Point,MATURITY().value as #Maturity) for(curveMembers(['YCSW0089 Index'])) with(dates=2023-12-08)</v>
      </c>
      <c r="I63" s="4"/>
      <c r="K63" s="6"/>
      <c r="R63" s="4"/>
    </row>
    <row r="64" spans="2:18" x14ac:dyDescent="0.25">
      <c r="B64" s="19" t="str">
        <f>"get(ID().tenor as #tenor, curve_rate(side=Ask).value as #yield,Ceil(id().year_fraction*252) as #Point,FUT_LAST_TRADE_DT AS #maturity) for(filter(curveMembers(['"&amp;B61&amp;"']),grouprank(FUT_LAST_TRADE_DT,order=asc)&lt;=60)) with(dates="&amp;_xll.BQL.DATE(C62)&amp;")"</f>
        <v>get(ID().tenor as #tenor, curve_rate(side=Ask).value as #yield,Ceil(id().year_fraction*252) as #Point,FUT_LAST_TRADE_DT AS #maturity) for(filter(curveMembers(['YCSW0089 Index']),grouprank(FUT_LAST_TRADE_DT,order=asc)&lt;=60)) with(dates=2023-12-08)</v>
      </c>
      <c r="C64" s="36"/>
      <c r="D64" s="36"/>
      <c r="E64" s="36"/>
      <c r="F64" s="36"/>
      <c r="G64" s="36"/>
      <c r="H64" s="36"/>
      <c r="I64" s="42"/>
      <c r="J64" s="36"/>
      <c r="K64" s="19" t="str">
        <f>"get(ID().tenor as #tenor, curve_rate(side=Ask).value as #yield,Ceil(id().year_fraction*252) as #Point,MATURITY().value as #Maturity) for(curveMembers(['"&amp;K61&amp;"'])) with(dates="&amp;_xll.BQL.DATE(L62)&amp;")"</f>
        <v>get(ID().tenor as #tenor, curve_rate(side=Ask).value as #yield,Ceil(id().year_fraction*252) as #Point,MATURITY().value as #Maturity) for(curveMembers(['WLA Index'])) with(dates=2023-12-08)</v>
      </c>
      <c r="L64" s="36"/>
      <c r="M64" s="36"/>
      <c r="N64" s="36"/>
      <c r="O64" s="36"/>
      <c r="P64" s="36"/>
      <c r="Q64" s="36"/>
      <c r="R64" s="4"/>
    </row>
    <row r="65" spans="2:18" x14ac:dyDescent="0.25">
      <c r="B65" s="3" t="str" cm="1">
        <f t="array" ref="B65:F102">_xll.BQL.QUERY(_xlfn.IFS(B61=$T$9,B64,B61=$T$10,B63))</f>
        <v>ID</v>
      </c>
      <c r="C65" s="33" t="str">
        <v>#tenor.TENOR</v>
      </c>
      <c r="D65" s="5" t="str">
        <v>#yield</v>
      </c>
      <c r="E65" s="5" t="str">
        <v>#Point</v>
      </c>
      <c r="F65" s="5" t="str">
        <v>#maturity</v>
      </c>
      <c r="G65" s="5" t="s">
        <v>24</v>
      </c>
      <c r="H65" s="5" t="s">
        <v>62</v>
      </c>
      <c r="I65" s="43" t="s">
        <v>61</v>
      </c>
      <c r="J65" s="5"/>
      <c r="K65" s="3" t="str" cm="1">
        <f t="array" ref="K65">_xll.BQL.QUERY(K64)</f>
        <v>#N/A Invalid Security: Unable to evaluate universe. Either the identifier is invalid or you do not have access to the data. Check inputs and try again.</v>
      </c>
      <c r="L65" s="33"/>
      <c r="M65" s="5"/>
      <c r="N65" s="5"/>
      <c r="O65" s="5"/>
      <c r="P65" s="5" t="s">
        <v>24</v>
      </c>
      <c r="Q65" s="5" t="s">
        <v>62</v>
      </c>
      <c r="R65" s="4" t="s">
        <v>61</v>
      </c>
    </row>
    <row r="66" spans="2:18" x14ac:dyDescent="0.25">
      <c r="B66" s="3" t="str">
        <v>ODF24 Comdty</v>
      </c>
      <c r="C66" s="33" t="str">
        <v>3W</v>
      </c>
      <c r="D66" s="33">
        <v>11.785</v>
      </c>
      <c r="E66" s="33">
        <v>15</v>
      </c>
      <c r="F66" s="39">
        <v>45288</v>
      </c>
      <c r="G66" s="37">
        <f>IFERROR(_xll.BCOUNTPERIODS($C$62,F66,"CDR=BZ")*1,"")</f>
        <v>13</v>
      </c>
      <c r="H66" s="37">
        <f>_xlfn.IFS(IPCA!$O$7=DATA!$T$26,PERIODS!L4,IPCA!$O$7=DATA!$T$27,PERIODS!N4,IPCA!$O$7=DATA!$T$28,PERIODS!P4)</f>
        <v>36</v>
      </c>
      <c r="I66" s="8">
        <f>IFERROR(_xll.BInterpol($G$66:$G$107, $D$66:$D$107, H66, "Cubic","Skip=True")*1,"")</f>
        <v>11.699</v>
      </c>
      <c r="J66" s="34"/>
      <c r="K66" s="3"/>
      <c r="L66" s="33"/>
      <c r="M66" s="33"/>
      <c r="N66" s="33"/>
      <c r="O66" s="39"/>
      <c r="P66" s="37" t="str">
        <f>IFERROR(_xll.BCOUNTPERIODS($L$62,O66,"CDR=BZ")*1,"")</f>
        <v/>
      </c>
      <c r="Q66" s="37">
        <f>_xlfn.IFS(IPCA!$O$7=DATA!$T$26,PERIODS!L4,IPCA!$O$7=DATA!$T$27,PERIODS!N4,IPCA!$O$7=DATA!$T$28,PERIODS!P4)</f>
        <v>36</v>
      </c>
      <c r="R66" s="8">
        <f>IFERROR(IF($K$61=$T$16,_xll.BInterpol(FUT!$L$7:$L$28, FUT!$K$7:$K$28, Q66, "Cubic","Skip=True"),_xll.BInterpol($P$66:$P$107, $M$66:$M$107, Q66, "Cubic","Skip=True"))*1,"")</f>
        <v>6.7550594034504963</v>
      </c>
    </row>
    <row r="67" spans="2:18" x14ac:dyDescent="0.25">
      <c r="B67" s="3" t="str">
        <v>ODG24 Comdty</v>
      </c>
      <c r="C67" s="33" t="str">
        <v>1M</v>
      </c>
      <c r="D67" s="33">
        <v>11.699</v>
      </c>
      <c r="E67" s="33">
        <v>21</v>
      </c>
      <c r="F67" s="39">
        <v>45322</v>
      </c>
      <c r="G67" s="37">
        <f>IFERROR(_xll.BCOUNTPERIODS($C$62,F67,"CDR=BZ")*1,"")</f>
        <v>36</v>
      </c>
      <c r="H67" s="37">
        <f>_xlfn.IFS(IPCA!$O$7=DATA!$T$26,PERIODS!L5,IPCA!$O$7=DATA!$T$27,PERIODS!N5,IPCA!$O$7=DATA!$T$28,PERIODS!P5)</f>
        <v>55</v>
      </c>
      <c r="I67" s="8">
        <f>IFERROR(_xll.BInterpol($G$66:$G$107, $D$66:$D$107, H67, "Cubic","Skip=True")*1,"")</f>
        <v>11.504</v>
      </c>
      <c r="J67" s="34"/>
      <c r="K67" s="3"/>
      <c r="L67" s="33"/>
      <c r="M67" s="33"/>
      <c r="N67" s="33"/>
      <c r="O67" s="39"/>
      <c r="P67" s="37" t="str">
        <f>IFERROR(_xll.BCOUNTPERIODS($L$62,O67,"CDR=BZ")*1,"")</f>
        <v/>
      </c>
      <c r="Q67" s="37">
        <f>_xlfn.IFS(IPCA!$O$7=DATA!$T$26,PERIODS!L5,IPCA!$O$7=DATA!$T$27,PERIODS!N5,IPCA!$O$7=DATA!$T$28,PERIODS!P5)</f>
        <v>55</v>
      </c>
      <c r="R67" s="8">
        <f>IFERROR(IF($K$61=$T$16,_xll.BInterpol(FUT!$L$7:$L$28, FUT!$K$7:$K$28, Q67, "Cubic","Skip=True"),_xll.BInterpol($P$66:$P$107, $M$66:$M$107, Q67, "Cubic","Skip=True"))*1,"")</f>
        <v>6.2576160158777299</v>
      </c>
    </row>
    <row r="68" spans="2:18" x14ac:dyDescent="0.25">
      <c r="B68" s="20" t="str">
        <v>ODH24 Comdty</v>
      </c>
      <c r="C68" s="33" t="str">
        <v>2M</v>
      </c>
      <c r="D68" s="33">
        <v>11.504</v>
      </c>
      <c r="E68" s="33">
        <v>42</v>
      </c>
      <c r="F68" s="39">
        <v>45351</v>
      </c>
      <c r="G68" s="37">
        <f>IFERROR(_xll.BCOUNTPERIODS($C$62,F68,"CDR=BZ")*1,"")</f>
        <v>55</v>
      </c>
      <c r="H68" s="37">
        <f>_xlfn.IFS(IPCA!$O$7=DATA!$T$26,PERIODS!L6,IPCA!$O$7=DATA!$T$27,PERIODS!N6,IPCA!$O$7=DATA!$T$28,PERIODS!P6)</f>
        <v>75</v>
      </c>
      <c r="I68" s="8">
        <f>IFERROR(_xll.BInterpol($G$66:$G$107, $D$66:$D$107, H68, "Cubic","Skip=True")*1,"")</f>
        <v>11.374000000000001</v>
      </c>
      <c r="J68" s="34"/>
      <c r="K68" s="20"/>
      <c r="L68" s="33"/>
      <c r="M68" s="33"/>
      <c r="N68" s="33"/>
      <c r="O68" s="39"/>
      <c r="P68" s="37" t="str">
        <f>IFERROR(_xll.BCOUNTPERIODS($L$62,O68,"CDR=BZ")*1,"")</f>
        <v/>
      </c>
      <c r="Q68" s="37">
        <f>_xlfn.IFS(IPCA!$O$7=DATA!$T$26,PERIODS!L6,IPCA!$O$7=DATA!$T$27,PERIODS!N6,IPCA!$O$7=DATA!$T$28,PERIODS!P6)</f>
        <v>75</v>
      </c>
      <c r="R68" s="8">
        <f>IFERROR(IF($K$61=$T$16,_xll.BInterpol(FUT!$L$7:$L$28, FUT!$K$7:$K$28, Q68, "Cubic","Skip=True"),_xll.BInterpol($P$66:$P$107, $M$66:$M$107, Q68, "Cubic","Skip=True"))*1,"")</f>
        <v>6.2195967247936368</v>
      </c>
    </row>
    <row r="69" spans="2:18" x14ac:dyDescent="0.25">
      <c r="B69" s="3" t="str">
        <v>ODJ24 Comdty</v>
      </c>
      <c r="C69" s="33" t="str">
        <v>3M</v>
      </c>
      <c r="D69" s="33">
        <v>11.374000000000001</v>
      </c>
      <c r="E69" s="33">
        <v>63</v>
      </c>
      <c r="F69" s="39">
        <v>45379</v>
      </c>
      <c r="G69" s="37">
        <f>IFERROR(_xll.BCOUNTPERIODS($C$62,F69,"CDR=BZ")*1,"")</f>
        <v>75</v>
      </c>
      <c r="H69" s="37">
        <f>_xlfn.IFS(IPCA!$O$7=DATA!$T$26,PERIODS!L7,IPCA!$O$7=DATA!$T$27,PERIODS!N7,IPCA!$O$7=DATA!$T$28,PERIODS!P7)</f>
        <v>97</v>
      </c>
      <c r="I69" s="8">
        <f>IFERROR(_xll.BInterpol($G$66:$G$107, $D$66:$D$107, H69, "Cubic","Skip=True")*1,"")</f>
        <v>11.199</v>
      </c>
      <c r="J69" s="34"/>
      <c r="K69" s="3"/>
      <c r="L69" s="33"/>
      <c r="M69" s="33"/>
      <c r="N69" s="33"/>
      <c r="O69" s="39"/>
      <c r="P69" s="37" t="str">
        <f>IFERROR(_xll.BCOUNTPERIODS($L$62,O69,"CDR=BZ")*1,"")</f>
        <v/>
      </c>
      <c r="Q69" s="37">
        <f>_xlfn.IFS(IPCA!$O$7=DATA!$T$26,PERIODS!L7,IPCA!$O$7=DATA!$T$27,PERIODS!N7,IPCA!$O$7=DATA!$T$28,PERIODS!P7)</f>
        <v>97</v>
      </c>
      <c r="R69" s="8">
        <f>IFERROR(IF($K$61=$T$16,_xll.BInterpol(FUT!$L$7:$L$28, FUT!$K$7:$K$28, Q69, "Cubic","Skip=True"),_xll.BInterpol($P$66:$P$107, $M$66:$M$107, Q69, "Cubic","Skip=True"))*1,"")</f>
        <v>6.4582084632432384</v>
      </c>
    </row>
    <row r="70" spans="2:18" x14ac:dyDescent="0.25">
      <c r="B70" s="3" t="str">
        <v>ODK24 Comdty</v>
      </c>
      <c r="C70" s="33" t="str">
        <v>4M</v>
      </c>
      <c r="D70" s="33">
        <v>11.199</v>
      </c>
      <c r="E70" s="33">
        <v>83</v>
      </c>
      <c r="F70" s="39">
        <v>45412</v>
      </c>
      <c r="G70" s="37">
        <f>IFERROR(_xll.BCOUNTPERIODS($C$62,F70,"CDR=BZ")*1,"")</f>
        <v>97</v>
      </c>
      <c r="H70" s="37">
        <f>_xlfn.IFS(IPCA!$O$7=DATA!$T$26,PERIODS!L8,IPCA!$O$7=DATA!$T$27,PERIODS!N8,IPCA!$O$7=DATA!$T$28,PERIODS!P8)</f>
        <v>118</v>
      </c>
      <c r="I70" s="8">
        <f>IFERROR(_xll.BInterpol($G$66:$G$107, $D$66:$D$107, H70, "Cubic","Skip=True")*1,"")</f>
        <v>11.045</v>
      </c>
      <c r="J70" s="34"/>
      <c r="K70" s="3"/>
      <c r="L70" s="33"/>
      <c r="M70" s="33"/>
      <c r="N70" s="33"/>
      <c r="O70" s="39"/>
      <c r="P70" s="37" t="str">
        <f>IFERROR(_xll.BCOUNTPERIODS($L$62,O70,"CDR=BZ")*1,"")</f>
        <v/>
      </c>
      <c r="Q70" s="37">
        <f>_xlfn.IFS(IPCA!$O$7=DATA!$T$26,PERIODS!L8,IPCA!$O$7=DATA!$T$27,PERIODS!N8,IPCA!$O$7=DATA!$T$28,PERIODS!P8)</f>
        <v>118</v>
      </c>
      <c r="R70" s="8">
        <f>IFERROR(IF($K$61=$T$16,_xll.BInterpol(FUT!$L$7:$L$28, FUT!$K$7:$K$28, Q70, "Cubic","Skip=True"),_xll.BInterpol($P$66:$P$107, $M$66:$M$107, Q70, "Cubic","Skip=True"))*1,"")</f>
        <v>6.50530353261275</v>
      </c>
    </row>
    <row r="71" spans="2:18" x14ac:dyDescent="0.25">
      <c r="B71" s="3" t="str">
        <v>ODM24 Comdty</v>
      </c>
      <c r="C71" s="33" t="str">
        <v>5M</v>
      </c>
      <c r="D71" s="33">
        <v>11.045</v>
      </c>
      <c r="E71" s="33">
        <v>104</v>
      </c>
      <c r="F71" s="39">
        <v>45443</v>
      </c>
      <c r="G71" s="37">
        <f>IFERROR(_xll.BCOUNTPERIODS($C$62,F71,"CDR=BZ")*1,"")</f>
        <v>118</v>
      </c>
      <c r="H71" s="37">
        <f>_xlfn.IFS(IPCA!$O$7=DATA!$T$26,PERIODS!L9,IPCA!$O$7=DATA!$T$27,PERIODS!N9,IPCA!$O$7=DATA!$T$28,PERIODS!P9)</f>
        <v>138</v>
      </c>
      <c r="I71" s="8">
        <f>IFERROR(_xll.BInterpol($G$66:$G$107, $D$66:$D$107, H71, "Cubic","Skip=True")*1,"")</f>
        <v>10.91</v>
      </c>
      <c r="J71" s="34"/>
      <c r="K71" s="3"/>
      <c r="L71" s="33"/>
      <c r="M71" s="33"/>
      <c r="N71" s="33"/>
      <c r="O71" s="39"/>
      <c r="P71" s="37" t="str">
        <f>IFERROR(_xll.BCOUNTPERIODS($L$62,O71,"CDR=BZ")*1,"")</f>
        <v/>
      </c>
      <c r="Q71" s="37">
        <f>_xlfn.IFS(IPCA!$O$7=DATA!$T$26,PERIODS!L9,IPCA!$O$7=DATA!$T$27,PERIODS!N9,IPCA!$O$7=DATA!$T$28,PERIODS!P9)</f>
        <v>138</v>
      </c>
      <c r="R71" s="8">
        <f>IFERROR(IF($K$61=$T$16,_xll.BInterpol(FUT!$L$7:$L$28, FUT!$K$7:$K$28, Q71, "Cubic","Skip=True"),_xll.BInterpol($P$66:$P$107, $M$66:$M$107, Q71, "Cubic","Skip=True"))*1,"")</f>
        <v>6.608267757397015</v>
      </c>
    </row>
    <row r="72" spans="2:18" x14ac:dyDescent="0.25">
      <c r="B72" s="3" t="str">
        <v>ODN24 Comdty</v>
      </c>
      <c r="C72" s="33" t="str">
        <v>6M</v>
      </c>
      <c r="D72" s="33">
        <v>10.91</v>
      </c>
      <c r="E72" s="33">
        <v>125</v>
      </c>
      <c r="F72" s="39">
        <v>45471</v>
      </c>
      <c r="G72" s="37">
        <f>IFERROR(_xll.BCOUNTPERIODS($C$62,F72,"CDR=BZ")*1,"")</f>
        <v>138</v>
      </c>
      <c r="H72" s="37">
        <f>_xlfn.IFS(IPCA!$O$7=DATA!$T$26,PERIODS!L10,IPCA!$O$7=DATA!$T$27,PERIODS!N10,IPCA!$O$7=DATA!$T$28,PERIODS!P10)</f>
        <v>161</v>
      </c>
      <c r="I72" s="8">
        <f>IFERROR(_xll.BInterpol($G$66:$G$107, $D$66:$D$107, H72, "Cubic","Skip=True")*1,"")</f>
        <v>10.769</v>
      </c>
      <c r="J72" s="34"/>
      <c r="K72" s="3"/>
      <c r="L72" s="33"/>
      <c r="M72" s="33"/>
      <c r="N72" s="33"/>
      <c r="O72" s="39"/>
      <c r="P72" s="37" t="str">
        <f>IFERROR(_xll.BCOUNTPERIODS($L$62,O72,"CDR=BZ")*1,"")</f>
        <v/>
      </c>
      <c r="Q72" s="37">
        <f>_xlfn.IFS(IPCA!$O$7=DATA!$T$26,PERIODS!L10,IPCA!$O$7=DATA!$T$27,PERIODS!N10,IPCA!$O$7=DATA!$T$28,PERIODS!P10)</f>
        <v>161</v>
      </c>
      <c r="R72" s="8">
        <f>IFERROR(IF($K$61=$T$16,_xll.BInterpol(FUT!$L$7:$L$28, FUT!$K$7:$K$28, Q72, "Cubic","Skip=True"),_xll.BInterpol($P$66:$P$107, $M$66:$M$107, Q72, "Cubic","Skip=True"))*1,"")</f>
        <v>6.7093396339159517</v>
      </c>
    </row>
    <row r="73" spans="2:18" x14ac:dyDescent="0.25">
      <c r="B73" s="3" t="str">
        <v>ODQ24 Comdty</v>
      </c>
      <c r="C73" s="33" t="str">
        <v>7M</v>
      </c>
      <c r="D73" s="33">
        <v>10.769</v>
      </c>
      <c r="E73" s="33">
        <v>145</v>
      </c>
      <c r="F73" s="39">
        <v>45504</v>
      </c>
      <c r="G73" s="37">
        <f>IFERROR(_xll.BCOUNTPERIODS($C$62,F73,"CDR=BZ")*1,"")</f>
        <v>161</v>
      </c>
      <c r="H73" s="37">
        <f>_xlfn.IFS(IPCA!$O$7=DATA!$T$26,PERIODS!L11,IPCA!$O$7=DATA!$T$27,PERIODS!N11,IPCA!$O$7=DATA!$T$28,PERIODS!P11)</f>
        <v>183</v>
      </c>
      <c r="I73" s="8">
        <f>IFERROR(_xll.BInterpol($G$66:$G$107, $D$66:$D$107, H73, "Cubic","Skip=True")*1,"")</f>
        <v>10.664999999999999</v>
      </c>
      <c r="J73" s="34"/>
      <c r="K73" s="3"/>
      <c r="L73" s="33"/>
      <c r="M73" s="33"/>
      <c r="N73" s="33"/>
      <c r="O73" s="39"/>
      <c r="P73" s="37" t="str">
        <f>IFERROR(_xll.BCOUNTPERIODS($L$62,O73,"CDR=BZ")*1,"")</f>
        <v/>
      </c>
      <c r="Q73" s="37">
        <f>_xlfn.IFS(IPCA!$O$7=DATA!$T$26,PERIODS!L11,IPCA!$O$7=DATA!$T$27,PERIODS!N11,IPCA!$O$7=DATA!$T$28,PERIODS!P11)</f>
        <v>183</v>
      </c>
      <c r="R73" s="8">
        <f>IFERROR(IF($K$61=$T$16,_xll.BInterpol(FUT!$L$7:$L$28, FUT!$K$7:$K$28, Q73, "Cubic","Skip=True"),_xll.BInterpol($P$66:$P$107, $M$66:$M$107, Q73, "Cubic","Skip=True"))*1,"")</f>
        <v>6.6917198730403316</v>
      </c>
    </row>
    <row r="74" spans="2:18" x14ac:dyDescent="0.25">
      <c r="B74" s="3" t="str">
        <v>ODU24 Comdty</v>
      </c>
      <c r="C74" s="33" t="str">
        <v>8M</v>
      </c>
      <c r="D74" s="33">
        <v>10.664999999999999</v>
      </c>
      <c r="E74" s="33">
        <v>166</v>
      </c>
      <c r="F74" s="39">
        <v>45534</v>
      </c>
      <c r="G74" s="37">
        <f>IFERROR(_xll.BCOUNTPERIODS($C$62,F74,"CDR=BZ")*1,"")</f>
        <v>183</v>
      </c>
      <c r="H74" s="37">
        <f>_xlfn.IFS(IPCA!$O$7=DATA!$T$26,PERIODS!L12,IPCA!$O$7=DATA!$T$27,PERIODS!N12,IPCA!$O$7=DATA!$T$28,PERIODS!P12)</f>
        <v>204</v>
      </c>
      <c r="I74" s="8">
        <f>IFERROR(_xll.BInterpol($G$66:$G$107, $D$66:$D$107, H74, "Cubic","Skip=True")*1,"")</f>
        <v>10.574</v>
      </c>
      <c r="J74" s="34"/>
      <c r="K74" s="3"/>
      <c r="L74" s="33"/>
      <c r="M74" s="33"/>
      <c r="N74" s="33"/>
      <c r="O74" s="39"/>
      <c r="P74" s="37" t="str">
        <f>IFERROR(_xll.BCOUNTPERIODS($L$62,O74,"CDR=BZ")*1,"")</f>
        <v/>
      </c>
      <c r="Q74" s="37">
        <f>_xlfn.IFS(IPCA!$O$7=DATA!$T$26,PERIODS!L12,IPCA!$O$7=DATA!$T$27,PERIODS!N12,IPCA!$O$7=DATA!$T$28,PERIODS!P12)</f>
        <v>204</v>
      </c>
      <c r="R74" s="8">
        <f>IFERROR(IF($K$61=$T$16,_xll.BInterpol(FUT!$L$7:$L$28, FUT!$K$7:$K$28, Q74, "Cubic","Skip=True"),_xll.BInterpol($P$66:$P$107, $M$66:$M$107, Q74, "Cubic","Skip=True"))*1,"")</f>
        <v>6.5528458811677215</v>
      </c>
    </row>
    <row r="75" spans="2:18" x14ac:dyDescent="0.25">
      <c r="B75" s="3" t="str">
        <v>ODV24 Comdty</v>
      </c>
      <c r="C75" s="33" t="str">
        <v>9M</v>
      </c>
      <c r="D75" s="33">
        <v>10.574</v>
      </c>
      <c r="E75" s="33">
        <v>187</v>
      </c>
      <c r="F75" s="39">
        <v>45565</v>
      </c>
      <c r="G75" s="37">
        <f>IFERROR(_xll.BCOUNTPERIODS($C$62,F75,"CDR=BZ")*1,"")</f>
        <v>204</v>
      </c>
      <c r="H75" s="37">
        <f>_xlfn.IFS(IPCA!$O$7=DATA!$T$26,PERIODS!L13,IPCA!$O$7=DATA!$T$27,PERIODS!N13,IPCA!$O$7=DATA!$T$28,PERIODS!P13)</f>
        <v>227</v>
      </c>
      <c r="I75" s="8">
        <f>IFERROR(_xll.BInterpol($G$66:$G$107, $D$66:$D$107, H75, "Cubic","Skip=True")*1,"")</f>
        <v>10.487</v>
      </c>
      <c r="J75" s="34"/>
      <c r="K75" s="3"/>
      <c r="L75" s="33"/>
      <c r="M75" s="33"/>
      <c r="N75" s="33"/>
      <c r="O75" s="39"/>
      <c r="P75" s="37" t="str">
        <f>IFERROR(_xll.BCOUNTPERIODS($L$62,O75,"CDR=BZ")*1,"")</f>
        <v/>
      </c>
      <c r="Q75" s="37">
        <f>_xlfn.IFS(IPCA!$O$7=DATA!$T$26,PERIODS!L13,IPCA!$O$7=DATA!$T$27,PERIODS!N13,IPCA!$O$7=DATA!$T$28,PERIODS!P13)</f>
        <v>227</v>
      </c>
      <c r="R75" s="8">
        <f>IFERROR(IF($K$61=$T$16,_xll.BInterpol(FUT!$L$7:$L$28, FUT!$K$7:$K$28, Q75, "Cubic","Skip=True"),_xll.BInterpol($P$66:$P$107, $M$66:$M$107, Q75, "Cubic","Skip=True"))*1,"")</f>
        <v>6.3199465521610323</v>
      </c>
    </row>
    <row r="76" spans="2:18" x14ac:dyDescent="0.25">
      <c r="B76" s="3" t="str">
        <v>ODX24 Comdty</v>
      </c>
      <c r="C76" s="33" t="str">
        <v>10M</v>
      </c>
      <c r="D76" s="33">
        <v>10.487</v>
      </c>
      <c r="E76" s="33">
        <v>208</v>
      </c>
      <c r="F76" s="39">
        <v>45596</v>
      </c>
      <c r="G76" s="37">
        <f>IFERROR(_xll.BCOUNTPERIODS($C$62,F76,"CDR=BZ")*1,"")</f>
        <v>227</v>
      </c>
      <c r="H76" s="37">
        <f>_xlfn.IFS(IPCA!$O$7=DATA!$T$26,PERIODS!L14,IPCA!$O$7=DATA!$T$27,PERIODS!N14,IPCA!$O$7=DATA!$T$28,PERIODS!P14)</f>
        <v>246</v>
      </c>
      <c r="I76" s="8">
        <f>IFERROR(_xll.BInterpol($G$66:$G$107, $D$66:$D$107, H76, "Cubic","Skip=True")*1,"")</f>
        <v>10.42</v>
      </c>
      <c r="J76" s="34"/>
      <c r="K76" s="3"/>
      <c r="L76" s="33"/>
      <c r="M76" s="33"/>
      <c r="N76" s="33"/>
      <c r="O76" s="39"/>
      <c r="P76" s="37" t="str">
        <f>IFERROR(_xll.BCOUNTPERIODS($L$62,O76,"CDR=BZ")*1,"")</f>
        <v/>
      </c>
      <c r="Q76" s="37">
        <f>_xlfn.IFS(IPCA!$O$7=DATA!$T$26,PERIODS!L14,IPCA!$O$7=DATA!$T$27,PERIODS!N14,IPCA!$O$7=DATA!$T$28,PERIODS!P14)</f>
        <v>246</v>
      </c>
      <c r="R76" s="8">
        <f>IFERROR(IF($K$61=$T$16,_xll.BInterpol(FUT!$L$7:$L$28, FUT!$K$7:$K$28, Q76, "Cubic","Skip=True"),_xll.BInterpol($P$66:$P$107, $M$66:$M$107, Q76, "Cubic","Skip=True"))*1,"")</f>
        <v>6.1079534368057882</v>
      </c>
    </row>
    <row r="77" spans="2:18" x14ac:dyDescent="0.25">
      <c r="B77" s="3" t="str">
        <v>ODZ24 Comdty</v>
      </c>
      <c r="C77" s="33" t="str">
        <v>1Y</v>
      </c>
      <c r="D77" s="33">
        <v>10.42</v>
      </c>
      <c r="E77" s="33">
        <v>252</v>
      </c>
      <c r="F77" s="39">
        <v>45625</v>
      </c>
      <c r="G77" s="37">
        <f>IFERROR(_xll.BCOUNTPERIODS($C$62,F77,"CDR=BZ")*1,"")</f>
        <v>246</v>
      </c>
      <c r="H77" s="37">
        <f>_xlfn.IFS(IPCA!$O$7=DATA!$T$26,PERIODS!L15,IPCA!$O$7=DATA!$T$27,PERIODS!N15,IPCA!$O$7=DATA!$T$28,PERIODS!P15)</f>
        <v>267</v>
      </c>
      <c r="I77" s="8">
        <f>IFERROR(_xll.BInterpol($G$66:$G$107, $D$66:$D$107, H77, "Cubic","Skip=True")*1,"")</f>
        <v>10.356591054229654</v>
      </c>
      <c r="J77" s="34"/>
      <c r="K77" s="3"/>
      <c r="L77" s="33"/>
      <c r="M77" s="33"/>
      <c r="N77" s="33"/>
      <c r="O77" s="39"/>
      <c r="P77" s="37" t="str">
        <f>IFERROR(_xll.BCOUNTPERIODS($L$62,O77,"CDR=BZ")*1,"")</f>
        <v/>
      </c>
      <c r="Q77" s="37">
        <f>_xlfn.IFS(IPCA!$O$7=DATA!$T$26,PERIODS!L15,IPCA!$O$7=DATA!$T$27,PERIODS!N15,IPCA!$O$7=DATA!$T$28,PERIODS!P15)</f>
        <v>267</v>
      </c>
      <c r="R77" s="8">
        <f>IFERROR(IF($K$61=$T$16,_xll.BInterpol(FUT!$L$7:$L$28, FUT!$K$7:$K$28, Q77, "Cubic","Skip=True"),_xll.BInterpol($P$66:$P$107, $M$66:$M$107, Q77, "Cubic","Skip=True"))*1,"")</f>
        <v>5.8994528375696396</v>
      </c>
    </row>
    <row r="78" spans="2:18" x14ac:dyDescent="0.25">
      <c r="B78" s="3" t="str">
        <v>ODJ25 Comdty</v>
      </c>
      <c r="C78" s="33" t="str">
        <v>15M</v>
      </c>
      <c r="D78" s="33">
        <v>10.220000000000001</v>
      </c>
      <c r="E78" s="33">
        <v>311</v>
      </c>
      <c r="F78" s="39">
        <v>45747</v>
      </c>
      <c r="G78" s="37">
        <f>IFERROR(_xll.BCOUNTPERIODS($C$62,F78,"CDR=BZ")*1,"")</f>
        <v>328</v>
      </c>
      <c r="H78" s="37">
        <f>_xlfn.IFS(IPCA!$O$7=DATA!$T$26,PERIODS!L16,IPCA!$O$7=DATA!$T$27,PERIODS!N16,IPCA!$O$7=DATA!$T$28,PERIODS!P16)</f>
        <v>289</v>
      </c>
      <c r="I78" s="8">
        <f>IFERROR(_xll.BInterpol($G$66:$G$107, $D$66:$D$107, H78, "Cubic","Skip=True")*1,"")</f>
        <v>10.301415001101004</v>
      </c>
      <c r="J78" s="34"/>
      <c r="K78" s="3"/>
      <c r="L78" s="33"/>
      <c r="M78" s="33"/>
      <c r="N78" s="33"/>
      <c r="O78" s="39"/>
      <c r="P78" s="37" t="str">
        <f>IFERROR(_xll.BCOUNTPERIODS($L$62,O78,"CDR=BZ")*1,"")</f>
        <v/>
      </c>
      <c r="Q78" s="37">
        <f>_xlfn.IFS(IPCA!$O$7=DATA!$T$26,PERIODS!L16,IPCA!$O$7=DATA!$T$27,PERIODS!N16,IPCA!$O$7=DATA!$T$28,PERIODS!P16)</f>
        <v>289</v>
      </c>
      <c r="R78" s="8">
        <f>IFERROR(IF($K$61=$T$16,_xll.BInterpol(FUT!$L$7:$L$28, FUT!$K$7:$K$28, Q78, "Cubic","Skip=True"),_xll.BInterpol($P$66:$P$107, $M$66:$M$107, Q78, "Cubic","Skip=True"))*1,"")</f>
        <v>5.7586509820046166</v>
      </c>
    </row>
    <row r="79" spans="2:18" x14ac:dyDescent="0.25">
      <c r="B79" s="3" t="str">
        <v>ODN25 Comdty</v>
      </c>
      <c r="C79" s="33" t="str">
        <v>18M</v>
      </c>
      <c r="D79" s="33">
        <v>10.122</v>
      </c>
      <c r="E79" s="33">
        <v>373</v>
      </c>
      <c r="F79" s="39">
        <v>45838</v>
      </c>
      <c r="G79" s="37">
        <f>IFERROR(_xll.BCOUNTPERIODS($C$62,F79,"CDR=BZ")*1,"")</f>
        <v>389</v>
      </c>
      <c r="H79" s="37">
        <f>_xlfn.IFS(IPCA!$O$7=DATA!$T$26,PERIODS!L17,IPCA!$O$7=DATA!$T$27,PERIODS!N17,IPCA!$O$7=DATA!$T$28,PERIODS!P17)</f>
        <v>309</v>
      </c>
      <c r="I79" s="8">
        <f>IFERROR(_xll.BInterpol($G$66:$G$107, $D$66:$D$107, H79, "Cubic","Skip=True")*1,"")</f>
        <v>10.258018203021638</v>
      </c>
      <c r="J79" s="34"/>
      <c r="K79" s="3"/>
      <c r="L79" s="33"/>
      <c r="M79" s="33"/>
      <c r="N79" s="33"/>
      <c r="O79" s="39"/>
      <c r="P79" s="37" t="str">
        <f>IFERROR(_xll.BCOUNTPERIODS($L$62,O79,"CDR=BZ")*1,"")</f>
        <v/>
      </c>
      <c r="Q79" s="37">
        <f>_xlfn.IFS(IPCA!$O$7=DATA!$T$26,PERIODS!L17,IPCA!$O$7=DATA!$T$27,PERIODS!N17,IPCA!$O$7=DATA!$T$28,PERIODS!P17)</f>
        <v>309</v>
      </c>
      <c r="R79" s="8">
        <f>IFERROR(IF($K$61=$T$16,_xll.BInterpol(FUT!$L$7:$L$28, FUT!$K$7:$K$28, Q79, "Cubic","Skip=True"),_xll.BInterpol($P$66:$P$107, $M$66:$M$107, Q79, "Cubic","Skip=True"))*1,"")</f>
        <v>5.706639394350745</v>
      </c>
    </row>
    <row r="80" spans="2:18" x14ac:dyDescent="0.25">
      <c r="B80" s="3" t="str">
        <v>ODV25 Comdty</v>
      </c>
      <c r="C80" s="33" t="str">
        <v>21M</v>
      </c>
      <c r="D80" s="33">
        <v>10.083</v>
      </c>
      <c r="E80" s="33">
        <v>435</v>
      </c>
      <c r="F80" s="39">
        <v>45930</v>
      </c>
      <c r="G80" s="37">
        <f>IFERROR(_xll.BCOUNTPERIODS($C$62,F80,"CDR=BZ")*1,"")</f>
        <v>455</v>
      </c>
      <c r="H80" s="37">
        <f>_xlfn.IFS(IPCA!$O$7=DATA!$T$26,PERIODS!L18,IPCA!$O$7=DATA!$T$27,PERIODS!N18,IPCA!$O$7=DATA!$T$28,PERIODS!P18)</f>
        <v>328</v>
      </c>
      <c r="I80" s="8">
        <f>IFERROR(_xll.BInterpol($G$66:$G$107, $D$66:$D$107, H80, "Cubic","Skip=True")*1,"")</f>
        <v>10.220000000000001</v>
      </c>
      <c r="J80" s="34"/>
      <c r="K80" s="3"/>
      <c r="L80" s="33"/>
      <c r="M80" s="33"/>
      <c r="N80" s="33"/>
      <c r="O80" s="39"/>
      <c r="P80" s="37" t="str">
        <f>IFERROR(_xll.BCOUNTPERIODS($L$62,O80,"CDR=BZ")*1,"")</f>
        <v/>
      </c>
      <c r="Q80" s="37">
        <f>_xlfn.IFS(IPCA!$O$7=DATA!$T$26,PERIODS!L18,IPCA!$O$7=DATA!$T$27,PERIODS!N18,IPCA!$O$7=DATA!$T$28,PERIODS!P18)</f>
        <v>328</v>
      </c>
      <c r="R80" s="8">
        <f>IFERROR(IF($K$61=$T$16,_xll.BInterpol(FUT!$L$7:$L$28, FUT!$K$7:$K$28, Q80, "Cubic","Skip=True"),_xll.BInterpol($P$66:$P$107, $M$66:$M$107, Q80, "Cubic","Skip=True"))*1,"")</f>
        <v>5.7049564866730655</v>
      </c>
    </row>
    <row r="81" spans="2:18" x14ac:dyDescent="0.25">
      <c r="B81" s="3" t="str">
        <v>ODF26 Comdty</v>
      </c>
      <c r="C81" s="33" t="str">
        <v>2Y</v>
      </c>
      <c r="D81" s="33">
        <v>10.01</v>
      </c>
      <c r="E81" s="33">
        <v>504</v>
      </c>
      <c r="F81" s="39">
        <v>46021</v>
      </c>
      <c r="G81" s="37">
        <f>IFERROR(_xll.BCOUNTPERIODS($C$62,F81,"CDR=BZ")*1,"")</f>
        <v>518</v>
      </c>
      <c r="H81" s="37">
        <f>_xlfn.IFS(IPCA!$O$7=DATA!$T$26,PERIODS!L19,IPCA!$O$7=DATA!$T$27,PERIODS!N19,IPCA!$O$7=DATA!$T$28,PERIODS!P19)</f>
        <v>348</v>
      </c>
      <c r="I81" s="8">
        <f>IFERROR(_xll.BInterpol($G$66:$G$107, $D$66:$D$107, H81, "Cubic","Skip=True")*1,"")</f>
        <v>10.181703496342818</v>
      </c>
      <c r="J81" s="34"/>
      <c r="K81" s="3"/>
      <c r="L81" s="33"/>
      <c r="M81" s="33"/>
      <c r="N81" s="33"/>
      <c r="O81" s="39"/>
      <c r="P81" s="37" t="str">
        <f>IFERROR(_xll.BCOUNTPERIODS($L$62,O81,"CDR=BZ")*1,"")</f>
        <v/>
      </c>
      <c r="Q81" s="37">
        <f>_xlfn.IFS(IPCA!$O$7=DATA!$T$26,PERIODS!L19,IPCA!$O$7=DATA!$T$27,PERIODS!N19,IPCA!$O$7=DATA!$T$28,PERIODS!P19)</f>
        <v>348</v>
      </c>
      <c r="R81" s="8">
        <f>IFERROR(IF($K$61=$T$16,_xll.BInterpol(FUT!$L$7:$L$28, FUT!$K$7:$K$28, Q81, "Cubic","Skip=True"),_xll.BInterpol($P$66:$P$107, $M$66:$M$107, Q81, "Cubic","Skip=True"))*1,"")</f>
        <v>5.7329825849509408</v>
      </c>
    </row>
    <row r="82" spans="2:18" x14ac:dyDescent="0.25">
      <c r="B82" s="3" t="str">
        <v>ODJ26 Comdty</v>
      </c>
      <c r="C82" s="33" t="str">
        <v>27M</v>
      </c>
      <c r="D82" s="33">
        <v>10.026</v>
      </c>
      <c r="E82" s="33">
        <v>560</v>
      </c>
      <c r="F82" s="39">
        <v>46112</v>
      </c>
      <c r="G82" s="37">
        <f>IFERROR(_xll.BCOUNTPERIODS($C$62,F82,"CDR=BZ")*1,"")</f>
        <v>580</v>
      </c>
      <c r="H82" s="37">
        <f>_xlfn.IFS(IPCA!$O$7=DATA!$T$26,PERIODS!L20,IPCA!$O$7=DATA!$T$27,PERIODS!N20,IPCA!$O$7=DATA!$T$28,PERIODS!P20)</f>
        <v>369</v>
      </c>
      <c r="I82" s="8">
        <f>IFERROR(_xll.BInterpol($G$66:$G$107, $D$66:$D$107, H82, "Cubic","Skip=True")*1,"")</f>
        <v>10.146535766399513</v>
      </c>
      <c r="J82" s="34"/>
      <c r="K82" s="3"/>
      <c r="L82" s="33"/>
      <c r="M82" s="33"/>
      <c r="N82" s="33"/>
      <c r="O82" s="39"/>
      <c r="P82" s="37" t="str">
        <f>IFERROR(_xll.BCOUNTPERIODS($L$62,O82,"CDR=BZ")*1,"")</f>
        <v/>
      </c>
      <c r="Q82" s="37">
        <f>_xlfn.IFS(IPCA!$O$7=DATA!$T$26,PERIODS!L20,IPCA!$O$7=DATA!$T$27,PERIODS!N20,IPCA!$O$7=DATA!$T$28,PERIODS!P20)</f>
        <v>369</v>
      </c>
      <c r="R82" s="8">
        <f>IFERROR(IF($K$61=$T$16,_xll.BInterpol(FUT!$L$7:$L$28, FUT!$K$7:$K$28, Q82, "Cubic","Skip=True"),_xll.BInterpol($P$66:$P$107, $M$66:$M$107, Q82, "Cubic","Skip=True"))*1,"")</f>
        <v>5.75</v>
      </c>
    </row>
    <row r="83" spans="2:18" x14ac:dyDescent="0.25">
      <c r="B83" s="3" t="str">
        <v>ODN26 Comdty</v>
      </c>
      <c r="C83" s="33" t="str">
        <v>30M</v>
      </c>
      <c r="D83" s="33">
        <v>10.055</v>
      </c>
      <c r="E83" s="33">
        <v>622</v>
      </c>
      <c r="F83" s="39">
        <v>46203</v>
      </c>
      <c r="G83" s="37">
        <f>IFERROR(_xll.BCOUNTPERIODS($C$62,F83,"CDR=BZ")*1,"")</f>
        <v>641</v>
      </c>
      <c r="H83" s="37">
        <f>_xlfn.IFS(IPCA!$O$7=DATA!$T$26,PERIODS!L21,IPCA!$O$7=DATA!$T$27,PERIODS!N21,IPCA!$O$7=DATA!$T$28,PERIODS!P21)</f>
        <v>389</v>
      </c>
      <c r="I83" s="8">
        <f>IFERROR(_xll.BInterpol($G$66:$G$107, $D$66:$D$107, H83, "Cubic","Skip=True")*1,"")</f>
        <v>10.122</v>
      </c>
      <c r="J83" s="34"/>
      <c r="K83" s="3"/>
      <c r="L83" s="33"/>
      <c r="M83" s="33"/>
      <c r="N83" s="33"/>
      <c r="O83" s="39"/>
      <c r="P83" s="37" t="str">
        <f>IFERROR(_xll.BCOUNTPERIODS($L$62,O83,"CDR=BZ")*1,"")</f>
        <v/>
      </c>
      <c r="Q83" s="37">
        <f>_xlfn.IFS(IPCA!$O$7=DATA!$T$26,PERIODS!L21,IPCA!$O$7=DATA!$T$27,PERIODS!N21,IPCA!$O$7=DATA!$T$28,PERIODS!P21)</f>
        <v>389</v>
      </c>
      <c r="R83" s="8">
        <f>IFERROR(IF($K$61=$T$16,_xll.BInterpol(FUT!$L$7:$L$28, FUT!$K$7:$K$28, Q83, "Cubic","Skip=True"),_xll.BInterpol($P$66:$P$107, $M$66:$M$107, Q83, "Cubic","Skip=True"))*1,"")</f>
        <v>5.75</v>
      </c>
    </row>
    <row r="84" spans="2:18" x14ac:dyDescent="0.25">
      <c r="B84" s="3" t="str">
        <v>ODV26 Comdty</v>
      </c>
      <c r="C84" s="33" t="str">
        <v>33M</v>
      </c>
      <c r="D84" s="33">
        <v>10.097</v>
      </c>
      <c r="E84" s="33">
        <v>684</v>
      </c>
      <c r="F84" s="39">
        <v>46295</v>
      </c>
      <c r="G84" s="37">
        <f>IFERROR(_xll.BCOUNTPERIODS($C$62,F84,"CDR=BZ")*1,"")</f>
        <v>706</v>
      </c>
      <c r="H84" s="37">
        <f>_xlfn.IFS(IPCA!$O$7=DATA!$T$26,PERIODS!L22,IPCA!$O$7=DATA!$T$27,PERIODS!N22,IPCA!$O$7=DATA!$T$28,PERIODS!P22)</f>
        <v>412</v>
      </c>
      <c r="I84" s="8">
        <f>IFERROR(_xll.BInterpol($G$66:$G$107, $D$66:$D$107, H84, "Cubic","Skip=True")*1,"")</f>
        <v>10.106861324411591</v>
      </c>
      <c r="J84" s="34"/>
      <c r="K84" s="3"/>
      <c r="L84" s="33"/>
      <c r="M84" s="33"/>
      <c r="N84" s="33"/>
      <c r="O84" s="39"/>
      <c r="P84" s="37" t="str">
        <f>IFERROR(_xll.BCOUNTPERIODS($L$62,O84,"CDR=BZ")*1,"")</f>
        <v/>
      </c>
      <c r="Q84" s="37">
        <f>_xlfn.IFS(IPCA!$O$7=DATA!$T$26,PERIODS!L22,IPCA!$O$7=DATA!$T$27,PERIODS!N22,IPCA!$O$7=DATA!$T$28,PERIODS!P22)</f>
        <v>412</v>
      </c>
      <c r="R84" s="8">
        <f>IFERROR(IF($K$61=$T$16,_xll.BInterpol(FUT!$L$7:$L$28, FUT!$K$7:$K$28, Q84, "Cubic","Skip=True"),_xll.BInterpol($P$66:$P$107, $M$66:$M$107, Q84, "Cubic","Skip=True"))*1,"")</f>
        <v>5.75</v>
      </c>
    </row>
    <row r="85" spans="2:18" x14ac:dyDescent="0.25">
      <c r="B85" s="3" t="str">
        <v>ODF27 Comdty</v>
      </c>
      <c r="C85" s="33" t="str">
        <v>3Y</v>
      </c>
      <c r="D85" s="33">
        <v>10.109</v>
      </c>
      <c r="E85" s="33">
        <v>756</v>
      </c>
      <c r="F85" s="39">
        <v>46386</v>
      </c>
      <c r="G85" s="37">
        <f>IFERROR(_xll.BCOUNTPERIODS($C$62,F85,"CDR=BZ")*1,"")</f>
        <v>767</v>
      </c>
      <c r="H85" s="37">
        <f>_xlfn.IFS(IPCA!$O$7=DATA!$T$26,PERIODS!L23,IPCA!$O$7=DATA!$T$27,PERIODS!N23,IPCA!$O$7=DATA!$T$28,PERIODS!P23)</f>
        <v>433</v>
      </c>
      <c r="I85" s="8">
        <f>IFERROR(_xll.BInterpol($G$66:$G$107, $D$66:$D$107, H85, "Cubic","Skip=True")*1,"")</f>
        <v>10.097779667847544</v>
      </c>
      <c r="J85" s="34"/>
      <c r="K85" s="3"/>
      <c r="L85" s="33"/>
      <c r="M85" s="33"/>
      <c r="N85" s="33"/>
      <c r="O85" s="39"/>
      <c r="P85" s="37" t="str">
        <f>IFERROR(_xll.BCOUNTPERIODS($L$62,O85,"CDR=BZ")*1,"")</f>
        <v/>
      </c>
      <c r="Q85" s="37">
        <f>_xlfn.IFS(IPCA!$O$7=DATA!$T$26,PERIODS!L23,IPCA!$O$7=DATA!$T$27,PERIODS!N23,IPCA!$O$7=DATA!$T$28,PERIODS!P23)</f>
        <v>433</v>
      </c>
      <c r="R85" s="8">
        <f>IFERROR(IF($K$61=$T$16,_xll.BInterpol(FUT!$L$7:$L$28, FUT!$K$7:$K$28, Q85, "Cubic","Skip=True"),_xll.BInterpol($P$66:$P$107, $M$66:$M$107, Q85, "Cubic","Skip=True"))*1,"")</f>
        <v>5.75</v>
      </c>
    </row>
    <row r="86" spans="2:18" x14ac:dyDescent="0.25">
      <c r="B86" s="3" t="str">
        <v>ODJ27 Comdty</v>
      </c>
      <c r="C86" s="33" t="str">
        <v>39M</v>
      </c>
      <c r="D86" s="33">
        <v>10.180999999999999</v>
      </c>
      <c r="E86" s="33">
        <v>808</v>
      </c>
      <c r="F86" s="39">
        <v>46477</v>
      </c>
      <c r="G86" s="37">
        <f>IFERROR(_xll.BCOUNTPERIODS($C$62,F86,"CDR=BZ")*1,"")</f>
        <v>828</v>
      </c>
      <c r="H86" s="37">
        <f>_xlfn.IFS(IPCA!$O$7=DATA!$T$26,PERIODS!L24,IPCA!$O$7=DATA!$T$27,PERIODS!N24,IPCA!$O$7=DATA!$T$28,PERIODS!P24)</f>
        <v>455</v>
      </c>
      <c r="I86" s="8">
        <f>IFERROR(_xll.BInterpol($G$66:$G$107, $D$66:$D$107, H86, "Cubic","Skip=True")*1,"")</f>
        <v>10.083</v>
      </c>
      <c r="J86" s="34"/>
      <c r="K86" s="3"/>
      <c r="L86" s="33"/>
      <c r="M86" s="33"/>
      <c r="N86" s="33"/>
      <c r="O86" s="39"/>
      <c r="P86" s="37" t="str">
        <f>IFERROR(_xll.BCOUNTPERIODS($L$62,O86,"CDR=BZ")*1,"")</f>
        <v/>
      </c>
      <c r="Q86" s="37">
        <f>_xlfn.IFS(IPCA!$O$7=DATA!$T$26,PERIODS!L24,IPCA!$O$7=DATA!$T$27,PERIODS!N24,IPCA!$O$7=DATA!$T$28,PERIODS!P24)</f>
        <v>455</v>
      </c>
      <c r="R86" s="8">
        <f>IFERROR(IF($K$61=$T$16,_xll.BInterpol(FUT!$L$7:$L$28, FUT!$K$7:$K$28, Q86, "Cubic","Skip=True"),_xll.BInterpol($P$66:$P$107, $M$66:$M$107, Q86, "Cubic","Skip=True"))*1,"")</f>
        <v>5.75</v>
      </c>
    </row>
    <row r="87" spans="2:18" x14ac:dyDescent="0.25">
      <c r="B87" s="3" t="str">
        <v>ODN27 Comdty</v>
      </c>
      <c r="C87" s="33" t="str">
        <v>42M</v>
      </c>
      <c r="D87" s="33">
        <v>10.25</v>
      </c>
      <c r="E87" s="33">
        <v>870</v>
      </c>
      <c r="F87" s="39">
        <v>46568</v>
      </c>
      <c r="G87" s="37">
        <f>IFERROR(_xll.BCOUNTPERIODS($C$62,F87,"CDR=BZ")*1,"")</f>
        <v>891</v>
      </c>
      <c r="H87" s="37">
        <f>_xlfn.IFS(IPCA!$O$7=DATA!$T$26,PERIODS!L25,IPCA!$O$7=DATA!$T$27,PERIODS!N25,IPCA!$O$7=DATA!$T$28,PERIODS!P25)</f>
        <v>478</v>
      </c>
      <c r="I87" s="8">
        <f>IFERROR(_xll.BInterpol($G$66:$G$107, $D$66:$D$107, H87, "Cubic","Skip=True")*1,"")</f>
        <v>10.055150654678705</v>
      </c>
      <c r="J87" s="34"/>
      <c r="K87" s="3"/>
      <c r="L87" s="33"/>
      <c r="M87" s="33"/>
      <c r="N87" s="33"/>
      <c r="O87" s="39"/>
      <c r="P87" s="37" t="str">
        <f>IFERROR(_xll.BCOUNTPERIODS($L$62,O87,"CDR=BZ")*1,"")</f>
        <v/>
      </c>
      <c r="Q87" s="37">
        <f>_xlfn.IFS(IPCA!$O$7=DATA!$T$26,PERIODS!L25,IPCA!$O$7=DATA!$T$27,PERIODS!N25,IPCA!$O$7=DATA!$T$28,PERIODS!P25)</f>
        <v>478</v>
      </c>
      <c r="R87" s="8">
        <f>IFERROR(IF($K$61=$T$16,_xll.BInterpol(FUT!$L$7:$L$28, FUT!$K$7:$K$28, Q87, "Cubic","Skip=True"),_xll.BInterpol($P$66:$P$107, $M$66:$M$107, Q87, "Cubic","Skip=True"))*1,"")</f>
        <v>5.75</v>
      </c>
    </row>
    <row r="88" spans="2:18" x14ac:dyDescent="0.25">
      <c r="B88" s="3" t="str">
        <v>ODV27 Comdty</v>
      </c>
      <c r="C88" s="33" t="str">
        <v>45M</v>
      </c>
      <c r="D88" s="33">
        <v>10.313000000000001</v>
      </c>
      <c r="E88" s="33">
        <v>933</v>
      </c>
      <c r="F88" s="39">
        <v>46660</v>
      </c>
      <c r="G88" s="37">
        <f>IFERROR(_xll.BCOUNTPERIODS($C$62,F88,"CDR=BZ")*1,"")</f>
        <v>956</v>
      </c>
      <c r="H88" s="37">
        <f>_xlfn.IFS(IPCA!$O$7=DATA!$T$26,PERIODS!L26,IPCA!$O$7=DATA!$T$27,PERIODS!N26,IPCA!$O$7=DATA!$T$28,PERIODS!P26)</f>
        <v>497</v>
      </c>
      <c r="I88" s="8">
        <f>IFERROR(_xll.BInterpol($G$66:$G$107, $D$66:$D$107, H88, "Cubic","Skip=True")*1,"")</f>
        <v>10.029793036839749</v>
      </c>
      <c r="J88" s="34"/>
      <c r="K88" s="3"/>
      <c r="L88" s="33"/>
      <c r="M88" s="33"/>
      <c r="N88" s="33"/>
      <c r="O88" s="39"/>
      <c r="P88" s="37" t="str">
        <f>IFERROR(_xll.BCOUNTPERIODS($L$62,O88,"CDR=BZ")*1,"")</f>
        <v/>
      </c>
      <c r="Q88" s="37">
        <f>_xlfn.IFS(IPCA!$O$7=DATA!$T$26,PERIODS!L26,IPCA!$O$7=DATA!$T$27,PERIODS!N26,IPCA!$O$7=DATA!$T$28,PERIODS!P26)</f>
        <v>497</v>
      </c>
      <c r="R88" s="8">
        <f>IFERROR(IF($K$61=$T$16,_xll.BInterpol(FUT!$L$7:$L$28, FUT!$K$7:$K$28, Q88, "Cubic","Skip=True"),_xll.BInterpol($P$66:$P$107, $M$66:$M$107, Q88, "Cubic","Skip=True"))*1,"")</f>
        <v>5.75</v>
      </c>
    </row>
    <row r="89" spans="2:18" x14ac:dyDescent="0.25">
      <c r="B89" s="3" t="str">
        <v>ODF28 Comdty</v>
      </c>
      <c r="C89" s="33" t="str">
        <v>4Y</v>
      </c>
      <c r="D89" s="33">
        <v>10.368</v>
      </c>
      <c r="E89" s="33">
        <v>1008</v>
      </c>
      <c r="F89" s="39">
        <v>46751</v>
      </c>
      <c r="G89" s="37">
        <f>IFERROR(_xll.BCOUNTPERIODS($C$62,F89,"CDR=BZ")*1,"")</f>
        <v>1018</v>
      </c>
      <c r="H89" s="37">
        <f>_xlfn.IFS(IPCA!$O$7=DATA!$T$26,PERIODS!L27,IPCA!$O$7=DATA!$T$27,PERIODS!N27,IPCA!$O$7=DATA!$T$28,PERIODS!P27)</f>
        <v>519</v>
      </c>
      <c r="I89" s="8">
        <f>IFERROR(_xll.BInterpol($G$66:$G$107, $D$66:$D$107, H89, "Cubic","Skip=True")*1,"")</f>
        <v>10.009455310846333</v>
      </c>
      <c r="J89" s="34"/>
      <c r="K89" s="3"/>
      <c r="L89" s="33"/>
      <c r="M89" s="33"/>
      <c r="N89" s="33"/>
      <c r="O89" s="39"/>
      <c r="P89" s="37" t="str">
        <f>IFERROR(_xll.BCOUNTPERIODS($L$62,O89,"CDR=BZ")*1,"")</f>
        <v/>
      </c>
      <c r="Q89" s="37">
        <f>_xlfn.IFS(IPCA!$O$7=DATA!$T$26,PERIODS!L27,IPCA!$O$7=DATA!$T$27,PERIODS!N27,IPCA!$O$7=DATA!$T$28,PERIODS!P27)</f>
        <v>519</v>
      </c>
      <c r="R89" s="8">
        <f>IFERROR(IF($K$61=$T$16,_xll.BInterpol(FUT!$L$7:$L$28, FUT!$K$7:$K$28, Q89, "Cubic","Skip=True"),_xll.BInterpol($P$66:$P$107, $M$66:$M$107, Q89, "Cubic","Skip=True"))*1,"")</f>
        <v>5.75</v>
      </c>
    </row>
    <row r="90" spans="2:18" x14ac:dyDescent="0.25">
      <c r="B90" s="3" t="str">
        <v>ODJ28 Comdty</v>
      </c>
      <c r="C90" s="33" t="str">
        <v>51M</v>
      </c>
      <c r="D90" s="33">
        <v>10.422000000000001</v>
      </c>
      <c r="E90" s="33">
        <v>1057</v>
      </c>
      <c r="F90" s="39">
        <v>46843</v>
      </c>
      <c r="G90" s="37">
        <f>IFERROR(_xll.BCOUNTPERIODS($C$62,F90,"CDR=BZ")*1,"")</f>
        <v>1082</v>
      </c>
      <c r="H90" s="37">
        <f>_xlfn.IFS(IPCA!$O$7=DATA!$T$26,PERIODS!L28,IPCA!$O$7=DATA!$T$27,PERIODS!N28,IPCA!$O$7=DATA!$T$28,PERIODS!P28)</f>
        <v>540</v>
      </c>
      <c r="I90" s="8">
        <f>IFERROR(_xll.BInterpol($G$66:$G$107, $D$66:$D$107, H90, "Cubic","Skip=True")*1,"")</f>
        <v>10.006732774196832</v>
      </c>
      <c r="J90" s="34"/>
      <c r="K90" s="3"/>
      <c r="L90" s="33"/>
      <c r="M90" s="33"/>
      <c r="N90" s="33"/>
      <c r="O90" s="39"/>
      <c r="P90" s="37" t="str">
        <f>IFERROR(_xll.BCOUNTPERIODS($L$62,O90,"CDR=BZ")*1,"")</f>
        <v/>
      </c>
      <c r="Q90" s="37">
        <f>_xlfn.IFS(IPCA!$O$7=DATA!$T$26,PERIODS!L28,IPCA!$O$7=DATA!$T$27,PERIODS!N28,IPCA!$O$7=DATA!$T$28,PERIODS!P28)</f>
        <v>540</v>
      </c>
      <c r="R90" s="8">
        <f>IFERROR(IF($K$61=$T$16,_xll.BInterpol(FUT!$L$7:$L$28, FUT!$K$7:$K$28, Q90, "Cubic","Skip=True"),_xll.BInterpol($P$66:$P$107, $M$66:$M$107, Q90, "Cubic","Skip=True"))*1,"")</f>
        <v>5.75</v>
      </c>
    </row>
    <row r="91" spans="2:18" x14ac:dyDescent="0.25">
      <c r="B91" s="3" t="str">
        <v>ODN28 Comdty</v>
      </c>
      <c r="C91" s="33" t="str">
        <v>54M</v>
      </c>
      <c r="D91" s="33">
        <v>10.468</v>
      </c>
      <c r="E91" s="33">
        <v>1119</v>
      </c>
      <c r="F91" s="39">
        <v>46934</v>
      </c>
      <c r="G91" s="37">
        <f>IFERROR(_xll.BCOUNTPERIODS($C$62,F91,"CDR=BZ")*1,"")</f>
        <v>1143</v>
      </c>
      <c r="H91" s="37">
        <f>_xlfn.IFS(IPCA!$O$7=DATA!$T$26,PERIODS!L29,IPCA!$O$7=DATA!$T$27,PERIODS!N29,IPCA!$O$7=DATA!$T$28,PERIODS!P29)</f>
        <v>558</v>
      </c>
      <c r="I91" s="8">
        <f>IFERROR(_xll.BInterpol($G$66:$G$107, $D$66:$D$107, H91, "Cubic","Skip=True")*1,"")</f>
        <v>10.013637418505184</v>
      </c>
      <c r="J91" s="34"/>
      <c r="K91" s="3"/>
      <c r="L91" s="33"/>
      <c r="M91" s="33"/>
      <c r="N91" s="33"/>
      <c r="O91" s="39"/>
      <c r="P91" s="37" t="str">
        <f>IFERROR(_xll.BCOUNTPERIODS($L$62,O91,"CDR=BZ")*1,"")</f>
        <v/>
      </c>
      <c r="Q91" s="37">
        <f>_xlfn.IFS(IPCA!$O$7=DATA!$T$26,PERIODS!L29,IPCA!$O$7=DATA!$T$27,PERIODS!N29,IPCA!$O$7=DATA!$T$28,PERIODS!P29)</f>
        <v>558</v>
      </c>
      <c r="R91" s="8">
        <f>IFERROR(IF($K$61=$T$16,_xll.BInterpol(FUT!$L$7:$L$28, FUT!$K$7:$K$28, Q91, "Cubic","Skip=True"),_xll.BInterpol($P$66:$P$107, $M$66:$M$107, Q91, "Cubic","Skip=True"))*1,"")</f>
        <v>5.75</v>
      </c>
    </row>
    <row r="92" spans="2:18" x14ac:dyDescent="0.25">
      <c r="B92" s="3" t="str">
        <v>ODV28 Comdty</v>
      </c>
      <c r="C92" s="33" t="str">
        <v>57M</v>
      </c>
      <c r="D92" s="33">
        <v>10.507</v>
      </c>
      <c r="E92" s="33">
        <v>1181</v>
      </c>
      <c r="F92" s="39">
        <v>47025</v>
      </c>
      <c r="G92" s="37">
        <f>IFERROR(_xll.BCOUNTPERIODS($C$62,F92,"CDR=BZ")*1,"")</f>
        <v>1207</v>
      </c>
      <c r="H92" s="37">
        <f>_xlfn.IFS(IPCA!$O$7=DATA!$T$26,PERIODS!L30,IPCA!$O$7=DATA!$T$27,PERIODS!N30,IPCA!$O$7=DATA!$T$28,PERIODS!P30)</f>
        <v>580</v>
      </c>
      <c r="I92" s="8">
        <f>IFERROR(_xll.BInterpol($G$66:$G$107, $D$66:$D$107, H92, "Cubic","Skip=True")*1,"")</f>
        <v>10.026</v>
      </c>
      <c r="J92" s="34"/>
      <c r="K92" s="3"/>
      <c r="L92" s="33"/>
      <c r="M92" s="33"/>
      <c r="N92" s="33"/>
      <c r="O92" s="39"/>
      <c r="P92" s="37" t="str">
        <f>IFERROR(_xll.BCOUNTPERIODS($L$62,O92,"CDR=BZ")*1,"")</f>
        <v/>
      </c>
      <c r="Q92" s="37">
        <f>_xlfn.IFS(IPCA!$O$7=DATA!$T$26,PERIODS!L30,IPCA!$O$7=DATA!$T$27,PERIODS!N30,IPCA!$O$7=DATA!$T$28,PERIODS!P30)</f>
        <v>580</v>
      </c>
      <c r="R92" s="8">
        <f>IFERROR(IF($K$61=$T$16,_xll.BInterpol(FUT!$L$7:$L$28, FUT!$K$7:$K$28, Q92, "Cubic","Skip=True"),_xll.BInterpol($P$66:$P$107, $M$66:$M$107, Q92, "Cubic","Skip=True"))*1,"")</f>
        <v>5.75</v>
      </c>
    </row>
    <row r="93" spans="2:18" x14ac:dyDescent="0.25">
      <c r="B93" s="3" t="str">
        <v>ODF29 Comdty</v>
      </c>
      <c r="C93" s="33" t="str">
        <v>5Y</v>
      </c>
      <c r="D93" s="33">
        <v>10.542</v>
      </c>
      <c r="E93" s="33">
        <v>1260</v>
      </c>
      <c r="F93" s="39">
        <v>47115</v>
      </c>
      <c r="G93" s="37">
        <f>IFERROR(_xll.BCOUNTPERIODS($C$62,F93,"CDR=BZ")*1,"")</f>
        <v>1266</v>
      </c>
      <c r="H93" s="37">
        <f>_xlfn.IFS(IPCA!$O$7=DATA!$T$26,PERIODS!L31,IPCA!$O$7=DATA!$T$27,PERIODS!N31,IPCA!$O$7=DATA!$T$28,PERIODS!P31)</f>
        <v>600</v>
      </c>
      <c r="I93" s="8">
        <f>IFERROR(_xll.BInterpol($G$66:$G$107, $D$66:$D$107, H93, "Cubic","Skip=True")*1,"")</f>
        <v>10.03538391529611</v>
      </c>
      <c r="J93" s="34"/>
      <c r="K93" s="3"/>
      <c r="L93" s="33"/>
      <c r="M93" s="33"/>
      <c r="N93" s="33"/>
      <c r="O93" s="39"/>
      <c r="P93" s="37" t="str">
        <f>IFERROR(_xll.BCOUNTPERIODS($L$62,O93,"CDR=BZ")*1,"")</f>
        <v/>
      </c>
      <c r="Q93" s="37">
        <f>_xlfn.IFS(IPCA!$O$7=DATA!$T$26,PERIODS!L31,IPCA!$O$7=DATA!$T$27,PERIODS!N31,IPCA!$O$7=DATA!$T$28,PERIODS!P31)</f>
        <v>600</v>
      </c>
      <c r="R93" s="8">
        <f>IFERROR(IF($K$61=$T$16,_xll.BInterpol(FUT!$L$7:$L$28, FUT!$K$7:$K$28, Q93, "Cubic","Skip=True"),_xll.BInterpol($P$66:$P$107, $M$66:$M$107, Q93, "Cubic","Skip=True"))*1,"")</f>
        <v>5.75</v>
      </c>
    </row>
    <row r="94" spans="2:18" x14ac:dyDescent="0.25">
      <c r="B94" s="3" t="str">
        <v>ODF30 Comdty</v>
      </c>
      <c r="C94" s="33" t="str">
        <v>6Y</v>
      </c>
      <c r="D94" s="33">
        <v>10.676</v>
      </c>
      <c r="E94" s="33">
        <v>1512</v>
      </c>
      <c r="F94" s="39">
        <v>47480</v>
      </c>
      <c r="G94" s="37">
        <f>IFERROR(_xll.BCOUNTPERIODS($C$62,F94,"CDR=BZ")*1,"")</f>
        <v>1515</v>
      </c>
      <c r="H94" s="37">
        <f>_xlfn.IFS(IPCA!$O$7=DATA!$T$26,PERIODS!L32,IPCA!$O$7=DATA!$T$27,PERIODS!N32,IPCA!$O$7=DATA!$T$28,PERIODS!P32)</f>
        <v>620</v>
      </c>
      <c r="I94" s="8">
        <f>IFERROR(_xll.BInterpol($G$66:$G$107, $D$66:$D$107, H94, "Cubic","Skip=True")*1,"")</f>
        <v>10.043948095243779</v>
      </c>
      <c r="J94" s="34"/>
      <c r="K94" s="3"/>
      <c r="L94" s="33"/>
      <c r="M94" s="33"/>
      <c r="N94" s="33"/>
      <c r="O94" s="39"/>
      <c r="P94" s="37" t="str">
        <f>IFERROR(_xll.BCOUNTPERIODS($L$62,O94,"CDR=BZ")*1,"")</f>
        <v/>
      </c>
      <c r="Q94" s="37">
        <f>_xlfn.IFS(IPCA!$O$7=DATA!$T$26,PERIODS!L32,IPCA!$O$7=DATA!$T$27,PERIODS!N32,IPCA!$O$7=DATA!$T$28,PERIODS!P32)</f>
        <v>620</v>
      </c>
      <c r="R94" s="8">
        <f>IFERROR(IF($K$61=$T$16,_xll.BInterpol(FUT!$L$7:$L$28, FUT!$K$7:$K$28, Q94, "Cubic","Skip=True"),_xll.BInterpol($P$66:$P$107, $M$66:$M$107, Q94, "Cubic","Skip=True"))*1,"")</f>
        <v>5.75</v>
      </c>
    </row>
    <row r="95" spans="2:18" x14ac:dyDescent="0.25">
      <c r="B95" s="3" t="str">
        <v>ODF31 Comdty</v>
      </c>
      <c r="C95" s="33" t="str">
        <v>7Y</v>
      </c>
      <c r="D95" s="33">
        <v>10.78</v>
      </c>
      <c r="E95" s="33">
        <v>1764</v>
      </c>
      <c r="F95" s="39">
        <v>47847</v>
      </c>
      <c r="G95" s="37">
        <f>IFERROR(_xll.BCOUNTPERIODS($C$62,F95,"CDR=BZ")*1,"")</f>
        <v>1767</v>
      </c>
      <c r="H95" s="37">
        <f>_xlfn.IFS(IPCA!$O$7=DATA!$T$26,PERIODS!L33,IPCA!$O$7=DATA!$T$27,PERIODS!N33,IPCA!$O$7=DATA!$T$28,PERIODS!P33)</f>
        <v>641</v>
      </c>
      <c r="I95" s="8">
        <f>IFERROR(_xll.BInterpol($G$66:$G$107, $D$66:$D$107, H95, "Cubic","Skip=True")*1,"")</f>
        <v>10.055</v>
      </c>
      <c r="J95" s="34"/>
      <c r="K95" s="3"/>
      <c r="L95" s="33"/>
      <c r="M95" s="33"/>
      <c r="N95" s="33"/>
      <c r="O95" s="39"/>
      <c r="P95" s="37" t="str">
        <f>IFERROR(_xll.BCOUNTPERIODS($L$62,O95,"CDR=BZ")*1,"")</f>
        <v/>
      </c>
      <c r="Q95" s="37">
        <f>_xlfn.IFS(IPCA!$O$7=DATA!$T$26,PERIODS!L33,IPCA!$O$7=DATA!$T$27,PERIODS!N33,IPCA!$O$7=DATA!$T$28,PERIODS!P33)</f>
        <v>641</v>
      </c>
      <c r="R95" s="8">
        <f>IFERROR(IF($K$61=$T$16,_xll.BInterpol(FUT!$L$7:$L$28, FUT!$K$7:$K$28, Q95, "Cubic","Skip=True"),_xll.BInterpol($P$66:$P$107, $M$66:$M$107, Q95, "Cubic","Skip=True"))*1,"")</f>
        <v>5.75</v>
      </c>
    </row>
    <row r="96" spans="2:18" x14ac:dyDescent="0.25">
      <c r="B96" s="3" t="str">
        <v>ODF32 Comdty</v>
      </c>
      <c r="C96" s="33" t="str">
        <v>8Y</v>
      </c>
      <c r="D96" s="33">
        <v>10.821999999999999</v>
      </c>
      <c r="E96" s="33">
        <v>2016</v>
      </c>
      <c r="F96" s="39">
        <v>48212</v>
      </c>
      <c r="G96" s="37">
        <f>IFERROR(_xll.BCOUNTPERIODS($C$62,F96,"CDR=BZ")*1,"")</f>
        <v>2019</v>
      </c>
      <c r="H96" s="37">
        <f>_xlfn.IFS(IPCA!$O$7=DATA!$T$26,PERIODS!L34,IPCA!$O$7=DATA!$T$27,PERIODS!N34,IPCA!$O$7=DATA!$T$28,PERIODS!P34)</f>
        <v>664</v>
      </c>
      <c r="I96" s="8">
        <f>IFERROR(_xll.BInterpol($G$66:$G$107, $D$66:$D$107, H96, "Cubic","Skip=True")*1,"")</f>
        <v>10.071435303209597</v>
      </c>
      <c r="J96" s="34"/>
      <c r="K96" s="3"/>
      <c r="L96" s="33"/>
      <c r="M96" s="33"/>
      <c r="N96" s="33"/>
      <c r="O96" s="39"/>
      <c r="P96" s="37" t="str">
        <f>IFERROR(_xll.BCOUNTPERIODS($L$62,O96,"CDR=BZ")*1,"")</f>
        <v/>
      </c>
      <c r="Q96" s="37">
        <f>_xlfn.IFS(IPCA!$O$7=DATA!$T$26,PERIODS!L34,IPCA!$O$7=DATA!$T$27,PERIODS!N34,IPCA!$O$7=DATA!$T$28,PERIODS!P34)</f>
        <v>664</v>
      </c>
      <c r="R96" s="8">
        <f>IFERROR(IF($K$61=$T$16,_xll.BInterpol(FUT!$L$7:$L$28, FUT!$K$7:$K$28, Q96, "Cubic","Skip=True"),_xll.BInterpol($P$66:$P$107, $M$66:$M$107, Q96, "Cubic","Skip=True"))*1,"")</f>
        <v>5.75</v>
      </c>
    </row>
    <row r="97" spans="2:18" x14ac:dyDescent="0.25">
      <c r="B97" s="3" t="str">
        <v>ODF33 Comdty</v>
      </c>
      <c r="C97" s="33" t="str">
        <v>9Y</v>
      </c>
      <c r="D97" s="33">
        <v>10.9</v>
      </c>
      <c r="E97" s="33">
        <v>2268</v>
      </c>
      <c r="F97" s="39">
        <v>48578</v>
      </c>
      <c r="G97" s="37">
        <f>IFERROR(_xll.BCOUNTPERIODS($C$62,F97,"CDR=BZ")*1,"")</f>
        <v>2271</v>
      </c>
      <c r="H97" s="37">
        <f>_xlfn.IFS(IPCA!$O$7=DATA!$T$26,PERIODS!L35,IPCA!$O$7=DATA!$T$27,PERIODS!N35,IPCA!$O$7=DATA!$T$28,PERIODS!P35)</f>
        <v>685</v>
      </c>
      <c r="I97" s="8">
        <f>IFERROR(_xll.BInterpol($G$66:$G$107, $D$66:$D$107, H97, "Cubic","Skip=True")*1,"")</f>
        <v>10.086588502276863</v>
      </c>
      <c r="J97" s="34"/>
      <c r="K97" s="3"/>
      <c r="L97" s="33"/>
      <c r="M97" s="33"/>
      <c r="N97" s="33"/>
      <c r="O97" s="39"/>
      <c r="P97" s="37" t="str">
        <f>IFERROR(_xll.BCOUNTPERIODS($L$62,O97,"CDR=BZ")*1,"")</f>
        <v/>
      </c>
      <c r="Q97" s="37">
        <f>_xlfn.IFS(IPCA!$O$7=DATA!$T$26,PERIODS!L35,IPCA!$O$7=DATA!$T$27,PERIODS!N35,IPCA!$O$7=DATA!$T$28,PERIODS!P35)</f>
        <v>685</v>
      </c>
      <c r="R97" s="8">
        <f>IFERROR(IF($K$61=$T$16,_xll.BInterpol(FUT!$L$7:$L$28, FUT!$K$7:$K$28, Q97, "Cubic","Skip=True"),_xll.BInterpol($P$66:$P$107, $M$66:$M$107, Q97, "Cubic","Skip=True"))*1,"")</f>
        <v>5.75</v>
      </c>
    </row>
    <row r="98" spans="2:18" x14ac:dyDescent="0.25">
      <c r="B98" s="3" t="str">
        <v>ODF34 Comdty</v>
      </c>
      <c r="C98" s="33" t="str">
        <v>10Y</v>
      </c>
      <c r="D98" s="33">
        <v>10.907999999999999</v>
      </c>
      <c r="E98" s="33">
        <v>2520</v>
      </c>
      <c r="F98" s="39">
        <v>48942</v>
      </c>
      <c r="G98" s="37">
        <f>IFERROR(_xll.BCOUNTPERIODS($C$62,F98,"CDR=BZ")*1,"")</f>
        <v>2522</v>
      </c>
      <c r="H98" s="37">
        <f>_xlfn.IFS(IPCA!$O$7=DATA!$T$26,PERIODS!L36,IPCA!$O$7=DATA!$T$27,PERIODS!N36,IPCA!$O$7=DATA!$T$28,PERIODS!P36)</f>
        <v>706</v>
      </c>
      <c r="I98" s="8">
        <f>IFERROR(_xll.BInterpol($G$66:$G$107, $D$66:$D$107, H98, "Cubic","Skip=True")*1,"")</f>
        <v>10.097</v>
      </c>
      <c r="J98" s="34"/>
      <c r="K98" s="3"/>
      <c r="L98" s="33"/>
      <c r="M98" s="33"/>
      <c r="N98" s="33"/>
      <c r="O98" s="39"/>
      <c r="P98" s="37" t="str">
        <f>IFERROR(_xll.BCOUNTPERIODS($L$62,O98,"CDR=BZ")*1,"")</f>
        <v/>
      </c>
      <c r="Q98" s="37">
        <f>_xlfn.IFS(IPCA!$O$7=DATA!$T$26,PERIODS!L36,IPCA!$O$7=DATA!$T$27,PERIODS!N36,IPCA!$O$7=DATA!$T$28,PERIODS!P36)</f>
        <v>706</v>
      </c>
      <c r="R98" s="8">
        <f>IFERROR(IF($K$61=$T$16,_xll.BInterpol(FUT!$L$7:$L$28, FUT!$K$7:$K$28, Q98, "Cubic","Skip=True"),_xll.BInterpol($P$66:$P$107, $M$66:$M$107, Q98, "Cubic","Skip=True"))*1,"")</f>
        <v>5.75</v>
      </c>
    </row>
    <row r="99" spans="2:18" x14ac:dyDescent="0.25">
      <c r="B99" s="3" t="str">
        <v>ODF35 Comdty</v>
      </c>
      <c r="C99" s="33" t="str">
        <v>11Y</v>
      </c>
      <c r="D99" s="33">
        <v>10.941000000000001</v>
      </c>
      <c r="E99" s="33">
        <v>2772</v>
      </c>
      <c r="F99" s="39">
        <v>49306</v>
      </c>
      <c r="G99" s="37">
        <f>IFERROR(_xll.BCOUNTPERIODS($C$62,F99,"CDR=BZ")*1,"")</f>
        <v>2770</v>
      </c>
      <c r="H99" s="37">
        <f>_xlfn.IFS(IPCA!$O$7=DATA!$T$26,PERIODS!L37,IPCA!$O$7=DATA!$T$27,PERIODS!N37,IPCA!$O$7=DATA!$T$28,PERIODS!P37)</f>
        <v>727</v>
      </c>
      <c r="I99" s="8">
        <f>IFERROR(_xll.BInterpol($G$66:$G$107, $D$66:$D$107, H99, "Cubic","Skip=True")*1,"")</f>
        <v>10.100080873742122</v>
      </c>
      <c r="J99" s="34"/>
      <c r="K99" s="3"/>
      <c r="L99" s="33"/>
      <c r="M99" s="33"/>
      <c r="N99" s="33"/>
      <c r="O99" s="39"/>
      <c r="P99" s="37" t="str">
        <f>IFERROR(_xll.BCOUNTPERIODS($L$62,O99,"CDR=BZ")*1,"")</f>
        <v/>
      </c>
      <c r="Q99" s="37">
        <f>_xlfn.IFS(IPCA!$O$7=DATA!$T$26,PERIODS!L37,IPCA!$O$7=DATA!$T$27,PERIODS!N37,IPCA!$O$7=DATA!$T$28,PERIODS!P37)</f>
        <v>727</v>
      </c>
      <c r="R99" s="8">
        <f>IFERROR(IF($K$61=$T$16,_xll.BInterpol(FUT!$L$7:$L$28, FUT!$K$7:$K$28, Q99, "Cubic","Skip=True"),_xll.BInterpol($P$66:$P$107, $M$66:$M$107, Q99, "Cubic","Skip=True"))*1,"")</f>
        <v>5.75</v>
      </c>
    </row>
    <row r="100" spans="2:18" x14ac:dyDescent="0.25">
      <c r="B100" s="3" t="str">
        <v>ODF36 Comdty</v>
      </c>
      <c r="C100" s="33" t="str">
        <v>12Y</v>
      </c>
      <c r="D100" s="33">
        <v>10.907</v>
      </c>
      <c r="E100" s="33">
        <v>3024</v>
      </c>
      <c r="F100" s="39">
        <v>49671</v>
      </c>
      <c r="G100" s="37">
        <f>IFERROR(_xll.BCOUNTPERIODS($C$62,F100,"CDR=BZ")*1,"")</f>
        <v>3019</v>
      </c>
      <c r="H100" s="37">
        <f>_xlfn.IFS(IPCA!$O$7=DATA!$T$26,PERIODS!L38,IPCA!$O$7=DATA!$T$27,PERIODS!N38,IPCA!$O$7=DATA!$T$28,PERIODS!P38)</f>
        <v>746</v>
      </c>
      <c r="I100" s="8">
        <f>IFERROR(_xll.BInterpol($G$66:$G$107, $D$66:$D$107, H100, "Cubic","Skip=True")*1,"")</f>
        <v>10.101484659023177</v>
      </c>
      <c r="J100" s="34"/>
      <c r="K100" s="3"/>
      <c r="L100" s="33"/>
      <c r="M100" s="33"/>
      <c r="N100" s="33"/>
      <c r="O100" s="39"/>
      <c r="P100" s="37" t="str">
        <f>IFERROR(_xll.BCOUNTPERIODS($L$62,O100,"CDR=BZ")*1,"")</f>
        <v/>
      </c>
      <c r="Q100" s="37">
        <f>_xlfn.IFS(IPCA!$O$7=DATA!$T$26,PERIODS!L38,IPCA!$O$7=DATA!$T$27,PERIODS!N38,IPCA!$O$7=DATA!$T$28,PERIODS!P38)</f>
        <v>746</v>
      </c>
      <c r="R100" s="8">
        <f>IFERROR(IF($K$61=$T$16,_xll.BInterpol(FUT!$L$7:$L$28, FUT!$K$7:$K$28, Q100, "Cubic","Skip=True"),_xll.BInterpol($P$66:$P$107, $M$66:$M$107, Q100, "Cubic","Skip=True"))*1,"")</f>
        <v>5.75</v>
      </c>
    </row>
    <row r="101" spans="2:18" x14ac:dyDescent="0.25">
      <c r="B101" s="3" t="str">
        <v>ODF37 Comdty</v>
      </c>
      <c r="C101" s="33" t="str">
        <v>13Y</v>
      </c>
      <c r="D101" s="33">
        <v>10.926</v>
      </c>
      <c r="E101" s="33">
        <v>3276</v>
      </c>
      <c r="F101" s="39">
        <v>50039</v>
      </c>
      <c r="G101" s="37">
        <f>IFERROR(_xll.BCOUNTPERIODS($C$62,F101,"CDR=BZ")*1,"")</f>
        <v>3272</v>
      </c>
      <c r="H101" s="37">
        <f>_xlfn.IFS(IPCA!$O$7=DATA!$T$26,PERIODS!L39,IPCA!$O$7=DATA!$T$27,PERIODS!N39,IPCA!$O$7=DATA!$T$28,PERIODS!P39)</f>
        <v>768</v>
      </c>
      <c r="I101" s="8">
        <f>IFERROR(_xll.BInterpol($G$66:$G$107, $D$66:$D$107, H101, "Cubic","Skip=True")*1,"")</f>
        <v>10.109645711419319</v>
      </c>
      <c r="J101" s="34"/>
      <c r="K101" s="3"/>
      <c r="L101" s="33"/>
      <c r="M101" s="33"/>
      <c r="N101" s="33"/>
      <c r="O101" s="39"/>
      <c r="P101" s="37" t="str">
        <f>IFERROR(_xll.BCOUNTPERIODS($L$62,O101,"CDR=BZ")*1,"")</f>
        <v/>
      </c>
      <c r="Q101" s="37">
        <f>_xlfn.IFS(IPCA!$O$7=DATA!$T$26,PERIODS!L39,IPCA!$O$7=DATA!$T$27,PERIODS!N39,IPCA!$O$7=DATA!$T$28,PERIODS!P39)</f>
        <v>768</v>
      </c>
      <c r="R101" s="8">
        <f>IFERROR(IF($K$61=$T$16,_xll.BInterpol(FUT!$L$7:$L$28, FUT!$K$7:$K$28, Q101, "Cubic","Skip=True"),_xll.BInterpol($P$66:$P$107, $M$66:$M$107, Q101, "Cubic","Skip=True"))*1,"")</f>
        <v>5.75</v>
      </c>
    </row>
    <row r="102" spans="2:18" x14ac:dyDescent="0.25">
      <c r="B102" s="3" t="str">
        <v>ODF38 Comdty</v>
      </c>
      <c r="C102" s="33" t="str">
        <v>14Y</v>
      </c>
      <c r="D102" s="33">
        <v>10.926</v>
      </c>
      <c r="E102" s="33">
        <v>3528</v>
      </c>
      <c r="F102" s="39">
        <v>50404</v>
      </c>
      <c r="G102" s="37">
        <f>IFERROR(_xll.BCOUNTPERIODS($C$62,F102,"CDR=BZ")*1,"")</f>
        <v>3521</v>
      </c>
      <c r="H102" s="37">
        <f>_xlfn.IFS(IPCA!$O$7=DATA!$T$26,PERIODS!L40,IPCA!$O$7=DATA!$T$27,PERIODS!N40,IPCA!$O$7=DATA!$T$28,PERIODS!P40)</f>
        <v>788</v>
      </c>
      <c r="I102" s="8">
        <f>IFERROR(_xll.BInterpol($G$66:$G$107, $D$66:$D$107, H102, "Cubic","Skip=True")*1,"")</f>
        <v>10.128228793321476</v>
      </c>
      <c r="J102" s="34"/>
      <c r="K102" s="3"/>
      <c r="L102" s="33"/>
      <c r="M102" s="33"/>
      <c r="N102" s="33"/>
      <c r="O102" s="39"/>
      <c r="P102" s="37" t="str">
        <f>IFERROR(_xll.BCOUNTPERIODS($L$62,O102,"CDR=BZ")*1,"")</f>
        <v/>
      </c>
      <c r="Q102" s="37">
        <f>_xlfn.IFS(IPCA!$O$7=DATA!$T$26,PERIODS!L40,IPCA!$O$7=DATA!$T$27,PERIODS!N40,IPCA!$O$7=DATA!$T$28,PERIODS!P40)</f>
        <v>788</v>
      </c>
      <c r="R102" s="8">
        <f>IFERROR(IF($K$61=$T$16,_xll.BInterpol(FUT!$L$7:$L$28, FUT!$K$7:$K$28, Q102, "Cubic","Skip=True"),_xll.BInterpol($P$66:$P$107, $M$66:$M$107, Q102, "Cubic","Skip=True"))*1,"")</f>
        <v>5.75</v>
      </c>
    </row>
    <row r="103" spans="2:18" x14ac:dyDescent="0.25">
      <c r="B103" s="3"/>
      <c r="C103" s="33"/>
      <c r="D103" s="37"/>
      <c r="E103" s="37"/>
      <c r="F103" s="39"/>
      <c r="G103" s="37" t="str">
        <f>IFERROR(_xll.BCOUNTPERIODS($C$62,F103,"CDR=BZ")*1,"")</f>
        <v/>
      </c>
      <c r="H103" s="37">
        <f>_xlfn.IFS(IPCA!$O$7=DATA!$T$26,PERIODS!L41,IPCA!$O$7=DATA!$T$27,PERIODS!N41,IPCA!$O$7=DATA!$T$28,PERIODS!P41)</f>
        <v>806</v>
      </c>
      <c r="I103" s="8">
        <f>IFERROR(_xll.BInterpol($G$66:$G$107, $D$66:$D$107, H103, "Cubic","Skip=True")*1,"")</f>
        <v>10.151126632191703</v>
      </c>
      <c r="J103" s="34"/>
      <c r="K103" s="3"/>
      <c r="L103" s="33"/>
      <c r="M103" s="37"/>
      <c r="N103" s="37"/>
      <c r="O103" s="37"/>
      <c r="P103" s="37" t="str">
        <f>IFERROR(_xll.BCOUNTPERIODS($L$62,O103,"CDR=BZ")*1,"")</f>
        <v/>
      </c>
      <c r="Q103" s="37">
        <f>_xlfn.IFS(IPCA!$O$7=DATA!$T$26,PERIODS!L41,IPCA!$O$7=DATA!$T$27,PERIODS!N41,IPCA!$O$7=DATA!$T$28,PERIODS!P41)</f>
        <v>806</v>
      </c>
      <c r="R103" s="8">
        <f>IFERROR(IF($K$61=$T$16,_xll.BInterpol(FUT!$L$7:$L$28, FUT!$K$7:$K$28, Q103, "Cubic","Skip=True"),_xll.BInterpol($P$66:$P$107, $M$66:$M$107, Q103, "Cubic","Skip=True"))*1,"")</f>
        <v>5.75</v>
      </c>
    </row>
    <row r="104" spans="2:18" x14ac:dyDescent="0.25">
      <c r="B104" s="3"/>
      <c r="C104" s="33"/>
      <c r="D104" s="37"/>
      <c r="E104" s="37"/>
      <c r="F104" s="39"/>
      <c r="G104" s="37" t="str">
        <f>IFERROR(_xll.BCOUNTPERIODS($C$62,F104,"CDR=BZ")*1,"")</f>
        <v/>
      </c>
      <c r="H104" s="37">
        <f>_xlfn.IFS(IPCA!$O$7=DATA!$T$26,PERIODS!L42,IPCA!$O$7=DATA!$T$27,PERIODS!N42,IPCA!$O$7=DATA!$T$28,PERIODS!P42)</f>
        <v>828</v>
      </c>
      <c r="I104" s="8">
        <f>IFERROR(_xll.BInterpol($G$66:$G$107, $D$66:$D$107, H104, "Cubic","Skip=True")*1,"")</f>
        <v>10.180999999999999</v>
      </c>
      <c r="J104" s="34"/>
      <c r="K104" s="3"/>
      <c r="L104" s="33"/>
      <c r="M104" s="37"/>
      <c r="N104" s="37"/>
      <c r="O104" s="37"/>
      <c r="P104" s="37" t="str">
        <f>IFERROR(_xll.BCOUNTPERIODS($L$62,O104,"CDR=BZ")*1,"")</f>
        <v/>
      </c>
      <c r="Q104" s="37">
        <f>_xlfn.IFS(IPCA!$O$7=DATA!$T$26,PERIODS!L42,IPCA!$O$7=DATA!$T$27,PERIODS!N42,IPCA!$O$7=DATA!$T$28,PERIODS!P42)</f>
        <v>828</v>
      </c>
      <c r="R104" s="8">
        <f>IFERROR(IF($K$61=$T$16,_xll.BInterpol(FUT!$L$7:$L$28, FUT!$K$7:$K$28, Q104, "Cubic","Skip=True"),_xll.BInterpol($P$66:$P$107, $M$66:$M$107, Q104, "Cubic","Skip=True"))*1,"")</f>
        <v>5.75</v>
      </c>
    </row>
    <row r="105" spans="2:18" x14ac:dyDescent="0.25">
      <c r="B105" s="3"/>
      <c r="C105" s="33"/>
      <c r="D105" s="37"/>
      <c r="E105" s="37"/>
      <c r="F105" s="37"/>
      <c r="G105" s="37" t="str">
        <f>IFERROR(_xll.BCOUNTPERIODS($C$62,F105,"CDR=BZ")*1,"")</f>
        <v/>
      </c>
      <c r="H105" s="37">
        <f>_xlfn.IFS(IPCA!$O$7=DATA!$T$26,PERIODS!L43,IPCA!$O$7=DATA!$T$27,PERIODS!N43,IPCA!$O$7=DATA!$T$28,PERIODS!P43)</f>
        <v>849</v>
      </c>
      <c r="I105" s="8">
        <f>IFERROR(_xll.BInterpol($G$66:$G$107, $D$66:$D$107, H105, "Cubic","Skip=True")*1,"")</f>
        <v>10.206439760855174</v>
      </c>
      <c r="J105" s="34"/>
      <c r="K105" s="3"/>
      <c r="L105" s="33"/>
      <c r="M105" s="37"/>
      <c r="N105" s="37"/>
      <c r="O105" s="37"/>
      <c r="P105" s="37" t="str">
        <f>IFERROR(_xll.BCOUNTPERIODS($L$62,O105,"CDR=BZ")*1,"")</f>
        <v/>
      </c>
      <c r="Q105" s="37">
        <f>_xlfn.IFS(IPCA!$O$7=DATA!$T$26,PERIODS!L43,IPCA!$O$7=DATA!$T$27,PERIODS!N43,IPCA!$O$7=DATA!$T$28,PERIODS!P43)</f>
        <v>849</v>
      </c>
      <c r="R105" s="8">
        <f>IFERROR(IF($K$61=$T$16,_xll.BInterpol(FUT!$L$7:$L$28, FUT!$K$7:$K$28, Q105, "Cubic","Skip=True"),_xll.BInterpol($P$66:$P$107, $M$66:$M$107, Q105, "Cubic","Skip=True"))*1,"")</f>
        <v>5.75</v>
      </c>
    </row>
    <row r="106" spans="2:18" x14ac:dyDescent="0.25">
      <c r="B106" s="3"/>
      <c r="C106" s="33"/>
      <c r="D106" s="37"/>
      <c r="E106" s="37"/>
      <c r="F106" s="37"/>
      <c r="G106" s="37" t="str">
        <f>IFERROR(_xll.BCOUNTPERIODS($C$62,F106,"CDR=BZ")*1,"")</f>
        <v/>
      </c>
      <c r="H106" s="37">
        <f>_xlfn.IFS(IPCA!$O$7=DATA!$T$26,PERIODS!L44,IPCA!$O$7=DATA!$T$27,PERIODS!N44,IPCA!$O$7=DATA!$T$28,PERIODS!P44)</f>
        <v>1019</v>
      </c>
      <c r="I106" s="8">
        <f>IFERROR(_xll.BInterpol($G$66:$G$107, $D$66:$D$107, H106, "Cubic","Skip=True")*1,"")</f>
        <v>10.368862537639943</v>
      </c>
      <c r="J106" s="34"/>
      <c r="K106" s="3"/>
      <c r="L106" s="33"/>
      <c r="M106" s="37"/>
      <c r="N106" s="37"/>
      <c r="O106" s="37"/>
      <c r="P106" s="37" t="str">
        <f>IFERROR(_xll.BCOUNTPERIODS($L$62,O106,"CDR=BZ")*1,"")</f>
        <v/>
      </c>
      <c r="Q106" s="37">
        <f>_xlfn.IFS(IPCA!$O$7=DATA!$T$26,PERIODS!L44,IPCA!$O$7=DATA!$T$27,PERIODS!N44,IPCA!$O$7=DATA!$T$28,PERIODS!P44)</f>
        <v>1019</v>
      </c>
      <c r="R106" s="8">
        <f>IFERROR(IF($K$61=$T$16,_xll.BInterpol(FUT!$L$7:$L$28, FUT!$K$7:$K$28, Q106, "Cubic","Skip=True"),_xll.BInterpol($P$66:$P$107, $M$66:$M$107, Q106, "Cubic","Skip=True"))*1,"")</f>
        <v>5.75</v>
      </c>
    </row>
    <row r="107" spans="2:18" ht="15.75" thickBot="1" x14ac:dyDescent="0.3">
      <c r="B107" s="18"/>
      <c r="C107" s="9"/>
      <c r="D107" s="9"/>
      <c r="E107" s="9"/>
      <c r="F107" s="9"/>
      <c r="G107" s="9" t="str">
        <f>IFERROR(_xll.BCOUNTPERIODS($C$62,F107,"CDR=BZ")*1,"")</f>
        <v/>
      </c>
      <c r="H107" s="37">
        <f>_xlfn.IFS(IPCA!$O$7=DATA!$T$26,PERIODS!L45,IPCA!$O$7=DATA!$T$27,PERIODS!N45,IPCA!$O$7=DATA!$T$28,PERIODS!P45)</f>
        <v>1267</v>
      </c>
      <c r="I107" s="10">
        <f>IFERROR(_xll.BInterpol($G$66:$G$107, $D$66:$D$107, H107, "Cubic","Skip=True")*1,"")</f>
        <v>10.54258820068328</v>
      </c>
      <c r="J107" s="34"/>
      <c r="K107" s="18"/>
      <c r="L107" s="9"/>
      <c r="M107" s="9"/>
      <c r="N107" s="9"/>
      <c r="O107" s="9"/>
      <c r="P107" s="9" t="str">
        <f>IFERROR(_xll.BCOUNTPERIODS($L$62,O107,"CDR=BZ")*1,"")</f>
        <v/>
      </c>
      <c r="Q107" s="37">
        <f>_xlfn.IFS(IPCA!$O$7=DATA!$T$26,PERIODS!L45,IPCA!$O$7=DATA!$T$27,PERIODS!N45,IPCA!$O$7=DATA!$T$28,PERIODS!P45)</f>
        <v>1267</v>
      </c>
      <c r="R107" s="8">
        <f>IFERROR(IF($K$61=$T$16,_xll.BInterpol(FUT!$L$7:$L$28, FUT!$K$7:$K$28, Q107, "Cubic","Skip=True"),_xll.BInterpol($P$66:$P$107, $M$66:$M$107, Q107, "Cubic","Skip=True"))*1,"")</f>
        <v>5.75</v>
      </c>
    </row>
    <row r="120" spans="2:18" ht="15.75" thickBot="1" x14ac:dyDescent="0.3"/>
    <row r="121" spans="2:18" x14ac:dyDescent="0.25">
      <c r="B121" s="40" t="str">
        <f>IPCA!$G$7</f>
        <v>YCSW0089 Index</v>
      </c>
      <c r="C121" s="2"/>
      <c r="D121" s="2"/>
      <c r="E121" s="2"/>
      <c r="F121" s="2"/>
      <c r="G121" s="2"/>
      <c r="H121" s="2"/>
      <c r="I121" s="35"/>
      <c r="K121" s="44" t="str">
        <f>IPCA!$G$9</f>
        <v>WLA Index</v>
      </c>
      <c r="L121" s="2"/>
      <c r="M121" s="2"/>
      <c r="N121" s="2"/>
      <c r="O121" s="2"/>
      <c r="P121" s="2"/>
      <c r="Q121" s="2"/>
      <c r="R121" s="35"/>
    </row>
    <row r="122" spans="2:18" x14ac:dyDescent="0.25">
      <c r="B122" s="41" t="s">
        <v>23</v>
      </c>
      <c r="C122" s="103">
        <f>$U$5</f>
        <v>45084</v>
      </c>
      <c r="I122" s="4"/>
      <c r="K122" s="41" t="s">
        <v>23</v>
      </c>
      <c r="L122" s="103">
        <f>$U$5</f>
        <v>45084</v>
      </c>
      <c r="R122" s="4"/>
    </row>
    <row r="123" spans="2:18" x14ac:dyDescent="0.25">
      <c r="B123" s="19" t="str">
        <f>"get(ID().tenor as #tenor, curve_rate(side=Ask).value as #yield,Ceil(id().year_fraction*252) as #Point,MATURITY().value as #Maturity) for(curveMembers(['"&amp;B121&amp;"'])) with(dates="&amp;_xll.BQL.DATE(C122)&amp;")"</f>
        <v>get(ID().tenor as #tenor, curve_rate(side=Ask).value as #yield,Ceil(id().year_fraction*252) as #Point,MATURITY().value as #Maturity) for(curveMembers(['YCSW0089 Index'])) with(dates=2023-06-07)</v>
      </c>
      <c r="I123" s="4"/>
      <c r="K123" s="6"/>
      <c r="R123" s="4"/>
    </row>
    <row r="124" spans="2:18" x14ac:dyDescent="0.25">
      <c r="B124" s="19" t="str">
        <f>"get(ID().tenor as #tenor, curve_rate(side=Ask).value as #yield,Ceil(id().year_fraction*252) as #Point,FUT_LAST_TRADE_DT AS #maturity) for(filter(curveMembers(['"&amp;B121&amp;"']),grouprank(FUT_LAST_TRADE_DT,order=asc)&lt;=60)) with(dates="&amp;_xll.BQL.DATE(C122)&amp;")"</f>
        <v>get(ID().tenor as #tenor, curve_rate(side=Ask).value as #yield,Ceil(id().year_fraction*252) as #Point,FUT_LAST_TRADE_DT AS #maturity) for(filter(curveMembers(['YCSW0089 Index']),grouprank(FUT_LAST_TRADE_DT,order=asc)&lt;=60)) with(dates=2023-06-07)</v>
      </c>
      <c r="C124" s="36"/>
      <c r="D124" s="36"/>
      <c r="E124" s="36"/>
      <c r="F124" s="36"/>
      <c r="G124" s="36"/>
      <c r="H124" s="36"/>
      <c r="I124" s="42"/>
      <c r="J124" s="36"/>
      <c r="K124" s="19" t="str">
        <f>"get(ID().tenor as #tenor, curve_rate(side=Ask).value as #yield,Ceil(id().year_fraction*252) as #Point,MATURITY().value as #Maturity) for(curveMembers(['"&amp;K121&amp;"'])) with(dates="&amp;_xll.BQL.DATE(L122)&amp;")"</f>
        <v>get(ID().tenor as #tenor, curve_rate(side=Ask).value as #yield,Ceil(id().year_fraction*252) as #Point,MATURITY().value as #Maturity) for(curveMembers(['WLA Index'])) with(dates=2023-06-07)</v>
      </c>
      <c r="L124" s="36"/>
      <c r="M124" s="36"/>
      <c r="N124" s="36"/>
      <c r="O124" s="36"/>
      <c r="P124" s="36"/>
      <c r="Q124" s="36"/>
      <c r="R124" s="4"/>
    </row>
    <row r="125" spans="2:18" x14ac:dyDescent="0.25">
      <c r="B125" s="3" t="str" cm="1">
        <f t="array" ref="B125:F162">_xll.BQL.QUERY(_xlfn.IFS(B121=$T$9,B124,B121=$T$10,B123))</f>
        <v>ID</v>
      </c>
      <c r="C125" s="33" t="str">
        <v>#tenor.TENOR</v>
      </c>
      <c r="D125" s="5" t="str">
        <v>#yield</v>
      </c>
      <c r="E125" s="5" t="str">
        <v>#Point</v>
      </c>
      <c r="F125" s="5" t="str">
        <v>#maturity</v>
      </c>
      <c r="G125" s="5" t="s">
        <v>24</v>
      </c>
      <c r="H125" s="5" t="s">
        <v>62</v>
      </c>
      <c r="I125" s="43" t="s">
        <v>61</v>
      </c>
      <c r="J125" s="5"/>
      <c r="K125" s="3" t="str" cm="1">
        <f t="array" ref="K125">_xll.BQL.QUERY(K124)</f>
        <v>#N/A Invalid Security: Unable to evaluate universe. Either the identifier is invalid or you do not have access to the data. Check inputs and try again.</v>
      </c>
      <c r="L125" s="33"/>
      <c r="M125" s="5"/>
      <c r="N125" s="5"/>
      <c r="O125" s="5"/>
      <c r="P125" s="5" t="s">
        <v>24</v>
      </c>
      <c r="Q125" s="5" t="s">
        <v>62</v>
      </c>
      <c r="R125" s="4" t="s">
        <v>61</v>
      </c>
    </row>
    <row r="126" spans="2:18" x14ac:dyDescent="0.25">
      <c r="B126" s="3" t="str">
        <v>ODN23 Comdty</v>
      </c>
      <c r="C126" s="33" t="str">
        <v>3W</v>
      </c>
      <c r="D126" s="33">
        <v>13.641999999999999</v>
      </c>
      <c r="E126" s="33">
        <v>15</v>
      </c>
      <c r="F126" s="39">
        <v>45107</v>
      </c>
      <c r="G126" s="37">
        <f>IFERROR(_xll.BCOUNTPERIODS($C$122,F126,"CDR=BZ")*1,"")</f>
        <v>16</v>
      </c>
      <c r="H126" s="37">
        <f>_xlfn.IFS(IPCA!$O$7=DATA!$T$26,PERIODS!U4,IPCA!$O$7=DATA!$T$27,PERIODS!W4,IPCA!$O$7=DATA!$T$28,PERIODS!Y4)</f>
        <v>36</v>
      </c>
      <c r="I126" s="8">
        <f>IFERROR(_xll.BInterpol($G$126:$G$167, $D$126:$D$167, H126, "Cubic","Skip=True")*1,"")</f>
        <v>13.635494695575854</v>
      </c>
      <c r="J126" s="34"/>
      <c r="K126" s="3"/>
      <c r="L126" s="33"/>
      <c r="M126" s="33"/>
      <c r="N126" s="33"/>
      <c r="O126" s="39"/>
      <c r="P126" s="37" t="str">
        <f>IFERROR(_xll.BCOUNTPERIODS($L$122,O126,"CDR=BZ")*1,"")</f>
        <v/>
      </c>
      <c r="Q126" s="37">
        <f>_xlfn.IFS(IPCA!$O$7=DATA!$T$26,PERIODS!U4,IPCA!$O$7=DATA!$T$27,PERIODS!W4,IPCA!$O$7=DATA!$T$28,PERIODS!Y4)</f>
        <v>36</v>
      </c>
      <c r="R126" s="8">
        <f>IFERROR(IF($K$61=$T$16,_xll.BInterpol(FUT!$R$7:$R$28, FUT!$Q$7:$Q$28, Q126, "Cubic","Skip=True"),_xll.BInterpol($P$126:$P$167, $M$126:$M$167, Q126, "Cubic","Skip=True"))*1,"")</f>
        <v>12.285830482435562</v>
      </c>
    </row>
    <row r="127" spans="2:18" x14ac:dyDescent="0.25">
      <c r="B127" s="3" t="str">
        <v>ODQ23 Comdty</v>
      </c>
      <c r="C127" s="33" t="str">
        <v>1M</v>
      </c>
      <c r="D127" s="33">
        <v>13.634</v>
      </c>
      <c r="E127" s="33">
        <v>21</v>
      </c>
      <c r="F127" s="39">
        <v>45138</v>
      </c>
      <c r="G127" s="37">
        <f>IFERROR(_xll.BCOUNTPERIODS($C$122,F127,"CDR=BZ")*1,"")</f>
        <v>37</v>
      </c>
      <c r="H127" s="37">
        <f>_xlfn.IFS(IPCA!$O$7=DATA!$T$26,PERIODS!U5,IPCA!$O$7=DATA!$T$27,PERIODS!W5,IPCA!$O$7=DATA!$T$28,PERIODS!Y5)</f>
        <v>59</v>
      </c>
      <c r="I127" s="8">
        <f>IFERROR(_xll.BInterpol($G$126:$G$167, $D$126:$D$167, H127, "Cubic","Skip=True")*1,"")</f>
        <v>13.568858865442721</v>
      </c>
      <c r="J127" s="34"/>
      <c r="K127" s="3"/>
      <c r="L127" s="33"/>
      <c r="M127" s="33"/>
      <c r="N127" s="33"/>
      <c r="O127" s="39"/>
      <c r="P127" s="37" t="str">
        <f>IFERROR(_xll.BCOUNTPERIODS($L$122,O127,"CDR=BZ")*1,"")</f>
        <v/>
      </c>
      <c r="Q127" s="37">
        <f>_xlfn.IFS(IPCA!$O$7=DATA!$T$26,PERIODS!U5,IPCA!$O$7=DATA!$T$27,PERIODS!W5,IPCA!$O$7=DATA!$T$28,PERIODS!Y5)</f>
        <v>59</v>
      </c>
      <c r="R127" s="8">
        <f>IFERROR(IF($K$61=$T$16,_xll.BInterpol(FUT!$R$7:$R$28, FUT!$Q$7:$Q$28, Q127, "Cubic","Skip=True"),_xll.BInterpol($P$126:$P$167, $M$126:$M$167, Q127, "Cubic","Skip=True"))*1,"")</f>
        <v>9.1070385026270451</v>
      </c>
    </row>
    <row r="128" spans="2:18" x14ac:dyDescent="0.25">
      <c r="B128" s="20" t="str">
        <v>ODU23 Comdty</v>
      </c>
      <c r="C128" s="33" t="str">
        <v>2M</v>
      </c>
      <c r="D128" s="33">
        <v>13.565</v>
      </c>
      <c r="E128" s="33">
        <v>42</v>
      </c>
      <c r="F128" s="39">
        <v>45169</v>
      </c>
      <c r="G128" s="37">
        <f>IFERROR(_xll.BCOUNTPERIODS($C$122,F128,"CDR=BZ")*1,"")</f>
        <v>60</v>
      </c>
      <c r="H128" s="37">
        <f>_xlfn.IFS(IPCA!$O$7=DATA!$T$26,PERIODS!U6,IPCA!$O$7=DATA!$T$27,PERIODS!W6,IPCA!$O$7=DATA!$T$28,PERIODS!Y6)</f>
        <v>80</v>
      </c>
      <c r="I128" s="8">
        <f>IFERROR(_xll.BInterpol($G$126:$G$167, $D$126:$D$167, H128, "Cubic","Skip=True")*1,"")</f>
        <v>13.484</v>
      </c>
      <c r="J128" s="34"/>
      <c r="K128" s="20"/>
      <c r="L128" s="33"/>
      <c r="M128" s="33"/>
      <c r="N128" s="33"/>
      <c r="O128" s="39"/>
      <c r="P128" s="37" t="str">
        <f>IFERROR(_xll.BCOUNTPERIODS($L$122,O128,"CDR=BZ")*1,"")</f>
        <v/>
      </c>
      <c r="Q128" s="37">
        <f>_xlfn.IFS(IPCA!$O$7=DATA!$T$26,PERIODS!U6,IPCA!$O$7=DATA!$T$27,PERIODS!W6,IPCA!$O$7=DATA!$T$28,PERIODS!Y6)</f>
        <v>80</v>
      </c>
      <c r="R128" s="8">
        <f>IFERROR(IF($K$61=$T$16,_xll.BInterpol(FUT!$R$7:$R$28, FUT!$Q$7:$Q$28, Q128, "Cubic","Skip=True"),_xll.BInterpol($P$126:$P$167, $M$126:$M$167, Q128, "Cubic","Skip=True"))*1,"")</f>
        <v>7.7554755394591055</v>
      </c>
    </row>
    <row r="129" spans="2:18" x14ac:dyDescent="0.25">
      <c r="B129" s="3" t="str">
        <v>ODV23 Comdty</v>
      </c>
      <c r="C129" s="33" t="str">
        <v>3M</v>
      </c>
      <c r="D129" s="33">
        <v>13.484</v>
      </c>
      <c r="E129" s="33">
        <v>63</v>
      </c>
      <c r="F129" s="39">
        <v>45198</v>
      </c>
      <c r="G129" s="37">
        <f>IFERROR(_xll.BCOUNTPERIODS($C$122,F129,"CDR=BZ")*1,"")</f>
        <v>80</v>
      </c>
      <c r="H129" s="37">
        <f>_xlfn.IFS(IPCA!$O$7=DATA!$T$26,PERIODS!U7,IPCA!$O$7=DATA!$T$27,PERIODS!W7,IPCA!$O$7=DATA!$T$28,PERIODS!Y7)</f>
        <v>100</v>
      </c>
      <c r="I129" s="8">
        <f>IFERROR(_xll.BInterpol($G$126:$G$167, $D$126:$D$167, H129, "Cubic","Skip=True")*1,"")</f>
        <v>13.390863740201901</v>
      </c>
      <c r="J129" s="34"/>
      <c r="K129" s="3"/>
      <c r="L129" s="33"/>
      <c r="M129" s="33"/>
      <c r="N129" s="33"/>
      <c r="O129" s="39"/>
      <c r="P129" s="37" t="str">
        <f>IFERROR(_xll.BCOUNTPERIODS($L$122,O129,"CDR=BZ")*1,"")</f>
        <v/>
      </c>
      <c r="Q129" s="37">
        <f>_xlfn.IFS(IPCA!$O$7=DATA!$T$26,PERIODS!U7,IPCA!$O$7=DATA!$T$27,PERIODS!W7,IPCA!$O$7=DATA!$T$28,PERIODS!Y7)</f>
        <v>100</v>
      </c>
      <c r="R129" s="8">
        <f>IFERROR(IF($K$61=$T$16,_xll.BInterpol(FUT!$R$7:$R$28, FUT!$Q$7:$Q$28, Q129, "Cubic","Skip=True"),_xll.BInterpol($P$126:$P$167, $M$126:$M$167, Q129, "Cubic","Skip=True"))*1,"")</f>
        <v>7.5827876059431354</v>
      </c>
    </row>
    <row r="130" spans="2:18" x14ac:dyDescent="0.25">
      <c r="B130" s="3" t="str">
        <v>ODX23 Comdty</v>
      </c>
      <c r="C130" s="33" t="str">
        <v>4M</v>
      </c>
      <c r="D130" s="33">
        <v>13.385</v>
      </c>
      <c r="E130" s="33">
        <v>83</v>
      </c>
      <c r="F130" s="39">
        <v>45230</v>
      </c>
      <c r="G130" s="37">
        <f>IFERROR(_xll.BCOUNTPERIODS($C$122,F130,"CDR=BZ")*1,"")</f>
        <v>101</v>
      </c>
      <c r="H130" s="37">
        <f>_xlfn.IFS(IPCA!$O$7=DATA!$T$26,PERIODS!U8,IPCA!$O$7=DATA!$T$27,PERIODS!W8,IPCA!$O$7=DATA!$T$28,PERIODS!Y8)</f>
        <v>121</v>
      </c>
      <c r="I130" s="8">
        <f>IFERROR(_xll.BInterpol($G$126:$G$167, $D$126:$D$167, H130, "Cubic","Skip=True")*1,"")</f>
        <v>13.242000000000001</v>
      </c>
      <c r="J130" s="34"/>
      <c r="K130" s="3"/>
      <c r="L130" s="33"/>
      <c r="M130" s="33"/>
      <c r="N130" s="33"/>
      <c r="O130" s="39"/>
      <c r="P130" s="37" t="str">
        <f>IFERROR(_xll.BCOUNTPERIODS($L$122,O130,"CDR=BZ")*1,"")</f>
        <v/>
      </c>
      <c r="Q130" s="37">
        <f>_xlfn.IFS(IPCA!$O$7=DATA!$T$26,PERIODS!U8,IPCA!$O$7=DATA!$T$27,PERIODS!W8,IPCA!$O$7=DATA!$T$28,PERIODS!Y8)</f>
        <v>121</v>
      </c>
      <c r="R130" s="8">
        <f>IFERROR(IF($K$61=$T$16,_xll.BInterpol(FUT!$R$7:$R$28, FUT!$Q$7:$Q$28, Q130, "Cubic","Skip=True"),_xll.BInterpol($P$126:$P$167, $M$126:$M$167, Q130, "Cubic","Skip=True"))*1,"")</f>
        <v>8.1077528877890401</v>
      </c>
    </row>
    <row r="131" spans="2:18" x14ac:dyDescent="0.25">
      <c r="B131" s="3" t="str">
        <v>ODZ23 Comdty</v>
      </c>
      <c r="C131" s="33" t="str">
        <v>5M</v>
      </c>
      <c r="D131" s="33">
        <v>13.242000000000001</v>
      </c>
      <c r="E131" s="33">
        <v>104</v>
      </c>
      <c r="F131" s="39">
        <v>45260</v>
      </c>
      <c r="G131" s="37">
        <f>IFERROR(_xll.BCOUNTPERIODS($C$122,F131,"CDR=BZ")*1,"")</f>
        <v>121</v>
      </c>
      <c r="H131" s="37">
        <f>_xlfn.IFS(IPCA!$O$7=DATA!$T$26,PERIODS!U9,IPCA!$O$7=DATA!$T$27,PERIODS!W9,IPCA!$O$7=DATA!$T$28,PERIODS!Y9)</f>
        <v>141</v>
      </c>
      <c r="I131" s="8">
        <f>IFERROR(_xll.BInterpol($G$126:$G$167, $D$126:$D$167, H131, "Cubic","Skip=True")*1,"")</f>
        <v>13.088493829568442</v>
      </c>
      <c r="J131" s="34"/>
      <c r="K131" s="3"/>
      <c r="L131" s="33"/>
      <c r="M131" s="33"/>
      <c r="N131" s="33"/>
      <c r="O131" s="39"/>
      <c r="P131" s="37" t="str">
        <f>IFERROR(_xll.BCOUNTPERIODS($L$122,O131,"CDR=BZ")*1,"")</f>
        <v/>
      </c>
      <c r="Q131" s="37">
        <f>_xlfn.IFS(IPCA!$O$7=DATA!$T$26,PERIODS!U9,IPCA!$O$7=DATA!$T$27,PERIODS!W9,IPCA!$O$7=DATA!$T$28,PERIODS!Y9)</f>
        <v>141</v>
      </c>
      <c r="R131" s="8">
        <f>IFERROR(IF($K$61=$T$16,_xll.BInterpol(FUT!$R$7:$R$28, FUT!$Q$7:$Q$28, Q131, "Cubic","Skip=True"),_xll.BInterpol($P$126:$P$167, $M$126:$M$167, Q131, "Cubic","Skip=True"))*1,"")</f>
        <v>8.845641446061439</v>
      </c>
    </row>
    <row r="132" spans="2:18" x14ac:dyDescent="0.25">
      <c r="B132" s="3" t="str">
        <v>ODF24 Comdty</v>
      </c>
      <c r="C132" s="33" t="str">
        <v>6M</v>
      </c>
      <c r="D132" s="33">
        <v>13.096</v>
      </c>
      <c r="E132" s="33">
        <v>125</v>
      </c>
      <c r="F132" s="39">
        <v>45288</v>
      </c>
      <c r="G132" s="37">
        <f>IFERROR(_xll.BCOUNTPERIODS($C$122,F132,"CDR=BZ")*1,"")</f>
        <v>140</v>
      </c>
      <c r="H132" s="37">
        <f>_xlfn.IFS(IPCA!$O$7=DATA!$T$26,PERIODS!U10,IPCA!$O$7=DATA!$T$27,PERIODS!W10,IPCA!$O$7=DATA!$T$28,PERIODS!Y10)</f>
        <v>162</v>
      </c>
      <c r="I132" s="8">
        <f>IFERROR(_xll.BInterpol($G$126:$G$167, $D$126:$D$167, H132, "Cubic","Skip=True")*1,"")</f>
        <v>12.931685473868905</v>
      </c>
      <c r="J132" s="34"/>
      <c r="K132" s="3"/>
      <c r="L132" s="33"/>
      <c r="M132" s="33"/>
      <c r="N132" s="33"/>
      <c r="O132" s="39"/>
      <c r="P132" s="37" t="str">
        <f>IFERROR(_xll.BCOUNTPERIODS($L$122,O132,"CDR=BZ")*1,"")</f>
        <v/>
      </c>
      <c r="Q132" s="37">
        <f>_xlfn.IFS(IPCA!$O$7=DATA!$T$26,PERIODS!U10,IPCA!$O$7=DATA!$T$27,PERIODS!W10,IPCA!$O$7=DATA!$T$28,PERIODS!Y10)</f>
        <v>162</v>
      </c>
      <c r="R132" s="8">
        <f>IFERROR(IF($K$61=$T$16,_xll.BInterpol(FUT!$R$7:$R$28, FUT!$Q$7:$Q$28, Q132, "Cubic","Skip=True"),_xll.BInterpol($P$126:$P$167, $M$126:$M$167, Q132, "Cubic","Skip=True"))*1,"")</f>
        <v>9.423746047061961</v>
      </c>
    </row>
    <row r="133" spans="2:18" x14ac:dyDescent="0.25">
      <c r="B133" s="3" t="str">
        <v>ODG24 Comdty</v>
      </c>
      <c r="C133" s="33" t="str">
        <v>7M</v>
      </c>
      <c r="D133" s="33">
        <v>12.923999999999999</v>
      </c>
      <c r="E133" s="33">
        <v>145</v>
      </c>
      <c r="F133" s="39">
        <v>45322</v>
      </c>
      <c r="G133" s="37">
        <f>IFERROR(_xll.BCOUNTPERIODS($C$122,F133,"CDR=BZ")*1,"")</f>
        <v>163</v>
      </c>
      <c r="H133" s="37">
        <f>_xlfn.IFS(IPCA!$O$7=DATA!$T$26,PERIODS!U11,IPCA!$O$7=DATA!$T$27,PERIODS!W11,IPCA!$O$7=DATA!$T$28,PERIODS!Y11)</f>
        <v>182</v>
      </c>
      <c r="I133" s="8">
        <f>IFERROR(_xll.BInterpol($G$126:$G$167, $D$126:$D$167, H133, "Cubic","Skip=True")*1,"")</f>
        <v>12.771000000000001</v>
      </c>
      <c r="J133" s="34"/>
      <c r="K133" s="3"/>
      <c r="L133" s="33"/>
      <c r="M133" s="33"/>
      <c r="N133" s="33"/>
      <c r="O133" s="39"/>
      <c r="P133" s="37" t="str">
        <f>IFERROR(_xll.BCOUNTPERIODS($L$122,O133,"CDR=BZ")*1,"")</f>
        <v/>
      </c>
      <c r="Q133" s="37">
        <f>_xlfn.IFS(IPCA!$O$7=DATA!$T$26,PERIODS!U11,IPCA!$O$7=DATA!$T$27,PERIODS!W11,IPCA!$O$7=DATA!$T$28,PERIODS!Y11)</f>
        <v>182</v>
      </c>
      <c r="R133" s="8">
        <f>IFERROR(IF($K$61=$T$16,_xll.BInterpol(FUT!$R$7:$R$28, FUT!$Q$7:$Q$28, Q133, "Cubic","Skip=True"),_xll.BInterpol($P$126:$P$167, $M$126:$M$167, Q133, "Cubic","Skip=True"))*1,"")</f>
        <v>9.6326027788039781</v>
      </c>
    </row>
    <row r="134" spans="2:18" x14ac:dyDescent="0.25">
      <c r="B134" s="3" t="str">
        <v>ODH24 Comdty</v>
      </c>
      <c r="C134" s="33" t="str">
        <v>8M</v>
      </c>
      <c r="D134" s="33">
        <v>12.771000000000001</v>
      </c>
      <c r="E134" s="33">
        <v>166</v>
      </c>
      <c r="F134" s="39">
        <v>45351</v>
      </c>
      <c r="G134" s="37">
        <f>IFERROR(_xll.BCOUNTPERIODS($C$122,F134,"CDR=BZ")*1,"")</f>
        <v>182</v>
      </c>
      <c r="H134" s="37">
        <f>_xlfn.IFS(IPCA!$O$7=DATA!$T$26,PERIODS!U12,IPCA!$O$7=DATA!$T$27,PERIODS!W12,IPCA!$O$7=DATA!$T$28,PERIODS!Y12)</f>
        <v>202</v>
      </c>
      <c r="I134" s="8">
        <f>IFERROR(_xll.BInterpol($G$126:$G$167, $D$126:$D$167, H134, "Cubic","Skip=True")*1,"")</f>
        <v>12.602</v>
      </c>
      <c r="J134" s="34"/>
      <c r="K134" s="3"/>
      <c r="L134" s="33"/>
      <c r="M134" s="33"/>
      <c r="N134" s="33"/>
      <c r="O134" s="39"/>
      <c r="P134" s="37" t="str">
        <f>IFERROR(_xll.BCOUNTPERIODS($L$122,O134,"CDR=BZ")*1,"")</f>
        <v/>
      </c>
      <c r="Q134" s="37">
        <f>_xlfn.IFS(IPCA!$O$7=DATA!$T$26,PERIODS!U12,IPCA!$O$7=DATA!$T$27,PERIODS!W12,IPCA!$O$7=DATA!$T$28,PERIODS!Y12)</f>
        <v>202</v>
      </c>
      <c r="R134" s="8">
        <f>IFERROR(IF($K$61=$T$16,_xll.BInterpol(FUT!$R$7:$R$28, FUT!$Q$7:$Q$28, Q134, "Cubic","Skip=True"),_xll.BInterpol($P$126:$P$167, $M$126:$M$167, Q134, "Cubic","Skip=True"))*1,"")</f>
        <v>9.5700988482984304</v>
      </c>
    </row>
    <row r="135" spans="2:18" x14ac:dyDescent="0.25">
      <c r="B135" s="3" t="str">
        <v>ODJ24 Comdty</v>
      </c>
      <c r="C135" s="33" t="str">
        <v>9M</v>
      </c>
      <c r="D135" s="33">
        <v>12.602</v>
      </c>
      <c r="E135" s="33">
        <v>187</v>
      </c>
      <c r="F135" s="39">
        <v>45379</v>
      </c>
      <c r="G135" s="37">
        <f>IFERROR(_xll.BCOUNTPERIODS($C$122,F135,"CDR=BZ")*1,"")</f>
        <v>202</v>
      </c>
      <c r="H135" s="37">
        <f>_xlfn.IFS(IPCA!$O$7=DATA!$T$26,PERIODS!U13,IPCA!$O$7=DATA!$T$27,PERIODS!W13,IPCA!$O$7=DATA!$T$28,PERIODS!Y13)</f>
        <v>224</v>
      </c>
      <c r="I135" s="8">
        <f>IFERROR(_xll.BInterpol($G$126:$G$167, $D$126:$D$167, H135, "Cubic","Skip=True")*1,"")</f>
        <v>12.416</v>
      </c>
      <c r="J135" s="34"/>
      <c r="K135" s="3"/>
      <c r="L135" s="33"/>
      <c r="M135" s="33"/>
      <c r="N135" s="33"/>
      <c r="O135" s="39"/>
      <c r="P135" s="37" t="str">
        <f>IFERROR(_xll.BCOUNTPERIODS($L$122,O135,"CDR=BZ")*1,"")</f>
        <v/>
      </c>
      <c r="Q135" s="37">
        <f>_xlfn.IFS(IPCA!$O$7=DATA!$T$26,PERIODS!U13,IPCA!$O$7=DATA!$T$27,PERIODS!W13,IPCA!$O$7=DATA!$T$28,PERIODS!Y13)</f>
        <v>224</v>
      </c>
      <c r="R135" s="8">
        <f>IFERROR(IF($K$61=$T$16,_xll.BInterpol(FUT!$R$7:$R$28, FUT!$Q$7:$Q$28, Q135, "Cubic","Skip=True"),_xll.BInterpol($P$126:$P$167, $M$126:$M$167, Q135, "Cubic","Skip=True"))*1,"")</f>
        <v>9.2687679247012049</v>
      </c>
    </row>
    <row r="136" spans="2:18" x14ac:dyDescent="0.25">
      <c r="B136" s="3" t="str">
        <v>ODK24 Comdty</v>
      </c>
      <c r="C136" s="33" t="str">
        <v>11M</v>
      </c>
      <c r="D136" s="33">
        <v>12.416</v>
      </c>
      <c r="E136" s="33">
        <v>228</v>
      </c>
      <c r="F136" s="39">
        <v>45412</v>
      </c>
      <c r="G136" s="37">
        <f>IFERROR(_xll.BCOUNTPERIODS($C$122,F136,"CDR=BZ")*1,"")</f>
        <v>224</v>
      </c>
      <c r="H136" s="37">
        <f>_xlfn.IFS(IPCA!$O$7=DATA!$T$26,PERIODS!U14,IPCA!$O$7=DATA!$T$27,PERIODS!W14,IPCA!$O$7=DATA!$T$28,PERIODS!Y14)</f>
        <v>244</v>
      </c>
      <c r="I136" s="8">
        <f>IFERROR(_xll.BInterpol($G$126:$G$167, $D$126:$D$167, H136, "Cubic","Skip=True")*1,"")</f>
        <v>12.243511101312517</v>
      </c>
      <c r="J136" s="34"/>
      <c r="K136" s="3"/>
      <c r="L136" s="33"/>
      <c r="M136" s="33"/>
      <c r="N136" s="33"/>
      <c r="O136" s="39"/>
      <c r="P136" s="37" t="str">
        <f>IFERROR(_xll.BCOUNTPERIODS($L$122,O136,"CDR=BZ")*1,"")</f>
        <v/>
      </c>
      <c r="Q136" s="37">
        <f>_xlfn.IFS(IPCA!$O$7=DATA!$T$26,PERIODS!U14,IPCA!$O$7=DATA!$T$27,PERIODS!W14,IPCA!$O$7=DATA!$T$28,PERIODS!Y14)</f>
        <v>244</v>
      </c>
      <c r="R136" s="8">
        <f>IFERROR(IF($K$61=$T$16,_xll.BInterpol(FUT!$R$7:$R$28, FUT!$Q$7:$Q$28, Q136, "Cubic","Skip=True"),_xll.BInterpol($P$126:$P$167, $M$126:$M$167, Q136, "Cubic","Skip=True"))*1,"")</f>
        <v>8.8568928712616337</v>
      </c>
    </row>
    <row r="137" spans="2:18" x14ac:dyDescent="0.25">
      <c r="B137" s="3" t="str">
        <v>ODM24 Comdty</v>
      </c>
      <c r="C137" s="33" t="str">
        <v>1Y</v>
      </c>
      <c r="D137" s="33">
        <v>12.234999999999999</v>
      </c>
      <c r="E137" s="33">
        <v>252</v>
      </c>
      <c r="F137" s="39">
        <v>45443</v>
      </c>
      <c r="G137" s="37">
        <f>IFERROR(_xll.BCOUNTPERIODS($C$122,F137,"CDR=BZ")*1,"")</f>
        <v>245</v>
      </c>
      <c r="H137" s="37">
        <f>_xlfn.IFS(IPCA!$O$7=DATA!$T$26,PERIODS!U15,IPCA!$O$7=DATA!$T$27,PERIODS!W15,IPCA!$O$7=DATA!$T$28,PERIODS!Y15)</f>
        <v>265</v>
      </c>
      <c r="I137" s="8">
        <f>IFERROR(_xll.BInterpol($G$126:$G$167, $D$126:$D$167, H137, "Cubic","Skip=True")*1,"")</f>
        <v>12.070527694689439</v>
      </c>
      <c r="J137" s="34"/>
      <c r="K137" s="3"/>
      <c r="L137" s="33"/>
      <c r="M137" s="33"/>
      <c r="N137" s="33"/>
      <c r="O137" s="39"/>
      <c r="P137" s="37" t="str">
        <f>IFERROR(_xll.BCOUNTPERIODS($L$122,O137,"CDR=BZ")*1,"")</f>
        <v/>
      </c>
      <c r="Q137" s="37">
        <f>_xlfn.IFS(IPCA!$O$7=DATA!$T$26,PERIODS!U15,IPCA!$O$7=DATA!$T$27,PERIODS!W15,IPCA!$O$7=DATA!$T$28,PERIODS!Y15)</f>
        <v>265</v>
      </c>
      <c r="R137" s="8">
        <f>IFERROR(IF($K$61=$T$16,_xll.BInterpol(FUT!$R$7:$R$28, FUT!$Q$7:$Q$28, Q137, "Cubic","Skip=True"),_xll.BInterpol($P$126:$P$167, $M$126:$M$167, Q137, "Cubic","Skip=True"))*1,"")</f>
        <v>8.3595856221795568</v>
      </c>
    </row>
    <row r="138" spans="2:18" x14ac:dyDescent="0.25">
      <c r="B138" s="3" t="str">
        <v>ODV24 Comdty</v>
      </c>
      <c r="C138" s="33" t="str">
        <v>15M</v>
      </c>
      <c r="D138" s="33">
        <v>11.6</v>
      </c>
      <c r="E138" s="33">
        <v>311</v>
      </c>
      <c r="F138" s="39">
        <v>45565</v>
      </c>
      <c r="G138" s="37">
        <f>IFERROR(_xll.BCOUNTPERIODS($C$122,F138,"CDR=BZ")*1,"")</f>
        <v>331</v>
      </c>
      <c r="H138" s="37">
        <f>_xlfn.IFS(IPCA!$O$7=DATA!$T$26,PERIODS!U16,IPCA!$O$7=DATA!$T$27,PERIODS!W16,IPCA!$O$7=DATA!$T$28,PERIODS!Y16)</f>
        <v>287</v>
      </c>
      <c r="I138" s="8">
        <f>IFERROR(_xll.BInterpol($G$126:$G$167, $D$126:$D$167, H138, "Cubic","Skip=True")*1,"")</f>
        <v>11.901826107809571</v>
      </c>
      <c r="J138" s="34"/>
      <c r="K138" s="3"/>
      <c r="L138" s="33"/>
      <c r="M138" s="33"/>
      <c r="N138" s="33"/>
      <c r="O138" s="39"/>
      <c r="P138" s="37" t="str">
        <f>IFERROR(_xll.BCOUNTPERIODS($L$122,O138,"CDR=BZ")*1,"")</f>
        <v/>
      </c>
      <c r="Q138" s="37">
        <f>_xlfn.IFS(IPCA!$O$7=DATA!$T$26,PERIODS!U16,IPCA!$O$7=DATA!$T$27,PERIODS!W16,IPCA!$O$7=DATA!$T$28,PERIODS!Y16)</f>
        <v>287</v>
      </c>
      <c r="R138" s="8">
        <f>IFERROR(IF($K$61=$T$16,_xll.BInterpol(FUT!$R$7:$R$28, FUT!$Q$7:$Q$28, Q138, "Cubic","Skip=True"),_xll.BInterpol($P$126:$P$167, $M$126:$M$167, Q138, "Cubic","Skip=True"))*1,"")</f>
        <v>7.8514624672950752</v>
      </c>
    </row>
    <row r="139" spans="2:18" x14ac:dyDescent="0.25">
      <c r="B139" s="3" t="str">
        <v>ODF25 Comdty</v>
      </c>
      <c r="C139" s="33" t="str">
        <v>18M</v>
      </c>
      <c r="D139" s="33">
        <v>11.262</v>
      </c>
      <c r="E139" s="33">
        <v>373</v>
      </c>
      <c r="F139" s="39">
        <v>45656</v>
      </c>
      <c r="G139" s="37">
        <f>IFERROR(_xll.BCOUNTPERIODS($C$122,F139,"CDR=BZ")*1,"")</f>
        <v>393</v>
      </c>
      <c r="H139" s="37">
        <f>_xlfn.IFS(IPCA!$O$7=DATA!$T$26,PERIODS!U17,IPCA!$O$7=DATA!$T$27,PERIODS!W17,IPCA!$O$7=DATA!$T$28,PERIODS!Y17)</f>
        <v>310</v>
      </c>
      <c r="I139" s="8">
        <f>IFERROR(_xll.BInterpol($G$126:$G$167, $D$126:$D$167, H139, "Cubic","Skip=True")*1,"")</f>
        <v>11.73838172346956</v>
      </c>
      <c r="J139" s="34"/>
      <c r="K139" s="3"/>
      <c r="L139" s="33"/>
      <c r="M139" s="33"/>
      <c r="N139" s="33"/>
      <c r="O139" s="39"/>
      <c r="P139" s="37" t="str">
        <f>IFERROR(_xll.BCOUNTPERIODS($L$122,O139,"CDR=BZ")*1,"")</f>
        <v/>
      </c>
      <c r="Q139" s="37">
        <f>_xlfn.IFS(IPCA!$O$7=DATA!$T$26,PERIODS!U17,IPCA!$O$7=DATA!$T$27,PERIODS!W17,IPCA!$O$7=DATA!$T$28,PERIODS!Y17)</f>
        <v>310</v>
      </c>
      <c r="R139" s="8">
        <f>IFERROR(IF($K$61=$T$16,_xll.BInterpol(FUT!$R$7:$R$28, FUT!$Q$7:$Q$28, Q139, "Cubic","Skip=True"),_xll.BInterpol($P$126:$P$167, $M$126:$M$167, Q139, "Cubic","Skip=True"))*1,"")</f>
        <v>7.4274459908661852</v>
      </c>
    </row>
    <row r="140" spans="2:18" x14ac:dyDescent="0.25">
      <c r="B140" s="3" t="str">
        <v>ODJ25 Comdty</v>
      </c>
      <c r="C140" s="33" t="str">
        <v>21M</v>
      </c>
      <c r="D140" s="33">
        <v>11.047000000000001</v>
      </c>
      <c r="E140" s="33">
        <v>435</v>
      </c>
      <c r="F140" s="39">
        <v>45747</v>
      </c>
      <c r="G140" s="37">
        <f>IFERROR(_xll.BCOUNTPERIODS($C$122,F140,"CDR=BZ")*1,"")</f>
        <v>455</v>
      </c>
      <c r="H140" s="37">
        <f>_xlfn.IFS(IPCA!$O$7=DATA!$T$26,PERIODS!U18,IPCA!$O$7=DATA!$T$27,PERIODS!W18,IPCA!$O$7=DATA!$T$28,PERIODS!Y18)</f>
        <v>331</v>
      </c>
      <c r="I140" s="8">
        <f>IFERROR(_xll.BInterpol($G$126:$G$167, $D$126:$D$167, H140, "Cubic","Skip=True")*1,"")</f>
        <v>11.6</v>
      </c>
      <c r="J140" s="34"/>
      <c r="K140" s="3"/>
      <c r="L140" s="33"/>
      <c r="M140" s="33"/>
      <c r="N140" s="33"/>
      <c r="O140" s="39"/>
      <c r="P140" s="37" t="str">
        <f>IFERROR(_xll.BCOUNTPERIODS($L$122,O140,"CDR=BZ")*1,"")</f>
        <v/>
      </c>
      <c r="Q140" s="37">
        <f>_xlfn.IFS(IPCA!$O$7=DATA!$T$26,PERIODS!U18,IPCA!$O$7=DATA!$T$27,PERIODS!W18,IPCA!$O$7=DATA!$T$28,PERIODS!Y18)</f>
        <v>331</v>
      </c>
      <c r="R140" s="8">
        <f>IFERROR(IF($K$61=$T$16,_xll.BInterpol(FUT!$R$7:$R$28, FUT!$Q$7:$Q$28, Q140, "Cubic","Skip=True"),_xll.BInterpol($P$126:$P$167, $M$126:$M$167, Q140, "Cubic","Skip=True"))*1,"")</f>
        <v>7.1632036600356424</v>
      </c>
    </row>
    <row r="141" spans="2:18" x14ac:dyDescent="0.25">
      <c r="B141" s="3" t="str">
        <v>ODN25 Comdty</v>
      </c>
      <c r="C141" s="33" t="str">
        <v>2Y</v>
      </c>
      <c r="D141" s="33">
        <v>10.872999999999999</v>
      </c>
      <c r="E141" s="33">
        <v>504</v>
      </c>
      <c r="F141" s="39">
        <v>45838</v>
      </c>
      <c r="G141" s="37">
        <f>IFERROR(_xll.BCOUNTPERIODS($C$122,F141,"CDR=BZ")*1,"")</f>
        <v>516</v>
      </c>
      <c r="H141" s="37">
        <f>_xlfn.IFS(IPCA!$O$7=DATA!$T$26,PERIODS!U19,IPCA!$O$7=DATA!$T$27,PERIODS!W19,IPCA!$O$7=DATA!$T$28,PERIODS!Y19)</f>
        <v>353</v>
      </c>
      <c r="I141" s="8">
        <f>IFERROR(_xll.BInterpol($G$126:$G$167, $D$126:$D$167, H141, "Cubic","Skip=True")*1,"")</f>
        <v>11.46615947881479</v>
      </c>
      <c r="J141" s="34"/>
      <c r="K141" s="3"/>
      <c r="L141" s="33"/>
      <c r="M141" s="33"/>
      <c r="N141" s="33"/>
      <c r="O141" s="39"/>
      <c r="P141" s="37" t="str">
        <f>IFERROR(_xll.BCOUNTPERIODS($L$122,O141,"CDR=BZ")*1,"")</f>
        <v/>
      </c>
      <c r="Q141" s="37">
        <f>_xlfn.IFS(IPCA!$O$7=DATA!$T$26,PERIODS!U19,IPCA!$O$7=DATA!$T$27,PERIODS!W19,IPCA!$O$7=DATA!$T$28,PERIODS!Y19)</f>
        <v>353</v>
      </c>
      <c r="R141" s="8">
        <f>IFERROR(IF($K$61=$T$16,_xll.BInterpol(FUT!$R$7:$R$28, FUT!$Q$7:$Q$28, Q141, "Cubic","Skip=True"),_xll.BInterpol($P$126:$P$167, $M$126:$M$167, Q141, "Cubic","Skip=True"))*1,"")</f>
        <v>6.9844560008992769</v>
      </c>
    </row>
    <row r="142" spans="2:18" x14ac:dyDescent="0.25">
      <c r="B142" s="3" t="str">
        <v>ODV25 Comdty</v>
      </c>
      <c r="C142" s="33" t="str">
        <v>27M</v>
      </c>
      <c r="D142" s="33">
        <v>10.75</v>
      </c>
      <c r="E142" s="33">
        <v>560</v>
      </c>
      <c r="F142" s="39">
        <v>45930</v>
      </c>
      <c r="G142" s="37">
        <f>IFERROR(_xll.BCOUNTPERIODS($C$122,F142,"CDR=BZ")*1,"")</f>
        <v>582</v>
      </c>
      <c r="H142" s="37">
        <f>_xlfn.IFS(IPCA!$O$7=DATA!$T$26,PERIODS!U20,IPCA!$O$7=DATA!$T$27,PERIODS!W20,IPCA!$O$7=DATA!$T$28,PERIODS!Y20)</f>
        <v>373</v>
      </c>
      <c r="I142" s="8">
        <f>IFERROR(_xll.BInterpol($G$126:$G$167, $D$126:$D$167, H142, "Cubic","Skip=True")*1,"")</f>
        <v>11.356800634931357</v>
      </c>
      <c r="J142" s="34"/>
      <c r="K142" s="3"/>
      <c r="L142" s="33"/>
      <c r="M142" s="33"/>
      <c r="N142" s="33"/>
      <c r="O142" s="39"/>
      <c r="P142" s="37" t="str">
        <f>IFERROR(_xll.BCOUNTPERIODS($L$122,O142,"CDR=BZ")*1,"")</f>
        <v/>
      </c>
      <c r="Q142" s="37">
        <f>_xlfn.IFS(IPCA!$O$7=DATA!$T$26,PERIODS!U20,IPCA!$O$7=DATA!$T$27,PERIODS!W20,IPCA!$O$7=DATA!$T$28,PERIODS!Y20)</f>
        <v>373</v>
      </c>
      <c r="R142" s="8">
        <f>IFERROR(IF($K$61=$T$16,_xll.BInterpol(FUT!$R$7:$R$28, FUT!$Q$7:$Q$28, Q142, "Cubic","Skip=True"),_xll.BInterpol($P$126:$P$167, $M$126:$M$167, Q142, "Cubic","Skip=True"))*1,"")</f>
        <v>6.8835272968285164</v>
      </c>
    </row>
    <row r="143" spans="2:18" x14ac:dyDescent="0.25">
      <c r="B143" s="3" t="str">
        <v>ODF26 Comdty</v>
      </c>
      <c r="C143" s="33" t="str">
        <v>30M</v>
      </c>
      <c r="D143" s="33">
        <v>10.635</v>
      </c>
      <c r="E143" s="33">
        <v>622</v>
      </c>
      <c r="F143" s="39">
        <v>46021</v>
      </c>
      <c r="G143" s="37">
        <f>IFERROR(_xll.BCOUNTPERIODS($C$122,F143,"CDR=BZ")*1,"")</f>
        <v>645</v>
      </c>
      <c r="H143" s="37">
        <f>_xlfn.IFS(IPCA!$O$7=DATA!$T$26,PERIODS!U21,IPCA!$O$7=DATA!$T$27,PERIODS!W21,IPCA!$O$7=DATA!$T$28,PERIODS!Y21)</f>
        <v>393</v>
      </c>
      <c r="I143" s="8">
        <f>IFERROR(_xll.BInterpol($G$126:$G$167, $D$126:$D$167, H143, "Cubic","Skip=True")*1,"")</f>
        <v>11.262</v>
      </c>
      <c r="J143" s="34"/>
      <c r="K143" s="3"/>
      <c r="L143" s="33"/>
      <c r="M143" s="33"/>
      <c r="N143" s="33"/>
      <c r="O143" s="39"/>
      <c r="P143" s="37" t="str">
        <f>IFERROR(_xll.BCOUNTPERIODS($L$122,O143,"CDR=BZ")*1,"")</f>
        <v/>
      </c>
      <c r="Q143" s="37">
        <f>_xlfn.IFS(IPCA!$O$7=DATA!$T$26,PERIODS!U21,IPCA!$O$7=DATA!$T$27,PERIODS!W21,IPCA!$O$7=DATA!$T$28,PERIODS!Y21)</f>
        <v>393</v>
      </c>
      <c r="R143" s="8">
        <f>IFERROR(IF($K$61=$T$16,_xll.BInterpol(FUT!$R$7:$R$28, FUT!$Q$7:$Q$28, Q143, "Cubic","Skip=True"),_xll.BInterpol($P$126:$P$167, $M$126:$M$167, Q143, "Cubic","Skip=True"))*1,"")</f>
        <v>6.8173180483243305</v>
      </c>
    </row>
    <row r="144" spans="2:18" x14ac:dyDescent="0.25">
      <c r="B144" s="3" t="str">
        <v>ODJ26 Comdty</v>
      </c>
      <c r="C144" s="33" t="str">
        <v>33M</v>
      </c>
      <c r="D144" s="33">
        <v>10.62</v>
      </c>
      <c r="E144" s="33">
        <v>684</v>
      </c>
      <c r="F144" s="39">
        <v>46112</v>
      </c>
      <c r="G144" s="37">
        <f>IFERROR(_xll.BCOUNTPERIODS($C$122,F144,"CDR=BZ")*1,"")</f>
        <v>707</v>
      </c>
      <c r="H144" s="37">
        <f>_xlfn.IFS(IPCA!$O$7=DATA!$T$26,PERIODS!U22,IPCA!$O$7=DATA!$T$27,PERIODS!W22,IPCA!$O$7=DATA!$T$28,PERIODS!Y22)</f>
        <v>415</v>
      </c>
      <c r="I144" s="8">
        <f>IFERROR(_xll.BInterpol($G$126:$G$167, $D$126:$D$167, H144, "Cubic","Skip=True")*1,"")</f>
        <v>11.175871736385441</v>
      </c>
      <c r="J144" s="34"/>
      <c r="K144" s="3"/>
      <c r="L144" s="33"/>
      <c r="M144" s="33"/>
      <c r="N144" s="33"/>
      <c r="O144" s="39"/>
      <c r="P144" s="37" t="str">
        <f>IFERROR(_xll.BCOUNTPERIODS($L$122,O144,"CDR=BZ")*1,"")</f>
        <v/>
      </c>
      <c r="Q144" s="37">
        <f>_xlfn.IFS(IPCA!$O$7=DATA!$T$26,PERIODS!U22,IPCA!$O$7=DATA!$T$27,PERIODS!W22,IPCA!$O$7=DATA!$T$28,PERIODS!Y22)</f>
        <v>415</v>
      </c>
      <c r="R144" s="8">
        <f>IFERROR(IF($K$61=$T$16,_xll.BInterpol(FUT!$R$7:$R$28, FUT!$Q$7:$Q$28, Q144, "Cubic","Skip=True"),_xll.BInterpol($P$126:$P$167, $M$126:$M$167, Q144, "Cubic","Skip=True"))*1,"")</f>
        <v>6.79</v>
      </c>
    </row>
    <row r="145" spans="2:18" x14ac:dyDescent="0.25">
      <c r="B145" s="3" t="str">
        <v>ODN26 Comdty</v>
      </c>
      <c r="C145" s="33" t="str">
        <v>3Y</v>
      </c>
      <c r="D145" s="33">
        <v>10.613</v>
      </c>
      <c r="E145" s="33">
        <v>756</v>
      </c>
      <c r="F145" s="39">
        <v>46203</v>
      </c>
      <c r="G145" s="37">
        <f>IFERROR(_xll.BCOUNTPERIODS($C$122,F145,"CDR=BZ")*1,"")</f>
        <v>768</v>
      </c>
      <c r="H145" s="37">
        <f>_xlfn.IFS(IPCA!$O$7=DATA!$T$26,PERIODS!U23,IPCA!$O$7=DATA!$T$27,PERIODS!W23,IPCA!$O$7=DATA!$T$28,PERIODS!Y23)</f>
        <v>436</v>
      </c>
      <c r="I145" s="8">
        <f>IFERROR(_xll.BInterpol($G$126:$G$167, $D$126:$D$167, H145, "Cubic","Skip=True")*1,"")</f>
        <v>11.105886235647036</v>
      </c>
      <c r="J145" s="34"/>
      <c r="K145" s="3"/>
      <c r="L145" s="33"/>
      <c r="M145" s="33"/>
      <c r="N145" s="33"/>
      <c r="O145" s="39"/>
      <c r="P145" s="37" t="str">
        <f>IFERROR(_xll.BCOUNTPERIODS($L$122,O145,"CDR=BZ")*1,"")</f>
        <v/>
      </c>
      <c r="Q145" s="37">
        <f>_xlfn.IFS(IPCA!$O$7=DATA!$T$26,PERIODS!U23,IPCA!$O$7=DATA!$T$27,PERIODS!W23,IPCA!$O$7=DATA!$T$28,PERIODS!Y23)</f>
        <v>436</v>
      </c>
      <c r="R145" s="8">
        <f>IFERROR(IF($K$61=$T$16,_xll.BInterpol(FUT!$R$7:$R$28, FUT!$Q$7:$Q$28, Q145, "Cubic","Skip=True"),_xll.BInterpol($P$126:$P$167, $M$126:$M$167, Q145, "Cubic","Skip=True"))*1,"")</f>
        <v>6.79</v>
      </c>
    </row>
    <row r="146" spans="2:18" x14ac:dyDescent="0.25">
      <c r="B146" s="3" t="str">
        <v>ODV26 Comdty</v>
      </c>
      <c r="C146" s="33" t="str">
        <v>39M</v>
      </c>
      <c r="D146" s="33">
        <v>10.641999999999999</v>
      </c>
      <c r="E146" s="33">
        <v>808</v>
      </c>
      <c r="F146" s="39">
        <v>46295</v>
      </c>
      <c r="G146" s="37">
        <f>IFERROR(_xll.BCOUNTPERIODS($C$122,F146,"CDR=BZ")*1,"")</f>
        <v>833</v>
      </c>
      <c r="H146" s="37">
        <f>_xlfn.IFS(IPCA!$O$7=DATA!$T$26,PERIODS!U24,IPCA!$O$7=DATA!$T$27,PERIODS!W24,IPCA!$O$7=DATA!$T$28,PERIODS!Y24)</f>
        <v>454</v>
      </c>
      <c r="I146" s="8">
        <f>IFERROR(_xll.BInterpol($G$126:$G$167, $D$126:$D$167, H146, "Cubic","Skip=True")*1,"")</f>
        <v>11.050081525312041</v>
      </c>
      <c r="J146" s="34"/>
      <c r="K146" s="3"/>
      <c r="L146" s="33"/>
      <c r="M146" s="33"/>
      <c r="N146" s="33"/>
      <c r="O146" s="39"/>
      <c r="P146" s="37" t="str">
        <f>IFERROR(_xll.BCOUNTPERIODS($L$122,O146,"CDR=BZ")*1,"")</f>
        <v/>
      </c>
      <c r="Q146" s="37">
        <f>_xlfn.IFS(IPCA!$O$7=DATA!$T$26,PERIODS!U24,IPCA!$O$7=DATA!$T$27,PERIODS!W24,IPCA!$O$7=DATA!$T$28,PERIODS!Y24)</f>
        <v>454</v>
      </c>
      <c r="R146" s="8">
        <f>IFERROR(IF($K$61=$T$16,_xll.BInterpol(FUT!$R$7:$R$28, FUT!$Q$7:$Q$28, Q146, "Cubic","Skip=True"),_xll.BInterpol($P$126:$P$167, $M$126:$M$167, Q146, "Cubic","Skip=True"))*1,"")</f>
        <v>6.79</v>
      </c>
    </row>
    <row r="147" spans="2:18" x14ac:dyDescent="0.25">
      <c r="B147" s="3" t="str">
        <v>ODF27 Comdty</v>
      </c>
      <c r="C147" s="33" t="str">
        <v>42M</v>
      </c>
      <c r="D147" s="33">
        <v>10.644</v>
      </c>
      <c r="E147" s="33">
        <v>870</v>
      </c>
      <c r="F147" s="39">
        <v>46386</v>
      </c>
      <c r="G147" s="37">
        <f>IFERROR(_xll.BCOUNTPERIODS($C$122,F147,"CDR=BZ")*1,"")</f>
        <v>894</v>
      </c>
      <c r="H147" s="37">
        <f>_xlfn.IFS(IPCA!$O$7=DATA!$T$26,PERIODS!U25,IPCA!$O$7=DATA!$T$27,PERIODS!W25,IPCA!$O$7=DATA!$T$28,PERIODS!Y25)</f>
        <v>475</v>
      </c>
      <c r="I147" s="8">
        <f>IFERROR(_xll.BInterpol($G$126:$G$167, $D$126:$D$167, H147, "Cubic","Skip=True")*1,"")</f>
        <v>10.98543412535386</v>
      </c>
      <c r="J147" s="34"/>
      <c r="K147" s="3"/>
      <c r="L147" s="33"/>
      <c r="M147" s="33"/>
      <c r="N147" s="33"/>
      <c r="O147" s="39"/>
      <c r="P147" s="37" t="str">
        <f>IFERROR(_xll.BCOUNTPERIODS($L$122,O147,"CDR=BZ")*1,"")</f>
        <v/>
      </c>
      <c r="Q147" s="37">
        <f>_xlfn.IFS(IPCA!$O$7=DATA!$T$26,PERIODS!U25,IPCA!$O$7=DATA!$T$27,PERIODS!W25,IPCA!$O$7=DATA!$T$28,PERIODS!Y25)</f>
        <v>475</v>
      </c>
      <c r="R147" s="8">
        <f>IFERROR(IF($K$61=$T$16,_xll.BInterpol(FUT!$R$7:$R$28, FUT!$Q$7:$Q$28, Q147, "Cubic","Skip=True"),_xll.BInterpol($P$126:$P$167, $M$126:$M$167, Q147, "Cubic","Skip=True"))*1,"")</f>
        <v>6.79</v>
      </c>
    </row>
    <row r="148" spans="2:18" x14ac:dyDescent="0.25">
      <c r="B148" s="3" t="str">
        <v>ODJ27 Comdty</v>
      </c>
      <c r="C148" s="33" t="str">
        <v>45M</v>
      </c>
      <c r="D148" s="33">
        <v>10.688000000000001</v>
      </c>
      <c r="E148" s="33">
        <v>933</v>
      </c>
      <c r="F148" s="39">
        <v>46477</v>
      </c>
      <c r="G148" s="37">
        <f>IFERROR(_xll.BCOUNTPERIODS($C$122,F148,"CDR=BZ")*1,"")</f>
        <v>955</v>
      </c>
      <c r="H148" s="37">
        <f>_xlfn.IFS(IPCA!$O$7=DATA!$T$26,PERIODS!U26,IPCA!$O$7=DATA!$T$27,PERIODS!W26,IPCA!$O$7=DATA!$T$28,PERIODS!Y26)</f>
        <v>496</v>
      </c>
      <c r="I148" s="8">
        <f>IFERROR(_xll.BInterpol($G$126:$G$167, $D$126:$D$167, H148, "Cubic","Skip=True")*1,"")</f>
        <v>10.924042589779328</v>
      </c>
      <c r="J148" s="34"/>
      <c r="K148" s="3"/>
      <c r="L148" s="33"/>
      <c r="M148" s="33"/>
      <c r="N148" s="33"/>
      <c r="O148" s="39"/>
      <c r="P148" s="37" t="str">
        <f>IFERROR(_xll.BCOUNTPERIODS($L$122,O148,"CDR=BZ")*1,"")</f>
        <v/>
      </c>
      <c r="Q148" s="37">
        <f>_xlfn.IFS(IPCA!$O$7=DATA!$T$26,PERIODS!U26,IPCA!$O$7=DATA!$T$27,PERIODS!W26,IPCA!$O$7=DATA!$T$28,PERIODS!Y26)</f>
        <v>496</v>
      </c>
      <c r="R148" s="8">
        <f>IFERROR(IF($K$61=$T$16,_xll.BInterpol(FUT!$R$7:$R$28, FUT!$Q$7:$Q$28, Q148, "Cubic","Skip=True"),_xll.BInterpol($P$126:$P$167, $M$126:$M$167, Q148, "Cubic","Skip=True"))*1,"")</f>
        <v>6.79</v>
      </c>
    </row>
    <row r="149" spans="2:18" x14ac:dyDescent="0.25">
      <c r="B149" s="3" t="str">
        <v>ODN27 Comdty</v>
      </c>
      <c r="C149" s="33" t="str">
        <v>4Y</v>
      </c>
      <c r="D149" s="33">
        <v>10.728999999999999</v>
      </c>
      <c r="E149" s="33">
        <v>1008</v>
      </c>
      <c r="F149" s="39">
        <v>46568</v>
      </c>
      <c r="G149" s="37">
        <f>IFERROR(_xll.BCOUNTPERIODS($C$122,F149,"CDR=BZ")*1,"")</f>
        <v>1018</v>
      </c>
      <c r="H149" s="37">
        <f>_xlfn.IFS(IPCA!$O$7=DATA!$T$26,PERIODS!U27,IPCA!$O$7=DATA!$T$27,PERIODS!W27,IPCA!$O$7=DATA!$T$28,PERIODS!Y27)</f>
        <v>516</v>
      </c>
      <c r="I149" s="8">
        <f>IFERROR(_xll.BInterpol($G$126:$G$167, $D$126:$D$167, H149, "Cubic","Skip=True")*1,"")</f>
        <v>10.872999999999999</v>
      </c>
      <c r="J149" s="34"/>
      <c r="K149" s="3"/>
      <c r="L149" s="33"/>
      <c r="M149" s="33"/>
      <c r="N149" s="33"/>
      <c r="O149" s="39"/>
      <c r="P149" s="37" t="str">
        <f>IFERROR(_xll.BCOUNTPERIODS($L$122,O149,"CDR=BZ")*1,"")</f>
        <v/>
      </c>
      <c r="Q149" s="37">
        <f>_xlfn.IFS(IPCA!$O$7=DATA!$T$26,PERIODS!U27,IPCA!$O$7=DATA!$T$27,PERIODS!W27,IPCA!$O$7=DATA!$T$28,PERIODS!Y27)</f>
        <v>516</v>
      </c>
      <c r="R149" s="8">
        <f>IFERROR(IF($K$61=$T$16,_xll.BInterpol(FUT!$R$7:$R$28, FUT!$Q$7:$Q$28, Q149, "Cubic","Skip=True"),_xll.BInterpol($P$126:$P$167, $M$126:$M$167, Q149, "Cubic","Skip=True"))*1,"")</f>
        <v>6.79</v>
      </c>
    </row>
    <row r="150" spans="2:18" x14ac:dyDescent="0.25">
      <c r="B150" s="3" t="str">
        <v>ODV27 Comdty</v>
      </c>
      <c r="C150" s="33" t="str">
        <v>51M</v>
      </c>
      <c r="D150" s="33">
        <v>10.750999999999999</v>
      </c>
      <c r="E150" s="33">
        <v>1057</v>
      </c>
      <c r="F150" s="39">
        <v>46660</v>
      </c>
      <c r="G150" s="37">
        <f>IFERROR(_xll.BCOUNTPERIODS($C$122,F150,"CDR=BZ")*1,"")</f>
        <v>1083</v>
      </c>
      <c r="H150" s="37">
        <f>_xlfn.IFS(IPCA!$O$7=DATA!$T$26,PERIODS!U28,IPCA!$O$7=DATA!$T$27,PERIODS!W28,IPCA!$O$7=DATA!$T$28,PERIODS!Y28)</f>
        <v>538</v>
      </c>
      <c r="I150" s="8">
        <f>IFERROR(_xll.BInterpol($G$126:$G$167, $D$126:$D$167, H150, "Cubic","Skip=True")*1,"")</f>
        <v>10.828090160510985</v>
      </c>
      <c r="J150" s="34"/>
      <c r="K150" s="3"/>
      <c r="L150" s="33"/>
      <c r="M150" s="33"/>
      <c r="N150" s="33"/>
      <c r="O150" s="39"/>
      <c r="P150" s="37" t="str">
        <f>IFERROR(_xll.BCOUNTPERIODS($L$122,O150,"CDR=BZ")*1,"")</f>
        <v/>
      </c>
      <c r="Q150" s="37">
        <f>_xlfn.IFS(IPCA!$O$7=DATA!$T$26,PERIODS!U28,IPCA!$O$7=DATA!$T$27,PERIODS!W28,IPCA!$O$7=DATA!$T$28,PERIODS!Y28)</f>
        <v>538</v>
      </c>
      <c r="R150" s="8">
        <f>IFERROR(IF($K$61=$T$16,_xll.BInterpol(FUT!$R$7:$R$28, FUT!$Q$7:$Q$28, Q150, "Cubic","Skip=True"),_xll.BInterpol($P$126:$P$167, $M$126:$M$167, Q150, "Cubic","Skip=True"))*1,"")</f>
        <v>6.79</v>
      </c>
    </row>
    <row r="151" spans="2:18" x14ac:dyDescent="0.25">
      <c r="B151" s="3" t="str">
        <v>ODF28 Comdty</v>
      </c>
      <c r="C151" s="33" t="str">
        <v>54M</v>
      </c>
      <c r="D151" s="33">
        <v>10.778</v>
      </c>
      <c r="E151" s="33">
        <v>1119</v>
      </c>
      <c r="F151" s="39">
        <v>46751</v>
      </c>
      <c r="G151" s="37">
        <f>IFERROR(_xll.BCOUNTPERIODS($C$122,F151,"CDR=BZ")*1,"")</f>
        <v>1145</v>
      </c>
      <c r="H151" s="37">
        <f>_xlfn.IFS(IPCA!$O$7=DATA!$T$26,PERIODS!U29,IPCA!$O$7=DATA!$T$27,PERIODS!W29,IPCA!$O$7=DATA!$T$28,PERIODS!Y29)</f>
        <v>560</v>
      </c>
      <c r="I151" s="8">
        <f>IFERROR(_xll.BInterpol($G$126:$G$167, $D$126:$D$167, H151, "Cubic","Skip=True")*1,"")</f>
        <v>10.789581367251593</v>
      </c>
      <c r="J151" s="34"/>
      <c r="K151" s="3"/>
      <c r="L151" s="33"/>
      <c r="M151" s="33"/>
      <c r="N151" s="33"/>
      <c r="O151" s="39"/>
      <c r="P151" s="37" t="str">
        <f>IFERROR(_xll.BCOUNTPERIODS($L$122,O151,"CDR=BZ")*1,"")</f>
        <v/>
      </c>
      <c r="Q151" s="37">
        <f>_xlfn.IFS(IPCA!$O$7=DATA!$T$26,PERIODS!U29,IPCA!$O$7=DATA!$T$27,PERIODS!W29,IPCA!$O$7=DATA!$T$28,PERIODS!Y29)</f>
        <v>560</v>
      </c>
      <c r="R151" s="8">
        <f>IFERROR(IF($K$61=$T$16,_xll.BInterpol(FUT!$R$7:$R$28, FUT!$Q$7:$Q$28, Q151, "Cubic","Skip=True"),_xll.BInterpol($P$126:$P$167, $M$126:$M$167, Q151, "Cubic","Skip=True"))*1,"")</f>
        <v>6.79</v>
      </c>
    </row>
    <row r="152" spans="2:18" x14ac:dyDescent="0.25">
      <c r="B152" s="3" t="str">
        <v>ODJ28 Comdty</v>
      </c>
      <c r="C152" s="33" t="str">
        <v>57M</v>
      </c>
      <c r="D152" s="33">
        <v>10.824999999999999</v>
      </c>
      <c r="E152" s="33">
        <v>1181</v>
      </c>
      <c r="F152" s="39">
        <v>46843</v>
      </c>
      <c r="G152" s="37">
        <f>IFERROR(_xll.BCOUNTPERIODS($C$122,F152,"CDR=BZ")*1,"")</f>
        <v>1209</v>
      </c>
      <c r="H152" s="37">
        <f>_xlfn.IFS(IPCA!$O$7=DATA!$T$26,PERIODS!U30,IPCA!$O$7=DATA!$T$27,PERIODS!W30,IPCA!$O$7=DATA!$T$28,PERIODS!Y30)</f>
        <v>582</v>
      </c>
      <c r="I152" s="8">
        <f>IFERROR(_xll.BInterpol($G$126:$G$167, $D$126:$D$167, H152, "Cubic","Skip=True")*1,"")</f>
        <v>10.75</v>
      </c>
      <c r="J152" s="34"/>
      <c r="K152" s="3"/>
      <c r="L152" s="33"/>
      <c r="M152" s="33"/>
      <c r="N152" s="33"/>
      <c r="O152" s="39"/>
      <c r="P152" s="37" t="str">
        <f>IFERROR(_xll.BCOUNTPERIODS($L$122,O152,"CDR=BZ")*1,"")</f>
        <v/>
      </c>
      <c r="Q152" s="37">
        <f>_xlfn.IFS(IPCA!$O$7=DATA!$T$26,PERIODS!U30,IPCA!$O$7=DATA!$T$27,PERIODS!W30,IPCA!$O$7=DATA!$T$28,PERIODS!Y30)</f>
        <v>582</v>
      </c>
      <c r="R152" s="8">
        <f>IFERROR(IF($K$61=$T$16,_xll.BInterpol(FUT!$R$7:$R$28, FUT!$Q$7:$Q$28, Q152, "Cubic","Skip=True"),_xll.BInterpol($P$126:$P$167, $M$126:$M$167, Q152, "Cubic","Skip=True"))*1,"")</f>
        <v>6.79</v>
      </c>
    </row>
    <row r="153" spans="2:18" x14ac:dyDescent="0.25">
      <c r="B153" s="3" t="str">
        <v>ODF29 Comdty</v>
      </c>
      <c r="C153" s="33" t="str">
        <v>66M</v>
      </c>
      <c r="D153" s="33">
        <v>10.944000000000001</v>
      </c>
      <c r="E153" s="33">
        <v>1368</v>
      </c>
      <c r="F153" s="39">
        <v>47115</v>
      </c>
      <c r="G153" s="37">
        <f>IFERROR(_xll.BCOUNTPERIODS($C$122,F153,"CDR=BZ")*1,"")</f>
        <v>1393</v>
      </c>
      <c r="H153" s="37">
        <f>_xlfn.IFS(IPCA!$O$7=DATA!$T$26,PERIODS!U31,IPCA!$O$7=DATA!$T$27,PERIODS!W31,IPCA!$O$7=DATA!$T$28,PERIODS!Y31)</f>
        <v>604</v>
      </c>
      <c r="I153" s="8">
        <f>IFERROR(_xll.BInterpol($G$126:$G$167, $D$126:$D$167, H153, "Cubic","Skip=True")*1,"")</f>
        <v>10.704909015931356</v>
      </c>
      <c r="J153" s="34"/>
      <c r="K153" s="3"/>
      <c r="L153" s="33"/>
      <c r="M153" s="33"/>
      <c r="N153" s="33"/>
      <c r="O153" s="39"/>
      <c r="P153" s="37" t="str">
        <f>IFERROR(_xll.BCOUNTPERIODS($L$122,O153,"CDR=BZ")*1,"")</f>
        <v/>
      </c>
      <c r="Q153" s="37">
        <f>_xlfn.IFS(IPCA!$O$7=DATA!$T$26,PERIODS!U31,IPCA!$O$7=DATA!$T$27,PERIODS!W31,IPCA!$O$7=DATA!$T$28,PERIODS!Y31)</f>
        <v>604</v>
      </c>
      <c r="R153" s="8">
        <f>IFERROR(IF($K$61=$T$16,_xll.BInterpol(FUT!$R$7:$R$28, FUT!$Q$7:$Q$28, Q153, "Cubic","Skip=True"),_xll.BInterpol($P$126:$P$167, $M$126:$M$167, Q153, "Cubic","Skip=True"))*1,"")</f>
        <v>6.79</v>
      </c>
    </row>
    <row r="154" spans="2:18" x14ac:dyDescent="0.25">
      <c r="B154" s="3" t="str">
        <v>ODF30 Comdty</v>
      </c>
      <c r="C154" s="33" t="str">
        <v>78M</v>
      </c>
      <c r="D154" s="33">
        <v>11.065</v>
      </c>
      <c r="E154" s="33">
        <v>1616</v>
      </c>
      <c r="F154" s="39">
        <v>47480</v>
      </c>
      <c r="G154" s="37">
        <f>IFERROR(_xll.BCOUNTPERIODS($C$122,F154,"CDR=BZ")*1,"")</f>
        <v>1642</v>
      </c>
      <c r="H154" s="37">
        <f>_xlfn.IFS(IPCA!$O$7=DATA!$T$26,PERIODS!U32,IPCA!$O$7=DATA!$T$27,PERIODS!W32,IPCA!$O$7=DATA!$T$28,PERIODS!Y32)</f>
        <v>624</v>
      </c>
      <c r="I154" s="8">
        <f>IFERROR(_xll.BInterpol($G$126:$G$167, $D$126:$D$167, H154, "Cubic","Skip=True")*1,"")</f>
        <v>10.665543426463982</v>
      </c>
      <c r="J154" s="34"/>
      <c r="K154" s="3"/>
      <c r="L154" s="33"/>
      <c r="M154" s="33"/>
      <c r="N154" s="33"/>
      <c r="O154" s="39"/>
      <c r="P154" s="37" t="str">
        <f>IFERROR(_xll.BCOUNTPERIODS($L$122,O154,"CDR=BZ")*1,"")</f>
        <v/>
      </c>
      <c r="Q154" s="37">
        <f>_xlfn.IFS(IPCA!$O$7=DATA!$T$26,PERIODS!U32,IPCA!$O$7=DATA!$T$27,PERIODS!W32,IPCA!$O$7=DATA!$T$28,PERIODS!Y32)</f>
        <v>624</v>
      </c>
      <c r="R154" s="8">
        <f>IFERROR(IF($K$61=$T$16,_xll.BInterpol(FUT!$R$7:$R$28, FUT!$Q$7:$Q$28, Q154, "Cubic","Skip=True"),_xll.BInterpol($P$126:$P$167, $M$126:$M$167, Q154, "Cubic","Skip=True"))*1,"")</f>
        <v>6.79</v>
      </c>
    </row>
    <row r="155" spans="2:18" x14ac:dyDescent="0.25">
      <c r="B155" s="3" t="str">
        <v>ODF31 Comdty</v>
      </c>
      <c r="C155" s="33" t="str">
        <v>90M</v>
      </c>
      <c r="D155" s="33">
        <v>11.172000000000001</v>
      </c>
      <c r="E155" s="33">
        <v>1865</v>
      </c>
      <c r="F155" s="39">
        <v>47847</v>
      </c>
      <c r="G155" s="37">
        <f>IFERROR(_xll.BCOUNTPERIODS($C$122,F155,"CDR=BZ")*1,"")</f>
        <v>1894</v>
      </c>
      <c r="H155" s="37">
        <f>_xlfn.IFS(IPCA!$O$7=DATA!$T$26,PERIODS!U33,IPCA!$O$7=DATA!$T$27,PERIODS!W33,IPCA!$O$7=DATA!$T$28,PERIODS!Y33)</f>
        <v>645</v>
      </c>
      <c r="I155" s="8">
        <f>IFERROR(_xll.BInterpol($G$126:$G$167, $D$126:$D$167, H155, "Cubic","Skip=True")*1,"")</f>
        <v>10.635</v>
      </c>
      <c r="J155" s="34"/>
      <c r="K155" s="3"/>
      <c r="L155" s="33"/>
      <c r="M155" s="33"/>
      <c r="N155" s="33"/>
      <c r="O155" s="39"/>
      <c r="P155" s="37" t="str">
        <f>IFERROR(_xll.BCOUNTPERIODS($L$122,O155,"CDR=BZ")*1,"")</f>
        <v/>
      </c>
      <c r="Q155" s="37">
        <f>_xlfn.IFS(IPCA!$O$7=DATA!$T$26,PERIODS!U33,IPCA!$O$7=DATA!$T$27,PERIODS!W33,IPCA!$O$7=DATA!$T$28,PERIODS!Y33)</f>
        <v>645</v>
      </c>
      <c r="R155" s="8">
        <f>IFERROR(IF($K$61=$T$16,_xll.BInterpol(FUT!$R$7:$R$28, FUT!$Q$7:$Q$28, Q155, "Cubic","Skip=True"),_xll.BInterpol($P$126:$P$167, $M$126:$M$167, Q155, "Cubic","Skip=True"))*1,"")</f>
        <v>6.79</v>
      </c>
    </row>
    <row r="156" spans="2:18" x14ac:dyDescent="0.25">
      <c r="B156" s="3" t="str">
        <v>ODF32 Comdty</v>
      </c>
      <c r="C156" s="33" t="str">
        <v>8Y</v>
      </c>
      <c r="D156" s="33">
        <v>11.217000000000001</v>
      </c>
      <c r="E156" s="33">
        <v>2016</v>
      </c>
      <c r="F156" s="39">
        <v>48212</v>
      </c>
      <c r="G156" s="37">
        <f>IFERROR(_xll.BCOUNTPERIODS($C$122,F156,"CDR=BZ")*1,"")</f>
        <v>2146</v>
      </c>
      <c r="H156" s="37">
        <f>_xlfn.IFS(IPCA!$O$7=DATA!$T$26,PERIODS!U34,IPCA!$O$7=DATA!$T$27,PERIODS!W34,IPCA!$O$7=DATA!$T$28,PERIODS!Y34)</f>
        <v>667</v>
      </c>
      <c r="I156" s="8">
        <f>IFERROR(_xll.BInterpol($G$126:$G$167, $D$126:$D$167, H156, "Cubic","Skip=True")*1,"")</f>
        <v>10.621376330681002</v>
      </c>
      <c r="J156" s="34"/>
      <c r="K156" s="3"/>
      <c r="L156" s="33"/>
      <c r="M156" s="33"/>
      <c r="N156" s="33"/>
      <c r="O156" s="39"/>
      <c r="P156" s="37" t="str">
        <f>IFERROR(_xll.BCOUNTPERIODS($L$122,O156,"CDR=BZ")*1,"")</f>
        <v/>
      </c>
      <c r="Q156" s="37">
        <f>_xlfn.IFS(IPCA!$O$7=DATA!$T$26,PERIODS!U34,IPCA!$O$7=DATA!$T$27,PERIODS!W34,IPCA!$O$7=DATA!$T$28,PERIODS!Y34)</f>
        <v>667</v>
      </c>
      <c r="R156" s="8">
        <f>IFERROR(IF($K$61=$T$16,_xll.BInterpol(FUT!$R$7:$R$28, FUT!$Q$7:$Q$28, Q156, "Cubic","Skip=True"),_xll.BInterpol($P$126:$P$167, $M$126:$M$167, Q156, "Cubic","Skip=True"))*1,"")</f>
        <v>6.79</v>
      </c>
    </row>
    <row r="157" spans="2:18" x14ac:dyDescent="0.25">
      <c r="B157" s="3" t="str">
        <v>ODF33 Comdty</v>
      </c>
      <c r="C157" s="33" t="str">
        <v>9Y</v>
      </c>
      <c r="D157" s="33">
        <v>11.303000000000001</v>
      </c>
      <c r="E157" s="33">
        <v>2268</v>
      </c>
      <c r="F157" s="39">
        <v>48578</v>
      </c>
      <c r="G157" s="37">
        <f>IFERROR(_xll.BCOUNTPERIODS($C$122,F157,"CDR=BZ")*1,"")</f>
        <v>2398</v>
      </c>
      <c r="H157" s="37">
        <f>_xlfn.IFS(IPCA!$O$7=DATA!$T$26,PERIODS!U35,IPCA!$O$7=DATA!$T$27,PERIODS!W35,IPCA!$O$7=DATA!$T$28,PERIODS!Y35)</f>
        <v>685</v>
      </c>
      <c r="I157" s="8">
        <f>IFERROR(_xll.BInterpol($G$126:$G$167, $D$126:$D$167, H157, "Cubic","Skip=True")*1,"")</f>
        <v>10.619572426712736</v>
      </c>
      <c r="J157" s="34"/>
      <c r="K157" s="3"/>
      <c r="L157" s="33"/>
      <c r="M157" s="33"/>
      <c r="N157" s="33"/>
      <c r="O157" s="39"/>
      <c r="P157" s="37" t="str">
        <f>IFERROR(_xll.BCOUNTPERIODS($L$122,O157,"CDR=BZ")*1,"")</f>
        <v/>
      </c>
      <c r="Q157" s="37">
        <f>_xlfn.IFS(IPCA!$O$7=DATA!$T$26,PERIODS!U35,IPCA!$O$7=DATA!$T$27,PERIODS!W35,IPCA!$O$7=DATA!$T$28,PERIODS!Y35)</f>
        <v>685</v>
      </c>
      <c r="R157" s="8">
        <f>IFERROR(IF($K$61=$T$16,_xll.BInterpol(FUT!$R$7:$R$28, FUT!$Q$7:$Q$28, Q157, "Cubic","Skip=True"),_xll.BInterpol($P$126:$P$167, $M$126:$M$167, Q157, "Cubic","Skip=True"))*1,"")</f>
        <v>6.79</v>
      </c>
    </row>
    <row r="158" spans="2:18" x14ac:dyDescent="0.25">
      <c r="B158" s="3" t="str">
        <v>ODF34 Comdty</v>
      </c>
      <c r="C158" s="33" t="str">
        <v>10Y</v>
      </c>
      <c r="D158" s="33">
        <v>11.307</v>
      </c>
      <c r="E158" s="33">
        <v>2520</v>
      </c>
      <c r="F158" s="39">
        <v>48942</v>
      </c>
      <c r="G158" s="37">
        <f>IFERROR(_xll.BCOUNTPERIODS($C$122,F158,"CDR=BZ")*1,"")</f>
        <v>2649</v>
      </c>
      <c r="H158" s="37">
        <f>_xlfn.IFS(IPCA!$O$7=DATA!$T$26,PERIODS!U36,IPCA!$O$7=DATA!$T$27,PERIODS!W36,IPCA!$O$7=DATA!$T$28,PERIODS!Y36)</f>
        <v>706</v>
      </c>
      <c r="I158" s="8">
        <f>IFERROR(_xll.BInterpol($G$126:$G$167, $D$126:$D$167, H158, "Cubic","Skip=True")*1,"")</f>
        <v>10.620049642452679</v>
      </c>
      <c r="J158" s="34"/>
      <c r="K158" s="3"/>
      <c r="L158" s="33"/>
      <c r="M158" s="33"/>
      <c r="N158" s="33"/>
      <c r="O158" s="39"/>
      <c r="P158" s="37" t="str">
        <f>IFERROR(_xll.BCOUNTPERIODS($L$122,O158,"CDR=BZ")*1,"")</f>
        <v/>
      </c>
      <c r="Q158" s="37">
        <f>_xlfn.IFS(IPCA!$O$7=DATA!$T$26,PERIODS!U36,IPCA!$O$7=DATA!$T$27,PERIODS!W36,IPCA!$O$7=DATA!$T$28,PERIODS!Y36)</f>
        <v>706</v>
      </c>
      <c r="R158" s="8">
        <f>IFERROR(IF($K$61=$T$16,_xll.BInterpol(FUT!$R$7:$R$28, FUT!$Q$7:$Q$28, Q158, "Cubic","Skip=True"),_xll.BInterpol($P$126:$P$167, $M$126:$M$167, Q158, "Cubic","Skip=True"))*1,"")</f>
        <v>6.79</v>
      </c>
    </row>
    <row r="159" spans="2:18" x14ac:dyDescent="0.25">
      <c r="B159" s="3" t="str">
        <v>ODF35 Comdty</v>
      </c>
      <c r="C159" s="33" t="str">
        <v>11Y</v>
      </c>
      <c r="D159" s="33">
        <v>11.324</v>
      </c>
      <c r="E159" s="33">
        <v>2772</v>
      </c>
      <c r="F159" s="39">
        <v>49306</v>
      </c>
      <c r="G159" s="37">
        <f>IFERROR(_xll.BCOUNTPERIODS($C$122,F159,"CDR=BZ")*1,"")</f>
        <v>2897</v>
      </c>
      <c r="H159" s="37">
        <f>_xlfn.IFS(IPCA!$O$7=DATA!$T$26,PERIODS!U37,IPCA!$O$7=DATA!$T$27,PERIODS!W37,IPCA!$O$7=DATA!$T$28,PERIODS!Y37)</f>
        <v>727</v>
      </c>
      <c r="I159" s="8">
        <f>IFERROR(_xll.BInterpol($G$126:$G$167, $D$126:$D$167, H159, "Cubic","Skip=True")*1,"")</f>
        <v>10.616865007637498</v>
      </c>
      <c r="J159" s="34"/>
      <c r="K159" s="3"/>
      <c r="L159" s="33"/>
      <c r="M159" s="33"/>
      <c r="N159" s="33"/>
      <c r="O159" s="39"/>
      <c r="P159" s="37" t="str">
        <f>IFERROR(_xll.BCOUNTPERIODS($L$122,O159,"CDR=BZ")*1,"")</f>
        <v/>
      </c>
      <c r="Q159" s="37">
        <f>_xlfn.IFS(IPCA!$O$7=DATA!$T$26,PERIODS!U37,IPCA!$O$7=DATA!$T$27,PERIODS!W37,IPCA!$O$7=DATA!$T$28,PERIODS!Y37)</f>
        <v>727</v>
      </c>
      <c r="R159" s="8">
        <f>IFERROR(IF($K$61=$T$16,_xll.BInterpol(FUT!$R$7:$R$28, FUT!$Q$7:$Q$28, Q159, "Cubic","Skip=True"),_xll.BInterpol($P$126:$P$167, $M$126:$M$167, Q159, "Cubic","Skip=True"))*1,"")</f>
        <v>6.79</v>
      </c>
    </row>
    <row r="160" spans="2:18" x14ac:dyDescent="0.25">
      <c r="B160" s="3" t="str">
        <v>ODF36 Comdty</v>
      </c>
      <c r="C160" s="33" t="str">
        <v>12Y</v>
      </c>
      <c r="D160" s="33">
        <v>11.364000000000001</v>
      </c>
      <c r="E160" s="33">
        <v>3024</v>
      </c>
      <c r="F160" s="39">
        <v>49671</v>
      </c>
      <c r="G160" s="37">
        <f>IFERROR(_xll.BCOUNTPERIODS($C$122,F160,"CDR=BZ")*1,"")</f>
        <v>3146</v>
      </c>
      <c r="H160" s="37">
        <f>_xlfn.IFS(IPCA!$O$7=DATA!$T$26,PERIODS!U38,IPCA!$O$7=DATA!$T$27,PERIODS!W38,IPCA!$O$7=DATA!$T$28,PERIODS!Y38)</f>
        <v>747</v>
      </c>
      <c r="I160" s="8">
        <f>IFERROR(_xll.BInterpol($G$126:$G$167, $D$126:$D$167, H160, "Cubic","Skip=True")*1,"")</f>
        <v>10.612886509810702</v>
      </c>
      <c r="J160" s="34"/>
      <c r="K160" s="3"/>
      <c r="L160" s="33"/>
      <c r="M160" s="33"/>
      <c r="N160" s="33"/>
      <c r="O160" s="39"/>
      <c r="P160" s="37" t="str">
        <f>IFERROR(_xll.BCOUNTPERIODS($L$122,O160,"CDR=BZ")*1,"")</f>
        <v/>
      </c>
      <c r="Q160" s="37">
        <f>_xlfn.IFS(IPCA!$O$7=DATA!$T$26,PERIODS!U38,IPCA!$O$7=DATA!$T$27,PERIODS!W38,IPCA!$O$7=DATA!$T$28,PERIODS!Y38)</f>
        <v>747</v>
      </c>
      <c r="R160" s="8">
        <f>IFERROR(IF($K$61=$T$16,_xll.BInterpol(FUT!$R$7:$R$28, FUT!$Q$7:$Q$28, Q160, "Cubic","Skip=True"),_xll.BInterpol($P$126:$P$167, $M$126:$M$167, Q160, "Cubic","Skip=True"))*1,"")</f>
        <v>6.79</v>
      </c>
    </row>
    <row r="161" spans="2:18" x14ac:dyDescent="0.25">
      <c r="B161" s="3" t="str">
        <v>ODF37 Comdty</v>
      </c>
      <c r="C161" s="33" t="str">
        <v>13Y</v>
      </c>
      <c r="D161" s="33">
        <v>11.382999999999999</v>
      </c>
      <c r="E161" s="33">
        <v>3276</v>
      </c>
      <c r="F161" s="39">
        <v>50039</v>
      </c>
      <c r="G161" s="37">
        <f>IFERROR(_xll.BCOUNTPERIODS($C$122,F161,"CDR=BZ")*1,"")</f>
        <v>3399</v>
      </c>
      <c r="H161" s="37">
        <f>_xlfn.IFS(IPCA!$O$7=DATA!$T$26,PERIODS!U39,IPCA!$O$7=DATA!$T$27,PERIODS!W39,IPCA!$O$7=DATA!$T$28,PERIODS!Y39)</f>
        <v>768</v>
      </c>
      <c r="I161" s="8">
        <f>IFERROR(_xll.BInterpol($G$126:$G$167, $D$126:$D$167, H161, "Cubic","Skip=True")*1,"")</f>
        <v>10.613</v>
      </c>
      <c r="J161" s="34"/>
      <c r="K161" s="3"/>
      <c r="L161" s="33"/>
      <c r="M161" s="33"/>
      <c r="N161" s="33"/>
      <c r="O161" s="39"/>
      <c r="P161" s="37" t="str">
        <f>IFERROR(_xll.BCOUNTPERIODS($L$122,O161,"CDR=BZ")*1,"")</f>
        <v/>
      </c>
      <c r="Q161" s="37">
        <f>_xlfn.IFS(IPCA!$O$7=DATA!$T$26,PERIODS!U39,IPCA!$O$7=DATA!$T$27,PERIODS!W39,IPCA!$O$7=DATA!$T$28,PERIODS!Y39)</f>
        <v>768</v>
      </c>
      <c r="R161" s="8">
        <f>IFERROR(IF($K$61=$T$16,_xll.BInterpol(FUT!$R$7:$R$28, FUT!$Q$7:$Q$28, Q161, "Cubic","Skip=True"),_xll.BInterpol($P$126:$P$167, $M$126:$M$167, Q161, "Cubic","Skip=True"))*1,"")</f>
        <v>6.79</v>
      </c>
    </row>
    <row r="162" spans="2:18" x14ac:dyDescent="0.25">
      <c r="B162" s="3" t="str">
        <v>ODF38 Comdty</v>
      </c>
      <c r="C162" s="33" t="str">
        <v>14Y</v>
      </c>
      <c r="D162" s="33">
        <v>11.382999999999999</v>
      </c>
      <c r="E162" s="33">
        <v>3528</v>
      </c>
      <c r="F162" s="39">
        <v>50404</v>
      </c>
      <c r="G162" s="37">
        <f>IFERROR(_xll.BCOUNTPERIODS($C$122,F162,"CDR=BZ")*1,"")</f>
        <v>3648</v>
      </c>
      <c r="H162" s="37">
        <f>_xlfn.IFS(IPCA!$O$7=DATA!$T$26,PERIODS!U40,IPCA!$O$7=DATA!$T$27,PERIODS!W40,IPCA!$O$7=DATA!$T$28,PERIODS!Y40)</f>
        <v>790</v>
      </c>
      <c r="I162" s="8">
        <f>IFERROR(_xll.BInterpol($G$126:$G$167, $D$126:$D$167, H162, "Cubic","Skip=True")*1,"")</f>
        <v>10.621489194896416</v>
      </c>
      <c r="J162" s="34"/>
      <c r="K162" s="3"/>
      <c r="L162" s="33"/>
      <c r="M162" s="33"/>
      <c r="N162" s="33"/>
      <c r="O162" s="39"/>
      <c r="P162" s="37" t="str">
        <f>IFERROR(_xll.BCOUNTPERIODS($L$122,O162,"CDR=BZ")*1,"")</f>
        <v/>
      </c>
      <c r="Q162" s="37">
        <f>_xlfn.IFS(IPCA!$O$7=DATA!$T$26,PERIODS!U40,IPCA!$O$7=DATA!$T$27,PERIODS!W40,IPCA!$O$7=DATA!$T$28,PERIODS!Y40)</f>
        <v>790</v>
      </c>
      <c r="R162" s="8">
        <f>IFERROR(IF($K$61=$T$16,_xll.BInterpol(FUT!$R$7:$R$28, FUT!$Q$7:$Q$28, Q162, "Cubic","Skip=True"),_xll.BInterpol($P$126:$P$167, $M$126:$M$167, Q162, "Cubic","Skip=True"))*1,"")</f>
        <v>6.79</v>
      </c>
    </row>
    <row r="163" spans="2:18" x14ac:dyDescent="0.25">
      <c r="B163" s="3"/>
      <c r="C163" s="33"/>
      <c r="D163" s="37"/>
      <c r="E163" s="37"/>
      <c r="F163" s="39"/>
      <c r="G163" s="37" t="str">
        <f>IFERROR(_xll.BCOUNTPERIODS($C$122,F163,"CDR=BZ")*1,"")</f>
        <v/>
      </c>
      <c r="H163" s="37">
        <f>_xlfn.IFS(IPCA!$O$7=DATA!$T$26,PERIODS!U41,IPCA!$O$7=DATA!$T$27,PERIODS!W41,IPCA!$O$7=DATA!$T$28,PERIODS!Y41)</f>
        <v>811</v>
      </c>
      <c r="I163" s="8">
        <f>IFERROR(_xll.BInterpol($G$126:$G$167, $D$126:$D$167, H163, "Cubic","Skip=True")*1,"")</f>
        <v>10.633077652246898</v>
      </c>
      <c r="J163" s="34"/>
      <c r="K163" s="3"/>
      <c r="L163" s="33"/>
      <c r="M163" s="37"/>
      <c r="N163" s="37"/>
      <c r="O163" s="37"/>
      <c r="P163" s="37" t="str">
        <f>IFERROR(_xll.BCOUNTPERIODS($L$122,O163,"CDR=BZ")*1,"")</f>
        <v/>
      </c>
      <c r="Q163" s="37">
        <f>_xlfn.IFS(IPCA!$O$7=DATA!$T$26,PERIODS!U41,IPCA!$O$7=DATA!$T$27,PERIODS!W41,IPCA!$O$7=DATA!$T$28,PERIODS!Y41)</f>
        <v>811</v>
      </c>
      <c r="R163" s="8">
        <f>IFERROR(IF($K$61=$T$16,_xll.BInterpol(FUT!$R$7:$R$28, FUT!$Q$7:$Q$28, Q163, "Cubic","Skip=True"),_xll.BInterpol($P$126:$P$167, $M$126:$M$167, Q163, "Cubic","Skip=True"))*1,"")</f>
        <v>6.79</v>
      </c>
    </row>
    <row r="164" spans="2:18" x14ac:dyDescent="0.25">
      <c r="B164" s="3"/>
      <c r="C164" s="33"/>
      <c r="D164" s="37"/>
      <c r="E164" s="37"/>
      <c r="F164" s="39"/>
      <c r="G164" s="37" t="str">
        <f>IFERROR(_xll.BCOUNTPERIODS($C$122,F164,"CDR=BZ")*1,"")</f>
        <v/>
      </c>
      <c r="H164" s="37">
        <f>_xlfn.IFS(IPCA!$O$7=DATA!$T$26,PERIODS!U42,IPCA!$O$7=DATA!$T$27,PERIODS!W42,IPCA!$O$7=DATA!$T$28,PERIODS!Y42)</f>
        <v>833</v>
      </c>
      <c r="I164" s="8">
        <f>IFERROR(_xll.BInterpol($G$126:$G$167, $D$126:$D$167, H164, "Cubic","Skip=True")*1,"")</f>
        <v>10.641999999999999</v>
      </c>
      <c r="J164" s="34"/>
      <c r="K164" s="3"/>
      <c r="L164" s="33"/>
      <c r="M164" s="37"/>
      <c r="N164" s="37"/>
      <c r="O164" s="37"/>
      <c r="P164" s="37" t="str">
        <f>IFERROR(_xll.BCOUNTPERIODS($L$122,O164,"CDR=BZ")*1,"")</f>
        <v/>
      </c>
      <c r="Q164" s="37">
        <f>_xlfn.IFS(IPCA!$O$7=DATA!$T$26,PERIODS!U42,IPCA!$O$7=DATA!$T$27,PERIODS!W42,IPCA!$O$7=DATA!$T$28,PERIODS!Y42)</f>
        <v>833</v>
      </c>
      <c r="R164" s="8">
        <f>IFERROR(IF($K$61=$T$16,_xll.BInterpol(FUT!$R$7:$R$28, FUT!$Q$7:$Q$28, Q164, "Cubic","Skip=True"),_xll.BInterpol($P$126:$P$167, $M$126:$M$167, Q164, "Cubic","Skip=True"))*1,"")</f>
        <v>6.79</v>
      </c>
    </row>
    <row r="165" spans="2:18" x14ac:dyDescent="0.25">
      <c r="B165" s="3"/>
      <c r="C165" s="33"/>
      <c r="D165" s="37"/>
      <c r="E165" s="37"/>
      <c r="F165" s="37"/>
      <c r="G165" s="37" t="str">
        <f>IFERROR(_xll.BCOUNTPERIODS($C$122,F165,"CDR=BZ")*1,"")</f>
        <v/>
      </c>
      <c r="H165" s="37">
        <f>_xlfn.IFS(IPCA!$O$7=DATA!$T$26,PERIODS!U43,IPCA!$O$7=DATA!$T$27,PERIODS!W43,IPCA!$O$7=DATA!$T$28,PERIODS!Y43)</f>
        <v>854</v>
      </c>
      <c r="I165" s="8">
        <f>IFERROR(_xll.BInterpol($G$126:$G$167, $D$126:$D$167, H165, "Cubic","Skip=True")*1,"")</f>
        <v>10.643164037099037</v>
      </c>
      <c r="J165" s="34"/>
      <c r="K165" s="3"/>
      <c r="L165" s="33"/>
      <c r="M165" s="37"/>
      <c r="N165" s="37"/>
      <c r="O165" s="37"/>
      <c r="P165" s="37" t="str">
        <f>IFERROR(_xll.BCOUNTPERIODS($L$122,O165,"CDR=BZ")*1,"")</f>
        <v/>
      </c>
      <c r="Q165" s="37">
        <f>_xlfn.IFS(IPCA!$O$7=DATA!$T$26,PERIODS!U43,IPCA!$O$7=DATA!$T$27,PERIODS!W43,IPCA!$O$7=DATA!$T$28,PERIODS!Y43)</f>
        <v>854</v>
      </c>
      <c r="R165" s="8">
        <f>IFERROR(IF($K$61=$T$16,_xll.BInterpol(FUT!$R$7:$R$28, FUT!$Q$7:$Q$28, Q165, "Cubic","Skip=True"),_xll.BInterpol($P$126:$P$167, $M$126:$M$167, Q165, "Cubic","Skip=True"))*1,"")</f>
        <v>6.79</v>
      </c>
    </row>
    <row r="166" spans="2:18" x14ac:dyDescent="0.25">
      <c r="B166" s="3"/>
      <c r="C166" s="33"/>
      <c r="D166" s="37"/>
      <c r="E166" s="37"/>
      <c r="F166" s="37"/>
      <c r="G166" s="37" t="str">
        <f>IFERROR(_xll.BCOUNTPERIODS($C$122,F166,"CDR=BZ")*1,"")</f>
        <v/>
      </c>
      <c r="H166" s="37">
        <f>_xlfn.IFS(IPCA!$O$7=DATA!$T$26,PERIODS!U44,IPCA!$O$7=DATA!$T$27,PERIODS!W44,IPCA!$O$7=DATA!$T$28,PERIODS!Y44)</f>
        <v>1018</v>
      </c>
      <c r="I166" s="8">
        <f>IFERROR(_xll.BInterpol($G$126:$G$167, $D$126:$D$167, H166, "Cubic","Skip=True")*1,"")</f>
        <v>10.728999999999999</v>
      </c>
      <c r="J166" s="34"/>
      <c r="K166" s="3"/>
      <c r="L166" s="33"/>
      <c r="M166" s="37"/>
      <c r="N166" s="37"/>
      <c r="O166" s="37"/>
      <c r="P166" s="37" t="str">
        <f>IFERROR(_xll.BCOUNTPERIODS($L$122,O166,"CDR=BZ")*1,"")</f>
        <v/>
      </c>
      <c r="Q166" s="37">
        <f>_xlfn.IFS(IPCA!$O$7=DATA!$T$26,PERIODS!U44,IPCA!$O$7=DATA!$T$27,PERIODS!W44,IPCA!$O$7=DATA!$T$28,PERIODS!Y44)</f>
        <v>1018</v>
      </c>
      <c r="R166" s="8">
        <f>IFERROR(IF($K$61=$T$16,_xll.BInterpol(FUT!$R$7:$R$28, FUT!$Q$7:$Q$28, Q166, "Cubic","Skip=True"),_xll.BInterpol($P$126:$P$167, $M$126:$M$167, Q166, "Cubic","Skip=True"))*1,"")</f>
        <v>6.79</v>
      </c>
    </row>
    <row r="167" spans="2:18" ht="15.75" thickBot="1" x14ac:dyDescent="0.3">
      <c r="B167" s="18"/>
      <c r="C167" s="9"/>
      <c r="D167" s="9"/>
      <c r="E167" s="9"/>
      <c r="F167" s="9"/>
      <c r="G167" s="9" t="str">
        <f>IFERROR(_xll.BCOUNTPERIODS($C$122,F167,"CDR=BZ")*1,"")</f>
        <v/>
      </c>
      <c r="H167" s="37">
        <f>_xlfn.IFS(IPCA!$O$7=DATA!$T$26,PERIODS!U45,IPCA!$O$7=DATA!$T$27,PERIODS!W45,IPCA!$O$7=DATA!$T$28,PERIODS!Y45)</f>
        <v>1270</v>
      </c>
      <c r="I167" s="10">
        <f>IFERROR(_xll.BInterpol($G$126:$G$167, $D$126:$D$167, H167, "Cubic","Skip=True")*1,"")</f>
        <v>10.869322668484738</v>
      </c>
      <c r="J167" s="34"/>
      <c r="K167" s="18"/>
      <c r="L167" s="9"/>
      <c r="M167" s="9"/>
      <c r="N167" s="9"/>
      <c r="O167" s="9"/>
      <c r="P167" s="9" t="str">
        <f>IFERROR(_xll.BCOUNTPERIODS($L$122,O167,"CDR=BZ")*1,"")</f>
        <v/>
      </c>
      <c r="Q167" s="37">
        <f>_xlfn.IFS(IPCA!$O$7=DATA!$T$26,PERIODS!U45,IPCA!$O$7=DATA!$T$27,PERIODS!W45,IPCA!$O$7=DATA!$T$28,PERIODS!Y45)</f>
        <v>1270</v>
      </c>
      <c r="R167" s="8">
        <f>IFERROR(IF($K$61=$T$16,_xll.BInterpol(FUT!$R$7:$R$28, FUT!$Q$7:$Q$28, Q167, "Cubic","Skip=True"),_xll.BInterpol($P$126:$P$167, $M$126:$M$167, Q167, "Cubic","Skip=True"))*1,"")</f>
        <v>6.79</v>
      </c>
    </row>
  </sheetData>
  <mergeCells count="5">
    <mergeCell ref="U9:X9"/>
    <mergeCell ref="U18:X18"/>
    <mergeCell ref="U17:X17"/>
    <mergeCell ref="U16:X16"/>
    <mergeCell ref="U10:X10"/>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69F64-583B-48F2-B1BE-0222441AEB1A}">
  <dimension ref="A2:AC106"/>
  <sheetViews>
    <sheetView showGridLines="0" workbookViewId="0">
      <selection activeCell="I8" sqref="I8"/>
    </sheetView>
  </sheetViews>
  <sheetFormatPr defaultRowHeight="15" x14ac:dyDescent="0.25"/>
  <cols>
    <col min="1" max="1" width="5.5703125" customWidth="1"/>
    <col min="2" max="2" width="7.85546875" bestFit="1" customWidth="1"/>
    <col min="3" max="3" width="10.7109375" bestFit="1" customWidth="1"/>
    <col min="4" max="5" width="16" bestFit="1" customWidth="1"/>
    <col min="6" max="6" width="18.140625" bestFit="1" customWidth="1"/>
    <col min="7" max="7" width="15.28515625" bestFit="1" customWidth="1"/>
    <col min="8" max="8" width="12.5703125" bestFit="1" customWidth="1"/>
    <col min="9" max="9" width="6.85546875" bestFit="1" customWidth="1"/>
    <col min="10" max="10" width="6.140625" bestFit="1" customWidth="1"/>
    <col min="11" max="11" width="7.85546875" bestFit="1" customWidth="1"/>
    <col min="12" max="12" width="10.42578125" bestFit="1" customWidth="1"/>
    <col min="13" max="14" width="16" bestFit="1" customWidth="1"/>
    <col min="15" max="15" width="15.28515625" bestFit="1" customWidth="1"/>
    <col min="16" max="16" width="14.140625" bestFit="1" customWidth="1"/>
    <col min="17" max="17" width="12.5703125" bestFit="1" customWidth="1"/>
    <col min="18" max="18" width="6.140625" bestFit="1" customWidth="1"/>
    <col min="19" max="19" width="4.7109375" customWidth="1"/>
    <col min="20" max="20" width="7.85546875" bestFit="1" customWidth="1"/>
    <col min="21" max="21" width="10.42578125" bestFit="1" customWidth="1"/>
    <col min="22" max="23" width="16" bestFit="1" customWidth="1"/>
    <col min="24" max="25" width="14.140625" bestFit="1" customWidth="1"/>
    <col min="26" max="26" width="12.5703125" bestFit="1" customWidth="1"/>
    <col min="27" max="27" width="8.42578125" bestFit="1" customWidth="1"/>
    <col min="29" max="29" width="13.85546875" bestFit="1" customWidth="1"/>
  </cols>
  <sheetData>
    <row r="2" spans="1:29" x14ac:dyDescent="0.25">
      <c r="C2" s="5"/>
    </row>
    <row r="3" spans="1:29" x14ac:dyDescent="0.25">
      <c r="C3" s="5"/>
    </row>
    <row r="4" spans="1:29" x14ac:dyDescent="0.25">
      <c r="F4" s="32" t="s">
        <v>84</v>
      </c>
      <c r="G4" s="32" t="s">
        <v>199</v>
      </c>
      <c r="N4" s="32" t="s">
        <v>84</v>
      </c>
      <c r="O4" s="32" t="s">
        <v>199</v>
      </c>
      <c r="V4" s="32" t="s">
        <v>84</v>
      </c>
      <c r="W4" s="32" t="s">
        <v>199</v>
      </c>
    </row>
    <row r="5" spans="1:29" ht="15.75" thickBot="1" x14ac:dyDescent="0.3">
      <c r="F5" s="48" cm="1">
        <f t="array" aca="1" ref="F5" ca="1">_xll.BQL($F$4,"LAST(PX_LAST(Dates=RANGE(#Date-10D,#Date)))","#Date",_xll.BQL.DATE(DATA!U6),"FILL=PREV")</f>
        <v>7295.46</v>
      </c>
      <c r="G5" s="48" cm="1">
        <f t="array" aca="1" ref="G5" ca="1">_xll.BQL($G$4,"LAST(PX_LAST(Dates=RANGE(#Date-10D,#Date)))","#Date",_xll.BQL.DATE(DATA!U6),"FILL=PREV")</f>
        <v>7295.46</v>
      </c>
      <c r="N5" s="48" t="str" cm="1">
        <f t="array" ref="N5">_xll.BQL($F$4,"LAST(PX_LAST(Dates=RANGE(#Date-10D,#Date)))","#Date",_xll.BQL.DATE(DATA!U4),"FILL=PREV")</f>
        <v>#N/A Requesting Data...</v>
      </c>
      <c r="O5" s="48" cm="1">
        <f t="array" ref="O5">_xll.BQL($O$4,"LAST(PX_LAST(Dates=RANGE(#Date-10D,#Date)))","#Date",_xll.BQL.DATE(DATA!U4),"FILL=PREV")</f>
        <v>6716.74</v>
      </c>
      <c r="V5" s="48" cm="1">
        <f t="array" ref="V5">_xll.BQL($F$4,"LAST(PX_LAST(Dates=RANGE(#Date-10D,#Date)))","#Date",_xll.BQL.DATE(DATA!U5),"FILL=PREV")</f>
        <v>6665.28</v>
      </c>
      <c r="W5" s="48" cm="1">
        <f t="array" ref="W5">_xll.BQL($W$4,"LAST(PX_LAST(Dates=RANGE(#Date-10D,#Date)))","#Date",_xll.BQL.DATE(DATA!U5),"FILL=PREV")</f>
        <v>6649.99</v>
      </c>
    </row>
    <row r="6" spans="1:29" ht="15.75" thickBot="1" x14ac:dyDescent="0.3">
      <c r="B6" s="175" t="s">
        <v>88</v>
      </c>
      <c r="C6" s="176"/>
      <c r="D6" s="176"/>
      <c r="E6" s="176"/>
      <c r="F6" s="176"/>
      <c r="G6" s="176"/>
      <c r="H6" s="176"/>
      <c r="I6" s="177"/>
      <c r="K6" s="175" t="s">
        <v>29</v>
      </c>
      <c r="L6" s="176"/>
      <c r="M6" s="176"/>
      <c r="N6" s="176"/>
      <c r="O6" s="176"/>
      <c r="P6" s="176"/>
      <c r="Q6" s="176"/>
      <c r="R6" s="177"/>
      <c r="T6" s="175" t="s">
        <v>30</v>
      </c>
      <c r="U6" s="176"/>
      <c r="V6" s="176"/>
      <c r="W6" s="176"/>
      <c r="X6" s="176"/>
      <c r="Y6" s="176"/>
      <c r="Z6" s="176"/>
      <c r="AA6" s="177"/>
      <c r="AC6" s="105" t="s">
        <v>152</v>
      </c>
    </row>
    <row r="7" spans="1:29" x14ac:dyDescent="0.25">
      <c r="B7" s="49" t="s">
        <v>204</v>
      </c>
      <c r="C7" s="32" t="s">
        <v>38</v>
      </c>
      <c r="D7" s="32" t="s">
        <v>62</v>
      </c>
      <c r="E7" s="32" t="s">
        <v>86</v>
      </c>
      <c r="F7" s="32" t="s">
        <v>87</v>
      </c>
      <c r="G7" s="32" t="s">
        <v>85</v>
      </c>
      <c r="H7" s="32" t="s">
        <v>142</v>
      </c>
      <c r="I7" s="50" t="s">
        <v>27</v>
      </c>
      <c r="K7" s="49" t="s">
        <v>204</v>
      </c>
      <c r="L7" s="32" t="s">
        <v>38</v>
      </c>
      <c r="M7" s="32" t="s">
        <v>62</v>
      </c>
      <c r="N7" s="32" t="s">
        <v>86</v>
      </c>
      <c r="O7" s="32" t="s">
        <v>87</v>
      </c>
      <c r="P7" s="32" t="s">
        <v>85</v>
      </c>
      <c r="Q7" s="32" t="s">
        <v>142</v>
      </c>
      <c r="R7" s="50" t="s">
        <v>27</v>
      </c>
      <c r="T7" s="49" t="s">
        <v>204</v>
      </c>
      <c r="U7" s="32" t="s">
        <v>38</v>
      </c>
      <c r="V7" s="32" t="s">
        <v>62</v>
      </c>
      <c r="W7" s="32" t="s">
        <v>86</v>
      </c>
      <c r="X7" s="32" t="s">
        <v>87</v>
      </c>
      <c r="Y7" s="32" t="s">
        <v>85</v>
      </c>
      <c r="Z7" s="32" t="s">
        <v>142</v>
      </c>
      <c r="AA7" s="50" t="s">
        <v>27</v>
      </c>
      <c r="AC7" s="104" t="s">
        <v>151</v>
      </c>
    </row>
    <row r="8" spans="1:29" x14ac:dyDescent="0.25">
      <c r="A8" s="47" t="s">
        <v>0</v>
      </c>
      <c r="B8" s="3">
        <v>1</v>
      </c>
      <c r="C8" t="str">
        <f ca="1">_xlfn.IFS(IPCA!$O$7=DATA!$T$26,PERIODS!D4,IPCA!$O$7=DATA!$T$27,PERIODS!F4,IPCA!$O$7=DATA!$T$28,PERIODS!H4)</f>
        <v>2025-07-30</v>
      </c>
      <c r="D8" s="37">
        <f ca="1">DATA!Q7</f>
        <v>28</v>
      </c>
      <c r="E8" s="45">
        <f ca="1">(((1+DATA!I7%)/(1+DATA!R7%))-1)*100</f>
        <v>2.2089267427700898</v>
      </c>
      <c r="F8" s="46">
        <f ca="1">((((DATA!I7/100)+1)^(D8/252))/(((DATA!R7/100)+1)^(D8/252)))</f>
        <v>1.0024305973224119</v>
      </c>
      <c r="G8" s="34">
        <f t="shared" ref="G8:G49" ca="1" si="0">(F8*$F$5)</f>
        <v>7313.1923255417632</v>
      </c>
      <c r="H8" s="78">
        <f ca="1">(F8-1)</f>
        <v>2.4305973224119093E-3</v>
      </c>
      <c r="I8" s="51">
        <f ca="1">(G8/$F$5)-1</f>
        <v>2.4305973224119093E-3</v>
      </c>
      <c r="K8" s="3">
        <v>1</v>
      </c>
      <c r="L8" t="str">
        <f>_xlfn.IFS(IPCA!$O$7=DATA!$T$26,PERIODS!M4,IPCA!$O$7=DATA!$T$27,PERIODS!O4,IPCA!$O$7=DATA!$T$28,PERIODS!Q4)</f>
        <v>2024-01-31</v>
      </c>
      <c r="M8" s="37">
        <v>21</v>
      </c>
      <c r="N8" s="45">
        <f>(((1+DATA!I66%)/(1+DATA!R66%))-1)*100</f>
        <v>4.6311065950188635</v>
      </c>
      <c r="O8" s="46">
        <f>((((DATA!I66/100)+1)^(M8/252))/(((DATA!R66/100)+1)^(M8/252)))</f>
        <v>1.0037796840258226</v>
      </c>
      <c r="P8" s="34" t="e">
        <f>(O8*$N$5)</f>
        <v>#VALUE!</v>
      </c>
      <c r="Q8" s="78">
        <f>(O8-1)</f>
        <v>3.7796840258226272E-3</v>
      </c>
      <c r="R8" s="51" t="e">
        <f>(P8/$N$5)-1</f>
        <v>#VALUE!</v>
      </c>
      <c r="T8" s="3">
        <v>1</v>
      </c>
      <c r="U8" t="str">
        <f>_xlfn.IFS(IPCA!$O$7=DATA!$T$26,PERIODS!V4,IPCA!$O$7=DATA!$T$27,PERIODS!X4,IPCA!$O$7=DATA!$T$28,PERIODS!Z4)</f>
        <v>2023-07-28</v>
      </c>
      <c r="V8" s="37">
        <v>21</v>
      </c>
      <c r="W8" s="45">
        <f>(((1+DATA!I126%)/(1+DATA!R126%))-1)*100</f>
        <v>1.2019897856581307</v>
      </c>
      <c r="X8" s="46">
        <f>((((DATA!I126/100)+1)^(V8/252))/(((DATA!R126/100)+1)^(V8/252)))</f>
        <v>1.0009961819087139</v>
      </c>
      <c r="Y8" s="34">
        <f>(X8*$V$5)</f>
        <v>6671.9198313525121</v>
      </c>
      <c r="Z8" s="78">
        <f>(X8-1)</f>
        <v>9.961819087138668E-4</v>
      </c>
      <c r="AA8" s="51">
        <f>(Y8/$V$5)-1</f>
        <v>9.961819087138668E-4</v>
      </c>
      <c r="AC8" s="106">
        <f t="shared" ref="AC8:AC49" si="1">N8-W8</f>
        <v>3.4291168093607327</v>
      </c>
    </row>
    <row r="9" spans="1:29" x14ac:dyDescent="0.25">
      <c r="A9" s="47"/>
      <c r="B9" s="3">
        <v>2</v>
      </c>
      <c r="C9" t="str">
        <f ca="1">_xlfn.IFS(IPCA!$O$7=DATA!$T$26,PERIODS!D5,IPCA!$O$7=DATA!$T$27,PERIODS!F5,IPCA!$O$7=DATA!$T$28,PERIODS!H5)</f>
        <v>2025-08-29</v>
      </c>
      <c r="D9" s="37">
        <f ca="1">DATA!Q8</f>
        <v>50</v>
      </c>
      <c r="E9" s="45">
        <f ca="1">(((1+DATA!I8%)/(1+DATA!R8%))-1)*100</f>
        <v>2.8408526179064086</v>
      </c>
      <c r="F9" s="46">
        <f ca="1">((((DATA!I8/100)+1)^(D9/252))/(((DATA!R8/100)+1)^(D9/252)))</f>
        <v>1.0055735076766112</v>
      </c>
      <c r="G9" s="34">
        <f t="shared" ca="1" si="0"/>
        <v>7336.1213023144101</v>
      </c>
      <c r="H9" s="78">
        <f t="shared" ref="H9:H49" ca="1" si="2">(F9-1)</f>
        <v>5.5735076766112446E-3</v>
      </c>
      <c r="I9" s="51">
        <f ca="1">(G9/G8)-1</f>
        <v>3.1352897273828617E-3</v>
      </c>
      <c r="K9" s="3">
        <v>2</v>
      </c>
      <c r="L9" t="str">
        <f>_xlfn.IFS(IPCA!$O$7=DATA!$T$26,PERIODS!M5,IPCA!$O$7=DATA!$T$27,PERIODS!O5,IPCA!$O$7=DATA!$T$28,PERIODS!Q5)</f>
        <v>2024-02-29</v>
      </c>
      <c r="M9" s="37">
        <v>42</v>
      </c>
      <c r="N9" s="45">
        <f>(((1+DATA!I67%)/(1+DATA!R67%))-1)*100</f>
        <v>4.9374192465774236</v>
      </c>
      <c r="O9" s="46">
        <f>((((DATA!I67/100)+1)^(M9/252))/(((DATA!R67/100)+1)^(M9/252)))</f>
        <v>1.0080646755926728</v>
      </c>
      <c r="P9" s="34" t="e">
        <f t="shared" ref="P9:P49" si="3">(O9*$N$5)</f>
        <v>#VALUE!</v>
      </c>
      <c r="Q9" s="78">
        <f t="shared" ref="Q9:Q49" si="4">(O9-1)</f>
        <v>8.0646755926727653E-3</v>
      </c>
      <c r="R9" s="51" t="e">
        <f>(P9/P8)-1</f>
        <v>#VALUE!</v>
      </c>
      <c r="T9" s="3">
        <v>2</v>
      </c>
      <c r="U9" t="str">
        <f>_xlfn.IFS(IPCA!$O$7=DATA!$T$26,PERIODS!V5,IPCA!$O$7=DATA!$T$27,PERIODS!X5,IPCA!$O$7=DATA!$T$28,PERIODS!Z5)</f>
        <v>2023-08-30</v>
      </c>
      <c r="V9" s="37">
        <v>42</v>
      </c>
      <c r="W9" s="45">
        <f>(((1+DATA!I127%)/(1+DATA!R127%))-1)*100</f>
        <v>4.089397369820702</v>
      </c>
      <c r="X9" s="46">
        <f>((((DATA!I127/100)+1)^(V9/252))/(((DATA!R127/100)+1)^(V9/252)))</f>
        <v>1.0067023498909227</v>
      </c>
      <c r="Y9" s="34">
        <f t="shared" ref="Y9:Y49" si="5">(X9*$V$5)</f>
        <v>6709.9530386809683</v>
      </c>
      <c r="Z9" s="78">
        <f t="shared" ref="Z9:Z49" si="6">(X9-1)</f>
        <v>6.7023498909226653E-3</v>
      </c>
      <c r="AA9" s="51">
        <f>(Y9/Y8)-1</f>
        <v>5.7004892579390898E-3</v>
      </c>
      <c r="AC9" s="106">
        <f t="shared" si="1"/>
        <v>0.84802187675672158</v>
      </c>
    </row>
    <row r="10" spans="1:29" x14ac:dyDescent="0.25">
      <c r="A10" s="47"/>
      <c r="B10" s="3">
        <v>3</v>
      </c>
      <c r="C10" t="str">
        <f ca="1">_xlfn.IFS(IPCA!$O$7=DATA!$T$26,PERIODS!D6,IPCA!$O$7=DATA!$T$27,PERIODS!F6,IPCA!$O$7=DATA!$T$28,PERIODS!H6)</f>
        <v>2025-09-30</v>
      </c>
      <c r="D10" s="37">
        <f ca="1">DATA!Q9</f>
        <v>72</v>
      </c>
      <c r="E10" s="45">
        <f ca="1">(((1+DATA!I9%)/(1+DATA!R9%))-1)*100</f>
        <v>3.8874530847003763</v>
      </c>
      <c r="F10" s="46">
        <f ca="1">((((DATA!I9/100)+1)^(D10/252))/(((DATA!R9/100)+1)^(D10/252)))</f>
        <v>1.010956139484686</v>
      </c>
      <c r="G10" s="34">
        <f t="shared" ca="1" si="0"/>
        <v>7375.3900773649475</v>
      </c>
      <c r="H10" s="78">
        <f t="shared" ca="1" si="2"/>
        <v>1.0956139484685989E-2</v>
      </c>
      <c r="I10" s="51">
        <f t="shared" ref="I10:I48" ca="1" si="7">(G10/G9)-1</f>
        <v>5.3527979476224452E-3</v>
      </c>
      <c r="K10" s="3">
        <v>3</v>
      </c>
      <c r="L10" t="str">
        <f>_xlfn.IFS(IPCA!$O$7=DATA!$T$26,PERIODS!M6,IPCA!$O$7=DATA!$T$27,PERIODS!O6,IPCA!$O$7=DATA!$T$28,PERIODS!Q6)</f>
        <v>2024-03-28</v>
      </c>
      <c r="M10" s="37">
        <v>63</v>
      </c>
      <c r="N10" s="45">
        <f>(((1+DATA!I68%)/(1+DATA!R68%))-1)*100</f>
        <v>4.8525916442339723</v>
      </c>
      <c r="O10" s="46">
        <f>((((DATA!I68/100)+1)^(M10/252))/(((DATA!R68/100)+1)^(M10/252)))</f>
        <v>1.0119167677461631</v>
      </c>
      <c r="P10" s="34" t="e">
        <f t="shared" si="3"/>
        <v>#VALUE!</v>
      </c>
      <c r="Q10" s="78">
        <f t="shared" si="4"/>
        <v>1.1916767746163126E-2</v>
      </c>
      <c r="R10" s="51" t="e">
        <f t="shared" ref="R10:R48" si="8">(P10/P9)-1</f>
        <v>#VALUE!</v>
      </c>
      <c r="T10" s="3">
        <v>3</v>
      </c>
      <c r="U10" t="str">
        <f>_xlfn.IFS(IPCA!$O$7=DATA!$T$26,PERIODS!V6,IPCA!$O$7=DATA!$T$27,PERIODS!X6,IPCA!$O$7=DATA!$T$28,PERIODS!Z6)</f>
        <v>2023-09-29</v>
      </c>
      <c r="V10" s="37">
        <v>63</v>
      </c>
      <c r="W10" s="45">
        <f>(((1+DATA!I128%)/(1+DATA!R128%))-1)*100</f>
        <v>5.316225864033397</v>
      </c>
      <c r="X10" s="46">
        <f>((((DATA!I128/100)+1)^(V10/252))/(((DATA!R128/100)+1)^(V10/252)))</f>
        <v>1.0130335338917362</v>
      </c>
      <c r="Y10" s="34">
        <f t="shared" si="5"/>
        <v>6752.1521527779114</v>
      </c>
      <c r="Z10" s="78">
        <f t="shared" si="6"/>
        <v>1.3033533891736226E-2</v>
      </c>
      <c r="AA10" s="51">
        <f t="shared" ref="AA10:AA48" si="9">(Y10/Y9)-1</f>
        <v>6.2890327031615012E-3</v>
      </c>
      <c r="AC10" s="106">
        <f t="shared" si="1"/>
        <v>-0.46363421979942476</v>
      </c>
    </row>
    <row r="11" spans="1:29" x14ac:dyDescent="0.25">
      <c r="A11" s="47"/>
      <c r="B11" s="3">
        <v>4</v>
      </c>
      <c r="C11" t="str">
        <f ca="1">_xlfn.IFS(IPCA!$O$7=DATA!$T$26,PERIODS!D7,IPCA!$O$7=DATA!$T$27,PERIODS!F7,IPCA!$O$7=DATA!$T$28,PERIODS!H7)</f>
        <v>2025-10-30</v>
      </c>
      <c r="D11" s="37">
        <f ca="1">DATA!Q10</f>
        <v>94</v>
      </c>
      <c r="E11" s="45">
        <f ca="1">(((1+DATA!I10%)/(1+DATA!R10%))-1)*100</f>
        <v>3.8921837629891654</v>
      </c>
      <c r="F11" s="46">
        <f ca="1">((((DATA!I10/100)+1)^(D11/252))/(((DATA!R10/100)+1)^(D11/252)))</f>
        <v>1.0143449598801297</v>
      </c>
      <c r="G11" s="34">
        <f t="shared" ca="1" si="0"/>
        <v>7400.1130810070918</v>
      </c>
      <c r="H11" s="78">
        <f t="shared" ca="1" si="2"/>
        <v>1.4344959880129737E-2</v>
      </c>
      <c r="I11" s="51">
        <f t="shared" ca="1" si="7"/>
        <v>3.3520943818305948E-3</v>
      </c>
      <c r="K11" s="3">
        <v>4</v>
      </c>
      <c r="L11" t="str">
        <f>_xlfn.IFS(IPCA!$O$7=DATA!$T$26,PERIODS!M7,IPCA!$O$7=DATA!$T$27,PERIODS!O7,IPCA!$O$7=DATA!$T$28,PERIODS!Q7)</f>
        <v>2024-04-30</v>
      </c>
      <c r="M11" s="37">
        <v>84</v>
      </c>
      <c r="N11" s="45">
        <f>(((1+DATA!I69%)/(1+DATA!R69%))-1)*100</f>
        <v>4.4531949252120118</v>
      </c>
      <c r="O11" s="46">
        <f>((((DATA!I69/100)+1)^(M11/252))/(((DATA!R69/100)+1)^(M11/252)))</f>
        <v>1.0146289338208738</v>
      </c>
      <c r="P11" s="34" t="e">
        <f t="shared" si="3"/>
        <v>#VALUE!</v>
      </c>
      <c r="Q11" s="78">
        <f t="shared" si="4"/>
        <v>1.4628933820873824E-2</v>
      </c>
      <c r="R11" s="51" t="e">
        <f t="shared" si="8"/>
        <v>#VALUE!</v>
      </c>
      <c r="T11" s="3">
        <v>4</v>
      </c>
      <c r="U11" t="str">
        <f>_xlfn.IFS(IPCA!$O$7=DATA!$T$26,PERIODS!V7,IPCA!$O$7=DATA!$T$27,PERIODS!X7,IPCA!$O$7=DATA!$T$28,PERIODS!Z7)</f>
        <v>2023-10-30</v>
      </c>
      <c r="V11" s="37">
        <v>84</v>
      </c>
      <c r="W11" s="45">
        <f>(((1+DATA!I129%)/(1+DATA!R129%))-1)*100</f>
        <v>5.3987038851723623</v>
      </c>
      <c r="X11" s="46">
        <f>((((DATA!I129/100)+1)^(V11/252))/(((DATA!R129/100)+1)^(V11/252)))</f>
        <v>1.0176812118342136</v>
      </c>
      <c r="Y11" s="34">
        <f t="shared" si="5"/>
        <v>6783.1302276143469</v>
      </c>
      <c r="Z11" s="78">
        <f t="shared" si="6"/>
        <v>1.7681211834213562E-2</v>
      </c>
      <c r="AA11" s="51">
        <f t="shared" si="9"/>
        <v>4.5878816317388438E-3</v>
      </c>
      <c r="AC11" s="106">
        <f t="shared" si="1"/>
        <v>-0.94550895996035056</v>
      </c>
    </row>
    <row r="12" spans="1:29" x14ac:dyDescent="0.25">
      <c r="A12" s="47"/>
      <c r="B12" s="3">
        <v>5</v>
      </c>
      <c r="C12" t="str">
        <f ca="1">_xlfn.IFS(IPCA!$O$7=DATA!$T$26,PERIODS!D8,IPCA!$O$7=DATA!$T$27,PERIODS!F8,IPCA!$O$7=DATA!$T$28,PERIODS!H8)</f>
        <v>2025-11-28</v>
      </c>
      <c r="D12" s="37">
        <f ca="1">DATA!Q11</f>
        <v>114</v>
      </c>
      <c r="E12" s="45">
        <f ca="1">(((1+DATA!I11%)/(1+DATA!R11%))-1)*100</f>
        <v>4.0659600340476665</v>
      </c>
      <c r="F12" s="46">
        <f ca="1">((((DATA!I11/100)+1)^(D12/252))/(((DATA!R11/100)+1)^(D12/252)))</f>
        <v>1.0181930398166057</v>
      </c>
      <c r="G12" s="34">
        <f t="shared" ca="1" si="0"/>
        <v>7428.1865942604545</v>
      </c>
      <c r="H12" s="78">
        <f t="shared" ca="1" si="2"/>
        <v>1.8193039816605694E-2</v>
      </c>
      <c r="I12" s="51">
        <f t="shared" ca="1" si="7"/>
        <v>3.793660035468216E-3</v>
      </c>
      <c r="K12" s="3">
        <v>5</v>
      </c>
      <c r="L12" t="str">
        <f>_xlfn.IFS(IPCA!$O$7=DATA!$T$26,PERIODS!M8,IPCA!$O$7=DATA!$T$27,PERIODS!O8,IPCA!$O$7=DATA!$T$28,PERIODS!Q8)</f>
        <v>2024-05-31</v>
      </c>
      <c r="M12" s="37">
        <v>105</v>
      </c>
      <c r="N12" s="45">
        <f>(((1+DATA!I70%)/(1+DATA!R70%))-1)*100</f>
        <v>4.2624135294794474</v>
      </c>
      <c r="O12" s="46">
        <f>((((DATA!I70/100)+1)^(M12/252))/(((DATA!R70/100)+1)^(M12/252)))</f>
        <v>1.0175440969559881</v>
      </c>
      <c r="P12" s="34" t="e">
        <f t="shared" si="3"/>
        <v>#VALUE!</v>
      </c>
      <c r="Q12" s="78">
        <f t="shared" si="4"/>
        <v>1.7544096955988131E-2</v>
      </c>
      <c r="R12" s="51" t="e">
        <f t="shared" si="8"/>
        <v>#VALUE!</v>
      </c>
      <c r="T12" s="3">
        <v>5</v>
      </c>
      <c r="U12" t="str">
        <f>_xlfn.IFS(IPCA!$O$7=DATA!$T$26,PERIODS!V8,IPCA!$O$7=DATA!$T$27,PERIODS!X8,IPCA!$O$7=DATA!$T$28,PERIODS!Z8)</f>
        <v>2023-11-30</v>
      </c>
      <c r="V12" s="37">
        <v>105</v>
      </c>
      <c r="W12" s="45">
        <f>(((1+DATA!I130%)/(1+DATA!R130%))-1)*100</f>
        <v>4.7491941836401708</v>
      </c>
      <c r="X12" s="46">
        <f>((((DATA!I130/100)+1)^(V12/252))/(((DATA!R130/100)+1)^(V12/252)))</f>
        <v>1.019520871735925</v>
      </c>
      <c r="Y12" s="34">
        <f t="shared" si="5"/>
        <v>6795.3920759640259</v>
      </c>
      <c r="Z12" s="78">
        <f t="shared" si="6"/>
        <v>1.9520871735924983E-2</v>
      </c>
      <c r="AA12" s="51">
        <f t="shared" si="9"/>
        <v>1.8076976172092252E-3</v>
      </c>
      <c r="AC12" s="106">
        <f t="shared" si="1"/>
        <v>-0.48678065416072336</v>
      </c>
    </row>
    <row r="13" spans="1:29" x14ac:dyDescent="0.25">
      <c r="A13" s="47"/>
      <c r="B13" s="3">
        <v>6</v>
      </c>
      <c r="C13" t="str">
        <f ca="1">_xlfn.IFS(IPCA!$O$7=DATA!$T$26,PERIODS!D9,IPCA!$O$7=DATA!$T$27,PERIODS!F9,IPCA!$O$7=DATA!$T$28,PERIODS!H9)</f>
        <v>2025-12-30</v>
      </c>
      <c r="D13" s="37">
        <f ca="1">DATA!Q12</f>
        <v>135</v>
      </c>
      <c r="E13" s="45">
        <f ca="1">(((1+DATA!I12%)/(1+DATA!R12%))-1)*100</f>
        <v>4.1572861735113875</v>
      </c>
      <c r="F13" s="46">
        <f ca="1">((((DATA!I12/100)+1)^(D13/252))/(((DATA!R12/100)+1)^(D13/252)))</f>
        <v>1.0220604930972519</v>
      </c>
      <c r="G13" s="34">
        <f t="shared" ca="1" si="0"/>
        <v>7456.4014449712777</v>
      </c>
      <c r="H13" s="78">
        <f t="shared" ca="1" si="2"/>
        <v>2.2060493097251888E-2</v>
      </c>
      <c r="I13" s="51">
        <f t="shared" ca="1" si="7"/>
        <v>3.7983497523641496E-3</v>
      </c>
      <c r="K13" s="3">
        <v>6</v>
      </c>
      <c r="L13" t="str">
        <f>_xlfn.IFS(IPCA!$O$7=DATA!$T$26,PERIODS!M9,IPCA!$O$7=DATA!$T$27,PERIODS!O9,IPCA!$O$7=DATA!$T$28,PERIODS!Q9)</f>
        <v>2024-06-28</v>
      </c>
      <c r="M13" s="37">
        <v>126</v>
      </c>
      <c r="N13" s="45">
        <f>(((1+DATA!I71%)/(1+DATA!R71%))-1)*100</f>
        <v>4.0350831442006019</v>
      </c>
      <c r="O13" s="46">
        <f>((((DATA!I71/100)+1)^(M13/252))/(((DATA!R71/100)+1)^(M13/252)))</f>
        <v>1.019975897480919</v>
      </c>
      <c r="P13" s="34" t="e">
        <f t="shared" si="3"/>
        <v>#VALUE!</v>
      </c>
      <c r="Q13" s="78">
        <f t="shared" si="4"/>
        <v>1.9975897480918992E-2</v>
      </c>
      <c r="R13" s="51" t="e">
        <f t="shared" si="8"/>
        <v>#VALUE!</v>
      </c>
      <c r="T13" s="3">
        <v>6</v>
      </c>
      <c r="U13" t="str">
        <f>_xlfn.IFS(IPCA!$O$7=DATA!$T$26,PERIODS!V9,IPCA!$O$7=DATA!$T$27,PERIODS!X9,IPCA!$O$7=DATA!$T$28,PERIODS!Z9)</f>
        <v>2023-12-29</v>
      </c>
      <c r="V13" s="37">
        <v>126</v>
      </c>
      <c r="W13" s="45">
        <f>(((1+DATA!I131%)/(1+DATA!R131%))-1)*100</f>
        <v>3.8980452750692507</v>
      </c>
      <c r="X13" s="46">
        <f>((((DATA!I131/100)+1)^(V13/252))/(((DATA!R131/100)+1)^(V13/252)))</f>
        <v>1.0193039059822604</v>
      </c>
      <c r="Y13" s="34">
        <f t="shared" si="5"/>
        <v>6793.9459384654401</v>
      </c>
      <c r="Z13" s="78">
        <f t="shared" si="6"/>
        <v>1.9303905982260394E-2</v>
      </c>
      <c r="AA13" s="51">
        <f t="shared" si="9"/>
        <v>-2.1281148790530668E-4</v>
      </c>
      <c r="AC13" s="106">
        <f t="shared" si="1"/>
        <v>0.13703786913135119</v>
      </c>
    </row>
    <row r="14" spans="1:29" x14ac:dyDescent="0.25">
      <c r="A14" s="47"/>
      <c r="B14" s="3">
        <v>7</v>
      </c>
      <c r="C14" t="str">
        <f ca="1">_xlfn.IFS(IPCA!$O$7=DATA!$T$26,PERIODS!D10,IPCA!$O$7=DATA!$T$27,PERIODS!F10,IPCA!$O$7=DATA!$T$28,PERIODS!H10)</f>
        <v>2026-01-30</v>
      </c>
      <c r="D14" s="37">
        <f ca="1">DATA!Q13</f>
        <v>157</v>
      </c>
      <c r="E14" s="45">
        <f ca="1">(((1+DATA!I13%)/(1+DATA!R13%))-1)*100</f>
        <v>4.2955032631900147</v>
      </c>
      <c r="F14" s="46">
        <f ca="1">((((DATA!I13/100)+1)^(D14/252))/(((DATA!R13/100)+1)^(D14/252)))</f>
        <v>1.0265491525516406</v>
      </c>
      <c r="G14" s="34">
        <f t="shared" ca="1" si="0"/>
        <v>7489.1482804743919</v>
      </c>
      <c r="H14" s="78">
        <f t="shared" ca="1" si="2"/>
        <v>2.6549152551640587E-2</v>
      </c>
      <c r="I14" s="51">
        <f t="shared" ca="1" si="7"/>
        <v>4.3917747380941563E-3</v>
      </c>
      <c r="K14" s="3">
        <v>7</v>
      </c>
      <c r="L14" t="str">
        <f>_xlfn.IFS(IPCA!$O$7=DATA!$T$26,PERIODS!M10,IPCA!$O$7=DATA!$T$27,PERIODS!O10,IPCA!$O$7=DATA!$T$28,PERIODS!Q10)</f>
        <v>2024-07-31</v>
      </c>
      <c r="M14" s="37">
        <v>147</v>
      </c>
      <c r="N14" s="45">
        <f>(((1+DATA!I72%)/(1+DATA!R72%))-1)*100</f>
        <v>3.8044096046432108</v>
      </c>
      <c r="O14" s="46">
        <f>((((DATA!I72/100)+1)^(M14/252))/(((DATA!R72/100)+1)^(M14/252)))</f>
        <v>1.0220195849178892</v>
      </c>
      <c r="P14" s="34" t="e">
        <f t="shared" si="3"/>
        <v>#VALUE!</v>
      </c>
      <c r="Q14" s="78">
        <f t="shared" si="4"/>
        <v>2.2019584917889246E-2</v>
      </c>
      <c r="R14" s="51" t="e">
        <f t="shared" si="8"/>
        <v>#VALUE!</v>
      </c>
      <c r="T14" s="3">
        <v>7</v>
      </c>
      <c r="U14" t="str">
        <f>_xlfn.IFS(IPCA!$O$7=DATA!$T$26,PERIODS!V10,IPCA!$O$7=DATA!$T$27,PERIODS!X10,IPCA!$O$7=DATA!$T$28,PERIODS!Z10)</f>
        <v>2024-01-30</v>
      </c>
      <c r="V14" s="37">
        <v>147</v>
      </c>
      <c r="W14" s="45">
        <f>(((1+DATA!I132%)/(1+DATA!R132%))-1)*100</f>
        <v>3.2058301360823549</v>
      </c>
      <c r="X14" s="46">
        <f>((((DATA!I132/100)+1)^(V14/252))/(((DATA!R132/100)+1)^(V14/252)))</f>
        <v>1.018577632434033</v>
      </c>
      <c r="Y14" s="34">
        <f t="shared" si="5"/>
        <v>6789.1051219099108</v>
      </c>
      <c r="Z14" s="78">
        <f t="shared" si="6"/>
        <v>1.8577632434032987E-2</v>
      </c>
      <c r="AA14" s="51">
        <f t="shared" si="9"/>
        <v>-7.1251914562964203E-4</v>
      </c>
      <c r="AC14" s="106">
        <f t="shared" si="1"/>
        <v>0.59857946856085587</v>
      </c>
    </row>
    <row r="15" spans="1:29" x14ac:dyDescent="0.25">
      <c r="A15" s="47"/>
      <c r="B15" s="3">
        <v>8</v>
      </c>
      <c r="C15" t="str">
        <f ca="1">_xlfn.IFS(IPCA!$O$7=DATA!$T$26,PERIODS!D11,IPCA!$O$7=DATA!$T$27,PERIODS!F11,IPCA!$O$7=DATA!$T$28,PERIODS!H11)</f>
        <v>2026-02-27</v>
      </c>
      <c r="D15" s="37">
        <f ca="1">DATA!Q14</f>
        <v>175</v>
      </c>
      <c r="E15" s="45">
        <f ca="1">(((1+DATA!I14%)/(1+DATA!R14%))-1)*100</f>
        <v>4.3744160323497594</v>
      </c>
      <c r="F15" s="46">
        <f ca="1">((((DATA!I14/100)+1)^(D15/252))/(((DATA!R14/100)+1)^(D15/252)))</f>
        <v>1.030178639691625</v>
      </c>
      <c r="G15" s="34">
        <f t="shared" ca="1" si="0"/>
        <v>7515.6270587246627</v>
      </c>
      <c r="H15" s="78">
        <f t="shared" ca="1" si="2"/>
        <v>3.0178639691625042E-2</v>
      </c>
      <c r="I15" s="51">
        <f t="shared" ca="1" si="7"/>
        <v>3.5356194401046093E-3</v>
      </c>
      <c r="K15" s="3">
        <v>8</v>
      </c>
      <c r="L15" t="str">
        <f>_xlfn.IFS(IPCA!$O$7=DATA!$T$26,PERIODS!M11,IPCA!$O$7=DATA!$T$27,PERIODS!O11,IPCA!$O$7=DATA!$T$28,PERIODS!Q11)</f>
        <v>2024-08-30</v>
      </c>
      <c r="M15" s="37">
        <v>168</v>
      </c>
      <c r="N15" s="45">
        <f>(((1+DATA!I73%)/(1+DATA!R73%))-1)*100</f>
        <v>3.7240754312403368</v>
      </c>
      <c r="O15" s="46">
        <f>((((DATA!I73/100)+1)^(M15/252))/(((DATA!R73/100)+1)^(M15/252)))</f>
        <v>1.0246755689169031</v>
      </c>
      <c r="P15" s="34" t="e">
        <f t="shared" si="3"/>
        <v>#VALUE!</v>
      </c>
      <c r="Q15" s="78">
        <f t="shared" si="4"/>
        <v>2.4675568916903146E-2</v>
      </c>
      <c r="R15" s="51" t="e">
        <f t="shared" si="8"/>
        <v>#VALUE!</v>
      </c>
      <c r="T15" s="3">
        <v>8</v>
      </c>
      <c r="U15" t="str">
        <f>_xlfn.IFS(IPCA!$O$7=DATA!$T$26,PERIODS!V11,IPCA!$O$7=DATA!$T$27,PERIODS!X11,IPCA!$O$7=DATA!$T$28,PERIODS!Z11)</f>
        <v>2024-02-29</v>
      </c>
      <c r="V15" s="37">
        <v>168</v>
      </c>
      <c r="W15" s="45">
        <f>(((1+DATA!I133%)/(1+DATA!R133%))-1)*100</f>
        <v>2.8626495601204338</v>
      </c>
      <c r="X15" s="46">
        <f>((((DATA!I133/100)+1)^(V15/252))/(((DATA!R133/100)+1)^(V15/252)))</f>
        <v>1.0189944169569565</v>
      </c>
      <c r="Y15" s="34">
        <f t="shared" si="5"/>
        <v>6791.8831074548625</v>
      </c>
      <c r="Z15" s="78">
        <f t="shared" si="6"/>
        <v>1.8994416956956472E-2</v>
      </c>
      <c r="AA15" s="51">
        <f t="shared" si="9"/>
        <v>4.0918287389390962E-4</v>
      </c>
      <c r="AC15" s="106">
        <f t="shared" si="1"/>
        <v>0.86142587111990299</v>
      </c>
    </row>
    <row r="16" spans="1:29" x14ac:dyDescent="0.25">
      <c r="A16" s="47"/>
      <c r="B16" s="3">
        <v>9</v>
      </c>
      <c r="C16" t="str">
        <f ca="1">_xlfn.IFS(IPCA!$O$7=DATA!$T$26,PERIODS!D12,IPCA!$O$7=DATA!$T$27,PERIODS!F12,IPCA!$O$7=DATA!$T$28,PERIODS!H12)</f>
        <v>2026-03-30</v>
      </c>
      <c r="D16" s="37">
        <f ca="1">DATA!Q15</f>
        <v>196</v>
      </c>
      <c r="E16" s="45">
        <f ca="1">(((1+DATA!I15%)/(1+DATA!R15%))-1)*100</f>
        <v>4.4187421351101541</v>
      </c>
      <c r="F16" s="46">
        <f ca="1">((((DATA!I15/100)+1)^(D16/252))/(((DATA!R15/100)+1)^(D16/252)))</f>
        <v>1.0342022225196164</v>
      </c>
      <c r="G16" s="34">
        <f t="shared" ca="1" si="0"/>
        <v>7544.9809463029605</v>
      </c>
      <c r="H16" s="78">
        <f t="shared" ca="1" si="2"/>
        <v>3.4202222519616354E-2</v>
      </c>
      <c r="I16" s="51">
        <f t="shared" ca="1" si="7"/>
        <v>3.9057137014564258E-3</v>
      </c>
      <c r="K16" s="3">
        <v>9</v>
      </c>
      <c r="L16" t="str">
        <f>_xlfn.IFS(IPCA!$O$7=DATA!$T$26,PERIODS!M12,IPCA!$O$7=DATA!$T$27,PERIODS!O12,IPCA!$O$7=DATA!$T$28,PERIODS!Q12)</f>
        <v>2024-09-30</v>
      </c>
      <c r="M16" s="37">
        <v>189</v>
      </c>
      <c r="N16" s="45">
        <f>(((1+DATA!I74%)/(1+DATA!R74%))-1)*100</f>
        <v>3.7738589575700754</v>
      </c>
      <c r="O16" s="46">
        <f>((((DATA!I74/100)+1)^(M16/252))/(((DATA!R74/100)+1)^(M16/252)))</f>
        <v>1.028172479326795</v>
      </c>
      <c r="P16" s="34" t="e">
        <f t="shared" si="3"/>
        <v>#VALUE!</v>
      </c>
      <c r="Q16" s="78">
        <f t="shared" si="4"/>
        <v>2.8172479326795008E-2</v>
      </c>
      <c r="R16" s="51" t="e">
        <f t="shared" si="8"/>
        <v>#VALUE!</v>
      </c>
      <c r="T16" s="3">
        <v>9</v>
      </c>
      <c r="U16" t="str">
        <f>_xlfn.IFS(IPCA!$O$7=DATA!$T$26,PERIODS!V12,IPCA!$O$7=DATA!$T$27,PERIODS!X12,IPCA!$O$7=DATA!$T$28,PERIODS!Z12)</f>
        <v>2024-03-28</v>
      </c>
      <c r="V16" s="37">
        <v>189</v>
      </c>
      <c r="W16" s="45">
        <f>(((1+DATA!I134%)/(1+DATA!R134%))-1)*100</f>
        <v>2.7670880865949599</v>
      </c>
      <c r="X16" s="46">
        <f>((((DATA!I134/100)+1)^(V16/252))/(((DATA!R134/100)+1)^(V16/252)))</f>
        <v>1.0206821933316856</v>
      </c>
      <c r="Y16" s="34">
        <f t="shared" si="5"/>
        <v>6803.1326095698178</v>
      </c>
      <c r="Z16" s="78">
        <f t="shared" si="6"/>
        <v>2.0682193331685639E-2</v>
      </c>
      <c r="AA16" s="51">
        <f t="shared" si="9"/>
        <v>1.6563156251330202E-3</v>
      </c>
      <c r="AC16" s="106">
        <f t="shared" si="1"/>
        <v>1.0067708709751155</v>
      </c>
    </row>
    <row r="17" spans="1:29" x14ac:dyDescent="0.25">
      <c r="A17" s="47"/>
      <c r="B17" s="3">
        <v>10</v>
      </c>
      <c r="C17" t="str">
        <f ca="1">_xlfn.IFS(IPCA!$O$7=DATA!$T$26,PERIODS!D13,IPCA!$O$7=DATA!$T$27,PERIODS!F13,IPCA!$O$7=DATA!$T$28,PERIODS!H13)</f>
        <v>2026-04-30</v>
      </c>
      <c r="D17" s="37">
        <f ca="1">DATA!Q16</f>
        <v>217</v>
      </c>
      <c r="E17" s="45">
        <f ca="1">(((1+DATA!I16%)/(1+DATA!R16%))-1)*100</f>
        <v>4.4300347068020773</v>
      </c>
      <c r="F17" s="46">
        <f ca="1">((((DATA!I16/100)+1)^(D17/252))/(((DATA!R16/100)+1)^(D17/252)))</f>
        <v>1.0380320917518202</v>
      </c>
      <c r="G17" s="34">
        <f t="shared" ca="1" si="0"/>
        <v>7572.9216040917345</v>
      </c>
      <c r="H17" s="78">
        <f t="shared" ca="1" si="2"/>
        <v>3.8032091751820207E-2</v>
      </c>
      <c r="I17" s="51">
        <f t="shared" ca="1" si="7"/>
        <v>3.7032111794086386E-3</v>
      </c>
      <c r="K17" s="3">
        <v>10</v>
      </c>
      <c r="L17" t="str">
        <f>_xlfn.IFS(IPCA!$O$7=DATA!$T$26,PERIODS!M13,IPCA!$O$7=DATA!$T$27,PERIODS!O13,IPCA!$O$7=DATA!$T$28,PERIODS!Q13)</f>
        <v>2024-10-31</v>
      </c>
      <c r="M17" s="37">
        <v>210</v>
      </c>
      <c r="N17" s="45">
        <f>(((1+DATA!I75%)/(1+DATA!R75%))-1)*100</f>
        <v>3.9193524667495927</v>
      </c>
      <c r="O17" s="46">
        <f>((((DATA!I75/100)+1)^(M17/252))/(((DATA!R75/100)+1)^(M17/252)))</f>
        <v>1.0325561869580258</v>
      </c>
      <c r="P17" s="34" t="e">
        <f t="shared" si="3"/>
        <v>#VALUE!</v>
      </c>
      <c r="Q17" s="78">
        <f t="shared" si="4"/>
        <v>3.2556186958025757E-2</v>
      </c>
      <c r="R17" s="51" t="e">
        <f t="shared" si="8"/>
        <v>#VALUE!</v>
      </c>
      <c r="T17" s="3">
        <v>10</v>
      </c>
      <c r="U17" t="str">
        <f>_xlfn.IFS(IPCA!$O$7=DATA!$T$26,PERIODS!V13,IPCA!$O$7=DATA!$T$27,PERIODS!X13,IPCA!$O$7=DATA!$T$28,PERIODS!Z13)</f>
        <v>2024-04-30</v>
      </c>
      <c r="V17" s="37">
        <v>210</v>
      </c>
      <c r="W17" s="45">
        <f>(((1+DATA!I135%)/(1+DATA!R135%))-1)*100</f>
        <v>2.8802668274502619</v>
      </c>
      <c r="X17" s="46">
        <f>((((DATA!I135/100)+1)^(V17/252))/(((DATA!R135/100)+1)^(V17/252)))</f>
        <v>1.0239452483002687</v>
      </c>
      <c r="Y17" s="34">
        <f t="shared" si="5"/>
        <v>6824.8817845908143</v>
      </c>
      <c r="Z17" s="78">
        <f t="shared" si="6"/>
        <v>2.3945248300268673E-2</v>
      </c>
      <c r="AA17" s="51">
        <f t="shared" si="9"/>
        <v>3.1969353339376116E-3</v>
      </c>
      <c r="AC17" s="106">
        <f t="shared" si="1"/>
        <v>1.0390856392993308</v>
      </c>
    </row>
    <row r="18" spans="1:29" x14ac:dyDescent="0.25">
      <c r="A18" s="47"/>
      <c r="B18" s="3">
        <v>11</v>
      </c>
      <c r="C18" t="str">
        <f ca="1">_xlfn.IFS(IPCA!$O$7=DATA!$T$26,PERIODS!D14,IPCA!$O$7=DATA!$T$27,PERIODS!F14,IPCA!$O$7=DATA!$T$28,PERIODS!H14)</f>
        <v>2026-05-29</v>
      </c>
      <c r="D18" s="37">
        <f ca="1">DATA!Q17</f>
        <v>237</v>
      </c>
      <c r="E18" s="45">
        <f ca="1">(((1+DATA!I17%)/(1+DATA!R17%))-1)*100</f>
        <v>4.4188003493666805</v>
      </c>
      <c r="F18" s="46">
        <f ca="1">((((DATA!I17/100)+1)^(D18/252))/(((DATA!R17/100)+1)^(D18/252)))</f>
        <v>1.0415039458072486</v>
      </c>
      <c r="G18" s="34">
        <f t="shared" ca="1" si="0"/>
        <v>7598.2503764789499</v>
      </c>
      <c r="H18" s="78">
        <f t="shared" ca="1" si="2"/>
        <v>4.1503945807248588E-2</v>
      </c>
      <c r="I18" s="51">
        <f t="shared" ca="1" si="7"/>
        <v>3.3446500190270623E-3</v>
      </c>
      <c r="K18" s="3">
        <v>11</v>
      </c>
      <c r="L18" t="str">
        <f>_xlfn.IFS(IPCA!$O$7=DATA!$T$26,PERIODS!M14,IPCA!$O$7=DATA!$T$27,PERIODS!O14,IPCA!$O$7=DATA!$T$28,PERIODS!Q14)</f>
        <v>2024-11-29</v>
      </c>
      <c r="M18" s="37">
        <v>231</v>
      </c>
      <c r="N18" s="45">
        <f>(((1+DATA!I76%)/(1+DATA!R76%))-1)*100</f>
        <v>4.0638297352161512</v>
      </c>
      <c r="O18" s="46">
        <f>((((DATA!I76/100)+1)^(M18/252))/(((DATA!R76/100)+1)^(M18/252)))</f>
        <v>1.0371896020846332</v>
      </c>
      <c r="P18" s="34" t="e">
        <f t="shared" si="3"/>
        <v>#VALUE!</v>
      </c>
      <c r="Q18" s="78">
        <f t="shared" si="4"/>
        <v>3.7189602084633178E-2</v>
      </c>
      <c r="R18" s="51" t="e">
        <f t="shared" si="8"/>
        <v>#VALUE!</v>
      </c>
      <c r="T18" s="3">
        <v>11</v>
      </c>
      <c r="U18" t="str">
        <f>_xlfn.IFS(IPCA!$O$7=DATA!$T$26,PERIODS!V14,IPCA!$O$7=DATA!$T$27,PERIODS!X14,IPCA!$O$7=DATA!$T$28,PERIODS!Z14)</f>
        <v>2024-05-29</v>
      </c>
      <c r="V18" s="37">
        <v>231</v>
      </c>
      <c r="W18" s="45">
        <f>(((1+DATA!I136%)/(1+DATA!R136%))-1)*100</f>
        <v>3.1110737599832294</v>
      </c>
      <c r="X18" s="46">
        <f>((((DATA!I136/100)+1)^(V18/252))/(((DATA!R136/100)+1)^(V18/252)))</f>
        <v>1.0284816172774693</v>
      </c>
      <c r="Y18" s="34">
        <f t="shared" si="5"/>
        <v>6855.1179540071707</v>
      </c>
      <c r="Z18" s="78">
        <f t="shared" si="6"/>
        <v>2.848161727746934E-2</v>
      </c>
      <c r="AA18" s="51">
        <f t="shared" si="9"/>
        <v>4.4302847097841269E-3</v>
      </c>
      <c r="AC18" s="106">
        <f t="shared" si="1"/>
        <v>0.95275597523292177</v>
      </c>
    </row>
    <row r="19" spans="1:29" x14ac:dyDescent="0.25">
      <c r="A19" s="47" t="s">
        <v>11</v>
      </c>
      <c r="B19" s="3">
        <v>12</v>
      </c>
      <c r="C19" t="str">
        <f ca="1">_xlfn.IFS(IPCA!$O$7=DATA!$T$26,PERIODS!D15,IPCA!$O$7=DATA!$T$27,PERIODS!F15,IPCA!$O$7=DATA!$T$28,PERIODS!H15)</f>
        <v>2026-06-30</v>
      </c>
      <c r="D19" s="37">
        <f ca="1">DATA!Q18</f>
        <v>258</v>
      </c>
      <c r="E19" s="45">
        <f ca="1">(((1+DATA!I18%)/(1+DATA!R18%))-1)*100</f>
        <v>4.3995868661396598</v>
      </c>
      <c r="F19" s="46">
        <f ca="1">((((DATA!I18/100)+1)^(D19/252))/(((DATA!R18/100)+1)^(D19/252)))</f>
        <v>1.0450666506942448</v>
      </c>
      <c r="G19" s="34">
        <f t="shared" ca="1" si="0"/>
        <v>7624.2419474738354</v>
      </c>
      <c r="H19" s="78">
        <f t="shared" ca="1" si="2"/>
        <v>4.5066650694244759E-2</v>
      </c>
      <c r="I19" s="51">
        <f t="shared" ca="1" si="7"/>
        <v>3.4207310508409527E-3</v>
      </c>
      <c r="K19" s="3">
        <v>12</v>
      </c>
      <c r="L19" t="str">
        <f>_xlfn.IFS(IPCA!$O$7=DATA!$T$26,PERIODS!M15,IPCA!$O$7=DATA!$T$27,PERIODS!O15,IPCA!$O$7=DATA!$T$28,PERIODS!Q15)</f>
        <v>2024-12-31</v>
      </c>
      <c r="M19" s="37">
        <v>252</v>
      </c>
      <c r="N19" s="45">
        <f>(((1+DATA!I77%)/(1+DATA!R77%))-1)*100</f>
        <v>4.2088397033518854</v>
      </c>
      <c r="O19" s="46">
        <f>((((DATA!I77/100)+1)^(M19/252))/(((DATA!R77/100)+1)^(M19/252)))</f>
        <v>1.0420883970335189</v>
      </c>
      <c r="P19" s="34" t="e">
        <f t="shared" si="3"/>
        <v>#VALUE!</v>
      </c>
      <c r="Q19" s="78">
        <f t="shared" si="4"/>
        <v>4.2088397033518854E-2</v>
      </c>
      <c r="R19" s="51" t="e">
        <f t="shared" si="8"/>
        <v>#VALUE!</v>
      </c>
      <c r="T19" s="3">
        <v>12</v>
      </c>
      <c r="U19" t="str">
        <f>_xlfn.IFS(IPCA!$O$7=DATA!$T$26,PERIODS!V15,IPCA!$O$7=DATA!$T$27,PERIODS!X15,IPCA!$O$7=DATA!$T$28,PERIODS!Z15)</f>
        <v>2024-06-28</v>
      </c>
      <c r="V19" s="37">
        <v>252</v>
      </c>
      <c r="W19" s="45">
        <f>(((1+DATA!I137%)/(1+DATA!R137%))-1)*100</f>
        <v>3.4246550973800582</v>
      </c>
      <c r="X19" s="46">
        <f>((((DATA!I137/100)+1)^(V19/252))/(((DATA!R137/100)+1)^(V19/252)))</f>
        <v>1.0342465509738006</v>
      </c>
      <c r="Y19" s="34">
        <f t="shared" si="5"/>
        <v>6893.542851274653</v>
      </c>
      <c r="Z19" s="78">
        <f t="shared" si="6"/>
        <v>3.4246550973800582E-2</v>
      </c>
      <c r="AA19" s="51">
        <f t="shared" si="9"/>
        <v>5.6052860833737395E-3</v>
      </c>
      <c r="AC19" s="106">
        <f t="shared" si="1"/>
        <v>0.78418460597182715</v>
      </c>
    </row>
    <row r="20" spans="1:29" x14ac:dyDescent="0.25">
      <c r="A20" s="47"/>
      <c r="B20" s="3">
        <v>13</v>
      </c>
      <c r="C20" t="str">
        <f ca="1">_xlfn.IFS(IPCA!$O$7=DATA!$T$26,PERIODS!D16,IPCA!$O$7=DATA!$T$27,PERIODS!F16,IPCA!$O$7=DATA!$T$28,PERIODS!H16)</f>
        <v>2026-07-30</v>
      </c>
      <c r="D20" s="37">
        <f ca="1">DATA!Q19</f>
        <v>280</v>
      </c>
      <c r="E20" s="45">
        <f ca="1">(((1+DATA!I19%)/(1+DATA!R19%))-1)*100</f>
        <v>4.3784359949152973</v>
      </c>
      <c r="F20" s="46">
        <f ca="1">((((DATA!I19/100)+1)^(D20/252))/(((DATA!R19/100)+1)^(D20/252)))</f>
        <v>1.048766122247123</v>
      </c>
      <c r="G20" s="34">
        <f t="shared" ca="1" si="0"/>
        <v>7651.2312942089957</v>
      </c>
      <c r="H20" s="78">
        <f t="shared" ca="1" si="2"/>
        <v>4.8766122247122956E-2</v>
      </c>
      <c r="I20" s="51">
        <f t="shared" ca="1" si="7"/>
        <v>3.5399383861502987E-3</v>
      </c>
      <c r="K20" s="3">
        <v>13</v>
      </c>
      <c r="L20" t="str">
        <f>_xlfn.IFS(IPCA!$O$7=DATA!$T$26,PERIODS!M16,IPCA!$O$7=DATA!$T$27,PERIODS!O16,IPCA!$O$7=DATA!$T$28,PERIODS!Q16)</f>
        <v>2025-01-31</v>
      </c>
      <c r="M20" s="37">
        <v>273</v>
      </c>
      <c r="N20" s="45">
        <f>(((1+DATA!I78%)/(1+DATA!R78%))-1)*100</f>
        <v>4.2954065477531111</v>
      </c>
      <c r="O20" s="46">
        <f>((((DATA!I78/100)+1)^(M20/252))/(((DATA!R78/100)+1)^(M20/252)))</f>
        <v>1.0466157833843441</v>
      </c>
      <c r="P20" s="34" t="e">
        <f t="shared" si="3"/>
        <v>#VALUE!</v>
      </c>
      <c r="Q20" s="78">
        <f t="shared" si="4"/>
        <v>4.6615783384344134E-2</v>
      </c>
      <c r="R20" s="51" t="e">
        <f t="shared" si="8"/>
        <v>#VALUE!</v>
      </c>
      <c r="T20" s="3">
        <v>13</v>
      </c>
      <c r="U20" t="str">
        <f>_xlfn.IFS(IPCA!$O$7=DATA!$T$26,PERIODS!V16,IPCA!$O$7=DATA!$T$27,PERIODS!X16,IPCA!$O$7=DATA!$T$28,PERIODS!Z16)</f>
        <v>2024-07-30</v>
      </c>
      <c r="V20" s="37">
        <v>273</v>
      </c>
      <c r="W20" s="45">
        <f>(((1+DATA!I138%)/(1+DATA!R138%))-1)*100</f>
        <v>3.7555018243194738</v>
      </c>
      <c r="X20" s="46">
        <f>((((DATA!I138/100)+1)^(V20/252))/(((DATA!R138/100)+1)^(V20/252)))</f>
        <v>1.0407475483790221</v>
      </c>
      <c r="Y20" s="34">
        <f t="shared" si="5"/>
        <v>6936.8738192597275</v>
      </c>
      <c r="Z20" s="78">
        <f t="shared" si="6"/>
        <v>4.0747548379022058E-2</v>
      </c>
      <c r="AA20" s="51">
        <f t="shared" si="9"/>
        <v>6.2857327385819062E-3</v>
      </c>
      <c r="AC20" s="106">
        <f t="shared" si="1"/>
        <v>0.53990472343363738</v>
      </c>
    </row>
    <row r="21" spans="1:29" x14ac:dyDescent="0.25">
      <c r="A21" s="47"/>
      <c r="B21" s="3">
        <v>14</v>
      </c>
      <c r="C21" t="str">
        <f ca="1">_xlfn.IFS(IPCA!$O$7=DATA!$T$26,PERIODS!D17,IPCA!$O$7=DATA!$T$27,PERIODS!F17,IPCA!$O$7=DATA!$T$28,PERIODS!H17)</f>
        <v>2026-08-28</v>
      </c>
      <c r="D21" s="37">
        <f ca="1">DATA!Q20</f>
        <v>301</v>
      </c>
      <c r="E21" s="45">
        <f ca="1">(((1+DATA!I20%)/(1+DATA!R20%))-1)*100</f>
        <v>4.3665603206833881</v>
      </c>
      <c r="F21" s="46">
        <f ca="1">((((DATA!I20/100)+1)^(D21/252))/(((DATA!R20/100)+1)^(D21/252)))</f>
        <v>1.0523750077241838</v>
      </c>
      <c r="G21" s="34">
        <f t="shared" ca="1" si="0"/>
        <v>7677.5597738514743</v>
      </c>
      <c r="H21" s="78">
        <f t="shared" ca="1" si="2"/>
        <v>5.2375007724183797E-2</v>
      </c>
      <c r="I21" s="51">
        <f t="shared" ca="1" si="7"/>
        <v>3.4410774723809823E-3</v>
      </c>
      <c r="K21" s="3">
        <v>14</v>
      </c>
      <c r="L21" t="str">
        <f>_xlfn.IFS(IPCA!$O$7=DATA!$T$26,PERIODS!M17,IPCA!$O$7=DATA!$T$27,PERIODS!O17,IPCA!$O$7=DATA!$T$28,PERIODS!Q17)</f>
        <v>2025-02-28</v>
      </c>
      <c r="M21" s="37">
        <v>294</v>
      </c>
      <c r="N21" s="45">
        <f>(((1+DATA!I79%)/(1+DATA!R79%))-1)*100</f>
        <v>4.3056697618504947</v>
      </c>
      <c r="O21" s="46">
        <f>((((DATA!I79/100)+1)^(M21/252))/(((DATA!R79/100)+1)^(M21/252)))</f>
        <v>1.0504109379910378</v>
      </c>
      <c r="P21" s="34" t="e">
        <f t="shared" si="3"/>
        <v>#VALUE!</v>
      </c>
      <c r="Q21" s="78">
        <f t="shared" si="4"/>
        <v>5.0410937991037796E-2</v>
      </c>
      <c r="R21" s="51" t="e">
        <f t="shared" si="8"/>
        <v>#VALUE!</v>
      </c>
      <c r="T21" s="3">
        <v>14</v>
      </c>
      <c r="U21" t="str">
        <f>_xlfn.IFS(IPCA!$O$7=DATA!$T$26,PERIODS!V17,IPCA!$O$7=DATA!$T$27,PERIODS!X17,IPCA!$O$7=DATA!$T$28,PERIODS!Z17)</f>
        <v>2024-08-30</v>
      </c>
      <c r="V21" s="37">
        <v>294</v>
      </c>
      <c r="W21" s="45">
        <f>(((1+DATA!I139%)/(1+DATA!R139%))-1)*100</f>
        <v>4.0128811523360008</v>
      </c>
      <c r="X21" s="46">
        <f>((((DATA!I139/100)+1)^(V21/252))/(((DATA!R139/100)+1)^(V21/252)))</f>
        <v>1.0469717920523944</v>
      </c>
      <c r="Y21" s="34">
        <f t="shared" si="5"/>
        <v>6978.3601461309836</v>
      </c>
      <c r="Z21" s="78">
        <f t="shared" si="6"/>
        <v>4.6971792052394434E-2</v>
      </c>
      <c r="AA21" s="51">
        <f t="shared" si="9"/>
        <v>5.9805508867802892E-3</v>
      </c>
      <c r="AC21" s="106">
        <f t="shared" si="1"/>
        <v>0.29278860951449381</v>
      </c>
    </row>
    <row r="22" spans="1:29" x14ac:dyDescent="0.25">
      <c r="A22" s="47"/>
      <c r="B22" s="3">
        <v>15</v>
      </c>
      <c r="C22" t="str">
        <f ca="1">_xlfn.IFS(IPCA!$O$7=DATA!$T$26,PERIODS!D18,IPCA!$O$7=DATA!$T$27,PERIODS!F18,IPCA!$O$7=DATA!$T$28,PERIODS!H18)</f>
        <v>2026-09-30</v>
      </c>
      <c r="D22" s="37">
        <f ca="1">DATA!Q21</f>
        <v>323</v>
      </c>
      <c r="E22" s="45">
        <f ca="1">(((1+DATA!I21%)/(1+DATA!R21%))-1)*100</f>
        <v>4.3684210290102499</v>
      </c>
      <c r="F22" s="46">
        <f ca="1">((((DATA!I21/100)+1)^(D22/252))/(((DATA!R21/100)+1)^(D22/252)))</f>
        <v>1.0563330964951565</v>
      </c>
      <c r="G22" s="34">
        <f t="shared" ca="1" si="0"/>
        <v>7706.4358521565546</v>
      </c>
      <c r="H22" s="78">
        <f t="shared" ca="1" si="2"/>
        <v>5.6333096495156498E-2</v>
      </c>
      <c r="I22" s="51">
        <f t="shared" ca="1" si="7"/>
        <v>3.7611010732117034E-3</v>
      </c>
      <c r="K22" s="3">
        <v>15</v>
      </c>
      <c r="L22" t="str">
        <f>_xlfn.IFS(IPCA!$O$7=DATA!$T$26,PERIODS!M18,IPCA!$O$7=DATA!$T$27,PERIODS!O18,IPCA!$O$7=DATA!$T$28,PERIODS!Q18)</f>
        <v>2025-03-31</v>
      </c>
      <c r="M22" s="37">
        <v>315</v>
      </c>
      <c r="N22" s="45">
        <f>(((1+DATA!I80%)/(1+DATA!R80%))-1)*100</f>
        <v>4.2713640527312302</v>
      </c>
      <c r="O22" s="46">
        <f>((((DATA!I80/100)+1)^(M22/252))/(((DATA!R80/100)+1)^(M22/252)))</f>
        <v>1.0536741332444552</v>
      </c>
      <c r="P22" s="34" t="e">
        <f t="shared" si="3"/>
        <v>#VALUE!</v>
      </c>
      <c r="Q22" s="78">
        <f t="shared" si="4"/>
        <v>5.3674133244455247E-2</v>
      </c>
      <c r="R22" s="51" t="e">
        <f t="shared" si="8"/>
        <v>#VALUE!</v>
      </c>
      <c r="T22" s="3">
        <v>15</v>
      </c>
      <c r="U22" t="str">
        <f>_xlfn.IFS(IPCA!$O$7=DATA!$T$26,PERIODS!V18,IPCA!$O$7=DATA!$T$27,PERIODS!X18,IPCA!$O$7=DATA!$T$28,PERIODS!Z18)</f>
        <v>2024-09-30</v>
      </c>
      <c r="V22" s="37">
        <v>315</v>
      </c>
      <c r="W22" s="45">
        <f>(((1+DATA!I140%)/(1+DATA!R140%))-1)*100</f>
        <v>4.1402236853982588</v>
      </c>
      <c r="X22" s="46">
        <f>((((DATA!I140/100)+1)^(V22/252))/(((DATA!R140/100)+1)^(V22/252)))</f>
        <v>1.0520179081138707</v>
      </c>
      <c r="Y22" s="34">
        <f t="shared" si="5"/>
        <v>7011.9939225932203</v>
      </c>
      <c r="Z22" s="78">
        <f t="shared" si="6"/>
        <v>5.2017908113870748E-2</v>
      </c>
      <c r="AA22" s="51">
        <f t="shared" si="9"/>
        <v>4.8197249436723322E-3</v>
      </c>
      <c r="AC22" s="106">
        <f t="shared" si="1"/>
        <v>0.13114036733297141</v>
      </c>
    </row>
    <row r="23" spans="1:29" x14ac:dyDescent="0.25">
      <c r="A23" s="47"/>
      <c r="B23" s="3">
        <v>16</v>
      </c>
      <c r="C23" t="str">
        <f ca="1">_xlfn.IFS(IPCA!$O$7=DATA!$T$26,PERIODS!D19,IPCA!$O$7=DATA!$T$27,PERIODS!F19,IPCA!$O$7=DATA!$T$28,PERIODS!H19)</f>
        <v>2026-10-30</v>
      </c>
      <c r="D23" s="37">
        <f ca="1">DATA!Q22</f>
        <v>344</v>
      </c>
      <c r="E23" s="45">
        <f ca="1">(((1+DATA!I22%)/(1+DATA!R22%))-1)*100</f>
        <v>4.3838688301650608</v>
      </c>
      <c r="F23" s="46">
        <f ca="1">((((DATA!I22/100)+1)^(D23/252))/(((DATA!R22/100)+1)^(D23/252)))</f>
        <v>1.0603178074784509</v>
      </c>
      <c r="G23" s="34">
        <f t="shared" ca="1" si="0"/>
        <v>7735.5061517467402</v>
      </c>
      <c r="H23" s="78">
        <f t="shared" ca="1" si="2"/>
        <v>6.0317807478450947E-2</v>
      </c>
      <c r="I23" s="51">
        <f t="shared" ca="1" si="7"/>
        <v>3.772210675321519E-3</v>
      </c>
      <c r="K23" s="3">
        <v>16</v>
      </c>
      <c r="L23" t="str">
        <f>_xlfn.IFS(IPCA!$O$7=DATA!$T$26,PERIODS!M19,IPCA!$O$7=DATA!$T$27,PERIODS!O19,IPCA!$O$7=DATA!$T$28,PERIODS!Q19)</f>
        <v>2025-04-30</v>
      </c>
      <c r="M23" s="37">
        <v>336</v>
      </c>
      <c r="N23" s="45">
        <f>(((1+DATA!I81%)/(1+DATA!R81%))-1)*100</f>
        <v>4.2075053617423253</v>
      </c>
      <c r="O23" s="46">
        <f>((((DATA!I81/100)+1)^(M23/252))/(((DATA!R81/100)+1)^(M23/252)))</f>
        <v>1.0564898585014859</v>
      </c>
      <c r="P23" s="34" t="e">
        <f t="shared" si="3"/>
        <v>#VALUE!</v>
      </c>
      <c r="Q23" s="78">
        <f t="shared" si="4"/>
        <v>5.6489858501485912E-2</v>
      </c>
      <c r="R23" s="51" t="e">
        <f t="shared" si="8"/>
        <v>#VALUE!</v>
      </c>
      <c r="T23" s="3">
        <v>16</v>
      </c>
      <c r="U23" t="str">
        <f>_xlfn.IFS(IPCA!$O$7=DATA!$T$26,PERIODS!V19,IPCA!$O$7=DATA!$T$27,PERIODS!X19,IPCA!$O$7=DATA!$T$28,PERIODS!Z19)</f>
        <v>2024-10-30</v>
      </c>
      <c r="V23" s="37">
        <v>336</v>
      </c>
      <c r="W23" s="45">
        <f>(((1+DATA!I141%)/(1+DATA!R141%))-1)*100</f>
        <v>4.189116480508015</v>
      </c>
      <c r="X23" s="46">
        <f>((((DATA!I141/100)+1)^(V23/252))/(((DATA!R141/100)+1)^(V23/252)))</f>
        <v>1.0562412891358086</v>
      </c>
      <c r="Y23" s="34">
        <f t="shared" si="5"/>
        <v>7040.1439396511223</v>
      </c>
      <c r="Z23" s="78">
        <f t="shared" si="6"/>
        <v>5.6241289135808614E-2</v>
      </c>
      <c r="AA23" s="51">
        <f t="shared" si="9"/>
        <v>4.014552403874827E-3</v>
      </c>
      <c r="AC23" s="106">
        <f t="shared" si="1"/>
        <v>1.8388881234310261E-2</v>
      </c>
    </row>
    <row r="24" spans="1:29" x14ac:dyDescent="0.25">
      <c r="A24" s="47"/>
      <c r="B24" s="3">
        <v>17</v>
      </c>
      <c r="C24" t="str">
        <f ca="1">_xlfn.IFS(IPCA!$O$7=DATA!$T$26,PERIODS!D20,IPCA!$O$7=DATA!$T$27,PERIODS!F20,IPCA!$O$7=DATA!$T$28,PERIODS!H20)</f>
        <v>2026-11-30</v>
      </c>
      <c r="D24" s="37">
        <f ca="1">DATA!Q23</f>
        <v>363</v>
      </c>
      <c r="E24" s="45">
        <f ca="1">(((1+DATA!I23%)/(1+DATA!R23%))-1)*100</f>
        <v>4.411476588845864</v>
      </c>
      <c r="F24" s="46">
        <f ca="1">((((DATA!I23/100)+1)^(D24/252))/(((DATA!R23/100)+1)^(D24/252)))</f>
        <v>1.0641586753442411</v>
      </c>
      <c r="G24" s="34">
        <f t="shared" ca="1" si="0"/>
        <v>7763.5270496268977</v>
      </c>
      <c r="H24" s="78">
        <f t="shared" ca="1" si="2"/>
        <v>6.4158675344241134E-2</v>
      </c>
      <c r="I24" s="51">
        <f t="shared" ca="1" si="7"/>
        <v>3.6223741963969935E-3</v>
      </c>
      <c r="K24" s="3">
        <v>17</v>
      </c>
      <c r="L24" t="str">
        <f>_xlfn.IFS(IPCA!$O$7=DATA!$T$26,PERIODS!M20,IPCA!$O$7=DATA!$T$27,PERIODS!O20,IPCA!$O$7=DATA!$T$28,PERIODS!Q20)</f>
        <v>2025-05-30</v>
      </c>
      <c r="M24" s="37">
        <v>357</v>
      </c>
      <c r="N24" s="45">
        <f>(((1+DATA!I82%)/(1+DATA!R82%))-1)*100</f>
        <v>4.1574806301650336</v>
      </c>
      <c r="O24" s="46">
        <f>((((DATA!I82/100)+1)^(M24/252))/(((DATA!R82/100)+1)^(M24/252)))</f>
        <v>1.0594037218589625</v>
      </c>
      <c r="P24" s="34" t="e">
        <f t="shared" si="3"/>
        <v>#VALUE!</v>
      </c>
      <c r="Q24" s="78">
        <f t="shared" si="4"/>
        <v>5.9403721858962477E-2</v>
      </c>
      <c r="R24" s="51" t="e">
        <f t="shared" si="8"/>
        <v>#VALUE!</v>
      </c>
      <c r="T24" s="3">
        <v>17</v>
      </c>
      <c r="U24" t="str">
        <f>_xlfn.IFS(IPCA!$O$7=DATA!$T$26,PERIODS!V20,IPCA!$O$7=DATA!$T$27,PERIODS!X20,IPCA!$O$7=DATA!$T$28,PERIODS!Z20)</f>
        <v>2024-11-29</v>
      </c>
      <c r="V24" s="37">
        <v>357</v>
      </c>
      <c r="W24" s="45">
        <f>(((1+DATA!I142%)/(1+DATA!R142%))-1)*100</f>
        <v>4.1851849870935043</v>
      </c>
      <c r="X24" s="46">
        <f>((((DATA!I142/100)+1)^(V24/252))/(((DATA!R142/100)+1)^(V24/252)))</f>
        <v>1.0598029405265113</v>
      </c>
      <c r="Y24" s="34">
        <f t="shared" si="5"/>
        <v>7063.8833434325443</v>
      </c>
      <c r="Z24" s="78">
        <f t="shared" si="6"/>
        <v>5.980294052651125E-2</v>
      </c>
      <c r="AA24" s="51">
        <f t="shared" si="9"/>
        <v>3.3720054568371349E-3</v>
      </c>
      <c r="AC24" s="106">
        <f t="shared" si="1"/>
        <v>-2.770435692847073E-2</v>
      </c>
    </row>
    <row r="25" spans="1:29" x14ac:dyDescent="0.25">
      <c r="A25" s="47" t="s">
        <v>82</v>
      </c>
      <c r="B25" s="3">
        <v>18</v>
      </c>
      <c r="C25" t="str">
        <f ca="1">_xlfn.IFS(IPCA!$O$7=DATA!$T$26,PERIODS!D21,IPCA!$O$7=DATA!$T$27,PERIODS!F21,IPCA!$O$7=DATA!$T$28,PERIODS!H21)</f>
        <v>2026-12-30</v>
      </c>
      <c r="D25" s="37">
        <f ca="1">DATA!Q24</f>
        <v>384</v>
      </c>
      <c r="E25" s="45">
        <f ca="1">(((1+DATA!I24%)/(1+DATA!R24%))-1)*100</f>
        <v>4.460084787943841</v>
      </c>
      <c r="F25" s="46">
        <f ca="1">((((DATA!I24/100)+1)^(D25/252))/(((DATA!R24/100)+1)^(D25/252)))</f>
        <v>1.0687515569001671</v>
      </c>
      <c r="G25" s="34">
        <f t="shared" ca="1" si="0"/>
        <v>7797.034233302893</v>
      </c>
      <c r="H25" s="78">
        <f t="shared" ca="1" si="2"/>
        <v>6.8751556900167099E-2</v>
      </c>
      <c r="I25" s="51">
        <f t="shared" ca="1" si="7"/>
        <v>4.3159743582790178E-3</v>
      </c>
      <c r="K25" s="3">
        <v>18</v>
      </c>
      <c r="L25" t="str">
        <f>_xlfn.IFS(IPCA!$O$7=DATA!$T$26,PERIODS!M21,IPCA!$O$7=DATA!$T$27,PERIODS!O21,IPCA!$O$7=DATA!$T$28,PERIODS!Q21)</f>
        <v>2025-06-30</v>
      </c>
      <c r="M25" s="37">
        <v>378</v>
      </c>
      <c r="N25" s="45">
        <f>(((1+DATA!I83%)/(1+DATA!R83%))-1)*100</f>
        <v>4.1342789598108665</v>
      </c>
      <c r="O25" s="46">
        <f>((((DATA!I83/100)+1)^(M25/252))/(((DATA!R83/100)+1)^(M25/252)))</f>
        <v>1.0626507948196755</v>
      </c>
      <c r="P25" s="34" t="e">
        <f t="shared" si="3"/>
        <v>#VALUE!</v>
      </c>
      <c r="Q25" s="78">
        <f t="shared" si="4"/>
        <v>6.2650794819675504E-2</v>
      </c>
      <c r="R25" s="51" t="e">
        <f t="shared" si="8"/>
        <v>#VALUE!</v>
      </c>
      <c r="T25" s="3">
        <v>18</v>
      </c>
      <c r="U25" t="str">
        <f>_xlfn.IFS(IPCA!$O$7=DATA!$T$26,PERIODS!V21,IPCA!$O$7=DATA!$T$27,PERIODS!X21,IPCA!$O$7=DATA!$T$28,PERIODS!Z21)</f>
        <v>2024-12-30</v>
      </c>
      <c r="V25" s="37">
        <v>378</v>
      </c>
      <c r="W25" s="45">
        <f>(((1+DATA!I143%)/(1+DATA!R143%))-1)*100</f>
        <v>4.161012495806049</v>
      </c>
      <c r="X25" s="46">
        <f>((((DATA!I143/100)+1)^(V25/252))/(((DATA!R143/100)+1)^(V25/252)))</f>
        <v>1.0630600294647499</v>
      </c>
      <c r="Y25" s="34">
        <f t="shared" si="5"/>
        <v>7085.5927531908073</v>
      </c>
      <c r="Z25" s="78">
        <f t="shared" si="6"/>
        <v>6.3060029464749867E-2</v>
      </c>
      <c r="AA25" s="51">
        <f t="shared" si="9"/>
        <v>3.073296755168986E-3</v>
      </c>
      <c r="AC25" s="106">
        <f t="shared" si="1"/>
        <v>-2.6733535995182578E-2</v>
      </c>
    </row>
    <row r="26" spans="1:29" x14ac:dyDescent="0.25">
      <c r="A26" s="47"/>
      <c r="B26" s="3">
        <v>19</v>
      </c>
      <c r="C26" t="str">
        <f ca="1">_xlfn.IFS(IPCA!$O$7=DATA!$T$26,PERIODS!D22,IPCA!$O$7=DATA!$T$27,PERIODS!F22,IPCA!$O$7=DATA!$T$28,PERIODS!H22)</f>
        <v>2027-01-29</v>
      </c>
      <c r="D26" s="37">
        <f ca="1">DATA!Q25</f>
        <v>405</v>
      </c>
      <c r="E26" s="45">
        <f ca="1">(((1+DATA!I25%)/(1+DATA!R25%))-1)*100</f>
        <v>4.5289636087638918</v>
      </c>
      <c r="F26" s="46">
        <f ca="1">((((DATA!I25/100)+1)^(D26/252))/(((DATA!R25/100)+1)^(D26/252)))</f>
        <v>1.073781792757968</v>
      </c>
      <c r="G26" s="34">
        <f t="shared" ca="1" si="0"/>
        <v>7833.7321177940457</v>
      </c>
      <c r="H26" s="78">
        <f t="shared" ca="1" si="2"/>
        <v>7.3781792757968034E-2</v>
      </c>
      <c r="I26" s="51">
        <f t="shared" ca="1" si="7"/>
        <v>4.7066465777985123E-3</v>
      </c>
      <c r="K26" s="3">
        <v>19</v>
      </c>
      <c r="L26" t="str">
        <f>_xlfn.IFS(IPCA!$O$7=DATA!$T$26,PERIODS!M22,IPCA!$O$7=DATA!$T$27,PERIODS!O22,IPCA!$O$7=DATA!$T$28,PERIODS!Q22)</f>
        <v>2025-07-31</v>
      </c>
      <c r="M26" s="37">
        <v>399</v>
      </c>
      <c r="N26" s="45">
        <f>(((1+DATA!I84%)/(1+DATA!R84%))-1)*100</f>
        <v>4.1199634273395569</v>
      </c>
      <c r="O26" s="46">
        <f>((((DATA!I84/100)+1)^(M26/252))/(((DATA!R84/100)+1)^(M26/252)))</f>
        <v>1.0660122062903619</v>
      </c>
      <c r="P26" s="34" t="e">
        <f t="shared" si="3"/>
        <v>#VALUE!</v>
      </c>
      <c r="Q26" s="78">
        <f t="shared" si="4"/>
        <v>6.6012206290361863E-2</v>
      </c>
      <c r="R26" s="51" t="e">
        <f t="shared" si="8"/>
        <v>#VALUE!</v>
      </c>
      <c r="T26" s="3">
        <v>19</v>
      </c>
      <c r="U26" t="str">
        <f>_xlfn.IFS(IPCA!$O$7=DATA!$T$26,PERIODS!V22,IPCA!$O$7=DATA!$T$27,PERIODS!X22,IPCA!$O$7=DATA!$T$28,PERIODS!Z22)</f>
        <v>2025-01-30</v>
      </c>
      <c r="V26" s="37">
        <v>399</v>
      </c>
      <c r="W26" s="45">
        <f>(((1+DATA!I144%)/(1+DATA!R144%))-1)*100</f>
        <v>4.1070060271424458</v>
      </c>
      <c r="X26" s="46">
        <f>((((DATA!I144/100)+1)^(V26/252))/(((DATA!R144/100)+1)^(V26/252)))</f>
        <v>1.0658021659884509</v>
      </c>
      <c r="Y26" s="34">
        <f t="shared" si="5"/>
        <v>7103.8698609195017</v>
      </c>
      <c r="Z26" s="78">
        <f t="shared" si="6"/>
        <v>6.58021659884509E-2</v>
      </c>
      <c r="AA26" s="51">
        <f t="shared" si="9"/>
        <v>2.5794747687784003E-3</v>
      </c>
      <c r="AC26" s="106">
        <f t="shared" si="1"/>
        <v>1.2957400197111113E-2</v>
      </c>
    </row>
    <row r="27" spans="1:29" x14ac:dyDescent="0.25">
      <c r="A27" s="47"/>
      <c r="B27" s="3">
        <v>20</v>
      </c>
      <c r="C27" t="str">
        <f ca="1">_xlfn.IFS(IPCA!$O$7=DATA!$T$26,PERIODS!D23,IPCA!$O$7=DATA!$T$27,PERIODS!F23,IPCA!$O$7=DATA!$T$28,PERIODS!H23)</f>
        <v>2027-02-26</v>
      </c>
      <c r="D27" s="37">
        <f ca="1">DATA!Q26</f>
        <v>423</v>
      </c>
      <c r="E27" s="45">
        <f ca="1">(((1+DATA!I26%)/(1+DATA!R26%))-1)*100</f>
        <v>4.5980837931482776</v>
      </c>
      <c r="F27" s="46">
        <f ca="1">((((DATA!I26/100)+1)^(D27/252))/(((DATA!R26/100)+1)^(D27/252)))</f>
        <v>1.0783803676628894</v>
      </c>
      <c r="G27" s="34">
        <f t="shared" ca="1" si="0"/>
        <v>7867.2808370699031</v>
      </c>
      <c r="H27" s="78">
        <f t="shared" ca="1" si="2"/>
        <v>7.8380367662889361E-2</v>
      </c>
      <c r="I27" s="51">
        <f t="shared" ca="1" si="7"/>
        <v>4.2825972054434391E-3</v>
      </c>
      <c r="K27" s="3">
        <v>20</v>
      </c>
      <c r="L27" t="str">
        <f>_xlfn.IFS(IPCA!$O$7=DATA!$T$26,PERIODS!M23,IPCA!$O$7=DATA!$T$27,PERIODS!O23,IPCA!$O$7=DATA!$T$28,PERIODS!Q23)</f>
        <v>2025-08-29</v>
      </c>
      <c r="M27" s="37">
        <v>420</v>
      </c>
      <c r="N27" s="45">
        <f>(((1+DATA!I85%)/(1+DATA!R85%))-1)*100</f>
        <v>4.1113755724326628</v>
      </c>
      <c r="O27" s="46">
        <f>((((DATA!I85/100)+1)^(M27/252))/(((DATA!R85/100)+1)^(M27/252)))</f>
        <v>1.0694577722859522</v>
      </c>
      <c r="P27" s="34" t="e">
        <f t="shared" si="3"/>
        <v>#VALUE!</v>
      </c>
      <c r="Q27" s="78">
        <f t="shared" si="4"/>
        <v>6.945777228595218E-2</v>
      </c>
      <c r="R27" s="51" t="e">
        <f t="shared" si="8"/>
        <v>#VALUE!</v>
      </c>
      <c r="T27" s="3">
        <v>20</v>
      </c>
      <c r="U27" t="str">
        <f>_xlfn.IFS(IPCA!$O$7=DATA!$T$26,PERIODS!V23,IPCA!$O$7=DATA!$T$27,PERIODS!X23,IPCA!$O$7=DATA!$T$28,PERIODS!Z23)</f>
        <v>2025-02-28</v>
      </c>
      <c r="V27" s="37">
        <v>420</v>
      </c>
      <c r="W27" s="45">
        <f>(((1+DATA!I145%)/(1+DATA!R145%))-1)*100</f>
        <v>4.0414703957739828</v>
      </c>
      <c r="X27" s="46">
        <f>((((DATA!I145/100)+1)^(V27/252))/(((DATA!R145/100)+1)^(V27/252)))</f>
        <v>1.0682612347596356</v>
      </c>
      <c r="Y27" s="34">
        <f t="shared" si="5"/>
        <v>7120.2602428187038</v>
      </c>
      <c r="Z27" s="78">
        <f t="shared" si="6"/>
        <v>6.8261234759635636E-2</v>
      </c>
      <c r="AA27" s="51">
        <f t="shared" si="9"/>
        <v>2.3072469259848294E-3</v>
      </c>
      <c r="AC27" s="106">
        <f t="shared" si="1"/>
        <v>6.9905176658680013E-2</v>
      </c>
    </row>
    <row r="28" spans="1:29" x14ac:dyDescent="0.25">
      <c r="A28" s="47"/>
      <c r="B28" s="3">
        <v>21</v>
      </c>
      <c r="C28" t="str">
        <f ca="1">_xlfn.IFS(IPCA!$O$7=DATA!$T$26,PERIODS!D24,IPCA!$O$7=DATA!$T$27,PERIODS!F24,IPCA!$O$7=DATA!$T$28,PERIODS!H24)</f>
        <v>2027-03-30</v>
      </c>
      <c r="D28" s="37">
        <f ca="1">DATA!Q27</f>
        <v>444</v>
      </c>
      <c r="E28" s="45">
        <f ca="1">(((1+DATA!I27%)/(1+DATA!R27%))-1)*100</f>
        <v>4.6797109831302475</v>
      </c>
      <c r="F28" s="46">
        <f ca="1">((((DATA!I27/100)+1)^(D28/252))/(((DATA!R27/100)+1)^(D28/252)))</f>
        <v>1.083916580276211</v>
      </c>
      <c r="G28" s="34">
        <f t="shared" ca="1" si="0"/>
        <v>7907.6700547418859</v>
      </c>
      <c r="H28" s="78">
        <f t="shared" ca="1" si="2"/>
        <v>8.3916580276210961E-2</v>
      </c>
      <c r="I28" s="51">
        <f t="shared" ca="1" si="7"/>
        <v>5.1338217750753756E-3</v>
      </c>
      <c r="K28" s="3">
        <v>21</v>
      </c>
      <c r="L28" t="str">
        <f>_xlfn.IFS(IPCA!$O$7=DATA!$T$26,PERIODS!M24,IPCA!$O$7=DATA!$T$27,PERIODS!O24,IPCA!$O$7=DATA!$T$28,PERIODS!Q24)</f>
        <v>2025-09-30</v>
      </c>
      <c r="M28" s="37">
        <v>441</v>
      </c>
      <c r="N28" s="45">
        <f>(((1+DATA!I86%)/(1+DATA!R86%))-1)*100</f>
        <v>4.0973995271867514</v>
      </c>
      <c r="O28" s="46">
        <f>((((DATA!I86/100)+1)^(M28/252))/(((DATA!R86/100)+1)^(M28/252)))</f>
        <v>1.0728025343906906</v>
      </c>
      <c r="P28" s="34" t="e">
        <f t="shared" si="3"/>
        <v>#VALUE!</v>
      </c>
      <c r="Q28" s="78">
        <f t="shared" si="4"/>
        <v>7.2802534390690621E-2</v>
      </c>
      <c r="R28" s="51" t="e">
        <f t="shared" si="8"/>
        <v>#VALUE!</v>
      </c>
      <c r="T28" s="3">
        <v>21</v>
      </c>
      <c r="U28" t="str">
        <f>_xlfn.IFS(IPCA!$O$7=DATA!$T$26,PERIODS!V24,IPCA!$O$7=DATA!$T$27,PERIODS!X24,IPCA!$O$7=DATA!$T$28,PERIODS!Z24)</f>
        <v>2025-03-28</v>
      </c>
      <c r="V28" s="37">
        <v>441</v>
      </c>
      <c r="W28" s="45">
        <f>(((1+DATA!I146%)/(1+DATA!R146%))-1)*100</f>
        <v>3.9892139014065187</v>
      </c>
      <c r="X28" s="46">
        <f>((((DATA!I146/100)+1)^(V28/252))/(((DATA!R146/100)+1)^(V28/252)))</f>
        <v>1.0708521589643554</v>
      </c>
      <c r="Y28" s="34">
        <f t="shared" si="5"/>
        <v>7137.5294781019384</v>
      </c>
      <c r="Z28" s="78">
        <f t="shared" si="6"/>
        <v>7.0852158964355372E-2</v>
      </c>
      <c r="AA28" s="51">
        <f t="shared" si="9"/>
        <v>2.4253657442721011E-3</v>
      </c>
      <c r="AC28" s="106">
        <f t="shared" si="1"/>
        <v>0.10818562578023272</v>
      </c>
    </row>
    <row r="29" spans="1:29" x14ac:dyDescent="0.25">
      <c r="A29" s="47"/>
      <c r="B29" s="3">
        <v>22</v>
      </c>
      <c r="C29" t="str">
        <f ca="1">_xlfn.IFS(IPCA!$O$7=DATA!$T$26,PERIODS!D25,IPCA!$O$7=DATA!$T$27,PERIODS!F25,IPCA!$O$7=DATA!$T$28,PERIODS!H25)</f>
        <v>2027-04-30</v>
      </c>
      <c r="D29" s="37">
        <f ca="1">DATA!Q28</f>
        <v>466</v>
      </c>
      <c r="E29" s="45">
        <f ca="1">(((1+DATA!I28%)/(1+DATA!R28%))-1)*100</f>
        <v>4.75522274430773</v>
      </c>
      <c r="F29" s="46">
        <f ca="1">((((DATA!I28/100)+1)^(D29/252))/(((DATA!R28/100)+1)^(D29/252)))</f>
        <v>1.0897051518740211</v>
      </c>
      <c r="G29" s="34">
        <f t="shared" ca="1" si="0"/>
        <v>7949.9003472908453</v>
      </c>
      <c r="H29" s="78">
        <f t="shared" ca="1" si="2"/>
        <v>8.9705151874021061E-2</v>
      </c>
      <c r="I29" s="51">
        <f t="shared" ca="1" si="7"/>
        <v>5.3404216737187316E-3</v>
      </c>
      <c r="K29" s="3">
        <v>22</v>
      </c>
      <c r="L29" t="str">
        <f>_xlfn.IFS(IPCA!$O$7=DATA!$T$26,PERIODS!M25,IPCA!$O$7=DATA!$T$27,PERIODS!O25,IPCA!$O$7=DATA!$T$28,PERIODS!Q25)</f>
        <v>2025-10-31</v>
      </c>
      <c r="M29" s="37">
        <v>462</v>
      </c>
      <c r="N29" s="45">
        <f>(((1+DATA!I87%)/(1+DATA!R87%))-1)*100</f>
        <v>4.0710644488687331</v>
      </c>
      <c r="O29" s="46">
        <f>((((DATA!I87/100)+1)^(M29/252))/(((DATA!R87/100)+1)^(M29/252)))</f>
        <v>1.0758993878501415</v>
      </c>
      <c r="P29" s="34" t="e">
        <f t="shared" si="3"/>
        <v>#VALUE!</v>
      </c>
      <c r="Q29" s="78">
        <f t="shared" si="4"/>
        <v>7.5899387850141498E-2</v>
      </c>
      <c r="R29" s="51" t="e">
        <f t="shared" si="8"/>
        <v>#VALUE!</v>
      </c>
      <c r="T29" s="3">
        <v>22</v>
      </c>
      <c r="U29" t="str">
        <f>_xlfn.IFS(IPCA!$O$7=DATA!$T$26,PERIODS!V25,IPCA!$O$7=DATA!$T$27,PERIODS!X25,IPCA!$O$7=DATA!$T$28,PERIODS!Z25)</f>
        <v>2025-04-30</v>
      </c>
      <c r="V29" s="37">
        <v>462</v>
      </c>
      <c r="W29" s="45">
        <f>(((1+DATA!I147%)/(1+DATA!R147%))-1)*100</f>
        <v>3.9286769597844939</v>
      </c>
      <c r="X29" s="46">
        <f>((((DATA!I147/100)+1)^(V29/252))/(((DATA!R147/100)+1)^(V29/252)))</f>
        <v>1.0732022244292547</v>
      </c>
      <c r="Y29" s="34">
        <f t="shared" si="5"/>
        <v>7153.1933224438226</v>
      </c>
      <c r="Z29" s="78">
        <f t="shared" si="6"/>
        <v>7.3202224429254725E-2</v>
      </c>
      <c r="AA29" s="51">
        <f t="shared" si="9"/>
        <v>2.1945750823084698E-3</v>
      </c>
      <c r="AC29" s="106">
        <f t="shared" si="1"/>
        <v>0.14238748908423915</v>
      </c>
    </row>
    <row r="30" spans="1:29" x14ac:dyDescent="0.25">
      <c r="A30" s="47"/>
      <c r="B30" s="3">
        <v>23</v>
      </c>
      <c r="C30" t="str">
        <f ca="1">_xlfn.IFS(IPCA!$O$7=DATA!$T$26,PERIODS!D26,IPCA!$O$7=DATA!$T$27,PERIODS!F26,IPCA!$O$7=DATA!$T$28,PERIODS!H26)</f>
        <v>2027-05-28</v>
      </c>
      <c r="D30" s="37">
        <f ca="1">DATA!Q29</f>
        <v>485</v>
      </c>
      <c r="E30" s="45">
        <f ca="1">(((1+DATA!I29%)/(1+DATA!R29%))-1)*100</f>
        <v>4.8086712554688882</v>
      </c>
      <c r="F30" s="46">
        <f ca="1">((((DATA!I29/100)+1)^(D30/252))/(((DATA!R29/100)+1)^(D30/252)))</f>
        <v>1.0946027753719221</v>
      </c>
      <c r="G30" s="34">
        <f t="shared" ca="1" si="0"/>
        <v>7985.6307636148431</v>
      </c>
      <c r="H30" s="78">
        <f t="shared" ca="1" si="2"/>
        <v>9.4602775371922077E-2</v>
      </c>
      <c r="I30" s="51">
        <f t="shared" ca="1" si="7"/>
        <v>4.4944483280440206E-3</v>
      </c>
      <c r="K30" s="3">
        <v>23</v>
      </c>
      <c r="L30" t="str">
        <f>_xlfn.IFS(IPCA!$O$7=DATA!$T$26,PERIODS!M26,IPCA!$O$7=DATA!$T$27,PERIODS!O26,IPCA!$O$7=DATA!$T$28,PERIODS!Q26)</f>
        <v>2025-11-28</v>
      </c>
      <c r="M30" s="37">
        <v>483</v>
      </c>
      <c r="N30" s="45">
        <f>(((1+DATA!I88%)/(1+DATA!R88%))-1)*100</f>
        <v>4.0470856140328415</v>
      </c>
      <c r="O30" s="46">
        <f>((((DATA!I88/100)+1)^(M30/252))/(((DATA!R88/100)+1)^(M30/252)))</f>
        <v>1.079006381881787</v>
      </c>
      <c r="P30" s="34" t="e">
        <f t="shared" si="3"/>
        <v>#VALUE!</v>
      </c>
      <c r="Q30" s="78">
        <f t="shared" si="4"/>
        <v>7.9006381881786991E-2</v>
      </c>
      <c r="R30" s="51" t="e">
        <f t="shared" si="8"/>
        <v>#VALUE!</v>
      </c>
      <c r="T30" s="3">
        <v>23</v>
      </c>
      <c r="U30" t="str">
        <f>_xlfn.IFS(IPCA!$O$7=DATA!$T$26,PERIODS!V26,IPCA!$O$7=DATA!$T$27,PERIODS!X26,IPCA!$O$7=DATA!$T$28,PERIODS!Z26)</f>
        <v>2025-05-30</v>
      </c>
      <c r="V30" s="37">
        <v>483</v>
      </c>
      <c r="W30" s="45">
        <f>(((1+DATA!I148%)/(1+DATA!R148%))-1)*100</f>
        <v>3.8711888657920301</v>
      </c>
      <c r="X30" s="46">
        <f>((((DATA!I148/100)+1)^(V30/252))/(((DATA!R148/100)+1)^(V30/252)))</f>
        <v>1.0755128730842636</v>
      </c>
      <c r="Y30" s="34">
        <f t="shared" si="5"/>
        <v>7168.5944427110799</v>
      </c>
      <c r="Z30" s="78">
        <f t="shared" si="6"/>
        <v>7.5512873084263576E-2</v>
      </c>
      <c r="AA30" s="51">
        <f t="shared" si="9"/>
        <v>2.1530412464787485E-3</v>
      </c>
      <c r="AC30" s="106">
        <f t="shared" si="1"/>
        <v>0.17589674824081136</v>
      </c>
    </row>
    <row r="31" spans="1:29" x14ac:dyDescent="0.25">
      <c r="A31" s="47" t="s">
        <v>14</v>
      </c>
      <c r="B31" s="3">
        <v>24</v>
      </c>
      <c r="C31" t="str">
        <f ca="1">_xlfn.IFS(IPCA!$O$7=DATA!$T$26,PERIODS!D27,IPCA!$O$7=DATA!$T$27,PERIODS!F27,IPCA!$O$7=DATA!$T$28,PERIODS!H27)</f>
        <v>2027-06-30</v>
      </c>
      <c r="D31" s="37">
        <f ca="1">DATA!Q30</f>
        <v>508</v>
      </c>
      <c r="E31" s="45">
        <f ca="1">(((1+DATA!I30%)/(1+DATA!R30%))-1)*100</f>
        <v>4.8608000300775167</v>
      </c>
      <c r="F31" s="46">
        <f ca="1">((((DATA!I30/100)+1)^(D31/252))/(((DATA!R30/100)+1)^(D31/252)))</f>
        <v>1.1004074620684063</v>
      </c>
      <c r="G31" s="34">
        <f t="shared" ca="1" si="0"/>
        <v>8027.9786232215756</v>
      </c>
      <c r="H31" s="78">
        <f t="shared" ca="1" si="2"/>
        <v>0.10040746206840634</v>
      </c>
      <c r="I31" s="51">
        <f t="shared" ca="1" si="7"/>
        <v>5.3030074718309894E-3</v>
      </c>
      <c r="K31" s="3">
        <v>24</v>
      </c>
      <c r="L31" t="str">
        <f>_xlfn.IFS(IPCA!$O$7=DATA!$T$26,PERIODS!M27,IPCA!$O$7=DATA!$T$27,PERIODS!O27,IPCA!$O$7=DATA!$T$28,PERIODS!Q27)</f>
        <v>2025-12-31</v>
      </c>
      <c r="M31" s="37">
        <v>504</v>
      </c>
      <c r="N31" s="45">
        <f>(((1+DATA!I89%)/(1+DATA!R89%))-1)*100</f>
        <v>4.0278537218404908</v>
      </c>
      <c r="O31" s="46">
        <f>((((DATA!I89/100)+1)^(M31/252))/(((DATA!R89/100)+1)^(M31/252)))</f>
        <v>1.0821794349972644</v>
      </c>
      <c r="P31" s="34" t="e">
        <f t="shared" si="3"/>
        <v>#VALUE!</v>
      </c>
      <c r="Q31" s="78">
        <f t="shared" si="4"/>
        <v>8.2179434997264433E-2</v>
      </c>
      <c r="R31" s="51" t="e">
        <f t="shared" si="8"/>
        <v>#VALUE!</v>
      </c>
      <c r="T31" s="3">
        <v>24</v>
      </c>
      <c r="U31" t="str">
        <f>_xlfn.IFS(IPCA!$O$7=DATA!$T$26,PERIODS!V27,IPCA!$O$7=DATA!$T$27,PERIODS!X27,IPCA!$O$7=DATA!$T$28,PERIODS!Z27)</f>
        <v>2025-06-30</v>
      </c>
      <c r="V31" s="37">
        <v>504</v>
      </c>
      <c r="W31" s="45">
        <f>(((1+DATA!I149%)/(1+DATA!R149%))-1)*100</f>
        <v>3.8233917033430043</v>
      </c>
      <c r="X31" s="46">
        <f>((((DATA!I149/100)+1)^(V31/252))/(((DATA!R149/100)+1)^(V31/252)))</f>
        <v>1.0779296664785794</v>
      </c>
      <c r="Y31" s="34">
        <f t="shared" si="5"/>
        <v>7184.7030473863451</v>
      </c>
      <c r="Z31" s="78">
        <f t="shared" si="6"/>
        <v>7.7929666478579351E-2</v>
      </c>
      <c r="AA31" s="51">
        <f t="shared" si="9"/>
        <v>2.2471078262271682E-3</v>
      </c>
      <c r="AC31" s="106">
        <f t="shared" si="1"/>
        <v>0.20446201849748658</v>
      </c>
    </row>
    <row r="32" spans="1:29" x14ac:dyDescent="0.25">
      <c r="A32" s="47"/>
      <c r="B32" s="3">
        <v>25</v>
      </c>
      <c r="C32" t="str">
        <f ca="1">_xlfn.IFS(IPCA!$O$7=DATA!$T$26,PERIODS!D28,IPCA!$O$7=DATA!$T$27,PERIODS!F28,IPCA!$O$7=DATA!$T$28,PERIODS!H28)</f>
        <v>2027-07-30</v>
      </c>
      <c r="D32" s="37">
        <f ca="1">DATA!Q31</f>
        <v>530</v>
      </c>
      <c r="E32" s="45">
        <f ca="1">(((1+DATA!I31%)/(1+DATA!R31%))-1)*100</f>
        <v>4.902829186986768</v>
      </c>
      <c r="F32" s="46">
        <f ca="1">((((DATA!I31/100)+1)^(D32/252))/(((DATA!R31/100)+1)^(D32/252)))</f>
        <v>1.1059082895742827</v>
      </c>
      <c r="G32" s="34">
        <f t="shared" ca="1" si="0"/>
        <v>8068.1096902575964</v>
      </c>
      <c r="H32" s="78">
        <f t="shared" ca="1" si="2"/>
        <v>0.10590828957428267</v>
      </c>
      <c r="I32" s="51">
        <f t="shared" ca="1" si="7"/>
        <v>4.9989005850039625E-3</v>
      </c>
      <c r="K32" s="3">
        <v>25</v>
      </c>
      <c r="L32" t="str">
        <f>_xlfn.IFS(IPCA!$O$7=DATA!$T$26,PERIODS!M28,IPCA!$O$7=DATA!$T$27,PERIODS!O28,IPCA!$O$7=DATA!$T$28,PERIODS!Q28)</f>
        <v>2026-01-30</v>
      </c>
      <c r="M32" s="37">
        <v>525</v>
      </c>
      <c r="N32" s="45">
        <f>(((1+DATA!I90%)/(1+DATA!R90%))-1)*100</f>
        <v>4.0252792190986542</v>
      </c>
      <c r="O32" s="46">
        <f>((((DATA!I90/100)+1)^(M32/252))/(((DATA!R90/100)+1)^(M32/252)))</f>
        <v>1.0856904587935807</v>
      </c>
      <c r="P32" s="34" t="e">
        <f t="shared" si="3"/>
        <v>#VALUE!</v>
      </c>
      <c r="Q32" s="78">
        <f t="shared" si="4"/>
        <v>8.5690458793580726E-2</v>
      </c>
      <c r="R32" s="51" t="e">
        <f t="shared" si="8"/>
        <v>#VALUE!</v>
      </c>
      <c r="T32" s="3">
        <v>25</v>
      </c>
      <c r="U32" t="str">
        <f>_xlfn.IFS(IPCA!$O$7=DATA!$T$26,PERIODS!V28,IPCA!$O$7=DATA!$T$27,PERIODS!X28,IPCA!$O$7=DATA!$T$28,PERIODS!Z28)</f>
        <v>2025-07-30</v>
      </c>
      <c r="V32" s="37">
        <v>525</v>
      </c>
      <c r="W32" s="45">
        <f>(((1+DATA!I150%)/(1+DATA!R150%))-1)*100</f>
        <v>3.7813373541632833</v>
      </c>
      <c r="X32" s="46">
        <f>((((DATA!I150/100)+1)^(V32/252))/(((DATA!R150/100)+1)^(V32/252)))</f>
        <v>1.0803930892737752</v>
      </c>
      <c r="Y32" s="34">
        <f t="shared" si="5"/>
        <v>7201.1224500747085</v>
      </c>
      <c r="Z32" s="78">
        <f t="shared" si="6"/>
        <v>8.0393089273775198E-2</v>
      </c>
      <c r="AA32" s="51">
        <f t="shared" si="9"/>
        <v>2.2853279502395019E-3</v>
      </c>
      <c r="AC32" s="106">
        <f t="shared" si="1"/>
        <v>0.24394186493537084</v>
      </c>
    </row>
    <row r="33" spans="1:29" x14ac:dyDescent="0.25">
      <c r="A33" s="47"/>
      <c r="B33" s="3">
        <v>26</v>
      </c>
      <c r="C33" t="str">
        <f ca="1">_xlfn.IFS(IPCA!$O$7=DATA!$T$26,PERIODS!D29,IPCA!$O$7=DATA!$T$27,PERIODS!F29,IPCA!$O$7=DATA!$T$28,PERIODS!H29)</f>
        <v>2027-08-30</v>
      </c>
      <c r="D33" s="37">
        <f ca="1">DATA!Q32</f>
        <v>551</v>
      </c>
      <c r="E33" s="45">
        <f ca="1">(((1+DATA!I32%)/(1+DATA!R32%))-1)*100</f>
        <v>4.9344607213944069</v>
      </c>
      <c r="F33" s="46">
        <f ca="1">((((DATA!I32/100)+1)^(D33/252))/(((DATA!R32/100)+1)^(D33/252)))</f>
        <v>1.1110603978235685</v>
      </c>
      <c r="G33" s="34">
        <f t="shared" ca="1" si="0"/>
        <v>8105.6966899059307</v>
      </c>
      <c r="H33" s="78">
        <f t="shared" ca="1" si="2"/>
        <v>0.11106039782356847</v>
      </c>
      <c r="I33" s="51">
        <f t="shared" ca="1" si="7"/>
        <v>4.6587120268979376E-3</v>
      </c>
      <c r="K33" s="3">
        <v>26</v>
      </c>
      <c r="L33" t="str">
        <f>_xlfn.IFS(IPCA!$O$7=DATA!$T$26,PERIODS!M29,IPCA!$O$7=DATA!$T$27,PERIODS!O29,IPCA!$O$7=DATA!$T$28,PERIODS!Q29)</f>
        <v>2026-02-27</v>
      </c>
      <c r="M33" s="37">
        <v>546</v>
      </c>
      <c r="N33" s="45">
        <f>(((1+DATA!I91%)/(1+DATA!R91%))-1)*100</f>
        <v>4.031808433574624</v>
      </c>
      <c r="O33" s="46">
        <f>((((DATA!I91/100)+1)^(M33/252))/(((DATA!R91/100)+1)^(M33/252)))</f>
        <v>1.0894149251491572</v>
      </c>
      <c r="P33" s="34" t="e">
        <f t="shared" si="3"/>
        <v>#VALUE!</v>
      </c>
      <c r="Q33" s="78">
        <f t="shared" si="4"/>
        <v>8.9414925149157165E-2</v>
      </c>
      <c r="R33" s="51" t="e">
        <f t="shared" si="8"/>
        <v>#VALUE!</v>
      </c>
      <c r="T33" s="3">
        <v>26</v>
      </c>
      <c r="U33" t="str">
        <f>_xlfn.IFS(IPCA!$O$7=DATA!$T$26,PERIODS!V29,IPCA!$O$7=DATA!$T$27,PERIODS!X29,IPCA!$O$7=DATA!$T$28,PERIODS!Z29)</f>
        <v>2025-08-29</v>
      </c>
      <c r="V33" s="37">
        <v>546</v>
      </c>
      <c r="W33" s="45">
        <f>(((1+DATA!I151%)/(1+DATA!R151%))-1)*100</f>
        <v>3.7452770552032888</v>
      </c>
      <c r="X33" s="46">
        <f>((((DATA!I151/100)+1)^(V33/252))/(((DATA!R151/100)+1)^(V33/252)))</f>
        <v>1.0829241995729217</v>
      </c>
      <c r="Y33" s="34">
        <f t="shared" si="5"/>
        <v>7217.9930089294039</v>
      </c>
      <c r="Z33" s="78">
        <f t="shared" si="6"/>
        <v>8.2924199572921742E-2</v>
      </c>
      <c r="AA33" s="51">
        <f t="shared" si="9"/>
        <v>2.3427679464775863E-3</v>
      </c>
      <c r="AC33" s="106">
        <f t="shared" si="1"/>
        <v>0.28653137837133524</v>
      </c>
    </row>
    <row r="34" spans="1:29" x14ac:dyDescent="0.25">
      <c r="A34" s="47"/>
      <c r="B34" s="3">
        <v>27</v>
      </c>
      <c r="C34" t="str">
        <f ca="1">_xlfn.IFS(IPCA!$O$7=DATA!$T$26,PERIODS!D30,IPCA!$O$7=DATA!$T$27,PERIODS!F30,IPCA!$O$7=DATA!$T$28,PERIODS!H30)</f>
        <v>2027-09-30</v>
      </c>
      <c r="D34" s="37">
        <f ca="1">DATA!Q33</f>
        <v>573</v>
      </c>
      <c r="E34" s="45">
        <f ca="1">(((1+DATA!I33%)/(1+DATA!R33%))-1)*100</f>
        <v>4.9555559030986407</v>
      </c>
      <c r="F34" s="46">
        <f ca="1">((((DATA!I33/100)+1)^(D34/252))/(((DATA!R33/100)+1)^(D34/252)))</f>
        <v>1.1162522676275937</v>
      </c>
      <c r="G34" s="34">
        <f t="shared" ca="1" si="0"/>
        <v>8143.5737683864045</v>
      </c>
      <c r="H34" s="78">
        <f t="shared" ca="1" si="2"/>
        <v>0.11625226762759366</v>
      </c>
      <c r="I34" s="51">
        <f t="shared" ca="1" si="7"/>
        <v>4.6728961037540984E-3</v>
      </c>
      <c r="K34" s="3">
        <v>27</v>
      </c>
      <c r="L34" t="str">
        <f>_xlfn.IFS(IPCA!$O$7=DATA!$T$26,PERIODS!M30,IPCA!$O$7=DATA!$T$27,PERIODS!O30,IPCA!$O$7=DATA!$T$28,PERIODS!Q30)</f>
        <v>2026-03-31</v>
      </c>
      <c r="M34" s="37">
        <v>567</v>
      </c>
      <c r="N34" s="45">
        <f>(((1+DATA!I92%)/(1+DATA!R92%))-1)*100</f>
        <v>4.043498817966884</v>
      </c>
      <c r="O34" s="46">
        <f>((((DATA!I92/100)+1)^(M34/252))/(((DATA!R92/100)+1)^(M34/252)))</f>
        <v>1.0932856150881609</v>
      </c>
      <c r="P34" s="34" t="e">
        <f t="shared" si="3"/>
        <v>#VALUE!</v>
      </c>
      <c r="Q34" s="78">
        <f t="shared" si="4"/>
        <v>9.3285615088160911E-2</v>
      </c>
      <c r="R34" s="51" t="e">
        <f t="shared" si="8"/>
        <v>#VALUE!</v>
      </c>
      <c r="T34" s="3">
        <v>27</v>
      </c>
      <c r="U34" t="str">
        <f>_xlfn.IFS(IPCA!$O$7=DATA!$T$26,PERIODS!V30,IPCA!$O$7=DATA!$T$27,PERIODS!X30,IPCA!$O$7=DATA!$T$28,PERIODS!Z30)</f>
        <v>2025-09-30</v>
      </c>
      <c r="V34" s="37">
        <v>567</v>
      </c>
      <c r="W34" s="45">
        <f>(((1+DATA!I152%)/(1+DATA!R152%))-1)*100</f>
        <v>3.7082123794362598</v>
      </c>
      <c r="X34" s="46">
        <f>((((DATA!I152/100)+1)^(V34/252))/(((DATA!R152/100)+1)^(V34/252)))</f>
        <v>1.0853744247734982</v>
      </c>
      <c r="Y34" s="34">
        <f t="shared" si="5"/>
        <v>7234.3244459543021</v>
      </c>
      <c r="Z34" s="78">
        <f t="shared" si="6"/>
        <v>8.5374424773498214E-2</v>
      </c>
      <c r="AA34" s="51">
        <f t="shared" si="9"/>
        <v>2.2626008371986472E-3</v>
      </c>
      <c r="AC34" s="106">
        <f t="shared" si="1"/>
        <v>0.33528643853062423</v>
      </c>
    </row>
    <row r="35" spans="1:29" x14ac:dyDescent="0.25">
      <c r="A35" s="47"/>
      <c r="B35" s="3">
        <v>28</v>
      </c>
      <c r="C35" t="str">
        <f ca="1">_xlfn.IFS(IPCA!$O$7=DATA!$T$26,PERIODS!D31,IPCA!$O$7=DATA!$T$27,PERIODS!F31,IPCA!$O$7=DATA!$T$28,PERIODS!H31)</f>
        <v>2027-10-29</v>
      </c>
      <c r="D35" s="37">
        <f ca="1">DATA!Q34</f>
        <v>593</v>
      </c>
      <c r="E35" s="45">
        <f ca="1">(((1+DATA!I34%)/(1+DATA!R34%))-1)*100</f>
        <v>4.9625759555217641</v>
      </c>
      <c r="F35" s="46">
        <f ca="1">((((DATA!I34/100)+1)^(D35/252))/(((DATA!R34/100)+1)^(D35/252)))</f>
        <v>1.1207217623914671</v>
      </c>
      <c r="G35" s="34">
        <f t="shared" ca="1" si="0"/>
        <v>8176.1807886564529</v>
      </c>
      <c r="H35" s="78">
        <f t="shared" ca="1" si="2"/>
        <v>0.12072176239146715</v>
      </c>
      <c r="I35" s="51">
        <f t="shared" ca="1" si="7"/>
        <v>4.0040185301237763E-3</v>
      </c>
      <c r="K35" s="3">
        <v>28</v>
      </c>
      <c r="L35" t="str">
        <f>_xlfn.IFS(IPCA!$O$7=DATA!$T$26,PERIODS!M31,IPCA!$O$7=DATA!$T$27,PERIODS!O31,IPCA!$O$7=DATA!$T$28,PERIODS!Q31)</f>
        <v>2026-04-30</v>
      </c>
      <c r="M35" s="37">
        <v>588</v>
      </c>
      <c r="N35" s="45">
        <f>(((1+DATA!I93%)/(1+DATA!R93%))-1)*100</f>
        <v>4.0523724967338914</v>
      </c>
      <c r="O35" s="46">
        <f>((((DATA!I93/100)+1)^(M35/252))/(((DATA!R93/100)+1)^(M35/252)))</f>
        <v>1.0971212737657585</v>
      </c>
      <c r="P35" s="34" t="e">
        <f t="shared" si="3"/>
        <v>#VALUE!</v>
      </c>
      <c r="Q35" s="78">
        <f t="shared" si="4"/>
        <v>9.712127376575852E-2</v>
      </c>
      <c r="R35" s="51" t="e">
        <f t="shared" si="8"/>
        <v>#VALUE!</v>
      </c>
      <c r="T35" s="3">
        <v>28</v>
      </c>
      <c r="U35" t="str">
        <f>_xlfn.IFS(IPCA!$O$7=DATA!$T$26,PERIODS!V31,IPCA!$O$7=DATA!$T$27,PERIODS!X31,IPCA!$O$7=DATA!$T$28,PERIODS!Z31)</f>
        <v>2025-10-30</v>
      </c>
      <c r="V35" s="37">
        <v>588</v>
      </c>
      <c r="W35" s="45">
        <f>(((1+DATA!I153%)/(1+DATA!R153%))-1)*100</f>
        <v>3.6659884033442669</v>
      </c>
      <c r="X35" s="46">
        <f>((((DATA!I153/100)+1)^(V35/252))/(((DATA!R153/100)+1)^(V35/252)))</f>
        <v>1.0876387780004619</v>
      </c>
      <c r="Y35" s="34">
        <f t="shared" si="5"/>
        <v>7249.416994230919</v>
      </c>
      <c r="Z35" s="78">
        <f t="shared" si="6"/>
        <v>8.7638778000461937E-2</v>
      </c>
      <c r="AA35" s="51">
        <f t="shared" si="9"/>
        <v>2.086241554324797E-3</v>
      </c>
      <c r="AC35" s="106">
        <f t="shared" si="1"/>
        <v>0.38638409338962454</v>
      </c>
    </row>
    <row r="36" spans="1:29" x14ac:dyDescent="0.25">
      <c r="A36" s="47"/>
      <c r="B36" s="3">
        <v>29</v>
      </c>
      <c r="C36" t="str">
        <f ca="1">_xlfn.IFS(IPCA!$O$7=DATA!$T$26,PERIODS!D32,IPCA!$O$7=DATA!$T$27,PERIODS!F32,IPCA!$O$7=DATA!$T$28,PERIODS!H32)</f>
        <v>2027-11-30</v>
      </c>
      <c r="D36" s="37">
        <f ca="1">DATA!Q35</f>
        <v>613</v>
      </c>
      <c r="E36" s="45">
        <f ca="1">(((1+DATA!I35%)/(1+DATA!R35%))-1)*100</f>
        <v>4.9617768895428238</v>
      </c>
      <c r="F36" s="46">
        <f ca="1">((((DATA!I35/100)+1)^(D36/252))/(((DATA!R35/100)+1)^(D36/252)))</f>
        <v>1.1250172093495456</v>
      </c>
      <c r="G36" s="34">
        <f t="shared" ca="1" si="0"/>
        <v>8207.5180501212362</v>
      </c>
      <c r="H36" s="78">
        <f t="shared" ca="1" si="2"/>
        <v>0.12501720934954563</v>
      </c>
      <c r="I36" s="51">
        <f t="shared" ca="1" si="7"/>
        <v>3.8327505561350783E-3</v>
      </c>
      <c r="K36" s="3">
        <v>29</v>
      </c>
      <c r="L36" t="str">
        <f>_xlfn.IFS(IPCA!$O$7=DATA!$T$26,PERIODS!M32,IPCA!$O$7=DATA!$T$27,PERIODS!O32,IPCA!$O$7=DATA!$T$28,PERIODS!Q32)</f>
        <v>2026-05-29</v>
      </c>
      <c r="M36" s="37">
        <v>609</v>
      </c>
      <c r="N36" s="45">
        <f>(((1+DATA!I94%)/(1+DATA!R94%))-1)*100</f>
        <v>4.060471012050848</v>
      </c>
      <c r="O36" s="46">
        <f>((((DATA!I94/100)+1)^(M36/252))/(((DATA!R94/100)+1)^(M36/252)))</f>
        <v>1.1009661995742186</v>
      </c>
      <c r="P36" s="34" t="e">
        <f t="shared" si="3"/>
        <v>#VALUE!</v>
      </c>
      <c r="Q36" s="78">
        <f t="shared" si="4"/>
        <v>0.1009661995742186</v>
      </c>
      <c r="R36" s="51" t="e">
        <f t="shared" si="8"/>
        <v>#VALUE!</v>
      </c>
      <c r="T36" s="3">
        <v>29</v>
      </c>
      <c r="U36" t="str">
        <f>_xlfn.IFS(IPCA!$O$7=DATA!$T$26,PERIODS!V32,IPCA!$O$7=DATA!$T$27,PERIODS!X32,IPCA!$O$7=DATA!$T$28,PERIODS!Z32)</f>
        <v>2025-11-28</v>
      </c>
      <c r="V36" s="37">
        <v>609</v>
      </c>
      <c r="W36" s="45">
        <f>(((1+DATA!I154%)/(1+DATA!R154%))-1)*100</f>
        <v>3.6291257856203352</v>
      </c>
      <c r="X36" s="46">
        <f>((((DATA!I154/100)+1)^(V36/252))/(((DATA!R154/100)+1)^(V36/252)))</f>
        <v>1.0899697203505911</v>
      </c>
      <c r="Y36" s="34">
        <f t="shared" si="5"/>
        <v>7264.9533776583876</v>
      </c>
      <c r="Z36" s="78">
        <f t="shared" si="6"/>
        <v>8.9969720350591142E-2</v>
      </c>
      <c r="AA36" s="51">
        <f t="shared" si="9"/>
        <v>2.1431217765279786E-3</v>
      </c>
      <c r="AC36" s="106">
        <f t="shared" si="1"/>
        <v>0.43134522643051287</v>
      </c>
    </row>
    <row r="37" spans="1:29" x14ac:dyDescent="0.25">
      <c r="A37" s="47" t="s">
        <v>83</v>
      </c>
      <c r="B37" s="3">
        <v>30</v>
      </c>
      <c r="C37" t="str">
        <f ca="1">_xlfn.IFS(IPCA!$O$7=DATA!$T$26,PERIODS!D33,IPCA!$O$7=DATA!$T$27,PERIODS!F33,IPCA!$O$7=DATA!$T$28,PERIODS!H33)</f>
        <v>2027-12-30</v>
      </c>
      <c r="D37" s="37">
        <f ca="1">DATA!Q36</f>
        <v>635</v>
      </c>
      <c r="E37" s="45">
        <f ca="1">(((1+DATA!I36%)/(1+DATA!R36%))-1)*100</f>
        <v>4.9578834450847875</v>
      </c>
      <c r="F37" s="46">
        <f ca="1">((((DATA!I36/100)+1)^(D37/252))/(((DATA!R36/100)+1)^(D37/252)))</f>
        <v>1.1296778830335947</v>
      </c>
      <c r="G37" s="34">
        <f t="shared" ca="1" si="0"/>
        <v>8241.5198085562697</v>
      </c>
      <c r="H37" s="78">
        <f t="shared" ca="1" si="2"/>
        <v>0.12967788303359473</v>
      </c>
      <c r="I37" s="51">
        <f t="shared" ca="1" si="7"/>
        <v>4.1427576798971355E-3</v>
      </c>
      <c r="K37" s="3">
        <v>30</v>
      </c>
      <c r="L37" t="str">
        <f>_xlfn.IFS(IPCA!$O$7=DATA!$T$26,PERIODS!M33,IPCA!$O$7=DATA!$T$27,PERIODS!O33,IPCA!$O$7=DATA!$T$28,PERIODS!Q33)</f>
        <v>2026-06-30</v>
      </c>
      <c r="M37" s="37">
        <v>630</v>
      </c>
      <c r="N37" s="45">
        <f>(((1+DATA!I95%)/(1+DATA!R95%))-1)*100</f>
        <v>4.0709219858155787</v>
      </c>
      <c r="O37" s="46">
        <f>((((DATA!I95/100)+1)^(M37/252))/(((DATA!R95/100)+1)^(M37/252)))</f>
        <v>1.1049013525445035</v>
      </c>
      <c r="P37" s="34" t="e">
        <f t="shared" si="3"/>
        <v>#VALUE!</v>
      </c>
      <c r="Q37" s="78">
        <f t="shared" si="4"/>
        <v>0.1049013525445035</v>
      </c>
      <c r="R37" s="51" t="e">
        <f t="shared" si="8"/>
        <v>#VALUE!</v>
      </c>
      <c r="T37" s="3">
        <v>30</v>
      </c>
      <c r="U37" t="str">
        <f>_xlfn.IFS(IPCA!$O$7=DATA!$T$26,PERIODS!V33,IPCA!$O$7=DATA!$T$27,PERIODS!X33,IPCA!$O$7=DATA!$T$28,PERIODS!Z33)</f>
        <v>2025-12-30</v>
      </c>
      <c r="V37" s="37">
        <v>630</v>
      </c>
      <c r="W37" s="45">
        <f>(((1+DATA!I155%)/(1+DATA!R155%))-1)*100</f>
        <v>3.6005243936698017</v>
      </c>
      <c r="X37" s="46">
        <f>((((DATA!I155/100)+1)^(V37/252))/(((DATA!R155/100)+1)^(V37/252)))</f>
        <v>1.0924583392474883</v>
      </c>
      <c r="Y37" s="34">
        <f t="shared" si="5"/>
        <v>7281.5407194194986</v>
      </c>
      <c r="Z37" s="78">
        <f t="shared" si="6"/>
        <v>9.2458339247488253E-2</v>
      </c>
      <c r="AA37" s="51">
        <f t="shared" si="9"/>
        <v>2.2832000288015575E-3</v>
      </c>
      <c r="AC37" s="106">
        <f t="shared" si="1"/>
        <v>0.47039759214577703</v>
      </c>
    </row>
    <row r="38" spans="1:29" x14ac:dyDescent="0.25">
      <c r="A38" s="47"/>
      <c r="B38" s="3">
        <v>31</v>
      </c>
      <c r="C38" t="str">
        <f ca="1">_xlfn.IFS(IPCA!$O$7=DATA!$T$26,PERIODS!D34,IPCA!$O$7=DATA!$T$27,PERIODS!F34,IPCA!$O$7=DATA!$T$28,PERIODS!H34)</f>
        <v>2028-01-28</v>
      </c>
      <c r="D38" s="37">
        <f ca="1">DATA!Q37</f>
        <v>656</v>
      </c>
      <c r="E38" s="45">
        <f ca="1">(((1+DATA!I37%)/(1+DATA!R37%))-1)*100</f>
        <v>4.9561846456632308</v>
      </c>
      <c r="F38" s="46">
        <f ca="1">((((DATA!I37/100)+1)^(D38/252))/(((DATA!R37/100)+1)^(D38/252)))</f>
        <v>1.1341946200321755</v>
      </c>
      <c r="G38" s="34">
        <f t="shared" ca="1" si="0"/>
        <v>8274.4714826599356</v>
      </c>
      <c r="H38" s="78">
        <f t="shared" ca="1" si="2"/>
        <v>0.13419462003217553</v>
      </c>
      <c r="I38" s="51">
        <f t="shared" ca="1" si="7"/>
        <v>3.9982521269263938E-3</v>
      </c>
      <c r="K38" s="3">
        <v>31</v>
      </c>
      <c r="L38" t="str">
        <f>_xlfn.IFS(IPCA!$O$7=DATA!$T$26,PERIODS!M34,IPCA!$O$7=DATA!$T$27,PERIODS!O34,IPCA!$O$7=DATA!$T$28,PERIODS!Q34)</f>
        <v>2026-07-31</v>
      </c>
      <c r="M38" s="37">
        <v>651</v>
      </c>
      <c r="N38" s="45">
        <f>(((1+DATA!I96%)/(1+DATA!R96%))-1)*100</f>
        <v>4.0864636436970025</v>
      </c>
      <c r="O38" s="46">
        <f>((((DATA!I96/100)+1)^(M38/252))/(((DATA!R96/100)+1)^(M38/252)))</f>
        <v>1.1090092155160061</v>
      </c>
      <c r="P38" s="34" t="e">
        <f t="shared" si="3"/>
        <v>#VALUE!</v>
      </c>
      <c r="Q38" s="78">
        <f t="shared" si="4"/>
        <v>0.10900921551600606</v>
      </c>
      <c r="R38" s="51" t="e">
        <f t="shared" si="8"/>
        <v>#VALUE!</v>
      </c>
      <c r="T38" s="3">
        <v>31</v>
      </c>
      <c r="U38" t="str">
        <f>_xlfn.IFS(IPCA!$O$7=DATA!$T$26,PERIODS!V34,IPCA!$O$7=DATA!$T$27,PERIODS!X34,IPCA!$O$7=DATA!$T$28,PERIODS!Z34)</f>
        <v>2026-01-30</v>
      </c>
      <c r="V38" s="37">
        <v>651</v>
      </c>
      <c r="W38" s="45">
        <f>(((1+DATA!I156%)/(1+DATA!R156%))-1)*100</f>
        <v>3.5877669544723378</v>
      </c>
      <c r="X38" s="46">
        <f>((((DATA!I156/100)+1)^(V38/252))/(((DATA!R156/100)+1)^(V38/252)))</f>
        <v>1.0953347941594789</v>
      </c>
      <c r="Y38" s="34">
        <f t="shared" si="5"/>
        <v>7300.7130968152915</v>
      </c>
      <c r="Z38" s="78">
        <f t="shared" si="6"/>
        <v>9.5334794159478875E-2</v>
      </c>
      <c r="AA38" s="51">
        <f t="shared" si="9"/>
        <v>2.6330110802870177E-3</v>
      </c>
      <c r="AC38" s="106">
        <f t="shared" si="1"/>
        <v>0.4986966892246647</v>
      </c>
    </row>
    <row r="39" spans="1:29" x14ac:dyDescent="0.25">
      <c r="A39" s="47"/>
      <c r="B39" s="3">
        <v>32</v>
      </c>
      <c r="C39" t="str">
        <f ca="1">_xlfn.IFS(IPCA!$O$7=DATA!$T$26,PERIODS!D35,IPCA!$O$7=DATA!$T$27,PERIODS!F35,IPCA!$O$7=DATA!$T$28,PERIODS!H35)</f>
        <v>2028-02-25</v>
      </c>
      <c r="D39" s="37">
        <f ca="1">DATA!Q38</f>
        <v>676</v>
      </c>
      <c r="E39" s="45">
        <f ca="1">(((1+DATA!I38%)/(1+DATA!R38%))-1)*100</f>
        <v>4.9571560010062354</v>
      </c>
      <c r="F39" s="46">
        <f ca="1">((((DATA!I38/100)+1)^(D39/252))/(((DATA!R38/100)+1)^(D39/252)))</f>
        <v>1.1385855538023379</v>
      </c>
      <c r="G39" s="34">
        <f t="shared" ca="1" si="0"/>
        <v>8306.5053643428037</v>
      </c>
      <c r="H39" s="78">
        <f t="shared" ca="1" si="2"/>
        <v>0.13858555380233795</v>
      </c>
      <c r="I39" s="51">
        <f t="shared" ca="1" si="7"/>
        <v>3.8714112133926282E-3</v>
      </c>
      <c r="K39" s="3">
        <v>32</v>
      </c>
      <c r="L39" t="str">
        <f>_xlfn.IFS(IPCA!$O$7=DATA!$T$26,PERIODS!M35,IPCA!$O$7=DATA!$T$27,PERIODS!O35,IPCA!$O$7=DATA!$T$28,PERIODS!Q35)</f>
        <v>2026-08-31</v>
      </c>
      <c r="M39" s="37">
        <v>672</v>
      </c>
      <c r="N39" s="45">
        <f>(((1+DATA!I97%)/(1+DATA!R97%))-1)*100</f>
        <v>4.1007929099544649</v>
      </c>
      <c r="O39" s="46">
        <f>((((DATA!I97/100)+1)^(M39/252))/(((DATA!R97/100)+1)^(M39/252)))</f>
        <v>1.1131254178404133</v>
      </c>
      <c r="P39" s="34" t="e">
        <f t="shared" si="3"/>
        <v>#VALUE!</v>
      </c>
      <c r="Q39" s="78">
        <f t="shared" si="4"/>
        <v>0.1131254178404133</v>
      </c>
      <c r="R39" s="51" t="e">
        <f t="shared" si="8"/>
        <v>#VALUE!</v>
      </c>
      <c r="T39" s="3">
        <v>32</v>
      </c>
      <c r="U39" t="str">
        <f>_xlfn.IFS(IPCA!$O$7=DATA!$T$26,PERIODS!V35,IPCA!$O$7=DATA!$T$27,PERIODS!X35,IPCA!$O$7=DATA!$T$28,PERIODS!Z35)</f>
        <v>2026-02-27</v>
      </c>
      <c r="V39" s="37">
        <v>672</v>
      </c>
      <c r="W39" s="45">
        <f>(((1+DATA!I157%)/(1+DATA!R157%))-1)*100</f>
        <v>3.5860777476474759</v>
      </c>
      <c r="X39" s="46">
        <f>((((DATA!I157/100)+1)^(V39/252))/(((DATA!R157/100)+1)^(V39/252)))</f>
        <v>1.0985092137167536</v>
      </c>
      <c r="Y39" s="34">
        <f t="shared" si="5"/>
        <v>7321.8714920020029</v>
      </c>
      <c r="Z39" s="78">
        <f t="shared" si="6"/>
        <v>9.8509213716753585E-2</v>
      </c>
      <c r="AA39" s="51">
        <f t="shared" si="9"/>
        <v>2.8981271974570788E-3</v>
      </c>
      <c r="AC39" s="106">
        <f t="shared" si="1"/>
        <v>0.51471516230698899</v>
      </c>
    </row>
    <row r="40" spans="1:29" x14ac:dyDescent="0.25">
      <c r="A40" s="47"/>
      <c r="B40" s="3">
        <v>33</v>
      </c>
      <c r="C40" t="str">
        <f ca="1">_xlfn.IFS(IPCA!$O$7=DATA!$T$26,PERIODS!D36,IPCA!$O$7=DATA!$T$27,PERIODS!F36,IPCA!$O$7=DATA!$T$28,PERIODS!H36)</f>
        <v>2028-03-30</v>
      </c>
      <c r="D40" s="37">
        <f ca="1">DATA!Q39</f>
        <v>698</v>
      </c>
      <c r="E40" s="45">
        <f ca="1">(((1+DATA!I39%)/(1+DATA!R39%))-1)*100</f>
        <v>4.9608468955062213</v>
      </c>
      <c r="F40" s="46">
        <f ca="1">((((DATA!I39/100)+1)^(D40/252))/(((DATA!R39/100)+1)^(D40/252)))</f>
        <v>1.1435162906317844</v>
      </c>
      <c r="G40" s="34">
        <f t="shared" ca="1" si="0"/>
        <v>8342.4773576525586</v>
      </c>
      <c r="H40" s="78">
        <f t="shared" ca="1" si="2"/>
        <v>0.14351629063178439</v>
      </c>
      <c r="I40" s="51">
        <f t="shared" ca="1" si="7"/>
        <v>4.330580879917445E-3</v>
      </c>
      <c r="K40" s="3">
        <v>33</v>
      </c>
      <c r="L40" t="str">
        <f>_xlfn.IFS(IPCA!$O$7=DATA!$T$26,PERIODS!M36,IPCA!$O$7=DATA!$T$27,PERIODS!O36,IPCA!$O$7=DATA!$T$28,PERIODS!Q36)</f>
        <v>2026-09-30</v>
      </c>
      <c r="M40" s="37">
        <v>693</v>
      </c>
      <c r="N40" s="45">
        <f>(((1+DATA!I98%)/(1+DATA!R98%))-1)*100</f>
        <v>4.1106382978723266</v>
      </c>
      <c r="O40" s="46">
        <f>((((DATA!I98/100)+1)^(M40/252))/(((DATA!R98/100)+1)^(M40/252)))</f>
        <v>1.1171501549619234</v>
      </c>
      <c r="P40" s="34" t="e">
        <f t="shared" si="3"/>
        <v>#VALUE!</v>
      </c>
      <c r="Q40" s="78">
        <f t="shared" si="4"/>
        <v>0.11715015496192338</v>
      </c>
      <c r="R40" s="51" t="e">
        <f t="shared" si="8"/>
        <v>#VALUE!</v>
      </c>
      <c r="T40" s="3">
        <v>33</v>
      </c>
      <c r="U40" t="str">
        <f>_xlfn.IFS(IPCA!$O$7=DATA!$T$26,PERIODS!V36,IPCA!$O$7=DATA!$T$27,PERIODS!X36,IPCA!$O$7=DATA!$T$28,PERIODS!Z36)</f>
        <v>2026-03-30</v>
      </c>
      <c r="V40" s="37">
        <v>693</v>
      </c>
      <c r="W40" s="45">
        <f>(((1+DATA!I158%)/(1+DATA!R158%))-1)*100</f>
        <v>3.5865246207066992</v>
      </c>
      <c r="X40" s="46">
        <f>((((DATA!I158/100)+1)^(V40/252))/(((DATA!R158/100)+1)^(V40/252)))</f>
        <v>1.1017523155158999</v>
      </c>
      <c r="Y40" s="34">
        <f t="shared" si="5"/>
        <v>7343.4876735618172</v>
      </c>
      <c r="Z40" s="78">
        <f t="shared" si="6"/>
        <v>0.10175231551589992</v>
      </c>
      <c r="AA40" s="51">
        <f t="shared" si="9"/>
        <v>2.952275464466414E-3</v>
      </c>
      <c r="AC40" s="106">
        <f t="shared" si="1"/>
        <v>0.5241136771656274</v>
      </c>
    </row>
    <row r="41" spans="1:29" x14ac:dyDescent="0.25">
      <c r="A41" s="47"/>
      <c r="B41" s="3">
        <v>34</v>
      </c>
      <c r="C41" t="str">
        <f ca="1">_xlfn.IFS(IPCA!$O$7=DATA!$T$26,PERIODS!D37,IPCA!$O$7=DATA!$T$27,PERIODS!F37,IPCA!$O$7=DATA!$T$28,PERIODS!H37)</f>
        <v>2028-04-28</v>
      </c>
      <c r="D41" s="37">
        <f ca="1">DATA!Q40</f>
        <v>717</v>
      </c>
      <c r="E41" s="45">
        <f ca="1">(((1+DATA!I40%)/(1+DATA!R40%))-1)*100</f>
        <v>4.9662356935912477</v>
      </c>
      <c r="F41" s="46">
        <f ca="1">((((DATA!I40/100)+1)^(D41/252))/(((DATA!R40/100)+1)^(D41/252)))</f>
        <v>1.14786599058943</v>
      </c>
      <c r="G41" s="34">
        <f t="shared" ca="1" si="0"/>
        <v>8374.2104197055633</v>
      </c>
      <c r="H41" s="78">
        <f t="shared" ca="1" si="2"/>
        <v>0.14786599058942995</v>
      </c>
      <c r="I41" s="51">
        <f t="shared" ca="1" si="7"/>
        <v>3.8037936086090518E-3</v>
      </c>
      <c r="K41" s="3">
        <v>34</v>
      </c>
      <c r="L41" t="str">
        <f>_xlfn.IFS(IPCA!$O$7=DATA!$T$26,PERIODS!M37,IPCA!$O$7=DATA!$T$27,PERIODS!O37,IPCA!$O$7=DATA!$T$28,PERIODS!Q37)</f>
        <v>2026-10-30</v>
      </c>
      <c r="M41" s="37">
        <v>714</v>
      </c>
      <c r="N41" s="45">
        <f>(((1+DATA!I99%)/(1+DATA!R99%))-1)*100</f>
        <v>4.1135516536568328</v>
      </c>
      <c r="O41" s="46">
        <f>((((DATA!I99/100)+1)^(M41/252))/(((DATA!R99/100)+1)^(M41/252)))</f>
        <v>1.1209956022155076</v>
      </c>
      <c r="P41" s="34" t="e">
        <f t="shared" si="3"/>
        <v>#VALUE!</v>
      </c>
      <c r="Q41" s="78">
        <f t="shared" si="4"/>
        <v>0.12099560221550765</v>
      </c>
      <c r="R41" s="51" t="e">
        <f t="shared" si="8"/>
        <v>#VALUE!</v>
      </c>
      <c r="T41" s="3">
        <v>34</v>
      </c>
      <c r="U41" t="str">
        <f>_xlfn.IFS(IPCA!$O$7=DATA!$T$26,PERIODS!V37,IPCA!$O$7=DATA!$T$27,PERIODS!X37,IPCA!$O$7=DATA!$T$28,PERIODS!Z37)</f>
        <v>2026-04-30</v>
      </c>
      <c r="V41" s="37">
        <v>714</v>
      </c>
      <c r="W41" s="45">
        <f>(((1+DATA!I159%)/(1+DATA!R159%))-1)*100</f>
        <v>3.583542473674961</v>
      </c>
      <c r="X41" s="46">
        <f>((((DATA!I159/100)+1)^(V41/252))/(((DATA!R159/100)+1)^(V41/252)))</f>
        <v>1.1049021495021032</v>
      </c>
      <c r="Y41" s="34">
        <f t="shared" si="5"/>
        <v>7364.4821990333785</v>
      </c>
      <c r="Z41" s="78">
        <f t="shared" si="6"/>
        <v>0.10490214950210319</v>
      </c>
      <c r="AA41" s="51">
        <f t="shared" si="9"/>
        <v>2.8589311243956139E-3</v>
      </c>
      <c r="AC41" s="106">
        <f t="shared" si="1"/>
        <v>0.5300091799818718</v>
      </c>
    </row>
    <row r="42" spans="1:29" x14ac:dyDescent="0.25">
      <c r="A42" s="47"/>
      <c r="B42" s="3">
        <v>35</v>
      </c>
      <c r="C42" t="str">
        <f ca="1">_xlfn.IFS(IPCA!$O$7=DATA!$T$26,PERIODS!D38,IPCA!$O$7=DATA!$T$27,PERIODS!F38,IPCA!$O$7=DATA!$T$28,PERIODS!H38)</f>
        <v>2028-05-30</v>
      </c>
      <c r="D42" s="37">
        <f ca="1">DATA!Q41</f>
        <v>738</v>
      </c>
      <c r="E42" s="45">
        <f ca="1">(((1+DATA!I41%)/(1+DATA!R41%))-1)*100</f>
        <v>4.9759212992436241</v>
      </c>
      <c r="F42" s="46">
        <f ca="1">((((DATA!I41/100)+1)^(D42/252))/(((DATA!R41/100)+1)^(D42/252)))</f>
        <v>1.1528231199271946</v>
      </c>
      <c r="G42" s="34">
        <f t="shared" ca="1" si="0"/>
        <v>8410.3749585040514</v>
      </c>
      <c r="H42" s="78">
        <f t="shared" ca="1" si="2"/>
        <v>0.15282311992719455</v>
      </c>
      <c r="I42" s="51">
        <f t="shared" ca="1" si="7"/>
        <v>4.3185610327378665E-3</v>
      </c>
      <c r="K42" s="3">
        <v>35</v>
      </c>
      <c r="L42" t="str">
        <f>_xlfn.IFS(IPCA!$O$7=DATA!$T$26,PERIODS!M38,IPCA!$O$7=DATA!$T$27,PERIODS!O38,IPCA!$O$7=DATA!$T$28,PERIODS!Q38)</f>
        <v>2026-11-30</v>
      </c>
      <c r="M42" s="37">
        <v>735</v>
      </c>
      <c r="N42" s="45">
        <f>(((1+DATA!I100%)/(1+DATA!R100%))-1)*100</f>
        <v>4.1148791101873972</v>
      </c>
      <c r="O42" s="46">
        <f>((((DATA!I100/100)+1)^(M42/252))/(((DATA!R100/100)+1)^(M42/252)))</f>
        <v>1.1248095568528076</v>
      </c>
      <c r="P42" s="34" t="e">
        <f t="shared" si="3"/>
        <v>#VALUE!</v>
      </c>
      <c r="Q42" s="78">
        <f t="shared" si="4"/>
        <v>0.12480955685280759</v>
      </c>
      <c r="R42" s="51" t="e">
        <f t="shared" si="8"/>
        <v>#VALUE!</v>
      </c>
      <c r="T42" s="3">
        <v>35</v>
      </c>
      <c r="U42" t="str">
        <f>_xlfn.IFS(IPCA!$O$7=DATA!$T$26,PERIODS!V38,IPCA!$O$7=DATA!$T$27,PERIODS!X38,IPCA!$O$7=DATA!$T$28,PERIODS!Z38)</f>
        <v>2026-05-29</v>
      </c>
      <c r="V42" s="37">
        <v>735</v>
      </c>
      <c r="W42" s="45">
        <f>(((1+DATA!I160%)/(1+DATA!R160%))-1)*100</f>
        <v>3.5798169396110913</v>
      </c>
      <c r="X42" s="46">
        <f>((((DATA!I160/100)+1)^(V42/252))/(((DATA!R160/100)+1)^(V42/252)))</f>
        <v>1.1080324749074295</v>
      </c>
      <c r="Y42" s="34">
        <f t="shared" si="5"/>
        <v>7385.3466943509911</v>
      </c>
      <c r="Z42" s="78">
        <f t="shared" si="6"/>
        <v>0.10803247490742951</v>
      </c>
      <c r="AA42" s="51">
        <f t="shared" si="9"/>
        <v>2.8331245502026814E-3</v>
      </c>
      <c r="AC42" s="106">
        <f t="shared" si="1"/>
        <v>0.5350621705763059</v>
      </c>
    </row>
    <row r="43" spans="1:29" x14ac:dyDescent="0.25">
      <c r="A43" s="47" t="s">
        <v>17</v>
      </c>
      <c r="B43" s="3">
        <v>36</v>
      </c>
      <c r="C43" t="str">
        <f ca="1">_xlfn.IFS(IPCA!$O$7=DATA!$T$26,PERIODS!D39,IPCA!$O$7=DATA!$T$27,PERIODS!F39,IPCA!$O$7=DATA!$T$28,PERIODS!H39)</f>
        <v>2028-06-30</v>
      </c>
      <c r="D43" s="37">
        <f ca="1">DATA!Q42</f>
        <v>760</v>
      </c>
      <c r="E43" s="45">
        <f ca="1">(((1+DATA!I42%)/(1+DATA!R42%))-1)*100</f>
        <v>4.9923045356880857</v>
      </c>
      <c r="F43" s="46">
        <f ca="1">((((DATA!I42/100)+1)^(D43/252))/(((DATA!R42/100)+1)^(D43/252)))</f>
        <v>1.1582658129995276</v>
      </c>
      <c r="G43" s="34">
        <f t="shared" ca="1" si="0"/>
        <v>8450.0819081055342</v>
      </c>
      <c r="H43" s="78">
        <f t="shared" ca="1" si="2"/>
        <v>0.15826581299952758</v>
      </c>
      <c r="I43" s="51">
        <f t="shared" ca="1" si="7"/>
        <v>4.7211866055192342E-3</v>
      </c>
      <c r="K43" s="3">
        <v>36</v>
      </c>
      <c r="L43" t="str">
        <f>_xlfn.IFS(IPCA!$O$7=DATA!$T$26,PERIODS!M39,IPCA!$O$7=DATA!$T$27,PERIODS!O39,IPCA!$O$7=DATA!$T$28,PERIODS!Q39)</f>
        <v>2026-12-31</v>
      </c>
      <c r="M43" s="37">
        <v>756</v>
      </c>
      <c r="N43" s="45">
        <f>(((1+DATA!I101%)/(1+DATA!R101%))-1)*100</f>
        <v>4.1225964174177898</v>
      </c>
      <c r="O43" s="46">
        <f>((((DATA!I101/100)+1)^(M43/252))/(((DATA!R101/100)+1)^(M43/252)))</f>
        <v>1.12884669971803</v>
      </c>
      <c r="P43" s="34" t="e">
        <f t="shared" si="3"/>
        <v>#VALUE!</v>
      </c>
      <c r="Q43" s="78">
        <f t="shared" si="4"/>
        <v>0.12884669971802998</v>
      </c>
      <c r="R43" s="51" t="e">
        <f t="shared" si="8"/>
        <v>#VALUE!</v>
      </c>
      <c r="T43" s="3">
        <v>36</v>
      </c>
      <c r="U43" t="str">
        <f>_xlfn.IFS(IPCA!$O$7=DATA!$T$26,PERIODS!V39,IPCA!$O$7=DATA!$T$27,PERIODS!X39,IPCA!$O$7=DATA!$T$28,PERIODS!Z39)</f>
        <v>2026-06-30</v>
      </c>
      <c r="V43" s="37">
        <v>756</v>
      </c>
      <c r="W43" s="45">
        <f>(((1+DATA!I161%)/(1+DATA!R161%))-1)*100</f>
        <v>3.5799232137840642</v>
      </c>
      <c r="X43" s="46">
        <f>((((DATA!I161/100)+1)^(V43/252))/(((DATA!R161/100)+1)^(V43/252)))</f>
        <v>1.1112883312381938</v>
      </c>
      <c r="Y43" s="34">
        <f t="shared" si="5"/>
        <v>7407.0478884353079</v>
      </c>
      <c r="Z43" s="78">
        <f t="shared" si="6"/>
        <v>0.11128833123819382</v>
      </c>
      <c r="AA43" s="51">
        <f t="shared" si="9"/>
        <v>2.9384123701214904E-3</v>
      </c>
      <c r="AC43" s="106">
        <f t="shared" si="1"/>
        <v>0.54267320363372562</v>
      </c>
    </row>
    <row r="44" spans="1:29" x14ac:dyDescent="0.25">
      <c r="A44" s="47"/>
      <c r="B44" s="3">
        <v>37</v>
      </c>
      <c r="C44" t="str">
        <f ca="1">_xlfn.IFS(IPCA!$O$7=DATA!$T$26,PERIODS!D40,IPCA!$O$7=DATA!$T$27,PERIODS!F40,IPCA!$O$7=DATA!$T$28,PERIODS!H40)</f>
        <v>2028-07-28</v>
      </c>
      <c r="D44" s="37">
        <f ca="1">DATA!Q43</f>
        <v>780</v>
      </c>
      <c r="E44" s="45">
        <f ca="1">(((1+DATA!I43%)/(1+DATA!R43%))-1)*100</f>
        <v>5.0140425672299926</v>
      </c>
      <c r="F44" s="46">
        <f ca="1">((((DATA!I43/100)+1)^(D44/252))/(((DATA!R43/100)+1)^(D44/252)))</f>
        <v>1.1634981344463124</v>
      </c>
      <c r="G44" s="34">
        <f t="shared" ca="1" si="0"/>
        <v>8488.2540999276953</v>
      </c>
      <c r="H44" s="78">
        <f t="shared" ca="1" si="2"/>
        <v>0.16349813444631245</v>
      </c>
      <c r="I44" s="51">
        <f t="shared" ca="1" si="7"/>
        <v>4.5173753624263568E-3</v>
      </c>
      <c r="K44" s="3">
        <v>37</v>
      </c>
      <c r="L44" t="str">
        <f>_xlfn.IFS(IPCA!$O$7=DATA!$T$26,PERIODS!M40,IPCA!$O$7=DATA!$T$27,PERIODS!O40,IPCA!$O$7=DATA!$T$28,PERIODS!Q40)</f>
        <v>2027-01-29</v>
      </c>
      <c r="M44" s="37">
        <v>777</v>
      </c>
      <c r="N44" s="45">
        <f>(((1+DATA!I102%)/(1+DATA!R102%))-1)*100</f>
        <v>4.1401690716987849</v>
      </c>
      <c r="O44" s="46">
        <f>((((DATA!I102/100)+1)^(M44/252))/(((DATA!R102/100)+1)^(M44/252)))</f>
        <v>1.1332429478220287</v>
      </c>
      <c r="P44" s="34" t="e">
        <f t="shared" si="3"/>
        <v>#VALUE!</v>
      </c>
      <c r="Q44" s="78">
        <f t="shared" si="4"/>
        <v>0.13324294782202872</v>
      </c>
      <c r="R44" s="51" t="e">
        <f t="shared" si="8"/>
        <v>#VALUE!</v>
      </c>
      <c r="T44" s="3">
        <v>37</v>
      </c>
      <c r="U44" t="str">
        <f>_xlfn.IFS(IPCA!$O$7=DATA!$T$26,PERIODS!V40,IPCA!$O$7=DATA!$T$27,PERIODS!X40,IPCA!$O$7=DATA!$T$28,PERIODS!Z40)</f>
        <v>2026-07-30</v>
      </c>
      <c r="V44" s="37">
        <v>777</v>
      </c>
      <c r="W44" s="45">
        <f>(((1+DATA!I162%)/(1+DATA!R162%))-1)*100</f>
        <v>3.5878726424725116</v>
      </c>
      <c r="X44" s="46">
        <f>((((DATA!I162/100)+1)^(V44/252))/(((DATA!R162/100)+1)^(V44/252)))</f>
        <v>1.11481418311755</v>
      </c>
      <c r="Y44" s="34">
        <f t="shared" si="5"/>
        <v>7430.5486784497434</v>
      </c>
      <c r="Z44" s="78">
        <f t="shared" si="6"/>
        <v>0.11481418311754998</v>
      </c>
      <c r="AA44" s="51">
        <f t="shared" si="9"/>
        <v>3.1727606420808296E-3</v>
      </c>
      <c r="AC44" s="106">
        <f t="shared" si="1"/>
        <v>0.55229642922627331</v>
      </c>
    </row>
    <row r="45" spans="1:29" x14ac:dyDescent="0.25">
      <c r="A45" s="47"/>
      <c r="B45" s="3">
        <v>38</v>
      </c>
      <c r="C45" t="str">
        <f ca="1">_xlfn.IFS(IPCA!$O$7=DATA!$T$26,PERIODS!D41,IPCA!$O$7=DATA!$T$27,PERIODS!F41,IPCA!$O$7=DATA!$T$28,PERIODS!H41)</f>
        <v>2028-08-30</v>
      </c>
      <c r="D45" s="37">
        <f ca="1">DATA!Q44</f>
        <v>803</v>
      </c>
      <c r="E45" s="45">
        <f ca="1">(((1+DATA!I44%)/(1+DATA!R44%))-1)*100</f>
        <v>5.0457385171566616</v>
      </c>
      <c r="F45" s="46">
        <f ca="1">((((DATA!I44/100)+1)^(D45/252))/(((DATA!R44/100)+1)^(D45/252)))</f>
        <v>1.1698294882683307</v>
      </c>
      <c r="G45" s="34">
        <f t="shared" ca="1" si="0"/>
        <v>8534.4442384820759</v>
      </c>
      <c r="H45" s="78">
        <f t="shared" ca="1" si="2"/>
        <v>0.16982948826833066</v>
      </c>
      <c r="I45" s="51">
        <f t="shared" ca="1" si="7"/>
        <v>5.4416536086936418E-3</v>
      </c>
      <c r="K45" s="3">
        <v>38</v>
      </c>
      <c r="L45" t="str">
        <f>_xlfn.IFS(IPCA!$O$7=DATA!$T$26,PERIODS!M41,IPCA!$O$7=DATA!$T$27,PERIODS!O41,IPCA!$O$7=DATA!$T$28,PERIODS!Q41)</f>
        <v>2027-02-26</v>
      </c>
      <c r="M45" s="37">
        <v>798</v>
      </c>
      <c r="N45" s="45">
        <f>(((1+DATA!I103%)/(1+DATA!R103%))-1)*100</f>
        <v>4.1618218744129631</v>
      </c>
      <c r="O45" s="46">
        <f>((((DATA!I103/100)+1)^(M45/252))/(((DATA!R103/100)+1)^(M45/252)))</f>
        <v>1.1378293452303907</v>
      </c>
      <c r="P45" s="34" t="e">
        <f t="shared" si="3"/>
        <v>#VALUE!</v>
      </c>
      <c r="Q45" s="78">
        <f t="shared" si="4"/>
        <v>0.1378293452303907</v>
      </c>
      <c r="R45" s="51" t="e">
        <f t="shared" si="8"/>
        <v>#VALUE!</v>
      </c>
      <c r="T45" s="3">
        <v>38</v>
      </c>
      <c r="U45" t="str">
        <f>_xlfn.IFS(IPCA!$O$7=DATA!$T$26,PERIODS!V41,IPCA!$O$7=DATA!$T$27,PERIODS!X41,IPCA!$O$7=DATA!$T$28,PERIODS!Z41)</f>
        <v>2026-08-28</v>
      </c>
      <c r="V45" s="37">
        <v>798</v>
      </c>
      <c r="W45" s="45">
        <f>(((1+DATA!I163%)/(1+DATA!R163%))-1)*100</f>
        <v>3.5987242740395997</v>
      </c>
      <c r="X45" s="46">
        <f>((((DATA!I163/100)+1)^(V45/252))/(((DATA!R163/100)+1)^(V45/252)))</f>
        <v>1.1184647220585713</v>
      </c>
      <c r="Y45" s="34">
        <f t="shared" si="5"/>
        <v>7454.8805426425533</v>
      </c>
      <c r="Z45" s="78">
        <f t="shared" si="6"/>
        <v>0.11846472205857128</v>
      </c>
      <c r="AA45" s="51">
        <f t="shared" si="9"/>
        <v>3.2745716697042404E-3</v>
      </c>
      <c r="AC45" s="106">
        <f t="shared" si="1"/>
        <v>0.56309760037336343</v>
      </c>
    </row>
    <row r="46" spans="1:29" x14ac:dyDescent="0.25">
      <c r="A46" s="47"/>
      <c r="B46" s="3">
        <v>39</v>
      </c>
      <c r="C46" t="str">
        <f ca="1">_xlfn.IFS(IPCA!$O$7=DATA!$T$26,PERIODS!D42,IPCA!$O$7=DATA!$T$27,PERIODS!F42,IPCA!$O$7=DATA!$T$28,PERIODS!H42)</f>
        <v>2028-09-29</v>
      </c>
      <c r="D46" s="37">
        <f ca="1">DATA!Q45</f>
        <v>824</v>
      </c>
      <c r="E46" s="45">
        <f ca="1">(((1+DATA!I45%)/(1+DATA!R45%))-1)*100</f>
        <v>5.0777232565699437</v>
      </c>
      <c r="F46" s="46">
        <f ca="1">((((DATA!I45/100)+1)^(D46/252))/(((DATA!R45/100)+1)^(D46/252)))</f>
        <v>1.1758080387149894</v>
      </c>
      <c r="G46" s="34">
        <f t="shared" ca="1" si="0"/>
        <v>8578.0605141236574</v>
      </c>
      <c r="H46" s="78">
        <f t="shared" ca="1" si="2"/>
        <v>0.1758080387149894</v>
      </c>
      <c r="I46" s="51">
        <f t="shared" ca="1" si="7"/>
        <v>5.1106169801795609E-3</v>
      </c>
      <c r="K46" s="3">
        <v>39</v>
      </c>
      <c r="L46" t="str">
        <f>_xlfn.IFS(IPCA!$O$7=DATA!$T$26,PERIODS!M42,IPCA!$O$7=DATA!$T$27,PERIODS!O42,IPCA!$O$7=DATA!$T$28,PERIODS!Q42)</f>
        <v>2027-03-31</v>
      </c>
      <c r="M46" s="37">
        <v>819</v>
      </c>
      <c r="N46" s="45">
        <f>(((1+DATA!I104%)/(1+DATA!R104%))-1)*100</f>
        <v>4.1900709219858001</v>
      </c>
      <c r="O46" s="46">
        <f>((((DATA!I104/100)+1)^(M46/252))/(((DATA!R104/100)+1)^(M46/252)))</f>
        <v>1.1427088328378918</v>
      </c>
      <c r="P46" s="34" t="e">
        <f t="shared" si="3"/>
        <v>#VALUE!</v>
      </c>
      <c r="Q46" s="78">
        <f t="shared" si="4"/>
        <v>0.14270883283789182</v>
      </c>
      <c r="R46" s="51" t="e">
        <f t="shared" si="8"/>
        <v>#VALUE!</v>
      </c>
      <c r="T46" s="3">
        <v>39</v>
      </c>
      <c r="U46" t="str">
        <f>_xlfn.IFS(IPCA!$O$7=DATA!$T$26,PERIODS!V42,IPCA!$O$7=DATA!$T$27,PERIODS!X42,IPCA!$O$7=DATA!$T$28,PERIODS!Z42)</f>
        <v>2026-09-30</v>
      </c>
      <c r="V46" s="37">
        <v>819</v>
      </c>
      <c r="W46" s="45">
        <f>(((1+DATA!I164%)/(1+DATA!R164%))-1)*100</f>
        <v>3.6070793145425384</v>
      </c>
      <c r="X46" s="46">
        <f>((((DATA!I164/100)+1)^(V46/252))/(((DATA!R164/100)+1)^(V46/252)))</f>
        <v>1.1220588903068203</v>
      </c>
      <c r="Y46" s="34">
        <f t="shared" si="5"/>
        <v>7478.8366803842428</v>
      </c>
      <c r="Z46" s="78">
        <f t="shared" si="6"/>
        <v>0.12205889030682027</v>
      </c>
      <c r="AA46" s="51">
        <f t="shared" si="9"/>
        <v>3.2134837848385445E-3</v>
      </c>
      <c r="AC46" s="106">
        <f t="shared" si="1"/>
        <v>0.58299160744326173</v>
      </c>
    </row>
    <row r="47" spans="1:29" x14ac:dyDescent="0.25">
      <c r="A47" s="47"/>
      <c r="B47" s="3">
        <v>40</v>
      </c>
      <c r="C47" t="str">
        <f ca="1">_xlfn.IFS(IPCA!$O$7=DATA!$T$26,PERIODS!D43,IPCA!$O$7=DATA!$T$27,PERIODS!F43,IPCA!$O$7=DATA!$T$28,PERIODS!H43)</f>
        <v>2028-10-30</v>
      </c>
      <c r="D47" s="37">
        <f ca="1">DATA!Q46</f>
        <v>844</v>
      </c>
      <c r="E47" s="45">
        <f ca="1">(((1+DATA!I46%)/(1+DATA!R46%))-1)*100</f>
        <v>5.1077943702884099</v>
      </c>
      <c r="F47" s="46">
        <f ca="1">((((DATA!I46/100)+1)^(D47/252))/(((DATA!R46/100)+1)^(D47/252)))</f>
        <v>1.1815709927988336</v>
      </c>
      <c r="G47" s="34">
        <f t="shared" ca="1" si="0"/>
        <v>8620.1039151241785</v>
      </c>
      <c r="H47" s="78">
        <f t="shared" ca="1" si="2"/>
        <v>0.1815709927988336</v>
      </c>
      <c r="I47" s="51">
        <f t="shared" ca="1" si="7"/>
        <v>4.9012712059208763E-3</v>
      </c>
      <c r="K47" s="3">
        <v>40</v>
      </c>
      <c r="L47" t="str">
        <f>_xlfn.IFS(IPCA!$O$7=DATA!$T$26,PERIODS!M43,IPCA!$O$7=DATA!$T$27,PERIODS!O43,IPCA!$O$7=DATA!$T$28,PERIODS!Q43)</f>
        <v>2027-04-30</v>
      </c>
      <c r="M47" s="37">
        <v>840</v>
      </c>
      <c r="N47" s="45">
        <f>(((1+DATA!I105%)/(1+DATA!R105%))-1)*100</f>
        <v>4.2141274334327905</v>
      </c>
      <c r="O47" s="46">
        <f>((((DATA!I105/100)+1)^(M47/252))/(((DATA!R105/100)+1)^(M47/252)))</f>
        <v>1.1475069432781835</v>
      </c>
      <c r="P47" s="34" t="e">
        <f t="shared" si="3"/>
        <v>#VALUE!</v>
      </c>
      <c r="Q47" s="78">
        <f t="shared" si="4"/>
        <v>0.14750694327818348</v>
      </c>
      <c r="R47" s="51" t="e">
        <f t="shared" si="8"/>
        <v>#VALUE!</v>
      </c>
      <c r="T47" s="3">
        <v>40</v>
      </c>
      <c r="U47" t="str">
        <f>_xlfn.IFS(IPCA!$O$7=DATA!$T$26,PERIODS!V43,IPCA!$O$7=DATA!$T$27,PERIODS!X43,IPCA!$O$7=DATA!$T$28,PERIODS!Z43)</f>
        <v>2026-10-30</v>
      </c>
      <c r="V47" s="37">
        <v>840</v>
      </c>
      <c r="W47" s="45">
        <f>(((1+DATA!I165%)/(1+DATA!R165%))-1)*100</f>
        <v>3.6081693389821368</v>
      </c>
      <c r="X47" s="46">
        <f>((((DATA!I165/100)+1)^(V47/252))/(((DATA!R165/100)+1)^(V47/252)))</f>
        <v>1.1254166445891247</v>
      </c>
      <c r="Y47" s="34">
        <f t="shared" si="5"/>
        <v>7501.2170528470006</v>
      </c>
      <c r="Z47" s="78">
        <f t="shared" si="6"/>
        <v>0.12541664458912472</v>
      </c>
      <c r="AA47" s="51">
        <f t="shared" si="9"/>
        <v>2.9924938087573238E-3</v>
      </c>
      <c r="AC47" s="106">
        <f t="shared" si="1"/>
        <v>0.60595809445065374</v>
      </c>
    </row>
    <row r="48" spans="1:29" x14ac:dyDescent="0.25">
      <c r="A48" s="47" t="s">
        <v>19</v>
      </c>
      <c r="B48" s="3">
        <v>48</v>
      </c>
      <c r="C48" t="str">
        <f ca="1">_xlfn.IFS(IPCA!$O$7=DATA!$T$26,PERIODS!D44,IPCA!$O$7=DATA!$T$27,PERIODS!F44,IPCA!$O$7=DATA!$T$28,PERIODS!H44)</f>
        <v>2029-06-29</v>
      </c>
      <c r="D48" s="37">
        <f ca="1">DATA!Q47</f>
        <v>1008</v>
      </c>
      <c r="E48" s="45">
        <f ca="1">(((1+DATA!I47%)/(1+DATA!R47%))-1)*100</f>
        <v>5.383489142239517</v>
      </c>
      <c r="F48" s="46">
        <f ca="1">((((DATA!I47/100)+1)^(D48/252))/(((DATA!R47/100)+1)^(D48/252)))</f>
        <v>1.2333612346013778</v>
      </c>
      <c r="G48" s="34">
        <f t="shared" ca="1" si="0"/>
        <v>8997.9375525849682</v>
      </c>
      <c r="H48" s="78">
        <f t="shared" ca="1" si="2"/>
        <v>0.23336123460137781</v>
      </c>
      <c r="I48" s="51">
        <f t="shared" ca="1" si="7"/>
        <v>4.3831680126021677E-2</v>
      </c>
      <c r="K48" s="3">
        <v>48</v>
      </c>
      <c r="L48" t="str">
        <f>_xlfn.IFS(IPCA!$O$7=DATA!$T$26,PERIODS!M44,IPCA!$O$7=DATA!$T$27,PERIODS!O44,IPCA!$O$7=DATA!$T$28,PERIODS!Q44)</f>
        <v>2027-12-31</v>
      </c>
      <c r="M48" s="37">
        <v>1008</v>
      </c>
      <c r="N48" s="45">
        <f>(((1+DATA!I106%)/(1+DATA!R106%))-1)*100</f>
        <v>4.3677187117162397</v>
      </c>
      <c r="O48" s="46">
        <f>((((DATA!I106/100)+1)^(M48/252))/(((DATA!R106/100)+1)^(M48/252)))</f>
        <v>1.1864918591205107</v>
      </c>
      <c r="P48" s="34" t="e">
        <f t="shared" si="3"/>
        <v>#VALUE!</v>
      </c>
      <c r="Q48" s="78">
        <f t="shared" si="4"/>
        <v>0.18649185912051069</v>
      </c>
      <c r="R48" s="51" t="e">
        <f t="shared" si="8"/>
        <v>#VALUE!</v>
      </c>
      <c r="T48" s="3">
        <v>48</v>
      </c>
      <c r="U48" t="str">
        <f>_xlfn.IFS(IPCA!$O$7=DATA!$T$26,PERIODS!V44,IPCA!$O$7=DATA!$T$27,PERIODS!X44,IPCA!$O$7=DATA!$T$28,PERIODS!Z44)</f>
        <v>2027-06-30</v>
      </c>
      <c r="V48" s="37">
        <v>1008</v>
      </c>
      <c r="W48" s="45">
        <f>(((1+DATA!I166%)/(1+DATA!R166%))-1)*100</f>
        <v>3.6885476168180276</v>
      </c>
      <c r="X48" s="46">
        <f>((((DATA!I166/100)+1)^(V48/252))/(((DATA!R166/100)+1)^(V48/252)))</f>
        <v>1.1559077222701066</v>
      </c>
      <c r="Y48" s="34">
        <f t="shared" si="5"/>
        <v>7704.4486230924958</v>
      </c>
      <c r="Z48" s="78">
        <f t="shared" si="6"/>
        <v>0.15590772227010663</v>
      </c>
      <c r="AA48" s="51">
        <f t="shared" si="9"/>
        <v>2.7093146193971407E-2</v>
      </c>
      <c r="AC48" s="106">
        <f t="shared" si="1"/>
        <v>0.67917109489821215</v>
      </c>
    </row>
    <row r="49" spans="1:29" ht="15.75" thickBot="1" x14ac:dyDescent="0.3">
      <c r="A49" s="47" t="s">
        <v>20</v>
      </c>
      <c r="B49" s="57">
        <v>60</v>
      </c>
      <c r="C49" s="132" t="str">
        <f ca="1">_xlfn.IFS(IPCA!$O$7=DATA!$T$26,PERIODS!D45,IPCA!$O$7=DATA!$T$27,PERIODS!F45,IPCA!$O$7=DATA!$T$28,PERIODS!H45)</f>
        <v>2030-06-28</v>
      </c>
      <c r="D49" s="9">
        <f ca="1">DATA!Q48</f>
        <v>1256</v>
      </c>
      <c r="E49" s="53">
        <f ca="1">(((1+DATA!I48%)/(1+DATA!R48%))-1)*100</f>
        <v>5.5332978994418136</v>
      </c>
      <c r="F49" s="54">
        <f ca="1">((((DATA!I48/100)+1)^(D49/252))/(((DATA!R48/100)+1)^(D49/252)))</f>
        <v>1.3079052645001352</v>
      </c>
      <c r="G49" s="55">
        <f t="shared" ca="1" si="0"/>
        <v>9541.7705409501559</v>
      </c>
      <c r="H49" s="79">
        <f t="shared" ca="1" si="2"/>
        <v>0.30790526450013522</v>
      </c>
      <c r="I49" s="56">
        <f ca="1">(G49/G48)-1</f>
        <v>6.0439738016291544E-2</v>
      </c>
      <c r="K49" s="57">
        <v>60</v>
      </c>
      <c r="L49" s="132" t="str">
        <f>_xlfn.IFS(IPCA!$O$7=DATA!$T$26,PERIODS!M45,IPCA!$O$7=DATA!$T$27,PERIODS!O45,IPCA!$O$7=DATA!$T$28,PERIODS!Q45)</f>
        <v>2028-12-29</v>
      </c>
      <c r="M49" s="9">
        <v>1260</v>
      </c>
      <c r="N49" s="53">
        <f>(((1+DATA!I107%)/(1+DATA!R107%))-1)*100</f>
        <v>4.531998298518447</v>
      </c>
      <c r="O49" s="54">
        <f>((((DATA!I107/100)+1)^(M49/252))/(((DATA!R107/100)+1)^(M49/252)))</f>
        <v>1.2480910347493861</v>
      </c>
      <c r="P49" s="55" t="e">
        <f t="shared" si="3"/>
        <v>#VALUE!</v>
      </c>
      <c r="Q49" s="79">
        <f t="shared" si="4"/>
        <v>0.2480910347493861</v>
      </c>
      <c r="R49" s="56" t="e">
        <f>(P49/P48)-1</f>
        <v>#VALUE!</v>
      </c>
      <c r="T49" s="57">
        <v>60</v>
      </c>
      <c r="U49" s="132" t="str">
        <f>_xlfn.IFS(IPCA!$O$7=DATA!$T$26,PERIODS!V45,IPCA!$O$7=DATA!$T$27,PERIODS!X45,IPCA!$O$7=DATA!$T$28,PERIODS!Z45)</f>
        <v>2028-06-30</v>
      </c>
      <c r="V49" s="9">
        <v>1260</v>
      </c>
      <c r="W49" s="53">
        <f>(((1+DATA!I167%)/(1+DATA!R167%))-1)*100</f>
        <v>3.8199481866136642</v>
      </c>
      <c r="X49" s="54">
        <f>((((DATA!I167/100)+1)^(V49/252))/(((DATA!R167/100)+1)^(V49/252)))</f>
        <v>1.2061575481430604</v>
      </c>
      <c r="Y49" s="55">
        <f t="shared" si="5"/>
        <v>8039.3777824869776</v>
      </c>
      <c r="Z49" s="79">
        <f t="shared" si="6"/>
        <v>0.20615754814306042</v>
      </c>
      <c r="AA49" s="56">
        <f>(Y49/Y48)-1</f>
        <v>4.3472177670262013E-2</v>
      </c>
      <c r="AC49" s="107">
        <f t="shared" si="1"/>
        <v>0.71205011190478285</v>
      </c>
    </row>
    <row r="51" spans="1:29" ht="15.75" thickBot="1" x14ac:dyDescent="0.3"/>
    <row r="52" spans="1:29" x14ac:dyDescent="0.25">
      <c r="B52" s="59" t="s">
        <v>38</v>
      </c>
      <c r="C52" s="60" t="s">
        <v>62</v>
      </c>
      <c r="D52" s="60" t="s">
        <v>86</v>
      </c>
      <c r="E52" s="60" t="s">
        <v>28</v>
      </c>
      <c r="F52" s="61" t="s">
        <v>85</v>
      </c>
      <c r="K52" s="59" t="s">
        <v>38</v>
      </c>
      <c r="L52" s="60" t="s">
        <v>62</v>
      </c>
      <c r="M52" s="60" t="s">
        <v>86</v>
      </c>
      <c r="N52" s="60" t="s">
        <v>28</v>
      </c>
      <c r="O52" s="61" t="s">
        <v>85</v>
      </c>
      <c r="T52" s="59" t="s">
        <v>38</v>
      </c>
      <c r="U52" s="60" t="s">
        <v>62</v>
      </c>
      <c r="V52" s="60" t="s">
        <v>86</v>
      </c>
      <c r="W52" s="60" t="s">
        <v>28</v>
      </c>
      <c r="X52" s="61" t="s">
        <v>85</v>
      </c>
    </row>
    <row r="53" spans="1:29" x14ac:dyDescent="0.25">
      <c r="B53" s="3">
        <v>1</v>
      </c>
      <c r="C53" s="5">
        <f ca="1">VLOOKUP(B53,$B$8:$I$49,3,FALSE)</f>
        <v>28</v>
      </c>
      <c r="D53" s="5">
        <f ca="1">VLOOKUP(B53,$B$8:$I$49,4,FALSE)</f>
        <v>2.2089267427700898</v>
      </c>
      <c r="E53" s="33"/>
      <c r="F53" s="8">
        <f ca="1">VLOOKUP(B53,$B$8:$I$49,6,FALSE)</f>
        <v>7313.1923255417632</v>
      </c>
      <c r="K53" s="3">
        <v>1</v>
      </c>
      <c r="L53" s="5">
        <f>VLOOKUP(K53,$K$8:$R$49,3,FALSE)</f>
        <v>21</v>
      </c>
      <c r="M53" s="5">
        <f>VLOOKUP(K53,$K$8:$R$49,4,FALSE)</f>
        <v>4.6311065950188635</v>
      </c>
      <c r="N53" s="33"/>
      <c r="O53" s="8" t="e">
        <f>VLOOKUP(K53,$K$8:$R$49,6,FALSE)</f>
        <v>#VALUE!</v>
      </c>
      <c r="T53" s="3">
        <v>1</v>
      </c>
      <c r="U53" s="5">
        <f>VLOOKUP(T53,$T$8:$AA$49,3,FALSE)</f>
        <v>21</v>
      </c>
      <c r="V53" s="5">
        <f>VLOOKUP(T53,$T$8:$AA$49,4,FALSE)</f>
        <v>1.2019897856581307</v>
      </c>
      <c r="W53" s="33"/>
      <c r="X53" s="8">
        <f>VLOOKUP(T53,$T$8:$AA$49,6,FALSE)</f>
        <v>6671.9198313525121</v>
      </c>
    </row>
    <row r="54" spans="1:29" x14ac:dyDescent="0.25">
      <c r="B54" s="3">
        <v>12</v>
      </c>
      <c r="C54" s="5">
        <f t="shared" ref="C54:C58" ca="1" si="10">VLOOKUP(B54,$B$8:$I$49,3,FALSE)</f>
        <v>258</v>
      </c>
      <c r="D54" s="5">
        <f t="shared" ref="D54:D58" ca="1" si="11">VLOOKUP(B54,$B$8:$I$49,4,FALSE)</f>
        <v>4.3995868661396598</v>
      </c>
      <c r="E54" s="74">
        <f ca="1">((F54/F53)-1)</f>
        <v>4.2532673569340318E-2</v>
      </c>
      <c r="F54" s="8">
        <f t="shared" ref="F54:F58" ca="1" si="12">VLOOKUP(B54,$B$8:$I$49,6,FALSE)</f>
        <v>7624.2419474738354</v>
      </c>
      <c r="K54" s="3">
        <v>12</v>
      </c>
      <c r="L54" s="5">
        <f t="shared" ref="L54:L58" si="13">VLOOKUP(K54,$K$8:$R$49,3,FALSE)</f>
        <v>252</v>
      </c>
      <c r="M54" s="5">
        <f t="shared" ref="M54:M58" si="14">VLOOKUP(K54,$K$8:$R$49,4,FALSE)</f>
        <v>4.2088397033518854</v>
      </c>
      <c r="N54" s="74" t="e">
        <f>((O54/O53)-1)</f>
        <v>#VALUE!</v>
      </c>
      <c r="O54" s="8" t="e">
        <f t="shared" ref="O54:O58" si="15">VLOOKUP(K54,$K$8:$R$49,6,FALSE)</f>
        <v>#VALUE!</v>
      </c>
      <c r="T54" s="3">
        <v>12</v>
      </c>
      <c r="U54" s="5">
        <f t="shared" ref="U54:U58" si="16">VLOOKUP(T54,$T$8:$AA$49,3,FALSE)</f>
        <v>252</v>
      </c>
      <c r="V54" s="5">
        <f t="shared" ref="V54:V58" si="17">VLOOKUP(T54,$T$8:$AA$49,4,FALSE)</f>
        <v>3.4246550973800582</v>
      </c>
      <c r="W54" s="74">
        <f>((X54/X53)-1)</f>
        <v>3.3217278613075552E-2</v>
      </c>
      <c r="X54" s="8">
        <f t="shared" ref="X54:X58" si="18">VLOOKUP(T54,$T$8:$AA$49,6,FALSE)</f>
        <v>6893.542851274653</v>
      </c>
    </row>
    <row r="55" spans="1:29" x14ac:dyDescent="0.25">
      <c r="B55" s="3">
        <v>24</v>
      </c>
      <c r="C55" s="5">
        <f t="shared" ca="1" si="10"/>
        <v>508</v>
      </c>
      <c r="D55" s="5">
        <f t="shared" ca="1" si="11"/>
        <v>4.8608000300775167</v>
      </c>
      <c r="E55" s="74">
        <f ca="1">((F55/F54)-1)</f>
        <v>5.2954336775935085E-2</v>
      </c>
      <c r="F55" s="8">
        <f t="shared" ca="1" si="12"/>
        <v>8027.9786232215756</v>
      </c>
      <c r="K55" s="3">
        <v>24</v>
      </c>
      <c r="L55" s="5">
        <f t="shared" si="13"/>
        <v>504</v>
      </c>
      <c r="M55" s="5">
        <f t="shared" si="14"/>
        <v>4.0278537218404908</v>
      </c>
      <c r="N55" s="74" t="e">
        <f>((O55/O54)-1)</f>
        <v>#VALUE!</v>
      </c>
      <c r="O55" s="8" t="e">
        <f t="shared" si="15"/>
        <v>#VALUE!</v>
      </c>
      <c r="T55" s="3">
        <v>24</v>
      </c>
      <c r="U55" s="5">
        <f t="shared" si="16"/>
        <v>504</v>
      </c>
      <c r="V55" s="5">
        <f t="shared" si="17"/>
        <v>3.8233917033430043</v>
      </c>
      <c r="W55" s="74">
        <f>((X55/X54)-1)</f>
        <v>4.22366557216447E-2</v>
      </c>
      <c r="X55" s="8">
        <f t="shared" si="18"/>
        <v>7184.7030473863451</v>
      </c>
    </row>
    <row r="56" spans="1:29" x14ac:dyDescent="0.25">
      <c r="B56" s="3">
        <v>36</v>
      </c>
      <c r="C56" s="5">
        <f t="shared" ca="1" si="10"/>
        <v>760</v>
      </c>
      <c r="D56" s="5">
        <f t="shared" ca="1" si="11"/>
        <v>4.9923045356880857</v>
      </c>
      <c r="E56" s="74">
        <f ca="1">((F56/F55)-1)</f>
        <v>5.2579024520941209E-2</v>
      </c>
      <c r="F56" s="8">
        <f t="shared" ca="1" si="12"/>
        <v>8450.0819081055342</v>
      </c>
      <c r="K56" s="3">
        <v>36</v>
      </c>
      <c r="L56" s="5">
        <f t="shared" si="13"/>
        <v>756</v>
      </c>
      <c r="M56" s="5">
        <f t="shared" si="14"/>
        <v>4.1225964174177898</v>
      </c>
      <c r="N56" s="74" t="e">
        <f>((O56/O55)-1)</f>
        <v>#VALUE!</v>
      </c>
      <c r="O56" s="8" t="e">
        <f t="shared" si="15"/>
        <v>#VALUE!</v>
      </c>
      <c r="T56" s="3">
        <v>36</v>
      </c>
      <c r="U56" s="5">
        <f t="shared" si="16"/>
        <v>756</v>
      </c>
      <c r="V56" s="5">
        <f t="shared" si="17"/>
        <v>3.5799232137840642</v>
      </c>
      <c r="W56" s="74">
        <f>((X56/X55)-1)</f>
        <v>3.0946977151665056E-2</v>
      </c>
      <c r="X56" s="8">
        <f t="shared" si="18"/>
        <v>7407.0478884353079</v>
      </c>
    </row>
    <row r="57" spans="1:29" x14ac:dyDescent="0.25">
      <c r="B57" s="3">
        <v>48</v>
      </c>
      <c r="C57" s="5">
        <f t="shared" ca="1" si="10"/>
        <v>1008</v>
      </c>
      <c r="D57" s="5">
        <f t="shared" ca="1" si="11"/>
        <v>5.383489142239517</v>
      </c>
      <c r="E57" s="74">
        <f ca="1">((F57/F56)-1)</f>
        <v>6.4834359055610635E-2</v>
      </c>
      <c r="F57" s="8">
        <f t="shared" ca="1" si="12"/>
        <v>8997.9375525849682</v>
      </c>
      <c r="K57" s="3">
        <v>48</v>
      </c>
      <c r="L57" s="5">
        <f t="shared" si="13"/>
        <v>1008</v>
      </c>
      <c r="M57" s="5">
        <f t="shared" si="14"/>
        <v>4.3677187117162397</v>
      </c>
      <c r="N57" s="74" t="e">
        <f>((O57/O56)-1)</f>
        <v>#VALUE!</v>
      </c>
      <c r="O57" s="8" t="e">
        <f t="shared" si="15"/>
        <v>#VALUE!</v>
      </c>
      <c r="T57" s="3">
        <v>48</v>
      </c>
      <c r="U57" s="5">
        <f t="shared" si="16"/>
        <v>1008</v>
      </c>
      <c r="V57" s="5">
        <f t="shared" si="17"/>
        <v>3.6885476168180276</v>
      </c>
      <c r="W57" s="74">
        <f>((X57/X56)-1)</f>
        <v>4.0151047912289295E-2</v>
      </c>
      <c r="X57" s="8">
        <f t="shared" si="18"/>
        <v>7704.4486230924958</v>
      </c>
    </row>
    <row r="58" spans="1:29" ht="15.75" thickBot="1" x14ac:dyDescent="0.3">
      <c r="B58" s="57">
        <v>60</v>
      </c>
      <c r="C58" s="58">
        <f t="shared" ca="1" si="10"/>
        <v>1256</v>
      </c>
      <c r="D58" s="58">
        <f t="shared" ca="1" si="11"/>
        <v>5.5332978994418136</v>
      </c>
      <c r="E58" s="75">
        <f ca="1">((F58/F57)-1)</f>
        <v>6.0439738016291544E-2</v>
      </c>
      <c r="F58" s="10">
        <f t="shared" ca="1" si="12"/>
        <v>9541.7705409501559</v>
      </c>
      <c r="K58" s="57">
        <v>60</v>
      </c>
      <c r="L58" s="58">
        <f t="shared" si="13"/>
        <v>1260</v>
      </c>
      <c r="M58" s="58">
        <f t="shared" si="14"/>
        <v>4.531998298518447</v>
      </c>
      <c r="N58" s="75" t="e">
        <f>((O58/O57)-1)</f>
        <v>#VALUE!</v>
      </c>
      <c r="O58" s="10" t="e">
        <f t="shared" si="15"/>
        <v>#VALUE!</v>
      </c>
      <c r="T58" s="57">
        <v>60</v>
      </c>
      <c r="U58" s="58">
        <f t="shared" si="16"/>
        <v>1260</v>
      </c>
      <c r="V58" s="58">
        <f t="shared" si="17"/>
        <v>3.8199481866136642</v>
      </c>
      <c r="W58" s="75">
        <f>((X58/X57)-1)</f>
        <v>4.3472177670262013E-2</v>
      </c>
      <c r="X58" s="10">
        <f t="shared" si="18"/>
        <v>8039.3777824869776</v>
      </c>
    </row>
    <row r="68" spans="3:6" ht="15.75" thickBot="1" x14ac:dyDescent="0.3"/>
    <row r="69" spans="3:6" ht="15.75" thickBot="1" x14ac:dyDescent="0.3">
      <c r="C69" s="65" t="s">
        <v>25</v>
      </c>
      <c r="D69" s="66" t="s">
        <v>85</v>
      </c>
      <c r="E69" s="65" t="s">
        <v>25</v>
      </c>
      <c r="F69" s="66" t="s">
        <v>141</v>
      </c>
    </row>
    <row r="70" spans="3:6" x14ac:dyDescent="0.25">
      <c r="C70" s="69" cm="1">
        <f t="array" ref="C70:D80">_xll.BQL("BZPIIPCA Index","SORT(PX_LAST(DATES=RANGE(-10Y,0D,FRQ=Y),FILL=PREV),ORDER=ASC)","ShowIDs=F","ShowHeaders=F")</f>
        <v>42176</v>
      </c>
      <c r="D70" s="72">
        <v>4276.6000000000004</v>
      </c>
    </row>
    <row r="71" spans="3:6" x14ac:dyDescent="0.25">
      <c r="C71" s="69">
        <v>42542</v>
      </c>
      <c r="D71" s="72">
        <v>4675.2299999999996</v>
      </c>
    </row>
    <row r="72" spans="3:6" x14ac:dyDescent="0.25">
      <c r="C72" s="69">
        <v>42907</v>
      </c>
      <c r="D72" s="72">
        <v>4843.41</v>
      </c>
    </row>
    <row r="73" spans="3:6" x14ac:dyDescent="0.25">
      <c r="C73" s="69">
        <v>43272</v>
      </c>
      <c r="D73" s="72">
        <v>4981.6899999999996</v>
      </c>
    </row>
    <row r="74" spans="3:6" x14ac:dyDescent="0.25">
      <c r="C74" s="69">
        <v>43637</v>
      </c>
      <c r="D74" s="72">
        <v>5213.75</v>
      </c>
    </row>
    <row r="75" spans="3:6" x14ac:dyDescent="0.25">
      <c r="C75" s="69">
        <v>44003</v>
      </c>
      <c r="D75" s="72">
        <v>5311.65</v>
      </c>
    </row>
    <row r="76" spans="3:6" x14ac:dyDescent="0.25">
      <c r="C76" s="69">
        <v>44368</v>
      </c>
      <c r="D76" s="72">
        <v>5739.56</v>
      </c>
    </row>
    <row r="77" spans="3:6" x14ac:dyDescent="0.25">
      <c r="C77" s="69">
        <v>44733</v>
      </c>
      <c r="D77" s="72">
        <v>6412.88</v>
      </c>
    </row>
    <row r="78" spans="3:6" x14ac:dyDescent="0.25">
      <c r="C78" s="69">
        <v>45098</v>
      </c>
      <c r="D78" s="72">
        <v>6665.28</v>
      </c>
    </row>
    <row r="79" spans="3:6" x14ac:dyDescent="0.25">
      <c r="C79" s="69">
        <v>45464</v>
      </c>
      <c r="D79" s="72">
        <v>6926.96</v>
      </c>
    </row>
    <row r="80" spans="3:6" ht="15.75" thickBot="1" x14ac:dyDescent="0.3">
      <c r="C80" s="71">
        <v>45829</v>
      </c>
      <c r="D80" s="73">
        <v>7295.46</v>
      </c>
    </row>
    <row r="81" spans="2:7" x14ac:dyDescent="0.25">
      <c r="E81" s="64">
        <f ca="1">DATE(YEAR(TODAY())+1,MONTH(TODAY()),DAY(TODAY()))</f>
        <v>46194</v>
      </c>
      <c r="F81" s="70">
        <f ca="1">F54</f>
        <v>7624.2419474738354</v>
      </c>
    </row>
    <row r="82" spans="2:7" x14ac:dyDescent="0.25">
      <c r="E82" s="64">
        <f ca="1">DATE(YEAR(TODAY())+2,MONTH(TODAY()),DAY(TODAY()))</f>
        <v>46559</v>
      </c>
      <c r="F82" s="70">
        <f ca="1">F55</f>
        <v>8027.9786232215756</v>
      </c>
    </row>
    <row r="83" spans="2:7" x14ac:dyDescent="0.25">
      <c r="E83" s="64">
        <f ca="1">DATE(YEAR(TODAY())+3,MONTH(TODAY()),DAY(TODAY()))</f>
        <v>46925</v>
      </c>
      <c r="F83" s="70">
        <f ca="1">F56</f>
        <v>8450.0819081055342</v>
      </c>
    </row>
    <row r="84" spans="2:7" x14ac:dyDescent="0.25">
      <c r="E84" s="64">
        <f ca="1">DATE(YEAR(TODAY())+4,MONTH(TODAY()),DAY(TODAY()))</f>
        <v>47290</v>
      </c>
      <c r="F84" s="70">
        <f ca="1">F57</f>
        <v>8997.9375525849682</v>
      </c>
    </row>
    <row r="85" spans="2:7" ht="15.75" thickBot="1" x14ac:dyDescent="0.3">
      <c r="E85" s="76">
        <f ca="1">DATE(YEAR(TODAY())+5,MONTH(TODAY()),DAY(TODAY()))</f>
        <v>47655</v>
      </c>
      <c r="F85" s="77">
        <f ca="1">F58</f>
        <v>9541.7705409501559</v>
      </c>
    </row>
    <row r="91" spans="2:7" x14ac:dyDescent="0.25">
      <c r="B91" s="1"/>
    </row>
    <row r="92" spans="2:7" x14ac:dyDescent="0.25">
      <c r="B92" s="1"/>
    </row>
    <row r="94" spans="2:7" ht="15.75" thickBot="1" x14ac:dyDescent="0.3"/>
    <row r="95" spans="2:7" x14ac:dyDescent="0.25">
      <c r="B95" s="109">
        <v>0</v>
      </c>
      <c r="C95" s="128">
        <f ca="1">EOMONTH(TODAY(),0)</f>
        <v>45838</v>
      </c>
      <c r="D95" s="2">
        <f ca="1">IFERROR(_xll.BCOUNTPERIODS(DATA!$C$3,C95,"CDR=BZ")*1,"")</f>
        <v>6</v>
      </c>
      <c r="E95" s="129">
        <f ca="1">IFERROR(_xll.BInterpol(DATA!$G$7:$G$48, DATA!$D$7:$D$48, D95, "Cubic","Skip=True")*1,"")</f>
        <v>14.901</v>
      </c>
      <c r="F95" s="129">
        <f ca="1">IFERROR(_xll.BInterpol(DATA!$P$7:$P$48, DATA!$M$7:$M$48, D95, "Cubic","Skip=True")*1,_xll.BInterpol(FUT!$F$7:$F$28, FUT!$E$7:$E$28, D95, "Cubic","Skip=True"))</f>
        <v>11.561</v>
      </c>
      <c r="G95" s="130">
        <f ca="1">(((1+E95%)/(1+F95%))-1)*100</f>
        <v>2.9938777888330215</v>
      </c>
    </row>
    <row r="96" spans="2:7" x14ac:dyDescent="0.25">
      <c r="B96" s="6">
        <v>1</v>
      </c>
      <c r="C96" s="1">
        <f ca="1">EOMONTH(TODAY(),1)</f>
        <v>45869</v>
      </c>
      <c r="D96">
        <f ca="1">IFERROR(_xll.BCOUNTPERIODS(DATA!$C$3,C96,"CDR=BZ")*1,"")</f>
        <v>29</v>
      </c>
      <c r="E96" s="34">
        <f ca="1">IFERROR(_xll.BInterpol(DATA!$G$7:$G$48, DATA!$D$7:$D$48, D96, "Cubic","Skip=True")*1,"")</f>
        <v>14.906000000000001</v>
      </c>
      <c r="F96" s="34">
        <f ca="1">IFERROR(_xll.BInterpol(DATA!$P$7:$P$48, DATA!$M$7:$M$48, D96, "Cubic","Skip=True")*1,_xll.BInterpol(FUT!$F$7:$F$28, FUT!$E$7:$E$28, D96, "Cubic","Skip=True"))</f>
        <v>12.469672374133227</v>
      </c>
      <c r="G96" s="131">
        <f t="shared" ref="G96:G106" ca="1" si="19">(((1+E96%)/(1+F96%))-1)*100</f>
        <v>2.1662085204287473</v>
      </c>
    </row>
    <row r="97" spans="2:7" x14ac:dyDescent="0.25">
      <c r="B97" s="6">
        <v>2</v>
      </c>
      <c r="C97" s="1">
        <f ca="1">EOMONTH(TODAY(),2)</f>
        <v>45900</v>
      </c>
      <c r="D97">
        <f ca="1">IFERROR(_xll.BCOUNTPERIODS(DATA!$C$3,C97,"CDR=BZ")*1,"")</f>
        <v>50</v>
      </c>
      <c r="E97" s="34">
        <f ca="1">IFERROR(_xll.BInterpol(DATA!$G$7:$G$48, DATA!$D$7:$D$48, D97, "Cubic","Skip=True")*1,"")</f>
        <v>14.933</v>
      </c>
      <c r="F97" s="34">
        <f ca="1">IFERROR(_xll.BInterpol(DATA!$P$7:$P$48, DATA!$M$7:$M$48, D97, "Cubic","Skip=True")*1,_xll.BInterpol(FUT!$F$7:$F$28, FUT!$E$7:$E$28, D97, "Cubic","Skip=True"))</f>
        <v>11.758116618325399</v>
      </c>
      <c r="G97" s="131">
        <f t="shared" ca="1" si="19"/>
        <v>2.8408526179064086</v>
      </c>
    </row>
    <row r="98" spans="2:7" x14ac:dyDescent="0.25">
      <c r="B98" s="6">
        <v>3</v>
      </c>
      <c r="C98" s="1">
        <f ca="1">EOMONTH(TODAY(),3)</f>
        <v>45930</v>
      </c>
      <c r="D98">
        <f ca="1">IFERROR(_xll.BCOUNTPERIODS(DATA!$C$3,C98,"CDR=BZ")*1,"")</f>
        <v>72</v>
      </c>
      <c r="E98" s="34">
        <f ca="1">IFERROR(_xll.BInterpol(DATA!$G$7:$G$48, DATA!$D$7:$D$48, D98, "Cubic","Skip=True")*1,"")</f>
        <v>14.946999999999999</v>
      </c>
      <c r="F98" s="34">
        <f ca="1">IFERROR(_xll.BInterpol(DATA!$P$7:$P$48, DATA!$M$7:$M$48, D98, "Cubic","Skip=True")*1,_xll.BInterpol(FUT!$F$7:$F$28, FUT!$E$7:$E$28, D98, "Cubic","Skip=True"))</f>
        <v>10.645700310202697</v>
      </c>
      <c r="G98" s="131">
        <f t="shared" ca="1" si="19"/>
        <v>3.8874530847003763</v>
      </c>
    </row>
    <row r="99" spans="2:7" x14ac:dyDescent="0.25">
      <c r="B99" s="6">
        <v>4</v>
      </c>
      <c r="C99" s="1">
        <f ca="1">EOMONTH(TODAY(),4)</f>
        <v>45961</v>
      </c>
      <c r="D99">
        <f ca="1">IFERROR(_xll.BCOUNTPERIODS(DATA!$C$3,C99,"CDR=BZ")*1,"")</f>
        <v>95</v>
      </c>
      <c r="E99" s="34">
        <f ca="1">IFERROR(_xll.BInterpol(DATA!$G$7:$G$48, DATA!$D$7:$D$48, D99, "Cubic","Skip=True")*1,"")</f>
        <v>14.955</v>
      </c>
      <c r="F99" s="34">
        <f ca="1">IFERROR(_xll.BInterpol(DATA!$P$7:$P$48, DATA!$M$7:$M$48, D99, "Cubic","Skip=True")*1,_xll.BInterpol(FUT!$F$7:$F$28, FUT!$E$7:$E$28, D99, "Cubic","Skip=True"))</f>
        <v>10.636296221514266</v>
      </c>
      <c r="G99" s="131">
        <f t="shared" ca="1" si="19"/>
        <v>3.9035144215591622</v>
      </c>
    </row>
    <row r="100" spans="2:7" x14ac:dyDescent="0.25">
      <c r="B100" s="6">
        <v>5</v>
      </c>
      <c r="C100" s="1">
        <f ca="1">EOMONTH(TODAY(),5)</f>
        <v>45991</v>
      </c>
      <c r="D100">
        <f ca="1">IFERROR(_xll.BCOUNTPERIODS(DATA!$C$3,C100,"CDR=BZ")*1,"")</f>
        <v>114</v>
      </c>
      <c r="E100" s="34">
        <f ca="1">IFERROR(_xll.BInterpol(DATA!$G$7:$G$48, DATA!$D$7:$D$48, D100, "Cubic","Skip=True")*1,"")</f>
        <v>14.955</v>
      </c>
      <c r="F100" s="34">
        <f ca="1">IFERROR(_xll.BInterpol(DATA!$P$7:$P$48, DATA!$M$7:$M$48, D100, "Cubic","Skip=True")*1,_xll.BInterpol(FUT!$F$7:$F$28, FUT!$E$7:$E$28, D100, "Cubic","Skip=True"))</f>
        <v>10.463594399542098</v>
      </c>
      <c r="G100" s="131">
        <f t="shared" ca="1" si="19"/>
        <v>4.0659600340476665</v>
      </c>
    </row>
    <row r="101" spans="2:7" x14ac:dyDescent="0.25">
      <c r="B101" s="6">
        <v>6</v>
      </c>
      <c r="C101" s="1">
        <f ca="1">EOMONTH(TODAY(),6)</f>
        <v>46022</v>
      </c>
      <c r="D101">
        <f ca="1">IFERROR(_xll.BCOUNTPERIODS(DATA!$C$3,C101,"CDR=BZ")*1,"")</f>
        <v>136</v>
      </c>
      <c r="E101" s="34">
        <f ca="1">IFERROR(_xll.BInterpol(DATA!$G$7:$G$48, DATA!$D$7:$D$48, D101, "Cubic","Skip=True")*1,"")</f>
        <v>14.958165884632864</v>
      </c>
      <c r="F101" s="34">
        <f ca="1">IFERROR(_xll.BInterpol(DATA!$P$7:$P$48, DATA!$M$7:$M$48, D101, "Cubic","Skip=True")*1,_xll.BInterpol(FUT!$F$7:$F$28, FUT!$E$7:$E$28, D101, "Cubic","Skip=True"))</f>
        <v>10.362839775759113</v>
      </c>
      <c r="G101" s="131">
        <f t="shared" ca="1" si="19"/>
        <v>4.1638346006778848</v>
      </c>
    </row>
    <row r="102" spans="2:7" x14ac:dyDescent="0.25">
      <c r="B102" s="6">
        <v>7</v>
      </c>
      <c r="C102" s="1">
        <f ca="1">EOMONTH(TODAY(),7)</f>
        <v>46053</v>
      </c>
      <c r="D102">
        <f ca="1">IFERROR(_xll.BCOUNTPERIODS(DATA!$C$3,C102,"CDR=BZ")*1,"")</f>
        <v>157</v>
      </c>
      <c r="E102" s="34">
        <f ca="1">IFERROR(_xll.BInterpol(DATA!$G$7:$G$48, DATA!$D$7:$D$48, D102, "Cubic","Skip=True")*1,"")</f>
        <v>14.96</v>
      </c>
      <c r="F102" s="34">
        <f ca="1">IFERROR(_xll.BInterpol(DATA!$P$7:$P$48, DATA!$M$7:$M$48, D102, "Cubic","Skip=True")*1,_xll.BInterpol(FUT!$F$7:$F$28, FUT!$E$7:$E$28, D102, "Cubic","Skip=True"))</f>
        <v>10.225269933161069</v>
      </c>
      <c r="G102" s="131">
        <f t="shared" ca="1" si="19"/>
        <v>4.2955032631900147</v>
      </c>
    </row>
    <row r="103" spans="2:7" x14ac:dyDescent="0.25">
      <c r="B103" s="6">
        <v>8</v>
      </c>
      <c r="C103" s="1">
        <f ca="1">EOMONTH(TODAY(),8)</f>
        <v>46081</v>
      </c>
      <c r="D103">
        <f ca="1">IFERROR(_xll.BCOUNTPERIODS(DATA!$C$3,C103,"CDR=BZ")*1,"")</f>
        <v>175</v>
      </c>
      <c r="E103" s="34">
        <f ca="1">IFERROR(_xll.BInterpol(DATA!$G$7:$G$48, DATA!$D$7:$D$48, D103, "Cubic","Skip=True")*1,"")</f>
        <v>14.955</v>
      </c>
      <c r="F103" s="34">
        <f ca="1">IFERROR(_xll.BInterpol(DATA!$P$7:$P$48, DATA!$M$7:$M$48, D103, "Cubic","Skip=True")*1,_xll.BInterpol(FUT!$F$7:$F$28, FUT!$E$7:$E$28, D103, "Cubic","Skip=True"))</f>
        <v>10.137143152370708</v>
      </c>
      <c r="G103" s="131">
        <f t="shared" ca="1" si="19"/>
        <v>4.3744160323497594</v>
      </c>
    </row>
    <row r="104" spans="2:7" x14ac:dyDescent="0.25">
      <c r="B104" s="6">
        <v>9</v>
      </c>
      <c r="C104" s="1">
        <f ca="1">EOMONTH(TODAY(),9)</f>
        <v>46112</v>
      </c>
      <c r="D104">
        <f ca="1">IFERROR(_xll.BCOUNTPERIODS(DATA!$C$3,C104,"CDR=BZ")*1,"")</f>
        <v>197</v>
      </c>
      <c r="E104" s="34">
        <f ca="1">IFERROR(_xll.BInterpol(DATA!$G$7:$G$48, DATA!$D$7:$D$48, D104, "Cubic","Skip=True")*1,"")</f>
        <v>14.925000000000001</v>
      </c>
      <c r="F104" s="34">
        <f ca="1">IFERROR(_xll.BInterpol(DATA!$P$7:$P$48, DATA!$M$7:$M$48, D104, "Cubic","Skip=True")*1,_xll.BInterpol(FUT!$F$7:$F$28, FUT!$E$7:$E$28, D104, "Cubic","Skip=True"))</f>
        <v>10.060443832474972</v>
      </c>
      <c r="G104" s="131">
        <f t="shared" ca="1" si="19"/>
        <v>4.419895103212057</v>
      </c>
    </row>
    <row r="105" spans="2:7" x14ac:dyDescent="0.25">
      <c r="B105" s="6">
        <v>10</v>
      </c>
      <c r="C105" s="1">
        <f ca="1">EOMONTH(TODAY(),10)</f>
        <v>46142</v>
      </c>
      <c r="D105">
        <f ca="1">IFERROR(_xll.BCOUNTPERIODS(DATA!$C$3,C105,"CDR=BZ")*1,"")</f>
        <v>217</v>
      </c>
      <c r="E105" s="34">
        <f ca="1">IFERROR(_xll.BInterpol(DATA!$G$7:$G$48, DATA!$D$7:$D$48, D105, "Cubic","Skip=True")*1,"")</f>
        <v>14.885</v>
      </c>
      <c r="F105" s="34">
        <f ca="1">IFERROR(_xll.BInterpol(DATA!$P$7:$P$48, DATA!$M$7:$M$48, D105, "Cubic","Skip=True")*1,_xll.BInterpol(FUT!$F$7:$F$28, FUT!$E$7:$E$28, D105, "Cubic","Skip=True"))</f>
        <v>10.011454389104918</v>
      </c>
      <c r="G105" s="131">
        <f t="shared" ca="1" si="19"/>
        <v>4.4300347068020773</v>
      </c>
    </row>
    <row r="106" spans="2:7" ht="15.75" thickBot="1" x14ac:dyDescent="0.3">
      <c r="B106" s="52">
        <v>11</v>
      </c>
      <c r="C106" s="111">
        <f ca="1">EOMONTH(TODAY(),11)</f>
        <v>46173</v>
      </c>
      <c r="D106" s="132">
        <f ca="1">IFERROR(_xll.BCOUNTPERIODS(DATA!$C$3,C106,"CDR=BZ")*1,"")</f>
        <v>237</v>
      </c>
      <c r="E106" s="55">
        <f ca="1">IFERROR(_xll.BInterpol(DATA!$G$7:$G$48, DATA!$D$7:$D$48, D106, "Cubic","Skip=True")*1,"")</f>
        <v>14.833</v>
      </c>
      <c r="F106" s="55">
        <f ca="1">IFERROR(_xll.BInterpol(DATA!$P$7:$P$48, DATA!$M$7:$M$48, D106, "Cubic","Skip=True")*1,_xll.BInterpol(FUT!$F$7:$F$28, FUT!$E$7:$E$28, D106, "Cubic","Skip=True"))</f>
        <v>9.9734909956724902</v>
      </c>
      <c r="G106" s="133">
        <f t="shared" ca="1" si="19"/>
        <v>4.4188003493666805</v>
      </c>
    </row>
  </sheetData>
  <mergeCells count="3">
    <mergeCell ref="B6:I6"/>
    <mergeCell ref="K6:R6"/>
    <mergeCell ref="T6:AA6"/>
  </mergeCells>
  <pageMargins left="0.7" right="0.7" top="0.75" bottom="0.75" header="0.3" footer="0.3"/>
  <pageSetup orientation="portrait" horizontalDpi="200" verticalDpi="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2E4DF-F9F4-4940-A598-08F7C9D14D4B}">
  <dimension ref="A1:W24"/>
  <sheetViews>
    <sheetView workbookViewId="0">
      <selection activeCell="U3" sqref="U3"/>
    </sheetView>
  </sheetViews>
  <sheetFormatPr defaultRowHeight="15" x14ac:dyDescent="0.25"/>
  <cols>
    <col min="1" max="1" width="12.85546875" bestFit="1" customWidth="1"/>
    <col min="3" max="3" width="15.42578125" bestFit="1" customWidth="1"/>
    <col min="5" max="5" width="9.7109375" bestFit="1" customWidth="1"/>
    <col min="9" max="9" width="14.28515625" bestFit="1" customWidth="1"/>
    <col min="11" max="11" width="14.28515625" bestFit="1" customWidth="1"/>
    <col min="13" max="13" width="12.42578125" bestFit="1" customWidth="1"/>
    <col min="19" max="19" width="17.5703125" bestFit="1" customWidth="1"/>
    <col min="21" max="21" width="32" bestFit="1" customWidth="1"/>
    <col min="22" max="22" width="7.7109375" bestFit="1" customWidth="1"/>
  </cols>
  <sheetData>
    <row r="1" spans="1:23" x14ac:dyDescent="0.25">
      <c r="A1" s="178" t="s">
        <v>140</v>
      </c>
      <c r="B1" s="178"/>
      <c r="C1" s="178"/>
      <c r="E1" s="1"/>
      <c r="H1" s="178" t="s">
        <v>139</v>
      </c>
      <c r="I1" s="178"/>
      <c r="J1" s="178"/>
      <c r="K1" s="178"/>
      <c r="L1" s="178"/>
      <c r="M1" s="178"/>
      <c r="R1" s="178" t="s">
        <v>201</v>
      </c>
      <c r="S1" s="178"/>
      <c r="T1" s="178"/>
      <c r="U1" s="178"/>
      <c r="V1" s="178"/>
      <c r="W1" s="178"/>
    </row>
    <row r="2" spans="1:23" x14ac:dyDescent="0.25">
      <c r="A2" t="str" cm="1">
        <f t="array" ref="A2:C23">_xll.BQL("Futures('WLA Index')","FUT_MONTH_YR().value,PX_LAST().value")</f>
        <v>ID</v>
      </c>
      <c r="B2" t="str">
        <v>FUT_MONTH_YR().value</v>
      </c>
      <c r="C2" t="str">
        <v>PX_LAST().value</v>
      </c>
      <c r="H2" t="s">
        <v>24</v>
      </c>
      <c r="I2" t="s">
        <v>198</v>
      </c>
      <c r="K2" t="s">
        <v>123</v>
      </c>
      <c r="M2" t="s">
        <v>124</v>
      </c>
      <c r="R2" t="s">
        <v>24</v>
      </c>
      <c r="S2" t="s">
        <v>195</v>
      </c>
      <c r="U2" t="s">
        <v>196</v>
      </c>
      <c r="W2" t="s">
        <v>124</v>
      </c>
    </row>
    <row r="3" spans="1:23" x14ac:dyDescent="0.25">
      <c r="A3" t="str">
        <v>WLN25 Index</v>
      </c>
      <c r="B3" s="62" t="str">
        <v>JUL 25</v>
      </c>
      <c r="C3" s="68">
        <v>11.561</v>
      </c>
      <c r="H3">
        <v>126</v>
      </c>
      <c r="I3" t="s">
        <v>126</v>
      </c>
      <c r="J3" cm="1">
        <f t="array" ref="J3:J9">_xll.BQL(_xll.BQL.LIST($I$3:$I$9),"LAST(DROPNA(PX_LAST(DATES=RANGE(-7D,0D)))).value","ShowDates=F","ShowIDs=F","ShowHeaders=F","Fill=Prev")</f>
        <v>15.0421</v>
      </c>
      <c r="K3" t="s">
        <v>125</v>
      </c>
      <c r="L3" s="67" cm="1">
        <f t="array" ref="L3:L9">_xll.BQL(_xll.BQL.LIST($K$3:$K$9),"LAST(DROPNA(PX_LAST(DATES=RANGE(-7D,0D)))).value","ShowDates=F","ShowIDs=F","ShowHeaders=F","Fill=Prev")</f>
        <v>11.559799999999999</v>
      </c>
      <c r="M3" s="67">
        <f>(((1+J3%)/(1+L3%))-1)*100</f>
        <v>3.1214649004390305</v>
      </c>
      <c r="R3">
        <v>21</v>
      </c>
      <c r="S3" t="s">
        <v>106</v>
      </c>
      <c r="T3" cm="1">
        <f t="array" ref="T3:T19">_xll.BQL(_xll.BQL.LIST($S$3:$S$19),"LAST(DROPNA(PX_LAST(DATES=RANGE(-60D,0D)))).value","ShowDates=F","ShowIDs=F","ShowHeaders=F","Fill=Prev","xlfill=-")</f>
        <v>14.9054</v>
      </c>
      <c r="U3" t="s">
        <v>89</v>
      </c>
      <c r="V3" s="67" t="str" cm="1">
        <f t="array" ref="V3:V19">_xll.BQL(_xll.BQL.LIST($U$3:$U$19),"LAST(DROPNA(PX_LAST(DATES=RANGE(-60D,0D)))).value","ShowDates=F","ShowIDs=F","ShowHeaders=F","Fill=Prev","xlfill=-")</f>
        <v>-</v>
      </c>
      <c r="W3" s="67" t="str">
        <f>IFERROR((((1+T3%)/(1+V3%))-1)*100,"-")</f>
        <v>-</v>
      </c>
    </row>
    <row r="4" spans="1:23" x14ac:dyDescent="0.25">
      <c r="A4" t="str">
        <v>WLQ25 Index</v>
      </c>
      <c r="B4" s="62" t="str">
        <v>AUG 25</v>
      </c>
      <c r="C4" s="68">
        <v>12.56</v>
      </c>
      <c r="H4">
        <v>252</v>
      </c>
      <c r="I4" t="s">
        <v>128</v>
      </c>
      <c r="J4">
        <v>14.7379</v>
      </c>
      <c r="K4" t="s">
        <v>127</v>
      </c>
      <c r="L4" s="67">
        <v>10.231</v>
      </c>
      <c r="M4" s="67">
        <f t="shared" ref="M4:M9" si="0">(((1+J4%)/(1+L4%))-1)*100</f>
        <v>4.0885957670709683</v>
      </c>
      <c r="R4">
        <v>42</v>
      </c>
      <c r="S4" t="s">
        <v>107</v>
      </c>
      <c r="T4">
        <v>14.9247</v>
      </c>
      <c r="U4" t="s">
        <v>90</v>
      </c>
      <c r="V4" s="67" t="str">
        <v>-</v>
      </c>
      <c r="W4" s="67" t="str">
        <f t="shared" ref="W4:W19" si="1">IFERROR((((1+T4%)/(1+V4%))-1)*100,"-")</f>
        <v>-</v>
      </c>
    </row>
    <row r="5" spans="1:23" x14ac:dyDescent="0.25">
      <c r="A5" t="str">
        <v>WLU25 Index</v>
      </c>
      <c r="B5" s="62" t="str">
        <v>SEP 25</v>
      </c>
      <c r="C5" s="68">
        <v>10.920999999999999</v>
      </c>
      <c r="H5">
        <v>504</v>
      </c>
      <c r="I5" t="s">
        <v>129</v>
      </c>
      <c r="J5">
        <v>13.8657</v>
      </c>
      <c r="K5" t="s">
        <v>130</v>
      </c>
      <c r="L5" s="67">
        <v>8.5641999999999996</v>
      </c>
      <c r="M5" s="67">
        <f t="shared" si="0"/>
        <v>4.8832856503340905</v>
      </c>
      <c r="R5">
        <v>84</v>
      </c>
      <c r="S5" t="s">
        <v>108</v>
      </c>
      <c r="T5">
        <v>14.9514</v>
      </c>
      <c r="U5" t="s">
        <v>91</v>
      </c>
      <c r="V5" s="67" t="str">
        <v>-</v>
      </c>
      <c r="W5" s="67" t="str">
        <f t="shared" si="1"/>
        <v>-</v>
      </c>
    </row>
    <row r="6" spans="1:23" x14ac:dyDescent="0.25">
      <c r="A6" t="str">
        <v>WLV25 Index</v>
      </c>
      <c r="B6" s="62" t="str">
        <v>OCT 25</v>
      </c>
      <c r="C6" s="68">
        <v>10.714</v>
      </c>
      <c r="H6">
        <v>756</v>
      </c>
      <c r="I6" t="s">
        <v>131</v>
      </c>
      <c r="J6">
        <v>13.5352</v>
      </c>
      <c r="K6" t="s">
        <v>133</v>
      </c>
      <c r="L6" s="67">
        <v>7.9858000000000002</v>
      </c>
      <c r="M6" s="67">
        <f t="shared" si="0"/>
        <v>5.1390090178523362</v>
      </c>
      <c r="R6">
        <v>105</v>
      </c>
      <c r="S6" t="s">
        <v>109</v>
      </c>
      <c r="T6">
        <v>14.955</v>
      </c>
      <c r="U6" t="s">
        <v>92</v>
      </c>
      <c r="V6" s="67" t="str">
        <v>-</v>
      </c>
      <c r="W6" s="67" t="str">
        <f t="shared" si="1"/>
        <v>-</v>
      </c>
    </row>
    <row r="7" spans="1:23" x14ac:dyDescent="0.25">
      <c r="A7" t="str">
        <v>WLX25 Index</v>
      </c>
      <c r="B7" s="62" t="str">
        <v>NOV 25</v>
      </c>
      <c r="C7" s="68">
        <v>10.518000000000001</v>
      </c>
      <c r="H7">
        <v>1008</v>
      </c>
      <c r="I7" t="s">
        <v>132</v>
      </c>
      <c r="J7">
        <v>13.527100000000001</v>
      </c>
      <c r="K7" t="s">
        <v>136</v>
      </c>
      <c r="L7" s="67">
        <v>7.7038000000000002</v>
      </c>
      <c r="M7" s="67">
        <f t="shared" si="0"/>
        <v>5.4067730200791475</v>
      </c>
      <c r="R7">
        <v>168</v>
      </c>
      <c r="S7" t="s">
        <v>110</v>
      </c>
      <c r="T7">
        <v>14.957100000000001</v>
      </c>
      <c r="U7" t="s">
        <v>93</v>
      </c>
      <c r="V7" s="67" t="str">
        <v>-</v>
      </c>
      <c r="W7" s="67" t="str">
        <f t="shared" si="1"/>
        <v>-</v>
      </c>
    </row>
    <row r="8" spans="1:23" x14ac:dyDescent="0.25">
      <c r="A8" t="str">
        <v>WLZ25 Index</v>
      </c>
      <c r="B8" s="62" t="str">
        <v>DEC 25</v>
      </c>
      <c r="C8" s="68">
        <v>10.430999999999999</v>
      </c>
      <c r="H8">
        <v>1260</v>
      </c>
      <c r="I8" t="s">
        <v>134</v>
      </c>
      <c r="J8">
        <v>13.625299999999999</v>
      </c>
      <c r="K8" t="s">
        <v>137</v>
      </c>
      <c r="L8" s="67">
        <v>7.5359999999999996</v>
      </c>
      <c r="M8" s="67">
        <f t="shared" si="0"/>
        <v>5.6625688141645369</v>
      </c>
      <c r="R8">
        <v>189</v>
      </c>
      <c r="S8" t="s">
        <v>111</v>
      </c>
      <c r="T8">
        <v>14.936400000000001</v>
      </c>
      <c r="U8" t="s">
        <v>94</v>
      </c>
      <c r="V8" s="67" t="str">
        <v>-</v>
      </c>
      <c r="W8" s="67" t="str">
        <f t="shared" si="1"/>
        <v>-</v>
      </c>
    </row>
    <row r="9" spans="1:23" x14ac:dyDescent="0.25">
      <c r="A9" t="str">
        <v>WLF26 Index</v>
      </c>
      <c r="B9" s="62" t="str">
        <v>JAN 26</v>
      </c>
      <c r="C9" s="68">
        <v>10.3</v>
      </c>
      <c r="H9">
        <v>2520</v>
      </c>
      <c r="I9" t="s">
        <v>135</v>
      </c>
      <c r="J9" t="e">
        <v>#N/A</v>
      </c>
      <c r="K9" t="s">
        <v>138</v>
      </c>
      <c r="L9" s="67">
        <v>7.1757999999999997</v>
      </c>
      <c r="M9" s="67" t="e">
        <f t="shared" si="0"/>
        <v>#N/A</v>
      </c>
      <c r="R9">
        <v>210</v>
      </c>
      <c r="S9" t="s">
        <v>112</v>
      </c>
      <c r="T9">
        <v>14.9001</v>
      </c>
      <c r="U9" t="s">
        <v>95</v>
      </c>
      <c r="V9" s="67" t="str">
        <v>-</v>
      </c>
      <c r="W9" s="67" t="str">
        <f t="shared" si="1"/>
        <v>-</v>
      </c>
    </row>
    <row r="10" spans="1:23" x14ac:dyDescent="0.25">
      <c r="A10" t="str">
        <v>WLQ26 Index</v>
      </c>
      <c r="B10" s="62" t="str">
        <v>AUG 26</v>
      </c>
      <c r="C10" s="68">
        <v>9.86</v>
      </c>
      <c r="R10">
        <v>231</v>
      </c>
      <c r="S10" t="s">
        <v>113</v>
      </c>
      <c r="T10">
        <v>14.850199999999999</v>
      </c>
      <c r="U10" t="s">
        <v>96</v>
      </c>
      <c r="V10" s="67" t="str">
        <v>-</v>
      </c>
      <c r="W10" s="67" t="str">
        <f t="shared" si="1"/>
        <v>-</v>
      </c>
    </row>
    <row r="11" spans="1:23" x14ac:dyDescent="0.25">
      <c r="A11" t="str">
        <v>WLF27 Index</v>
      </c>
      <c r="B11" s="62" t="str">
        <v>JAN 27</v>
      </c>
      <c r="C11" s="68">
        <v>9.3350000000000009</v>
      </c>
      <c r="R11">
        <v>252</v>
      </c>
      <c r="S11" t="s">
        <v>114</v>
      </c>
      <c r="T11">
        <v>14.7919</v>
      </c>
      <c r="U11" t="s">
        <v>97</v>
      </c>
      <c r="V11" s="67" t="str">
        <v>-</v>
      </c>
      <c r="W11" s="67" t="str">
        <f t="shared" si="1"/>
        <v>-</v>
      </c>
    </row>
    <row r="12" spans="1:23" x14ac:dyDescent="0.25">
      <c r="A12" t="str">
        <v>WLK27 Index</v>
      </c>
      <c r="B12" s="62" t="str">
        <v>MAY 27</v>
      </c>
      <c r="C12" s="68">
        <v>8.77</v>
      </c>
      <c r="R12">
        <v>504</v>
      </c>
      <c r="S12" t="s">
        <v>115</v>
      </c>
      <c r="T12">
        <v>13.8865</v>
      </c>
      <c r="U12" t="s">
        <v>98</v>
      </c>
      <c r="V12" s="67" t="str">
        <v>-</v>
      </c>
      <c r="W12" s="67" t="str">
        <f t="shared" si="1"/>
        <v>-</v>
      </c>
    </row>
    <row r="13" spans="1:23" x14ac:dyDescent="0.25">
      <c r="A13" t="str">
        <v>WLQ28 Index</v>
      </c>
      <c r="B13" s="62" t="str">
        <v>AUG 28</v>
      </c>
      <c r="C13" s="68">
        <v>7.9950000000000001</v>
      </c>
      <c r="R13">
        <v>756</v>
      </c>
      <c r="S13" t="s">
        <v>116</v>
      </c>
      <c r="T13">
        <v>13.430899999999999</v>
      </c>
      <c r="U13" t="s">
        <v>99</v>
      </c>
      <c r="V13" s="67" t="str">
        <v>-</v>
      </c>
      <c r="W13" s="67" t="str">
        <f t="shared" si="1"/>
        <v>-</v>
      </c>
    </row>
    <row r="14" spans="1:23" x14ac:dyDescent="0.25">
      <c r="A14" t="str">
        <v>WLK29 Index</v>
      </c>
      <c r="B14" s="62" t="str">
        <v>MAY 29</v>
      </c>
      <c r="C14" s="68">
        <v>7.68</v>
      </c>
      <c r="R14">
        <v>1260</v>
      </c>
      <c r="S14" t="s">
        <v>117</v>
      </c>
      <c r="T14">
        <v>13.495900000000001</v>
      </c>
      <c r="U14" t="s">
        <v>100</v>
      </c>
      <c r="V14" s="67" t="str">
        <v>-</v>
      </c>
      <c r="W14" s="67" t="str">
        <f t="shared" si="1"/>
        <v>-</v>
      </c>
    </row>
    <row r="15" spans="1:23" x14ac:dyDescent="0.25">
      <c r="A15" t="str">
        <v>WLQ30 Index</v>
      </c>
      <c r="B15" s="62" t="str">
        <v>AUG 30</v>
      </c>
      <c r="C15" s="68">
        <v>7.5449999999999999</v>
      </c>
      <c r="R15">
        <v>1512</v>
      </c>
      <c r="S15" t="s">
        <v>118</v>
      </c>
      <c r="T15">
        <v>13.5657</v>
      </c>
      <c r="U15" t="s">
        <v>101</v>
      </c>
      <c r="V15" s="67" t="str">
        <v>-</v>
      </c>
      <c r="W15" s="67" t="str">
        <f t="shared" si="1"/>
        <v>-</v>
      </c>
    </row>
    <row r="16" spans="1:23" x14ac:dyDescent="0.25">
      <c r="A16" t="str">
        <v>WLQ32 Index</v>
      </c>
      <c r="B16" s="62" t="str">
        <v>AUG 32</v>
      </c>
      <c r="C16" s="68">
        <v>7.4749999999999996</v>
      </c>
      <c r="R16">
        <v>1764</v>
      </c>
      <c r="S16" t="s">
        <v>119</v>
      </c>
      <c r="T16">
        <v>13.602399999999999</v>
      </c>
      <c r="U16" t="s">
        <v>102</v>
      </c>
      <c r="V16" s="67" t="str">
        <v>-</v>
      </c>
      <c r="W16" s="67" t="str">
        <f t="shared" si="1"/>
        <v>-</v>
      </c>
    </row>
    <row r="17" spans="1:23" x14ac:dyDescent="0.25">
      <c r="A17" t="str">
        <v>WLK33 Index</v>
      </c>
      <c r="B17" s="63" t="str">
        <v>MAY 33</v>
      </c>
      <c r="C17" s="68">
        <v>7.41</v>
      </c>
      <c r="R17">
        <v>2016</v>
      </c>
      <c r="S17" t="s">
        <v>120</v>
      </c>
      <c r="T17">
        <v>13.5968</v>
      </c>
      <c r="U17" t="s">
        <v>103</v>
      </c>
      <c r="V17" s="67" t="str">
        <v>-</v>
      </c>
      <c r="W17" s="67" t="str">
        <f t="shared" si="1"/>
        <v>-</v>
      </c>
    </row>
    <row r="18" spans="1:23" x14ac:dyDescent="0.25">
      <c r="A18" t="str">
        <v>WLK35 Index</v>
      </c>
      <c r="B18" s="63" t="str">
        <v>MAY 35</v>
      </c>
      <c r="C18" s="68">
        <v>7.2649999999999997</v>
      </c>
      <c r="R18">
        <v>2268</v>
      </c>
      <c r="S18" t="s">
        <v>121</v>
      </c>
      <c r="T18">
        <v>13.5946</v>
      </c>
      <c r="U18" t="s">
        <v>104</v>
      </c>
      <c r="V18" s="67" t="str">
        <v>-</v>
      </c>
      <c r="W18" s="67" t="str">
        <f t="shared" si="1"/>
        <v>-</v>
      </c>
    </row>
    <row r="19" spans="1:23" x14ac:dyDescent="0.25">
      <c r="A19" t="str">
        <v>WLQ40 Index</v>
      </c>
      <c r="B19" s="63" t="str">
        <v>AUG 40</v>
      </c>
      <c r="C19" s="68">
        <v>7.1150000000000002</v>
      </c>
      <c r="R19">
        <v>2520</v>
      </c>
      <c r="S19" t="s">
        <v>122</v>
      </c>
      <c r="T19">
        <v>13.587199999999999</v>
      </c>
      <c r="U19" t="s">
        <v>105</v>
      </c>
      <c r="V19" s="67" t="str">
        <v>-</v>
      </c>
      <c r="W19" s="67" t="str">
        <f t="shared" si="1"/>
        <v>-</v>
      </c>
    </row>
    <row r="20" spans="1:23" x14ac:dyDescent="0.25">
      <c r="A20" t="str">
        <v>WLK45 Index</v>
      </c>
      <c r="B20" s="63" t="str">
        <v>MAY 45</v>
      </c>
      <c r="C20" s="68">
        <v>7.0209999999999999</v>
      </c>
    </row>
    <row r="21" spans="1:23" x14ac:dyDescent="0.25">
      <c r="A21" t="str">
        <v>WLQ50 Index</v>
      </c>
      <c r="B21" s="63" t="str">
        <v>AUG 50</v>
      </c>
      <c r="C21" s="68">
        <v>6.9569999999999999</v>
      </c>
    </row>
    <row r="22" spans="1:23" x14ac:dyDescent="0.25">
      <c r="A22" t="str">
        <v>WLK55 Index</v>
      </c>
      <c r="B22" s="63" t="str">
        <v>MAY 55</v>
      </c>
      <c r="C22" s="68">
        <v>6.9130000000000003</v>
      </c>
    </row>
    <row r="23" spans="1:23" x14ac:dyDescent="0.25">
      <c r="A23" t="str">
        <v>WLQ60 Index</v>
      </c>
      <c r="B23" s="63" t="str">
        <v>AUG 60</v>
      </c>
      <c r="C23" s="68">
        <v>6.9130000000000003</v>
      </c>
    </row>
    <row r="24" spans="1:23" x14ac:dyDescent="0.25">
      <c r="B24" s="63"/>
      <c r="C24" s="68"/>
    </row>
  </sheetData>
  <mergeCells count="3">
    <mergeCell ref="H1:M1"/>
    <mergeCell ref="R1:W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705C6-ADAC-4D64-93F6-B9F231871AAD}">
  <dimension ref="B1:R167"/>
  <sheetViews>
    <sheetView showGridLines="0" workbookViewId="0">
      <selection activeCell="F7" sqref="F7"/>
    </sheetView>
  </sheetViews>
  <sheetFormatPr defaultRowHeight="15" x14ac:dyDescent="0.25"/>
  <cols>
    <col min="2" max="2" width="11.140625" bestFit="1" customWidth="1"/>
    <col min="3" max="3" width="12.85546875" bestFit="1" customWidth="1"/>
    <col min="4" max="4" width="10.7109375" bestFit="1" customWidth="1"/>
    <col min="5" max="5" width="12.5703125" bestFit="1" customWidth="1"/>
    <col min="6" max="6" width="5" bestFit="1" customWidth="1"/>
    <col min="8" max="8" width="11.140625" bestFit="1" customWidth="1"/>
    <col min="9" max="9" width="12.85546875" bestFit="1" customWidth="1"/>
    <col min="10" max="10" width="10.7109375" bestFit="1" customWidth="1"/>
    <col min="11" max="11" width="5.5703125" bestFit="1" customWidth="1"/>
    <col min="12" max="12" width="5" bestFit="1" customWidth="1"/>
    <col min="14" max="14" width="11.140625" bestFit="1" customWidth="1"/>
    <col min="15" max="15" width="12.85546875" bestFit="1" customWidth="1"/>
    <col min="16" max="16" width="10.7109375" bestFit="1" customWidth="1"/>
    <col min="17" max="17" width="5.5703125" bestFit="1" customWidth="1"/>
    <col min="18" max="18" width="5" bestFit="1" customWidth="1"/>
  </cols>
  <sheetData>
    <row r="1" spans="2:18" ht="15.75" thickBot="1" x14ac:dyDescent="0.3"/>
    <row r="2" spans="2:18" ht="15.75" thickBot="1" x14ac:dyDescent="0.3">
      <c r="B2" s="175" t="s">
        <v>88</v>
      </c>
      <c r="C2" s="176"/>
      <c r="D2" s="176"/>
      <c r="E2" s="176"/>
      <c r="F2" s="177"/>
      <c r="H2" s="175" t="s">
        <v>29</v>
      </c>
      <c r="I2" s="176"/>
      <c r="J2" s="176"/>
      <c r="K2" s="176"/>
      <c r="L2" s="177"/>
      <c r="N2" s="175" t="s">
        <v>30</v>
      </c>
      <c r="O2" s="176"/>
      <c r="P2" s="176"/>
      <c r="Q2" s="176"/>
      <c r="R2" s="177"/>
    </row>
    <row r="3" spans="2:18" x14ac:dyDescent="0.25">
      <c r="B3" s="109" t="s">
        <v>156</v>
      </c>
      <c r="C3" s="2" t="s">
        <v>157</v>
      </c>
      <c r="D3" s="2"/>
      <c r="E3" s="2"/>
      <c r="F3" s="35"/>
      <c r="H3" s="109" t="s">
        <v>156</v>
      </c>
      <c r="I3" s="2" t="s">
        <v>157</v>
      </c>
      <c r="J3" s="2"/>
      <c r="K3" s="2"/>
      <c r="L3" s="35"/>
      <c r="N3" s="109" t="s">
        <v>156</v>
      </c>
      <c r="O3" s="2" t="s">
        <v>157</v>
      </c>
      <c r="P3" s="2"/>
      <c r="Q3" s="2"/>
      <c r="R3" s="35"/>
    </row>
    <row r="4" spans="2:18" x14ac:dyDescent="0.25">
      <c r="B4" s="6" t="s">
        <v>25</v>
      </c>
      <c r="C4" s="103">
        <f ca="1">DATA!U6</f>
        <v>45828</v>
      </c>
      <c r="F4" s="4"/>
      <c r="H4" s="6" t="s">
        <v>25</v>
      </c>
      <c r="I4" s="103">
        <f>DATA!U4</f>
        <v>45268</v>
      </c>
      <c r="L4" s="4"/>
      <c r="N4" s="6" t="s">
        <v>25</v>
      </c>
      <c r="O4" s="103">
        <f>DATA!U5</f>
        <v>45084</v>
      </c>
      <c r="R4" s="4"/>
    </row>
    <row r="5" spans="2:18" x14ac:dyDescent="0.25">
      <c r="B5" s="6"/>
      <c r="F5" s="4"/>
      <c r="H5" s="6"/>
      <c r="L5" s="4"/>
      <c r="N5" s="6"/>
      <c r="R5" s="4"/>
    </row>
    <row r="6" spans="2:18" x14ac:dyDescent="0.25">
      <c r="B6" s="49" t="s">
        <v>158</v>
      </c>
      <c r="C6" s="32" t="s">
        <v>159</v>
      </c>
      <c r="D6" s="32" t="s">
        <v>160</v>
      </c>
      <c r="E6" s="32" t="s">
        <v>161</v>
      </c>
      <c r="F6" s="50" t="s">
        <v>24</v>
      </c>
      <c r="H6" s="49" t="s">
        <v>158</v>
      </c>
      <c r="I6" s="32" t="s">
        <v>159</v>
      </c>
      <c r="J6" s="32" t="s">
        <v>160</v>
      </c>
      <c r="K6" s="32" t="s">
        <v>161</v>
      </c>
      <c r="L6" s="50" t="s">
        <v>24</v>
      </c>
      <c r="N6" s="49" t="s">
        <v>158</v>
      </c>
      <c r="O6" s="32" t="s">
        <v>159</v>
      </c>
      <c r="P6" s="32" t="s">
        <v>160</v>
      </c>
      <c r="Q6" s="32" t="s">
        <v>161</v>
      </c>
      <c r="R6" s="50" t="s">
        <v>24</v>
      </c>
    </row>
    <row r="7" spans="2:18" x14ac:dyDescent="0.25">
      <c r="B7" s="6" t="s">
        <v>165</v>
      </c>
      <c r="C7" s="1" t="str" cm="1">
        <f t="array" aca="1" ref="C7" ca="1">_xll.BDH($H7,"FUT_CUR_GEN_TICKER",TEXT(YEAR(C$4)*10000+MONTH(C$4)*100+DAY(C$4),"00000000"),TEXT(YEAR(C$4)*10000+MONTH(C$4)*100+DAY(C$4),"00000000"),"fill=p","days=a")&amp;" Index"</f>
        <v>WLN25 Index</v>
      </c>
      <c r="D7" s="1" t="str" cm="1">
        <f t="array" aca="1" ref="D7" ca="1">_xll.BDP(C7,"LAST_TRADEABLE_DT")</f>
        <v>7/14/2025</v>
      </c>
      <c r="E7" s="34" cm="1">
        <f t="array" aca="1" ref="E7" ca="1">_xll.BDH(C7,"PX_LAST",TEXT(YEAR(C$4)*10000+MONTH(C$4)*100+DAY(C$4),"00000000"),TEXT(YEAR(C$4)*10000+MONTH(C$4)*100+DAY(C$4),"00000000"),"Fill=P","Days=A")</f>
        <v>11.561</v>
      </c>
      <c r="F7" s="4">
        <f ca="1">IFERROR(_xll.BCOUNTPERIODS($C$4,D7,"CDR=BZ")*1,"")</f>
        <v>16</v>
      </c>
      <c r="H7" s="6" t="s">
        <v>165</v>
      </c>
      <c r="I7" s="1" t="str" cm="1">
        <f t="array" ref="I7">_xll.BDH($H7,"FUT_CUR_GEN_TICKER",TEXT(YEAR(I$4)*10000+MONTH(I$4)*100+DAY(I$4),"00000000"),TEXT(YEAR(I$4)*10000+MONTH(I$4)*100+DAY(I$4),"00000000"),"fill=p","days=a")&amp;" Index"</f>
        <v>WLZ23 Index</v>
      </c>
      <c r="J7" s="1" t="str" cm="1">
        <f t="array" ref="J7">_xll.BDP(I7,"LAST_TRADEABLE_DT")</f>
        <v>12/14/2023</v>
      </c>
      <c r="K7" s="34" cm="1">
        <f t="array" ref="K7">_xll.BDH(I7,"PX_LAST",TEXT(YEAR(I$4)*10000+MONTH(I$4)*100+DAY(I$4),"00000000"),TEXT(YEAR(I$4)*10000+MONTH(I$4)*100+DAY(I$4),"00000000"),"Fill=P","Days=A")</f>
        <v>8.56</v>
      </c>
      <c r="L7" s="4">
        <f>IFERROR(_xll.BCOUNTPERIODS($I$4,J7,"CDR=BZ")*1,"")</f>
        <v>4</v>
      </c>
      <c r="N7" s="6" t="s">
        <v>165</v>
      </c>
      <c r="O7" s="1" t="str" cm="1">
        <f t="array" ref="O7">_xll.BDH($N7,"FUT_CUR_GEN_TICKER",TEXT(YEAR(O$4)*10000+MONTH(O$4)*100+DAY(O$4),"00000000"),TEXT(YEAR(O$4)*10000+MONTH(O$4)*100+DAY(O$4),"00000000"),"fill=p","days=a")&amp;" Index"</f>
        <v>WLM23 Index</v>
      </c>
      <c r="P7" s="1" t="str" cm="1">
        <f t="array" ref="P7">_xll.BDP(O7,"LAST_TRADEABLE_DT")</f>
        <v>6/14/2023</v>
      </c>
      <c r="Q7" s="34" cm="1">
        <f t="array" ref="Q7">_xll.BDH(O7,"PX_LAST",TEXT(YEAR(O$4)*10000+MONTH(O$4)*100+DAY(O$4),"00000000"),TEXT(YEAR(O$4)*10000+MONTH(O$4)*100+DAY(O$4),"00000000"),"Fill=P","Days=A")</f>
        <v>10.7</v>
      </c>
      <c r="R7" s="4">
        <f>IFERROR(_xll.BCOUNTPERIODS($O$4,P7,"CDR=BZ")*1,"")</f>
        <v>4</v>
      </c>
    </row>
    <row r="8" spans="2:18" x14ac:dyDescent="0.25">
      <c r="B8" s="6" t="s">
        <v>166</v>
      </c>
      <c r="C8" s="1" t="str" cm="1">
        <f t="array" aca="1" ref="C8" ca="1">_xll.BDH($H8,"FUT_CUR_GEN_TICKER",TEXT(YEAR(C$4)*10000+MONTH(C$4)*100+DAY(C$4),"00000000"),TEXT(YEAR(C$4)*10000+MONTH(C$4)*100+DAY(C$4),"00000000"),"fill=p","days=a")&amp;" Index"</f>
        <v>WLQ25 Index</v>
      </c>
      <c r="D8" s="1" t="str" cm="1">
        <f t="array" aca="1" ref="D8" ca="1">_xll.BDP(C8,"LAST_TRADEABLE_DT")</f>
        <v>8/14/2025</v>
      </c>
      <c r="E8" s="34" cm="1">
        <f t="array" aca="1" ref="E8" ca="1">_xll.BDH(C8,"PX_LAST",TEXT(YEAR(C$4)*10000+MONTH(C$4)*100+DAY(C$4),"00000000"),TEXT(YEAR(C$4)*10000+MONTH(C$4)*100+DAY(C$4),"00000000"),"Fill=P","Days=A")</f>
        <v>12.56</v>
      </c>
      <c r="F8" s="4">
        <f ca="1">IFERROR(_xll.BCOUNTPERIODS($C$4,D8,"CDR=BZ")*1,"")</f>
        <v>39</v>
      </c>
      <c r="H8" s="6" t="s">
        <v>166</v>
      </c>
      <c r="I8" s="1" t="str" cm="1">
        <f t="array" ref="I8">_xll.BDH($H8,"FUT_CUR_GEN_TICKER",TEXT(YEAR(I$4)*10000+MONTH(I$4)*100+DAY(I$4),"00000000"),TEXT(YEAR(I$4)*10000+MONTH(I$4)*100+DAY(I$4),"00000000"),"fill=p","days=a")&amp;" Index"</f>
        <v>WLF24 Index</v>
      </c>
      <c r="J8" s="1" t="str" cm="1">
        <f t="array" ref="J8">_xll.BDP(I8,"LAST_TRADEABLE_DT")</f>
        <v>1/12/2024</v>
      </c>
      <c r="K8" s="34" cm="1">
        <f t="array" ref="K8">_xll.BDH(I8,"PX_LAST",TEXT(YEAR(I$4)*10000+MONTH(I$4)*100+DAY(I$4),"00000000"),TEXT(YEAR(I$4)*10000+MONTH(I$4)*100+DAY(I$4),"00000000"),"Fill=P","Days=A")</f>
        <v>7.25</v>
      </c>
      <c r="L8" s="4">
        <f>IFERROR(_xll.BCOUNTPERIODS($I$4,J8,"CDR=BZ")*1,"")</f>
        <v>23</v>
      </c>
      <c r="N8" s="6" t="s">
        <v>166</v>
      </c>
      <c r="O8" s="1" t="str" cm="1">
        <f t="array" ref="O8">_xll.BDH($N8,"FUT_CUR_GEN_TICKER",TEXT(YEAR(O$4)*10000+MONTH(O$4)*100+DAY(O$4),"00000000"),TEXT(YEAR(O$4)*10000+MONTH(O$4)*100+DAY(O$4),"00000000"),"fill=p","days=a")&amp;" Index"</f>
        <v>WLN23 Index</v>
      </c>
      <c r="P8" s="1" t="str" cm="1">
        <f t="array" ref="P8">_xll.BDP(O8,"LAST_TRADEABLE_DT")</f>
        <v>7/14/2023</v>
      </c>
      <c r="Q8" s="34" cm="1">
        <f t="array" ref="Q8">_xll.BDH(O8,"PX_LAST",TEXT(YEAR(O$4)*10000+MONTH(O$4)*100+DAY(O$4),"00000000"),TEXT(YEAR(O$4)*10000+MONTH(O$4)*100+DAY(O$4),"00000000"),"Fill=P","Days=A")</f>
        <v>13.13</v>
      </c>
      <c r="R8" s="4">
        <f>IFERROR(_xll.BCOUNTPERIODS($O$4,P8,"CDR=BZ")*1,"")</f>
        <v>26</v>
      </c>
    </row>
    <row r="9" spans="2:18" x14ac:dyDescent="0.25">
      <c r="B9" s="6" t="s">
        <v>167</v>
      </c>
      <c r="C9" s="1" t="str" cm="1">
        <f t="array" aca="1" ref="C9" ca="1">_xll.BDH($H9,"FUT_CUR_GEN_TICKER",TEXT(YEAR(C$4)*10000+MONTH(C$4)*100+DAY(C$4),"00000000"),TEXT(YEAR(C$4)*10000+MONTH(C$4)*100+DAY(C$4),"00000000"),"fill=p","days=a")&amp;" Index"</f>
        <v>WLU25 Index</v>
      </c>
      <c r="D9" s="1" t="str" cm="1">
        <f t="array" aca="1" ref="D9" ca="1">_xll.BDP(C9,"LAST_TRADEABLE_DT")</f>
        <v>9/12/2025</v>
      </c>
      <c r="E9" s="34" cm="1">
        <f t="array" aca="1" ref="E9" ca="1">_xll.BDH(C9,"PX_LAST",TEXT(YEAR(C$4)*10000+MONTH(C$4)*100+DAY(C$4),"00000000"),TEXT(YEAR(C$4)*10000+MONTH(C$4)*100+DAY(C$4),"00000000"),"Fill=P","Days=A")</f>
        <v>10.920999999999999</v>
      </c>
      <c r="F9" s="4">
        <f ca="1">IFERROR(_xll.BCOUNTPERIODS($C$4,D9,"CDR=BZ")*1,"")</f>
        <v>60</v>
      </c>
      <c r="H9" s="6" t="s">
        <v>167</v>
      </c>
      <c r="I9" s="1" t="str" cm="1">
        <f t="array" ref="I9">_xll.BDH($H9,"FUT_CUR_GEN_TICKER",TEXT(YEAR(I$4)*10000+MONTH(I$4)*100+DAY(I$4),"00000000"),TEXT(YEAR(I$4)*10000+MONTH(I$4)*100+DAY(I$4),"00000000"),"fill=p","days=a")&amp;" Index"</f>
        <v>WLG24 Index</v>
      </c>
      <c r="J9" s="1" t="str" cm="1">
        <f t="array" ref="J9">_xll.BDP(I9,"LAST_TRADEABLE_DT")</f>
        <v>2/14/2024</v>
      </c>
      <c r="K9" s="34" cm="1">
        <f t="array" ref="K9">_xll.BDH(I9,"PX_LAST",TEXT(YEAR(I$4)*10000+MONTH(I$4)*100+DAY(I$4),"00000000"),TEXT(YEAR(I$4)*10000+MONTH(I$4)*100+DAY(I$4),"00000000"),"Fill=P","Days=A")</f>
        <v>6.54</v>
      </c>
      <c r="L9" s="4">
        <f>IFERROR(_xll.BCOUNTPERIODS($I$4,J9,"CDR=BZ")*1,"")</f>
        <v>44</v>
      </c>
      <c r="N9" s="6" t="s">
        <v>167</v>
      </c>
      <c r="O9" s="1" t="str" cm="1">
        <f t="array" ref="O9">_xll.BDH($N9,"FUT_CUR_GEN_TICKER",TEXT(YEAR(O$4)*10000+MONTH(O$4)*100+DAY(O$4),"00000000"),TEXT(YEAR(O$4)*10000+MONTH(O$4)*100+DAY(O$4),"00000000"),"fill=p","days=a")&amp;" Index"</f>
        <v>WLQ23 Index</v>
      </c>
      <c r="P9" s="1" t="str" cm="1">
        <f t="array" ref="P9">_xll.BDP(O9,"LAST_TRADEABLE_DT")</f>
        <v>8/14/2023</v>
      </c>
      <c r="Q9" s="34" cm="1">
        <f t="array" ref="Q9">_xll.BDH(O9,"PX_LAST",TEXT(YEAR(O$4)*10000+MONTH(O$4)*100+DAY(O$4),"00000000"),TEXT(YEAR(O$4)*10000+MONTH(O$4)*100+DAY(O$4),"00000000"),"Fill=P","Days=A")</f>
        <v>10.6</v>
      </c>
      <c r="R9" s="4">
        <f>IFERROR(_xll.BCOUNTPERIODS($O$4,P9,"CDR=BZ")*1,"")</f>
        <v>47</v>
      </c>
    </row>
    <row r="10" spans="2:18" x14ac:dyDescent="0.25">
      <c r="B10" s="6" t="s">
        <v>168</v>
      </c>
      <c r="C10" s="1" t="str" cm="1">
        <f t="array" aca="1" ref="C10" ca="1">_xll.BDH($H10,"FUT_CUR_GEN_TICKER",TEXT(YEAR(C$4)*10000+MONTH(C$4)*100+DAY(C$4),"00000000"),TEXT(YEAR(C$4)*10000+MONTH(C$4)*100+DAY(C$4),"00000000"),"fill=p","days=a")&amp;" Index"</f>
        <v>WLV25 Index</v>
      </c>
      <c r="D10" s="1" t="str" cm="1">
        <f t="array" aca="1" ref="D10" ca="1">_xll.BDP(C10,"LAST_TRADEABLE_DT")</f>
        <v>10/14/2025</v>
      </c>
      <c r="E10" s="34" cm="1">
        <f t="array" aca="1" ref="E10" ca="1">_xll.BDH(C10,"PX_LAST",TEXT(YEAR(C$4)*10000+MONTH(C$4)*100+DAY(C$4),"00000000"),TEXT(YEAR(C$4)*10000+MONTH(C$4)*100+DAY(C$4),"00000000"),"Fill=P","Days=A")</f>
        <v>10.714</v>
      </c>
      <c r="F10" s="4">
        <f ca="1">IFERROR(_xll.BCOUNTPERIODS($C$4,D10,"CDR=BZ")*1,"")</f>
        <v>82</v>
      </c>
      <c r="H10" s="6" t="s">
        <v>168</v>
      </c>
      <c r="I10" s="1" t="str" cm="1">
        <f t="array" ref="I10">_xll.BDH($H10,"FUT_CUR_GEN_TICKER",TEXT(YEAR(I$4)*10000+MONTH(I$4)*100+DAY(I$4),"00000000"),TEXT(YEAR(I$4)*10000+MONTH(I$4)*100+DAY(I$4),"00000000"),"fill=p","days=a")&amp;" Index"</f>
        <v>WLH24 Index</v>
      </c>
      <c r="J10" s="1" t="str" cm="1">
        <f t="array" ref="J10">_xll.BDP(I10,"LAST_TRADEABLE_DT")</f>
        <v>3/14/2024</v>
      </c>
      <c r="K10" s="34" cm="1">
        <f t="array" ref="K10">_xll.BDH(I10,"PX_LAST",TEXT(YEAR(I$4)*10000+MONTH(I$4)*100+DAY(I$4),"00000000"),TEXT(YEAR(I$4)*10000+MONTH(I$4)*100+DAY(I$4),"00000000"),"Fill=P","Days=A")</f>
        <v>6.13</v>
      </c>
      <c r="L10" s="4">
        <f>IFERROR(_xll.BCOUNTPERIODS($I$4,J10,"CDR=BZ")*1,"")</f>
        <v>65</v>
      </c>
      <c r="N10" s="6" t="s">
        <v>168</v>
      </c>
      <c r="O10" s="1" t="str" cm="1">
        <f t="array" ref="O10">_xll.BDH($N10,"FUT_CUR_GEN_TICKER",TEXT(YEAR(O$4)*10000+MONTH(O$4)*100+DAY(O$4),"00000000"),TEXT(YEAR(O$4)*10000+MONTH(O$4)*100+DAY(O$4),"00000000"),"fill=p","days=a")&amp;" Index"</f>
        <v>WLU23 Index</v>
      </c>
      <c r="P10" s="1" t="str" cm="1">
        <f t="array" ref="P10">_xll.BDP(O10,"LAST_TRADEABLE_DT")</f>
        <v>9/14/2023</v>
      </c>
      <c r="Q10" s="34" t="str" cm="1">
        <f t="array" ref="Q10">_xll.BDH(O10,"PX_LAST",TEXT(YEAR(O$4)*10000+MONTH(O$4)*100+DAY(O$4),"00000000"),TEXT(YEAR(O$4)*10000+MONTH(O$4)*100+DAY(O$4),"00000000"),"Fill=P","Days=A")</f>
        <v>#N/A N/A</v>
      </c>
      <c r="R10" s="4">
        <f>IFERROR(_xll.BCOUNTPERIODS($O$4,P10,"CDR=BZ")*1,"")</f>
        <v>69</v>
      </c>
    </row>
    <row r="11" spans="2:18" x14ac:dyDescent="0.25">
      <c r="B11" s="6" t="s">
        <v>169</v>
      </c>
      <c r="C11" s="1" t="str" cm="1">
        <f t="array" aca="1" ref="C11" ca="1">_xll.BDH($H11,"FUT_CUR_GEN_TICKER",TEXT(YEAR(C$4)*10000+MONTH(C$4)*100+DAY(C$4),"00000000"),TEXT(YEAR(C$4)*10000+MONTH(C$4)*100+DAY(C$4),"00000000"),"fill=p","days=a")&amp;" Index"</f>
        <v>WLX25 Index</v>
      </c>
      <c r="D11" s="1" t="str" cm="1">
        <f t="array" aca="1" ref="D11" ca="1">_xll.BDP(C11,"LAST_TRADEABLE_DT")</f>
        <v>11/14/2025</v>
      </c>
      <c r="E11" s="34" cm="1">
        <f t="array" aca="1" ref="E11" ca="1">_xll.BDH(C11,"PX_LAST",TEXT(YEAR(C$4)*10000+MONTH(C$4)*100+DAY(C$4),"00000000"),TEXT(YEAR(C$4)*10000+MONTH(C$4)*100+DAY(C$4),"00000000"),"Fill=P","Days=A")</f>
        <v>10.518000000000001</v>
      </c>
      <c r="F11" s="4">
        <f ca="1">IFERROR(_xll.BCOUNTPERIODS($C$4,D11,"CDR=BZ")*1,"")</f>
        <v>105</v>
      </c>
      <c r="H11" s="6" t="s">
        <v>169</v>
      </c>
      <c r="I11" s="1" t="str" cm="1">
        <f t="array" ref="I11">_xll.BDH($H11,"FUT_CUR_GEN_TICKER",TEXT(YEAR(I$4)*10000+MONTH(I$4)*100+DAY(I$4),"00000000"),TEXT(YEAR(I$4)*10000+MONTH(I$4)*100+DAY(I$4),"00000000"),"fill=p","days=a")&amp;" Index"</f>
        <v>WLJ24 Index</v>
      </c>
      <c r="J11" s="1" t="str" cm="1">
        <f t="array" ref="J11">_xll.BDP(I11,"LAST_TRADEABLE_DT")</f>
        <v>4/12/2024</v>
      </c>
      <c r="K11" s="34" cm="1">
        <f t="array" ref="K11">_xll.BDH(I11,"PX_LAST",TEXT(YEAR(I$4)*10000+MONTH(I$4)*100+DAY(I$4),"00000000"),TEXT(YEAR(I$4)*10000+MONTH(I$4)*100+DAY(I$4),"00000000"),"Fill=P","Days=A")</f>
        <v>6.38</v>
      </c>
      <c r="L11" s="4">
        <f>IFERROR(_xll.BCOUNTPERIODS($I$4,J11,"CDR=BZ")*1,"")</f>
        <v>85</v>
      </c>
      <c r="N11" s="6" t="s">
        <v>169</v>
      </c>
      <c r="O11" s="1" t="str" cm="1">
        <f t="array" ref="O11">_xll.BDH($N11,"FUT_CUR_GEN_TICKER",TEXT(YEAR(O$4)*10000+MONTH(O$4)*100+DAY(O$4),"00000000"),TEXT(YEAR(O$4)*10000+MONTH(O$4)*100+DAY(O$4),"00000000"),"fill=p","days=a")&amp;" Index"</f>
        <v>WLV23 Index</v>
      </c>
      <c r="P11" s="1" t="str" cm="1">
        <f t="array" ref="P11">_xll.BDP(O11,"LAST_TRADEABLE_DT")</f>
        <v>10/13/2023</v>
      </c>
      <c r="Q11" s="34" t="str" cm="1">
        <f t="array" ref="Q11">_xll.BDH(O11,"PX_LAST",TEXT(YEAR(O$4)*10000+MONTH(O$4)*100+DAY(O$4),"00000000"),TEXT(YEAR(O$4)*10000+MONTH(O$4)*100+DAY(O$4),"00000000"),"Fill=P","Days=A")</f>
        <v>#N/A N/A</v>
      </c>
      <c r="R11" s="4">
        <f>IFERROR(_xll.BCOUNTPERIODS($O$4,P11,"CDR=BZ")*1,"")</f>
        <v>89</v>
      </c>
    </row>
    <row r="12" spans="2:18" x14ac:dyDescent="0.25">
      <c r="B12" s="6" t="s">
        <v>170</v>
      </c>
      <c r="C12" s="1" t="str" cm="1">
        <f t="array" aca="1" ref="C12" ca="1">_xll.BDH($H12,"FUT_CUR_GEN_TICKER",TEXT(YEAR(C$4)*10000+MONTH(C$4)*100+DAY(C$4),"00000000"),TEXT(YEAR(C$4)*10000+MONTH(C$4)*100+DAY(C$4),"00000000"),"fill=p","days=a")&amp;" Index"</f>
        <v>WLZ25 Index</v>
      </c>
      <c r="D12" s="1" t="str" cm="1">
        <f t="array" aca="1" ref="D12" ca="1">_xll.BDP(C12,"LAST_TRADEABLE_DT")</f>
        <v>12/12/2025</v>
      </c>
      <c r="E12" s="34" cm="1">
        <f t="array" aca="1" ref="E12" ca="1">_xll.BDH(C12,"PX_LAST",TEXT(YEAR(C$4)*10000+MONTH(C$4)*100+DAY(C$4),"00000000"),TEXT(YEAR(C$4)*10000+MONTH(C$4)*100+DAY(C$4),"00000000"),"Fill=P","Days=A")</f>
        <v>10.430999999999999</v>
      </c>
      <c r="F12" s="4">
        <f ca="1">IFERROR(_xll.BCOUNTPERIODS($C$4,D12,"CDR=BZ")*1,"")</f>
        <v>124</v>
      </c>
      <c r="H12" s="6" t="s">
        <v>170</v>
      </c>
      <c r="I12" s="1" t="str" cm="1">
        <f t="array" ref="I12">_xll.BDH($H12,"FUT_CUR_GEN_TICKER",TEXT(YEAR(I$4)*10000+MONTH(I$4)*100+DAY(I$4),"00000000"),TEXT(YEAR(I$4)*10000+MONTH(I$4)*100+DAY(I$4),"00000000"),"fill=p","days=a")&amp;" Index"</f>
        <v>WLK24 Index</v>
      </c>
      <c r="J12" s="1" t="str" cm="1">
        <f t="array" ref="J12">_xll.BDP(I12,"LAST_TRADEABLE_DT")</f>
        <v>5/14/2024</v>
      </c>
      <c r="K12" s="34" cm="1">
        <f t="array" ref="K12">_xll.BDH(I12,"PX_LAST",TEXT(YEAR(I$4)*10000+MONTH(I$4)*100+DAY(I$4),"00000000"),TEXT(YEAR(I$4)*10000+MONTH(I$4)*100+DAY(I$4),"00000000"),"Fill=P","Days=A")</f>
        <v>6.47</v>
      </c>
      <c r="L12" s="4">
        <f>IFERROR(_xll.BCOUNTPERIODS($I$4,J12,"CDR=BZ")*1,"")</f>
        <v>106</v>
      </c>
      <c r="N12" s="6" t="s">
        <v>170</v>
      </c>
      <c r="O12" s="1" t="str" cm="1">
        <f t="array" ref="O12">_xll.BDH($N12,"FUT_CUR_GEN_TICKER",TEXT(YEAR(O$4)*10000+MONTH(O$4)*100+DAY(O$4),"00000000"),TEXT(YEAR(O$4)*10000+MONTH(O$4)*100+DAY(O$4),"00000000"),"fill=p","days=a")&amp;" Index"</f>
        <v>WLX23 Index</v>
      </c>
      <c r="P12" s="1" t="str" cm="1">
        <f t="array" ref="P12">_xll.BDP(O12,"LAST_TRADEABLE_DT")</f>
        <v>11/14/2023</v>
      </c>
      <c r="Q12" s="34" t="str" cm="1">
        <f t="array" ref="Q12">_xll.BDH(O12,"PX_LAST",TEXT(YEAR(O$4)*10000+MONTH(O$4)*100+DAY(O$4),"00000000"),TEXT(YEAR(O$4)*10000+MONTH(O$4)*100+DAY(O$4),"00000000"),"Fill=P","Days=A")</f>
        <v>#N/A N/A</v>
      </c>
      <c r="R12" s="4">
        <f>IFERROR(_xll.BCOUNTPERIODS($O$4,P12,"CDR=BZ")*1,"")</f>
        <v>110</v>
      </c>
    </row>
    <row r="13" spans="2:18" x14ac:dyDescent="0.25">
      <c r="B13" s="6" t="s">
        <v>171</v>
      </c>
      <c r="C13" s="1" t="str" cm="1">
        <f t="array" aca="1" ref="C13" ca="1">_xll.BDH($H13,"FUT_CUR_GEN_TICKER",TEXT(YEAR(C$4)*10000+MONTH(C$4)*100+DAY(C$4),"00000000"),TEXT(YEAR(C$4)*10000+MONTH(C$4)*100+DAY(C$4),"00000000"),"fill=p","days=a")&amp;" Index"</f>
        <v>WLF26 Index</v>
      </c>
      <c r="D13" s="1" t="str" cm="1">
        <f t="array" aca="1" ref="D13" ca="1">_xll.BDP(C13,"LAST_TRADEABLE_DT")</f>
        <v>1/14/2026</v>
      </c>
      <c r="E13" s="34" cm="1">
        <f t="array" aca="1" ref="E13" ca="1">_xll.BDH(C13,"PX_LAST",TEXT(YEAR(C$4)*10000+MONTH(C$4)*100+DAY(C$4),"00000000"),TEXT(YEAR(C$4)*10000+MONTH(C$4)*100+DAY(C$4),"00000000"),"Fill=P","Days=A")</f>
        <v>10.3</v>
      </c>
      <c r="F13" s="4">
        <f ca="1">IFERROR(_xll.BCOUNTPERIODS($C$4,D13,"CDR=BZ")*1,"")</f>
        <v>145</v>
      </c>
      <c r="H13" s="6" t="s">
        <v>171</v>
      </c>
      <c r="I13" s="1" t="str" cm="1">
        <f t="array" ref="I13">_xll.BDH($H13,"FUT_CUR_GEN_TICKER",TEXT(YEAR(I$4)*10000+MONTH(I$4)*100+DAY(I$4),"00000000"),TEXT(YEAR(I$4)*10000+MONTH(I$4)*100+DAY(I$4),"00000000"),"fill=p","days=a")&amp;" Index"</f>
        <v>WLM24 Index</v>
      </c>
      <c r="J13" s="1" t="str" cm="1">
        <f t="array" ref="J13">_xll.BDP(I13,"LAST_TRADEABLE_DT")</f>
        <v>6/14/2024</v>
      </c>
      <c r="K13" s="34" t="str" cm="1">
        <f t="array" ref="K13">_xll.BDH(I13,"PX_LAST",TEXT(YEAR(I$4)*10000+MONTH(I$4)*100+DAY(I$4),"00000000"),TEXT(YEAR(I$4)*10000+MONTH(I$4)*100+DAY(I$4),"00000000"),"Fill=P","Days=A")</f>
        <v>#N/A N/A</v>
      </c>
      <c r="L13" s="4">
        <f>IFERROR(_xll.BCOUNTPERIODS($I$4,J13,"CDR=BZ")*1,"")</f>
        <v>128</v>
      </c>
      <c r="N13" s="6" t="s">
        <v>171</v>
      </c>
      <c r="O13" s="1" t="str" cm="1">
        <f t="array" ref="O13">_xll.BDH($N13,"FUT_CUR_GEN_TICKER",TEXT(YEAR(O$4)*10000+MONTH(O$4)*100+DAY(O$4),"00000000"),TEXT(YEAR(O$4)*10000+MONTH(O$4)*100+DAY(O$4),"00000000"),"fill=p","days=a")&amp;" Index"</f>
        <v>WLZ23 Index</v>
      </c>
      <c r="P13" s="1" t="str" cm="1">
        <f t="array" ref="P13">_xll.BDP(O13,"LAST_TRADEABLE_DT")</f>
        <v>12/14/2023</v>
      </c>
      <c r="Q13" s="34" t="str" cm="1">
        <f t="array" ref="Q13">_xll.BDH(O13,"PX_LAST",TEXT(YEAR(O$4)*10000+MONTH(O$4)*100+DAY(O$4),"00000000"),TEXT(YEAR(O$4)*10000+MONTH(O$4)*100+DAY(O$4),"00000000"),"Fill=P","Days=A")</f>
        <v>#N/A N/A</v>
      </c>
      <c r="R13" s="4">
        <f>IFERROR(_xll.BCOUNTPERIODS($O$4,P13,"CDR=BZ")*1,"")</f>
        <v>131</v>
      </c>
    </row>
    <row r="14" spans="2:18" x14ac:dyDescent="0.25">
      <c r="B14" s="6" t="s">
        <v>172</v>
      </c>
      <c r="C14" s="1" t="str" cm="1">
        <f t="array" aca="1" ref="C14" ca="1">_xll.BDH($H14,"FUT_CUR_GEN_TICKER",TEXT(YEAR(C$4)*10000+MONTH(C$4)*100+DAY(C$4),"00000000"),TEXT(YEAR(C$4)*10000+MONTH(C$4)*100+DAY(C$4),"00000000"),"fill=p","days=a")&amp;" Index"</f>
        <v>WLQ26 Index</v>
      </c>
      <c r="D14" s="1" t="str" cm="1">
        <f t="array" aca="1" ref="D14" ca="1">_xll.BDP(C14,"LAST_TRADEABLE_DT")</f>
        <v>8/14/2026</v>
      </c>
      <c r="E14" s="34" cm="1">
        <f t="array" aca="1" ref="E14" ca="1">_xll.BDH(C14,"PX_LAST",TEXT(YEAR(C$4)*10000+MONTH(C$4)*100+DAY(C$4),"00000000"),TEXT(YEAR(C$4)*10000+MONTH(C$4)*100+DAY(C$4),"00000000"),"Fill=P","Days=A")</f>
        <v>9.86</v>
      </c>
      <c r="F14" s="4">
        <f ca="1">IFERROR(_xll.BCOUNTPERIODS($C$4,D14,"CDR=BZ")*1,"")</f>
        <v>291</v>
      </c>
      <c r="H14" s="6" t="s">
        <v>172</v>
      </c>
      <c r="I14" s="1" t="str" cm="1">
        <f t="array" ref="I14">_xll.BDH($H14,"FUT_CUR_GEN_TICKER",TEXT(YEAR(I$4)*10000+MONTH(I$4)*100+DAY(I$4),"00000000"),TEXT(YEAR(I$4)*10000+MONTH(I$4)*100+DAY(I$4),"00000000"),"fill=p","days=a")&amp;" Index"</f>
        <v>WLN24 Index</v>
      </c>
      <c r="J14" s="1" t="str" cm="1">
        <f t="array" ref="J14">_xll.BDP(I14,"LAST_TRADEABLE_DT")</f>
        <v>7/12/2024</v>
      </c>
      <c r="K14" s="34" t="str" cm="1">
        <f t="array" ref="K14">_xll.BDH(I14,"PX_LAST",TEXT(YEAR(I$4)*10000+MONTH(I$4)*100+DAY(I$4),"00000000"),TEXT(YEAR(I$4)*10000+MONTH(I$4)*100+DAY(I$4),"00000000"),"Fill=P","Days=A")</f>
        <v>#N/A N/A</v>
      </c>
      <c r="L14" s="4">
        <f>IFERROR(_xll.BCOUNTPERIODS($I$4,J14,"CDR=BZ")*1,"")</f>
        <v>148</v>
      </c>
      <c r="N14" s="6" t="s">
        <v>172</v>
      </c>
      <c r="O14" s="1" t="str" cm="1">
        <f t="array" ref="O14">_xll.BDH($N14,"FUT_CUR_GEN_TICKER",TEXT(YEAR(O$4)*10000+MONTH(O$4)*100+DAY(O$4),"00000000"),TEXT(YEAR(O$4)*10000+MONTH(O$4)*100+DAY(O$4),"00000000"),"fill=p","days=a")&amp;" Index"</f>
        <v>WLF24 Index</v>
      </c>
      <c r="P14" s="1" t="str" cm="1">
        <f t="array" ref="P14">_xll.BDP(O14,"LAST_TRADEABLE_DT")</f>
        <v>1/12/2024</v>
      </c>
      <c r="Q14" s="34" cm="1">
        <f t="array" ref="Q14">_xll.BDH(O14,"PX_LAST",TEXT(YEAR(O$4)*10000+MONTH(O$4)*100+DAY(O$4),"00000000"),TEXT(YEAR(O$4)*10000+MONTH(O$4)*100+DAY(O$4),"00000000"),"Fill=P","Days=A")</f>
        <v>9.14</v>
      </c>
      <c r="R14" s="4">
        <f>IFERROR(_xll.BCOUNTPERIODS($O$4,P14,"CDR=BZ")*1,"")</f>
        <v>150</v>
      </c>
    </row>
    <row r="15" spans="2:18" x14ac:dyDescent="0.25">
      <c r="B15" s="6" t="s">
        <v>173</v>
      </c>
      <c r="C15" s="1" t="str" cm="1">
        <f t="array" aca="1" ref="C15" ca="1">_xll.BDH($H15,"FUT_CUR_GEN_TICKER",TEXT(YEAR(C$4)*10000+MONTH(C$4)*100+DAY(C$4),"00000000"),TEXT(YEAR(C$4)*10000+MONTH(C$4)*100+DAY(C$4),"00000000"),"fill=p","days=a")&amp;" Index"</f>
        <v>WLF27 Index</v>
      </c>
      <c r="D15" s="1" t="str" cm="1">
        <f t="array" aca="1" ref="D15" ca="1">_xll.BDP(C15,"LAST_TRADEABLE_DT")</f>
        <v>1/14/2027</v>
      </c>
      <c r="E15" s="34" cm="1">
        <f t="array" aca="1" ref="E15" ca="1">_xll.BDH(C15,"PX_LAST",TEXT(YEAR(C$4)*10000+MONTH(C$4)*100+DAY(C$4),"00000000"),TEXT(YEAR(C$4)*10000+MONTH(C$4)*100+DAY(C$4),"00000000"),"Fill=P","Days=A")</f>
        <v>9.3350000000000009</v>
      </c>
      <c r="F15" s="4">
        <f ca="1">IFERROR(_xll.BCOUNTPERIODS($C$4,D15,"CDR=BZ")*1,"")</f>
        <v>394</v>
      </c>
      <c r="H15" s="6" t="s">
        <v>173</v>
      </c>
      <c r="I15" s="1" t="str" cm="1">
        <f t="array" ref="I15">_xll.BDH($H15,"FUT_CUR_GEN_TICKER",TEXT(YEAR(I$4)*10000+MONTH(I$4)*100+DAY(I$4),"00000000"),TEXT(YEAR(I$4)*10000+MONTH(I$4)*100+DAY(I$4),"00000000"),"fill=p","days=a")&amp;" Index"</f>
        <v>WLQ24 Index</v>
      </c>
      <c r="J15" s="1" t="str" cm="1">
        <f t="array" ref="J15">_xll.BDP(I15,"LAST_TRADEABLE_DT")</f>
        <v>8/14/2024</v>
      </c>
      <c r="K15" s="34" cm="1">
        <f t="array" ref="K15">_xll.BDH(I15,"PX_LAST",TEXT(YEAR(I$4)*10000+MONTH(I$4)*100+DAY(I$4),"00000000"),TEXT(YEAR(I$4)*10000+MONTH(I$4)*100+DAY(I$4),"00000000"),"Fill=P","Days=A")</f>
        <v>6.72</v>
      </c>
      <c r="L15" s="4">
        <f>IFERROR(_xll.BCOUNTPERIODS($I$4,J15,"CDR=BZ")*1,"")</f>
        <v>171</v>
      </c>
      <c r="N15" s="6" t="s">
        <v>173</v>
      </c>
      <c r="O15" s="1" t="str" cm="1">
        <f t="array" ref="O15">_xll.BDH($N15,"FUT_CUR_GEN_TICKER",TEXT(YEAR(O$4)*10000+MONTH(O$4)*100+DAY(O$4),"00000000"),TEXT(YEAR(O$4)*10000+MONTH(O$4)*100+DAY(O$4),"00000000"),"fill=p","days=a")&amp;" Index"</f>
        <v>WLG24 Index</v>
      </c>
      <c r="P15" s="1" t="str" cm="1">
        <f t="array" ref="P15">_xll.BDP(O15,"LAST_TRADEABLE_DT")</f>
        <v>2/14/2024</v>
      </c>
      <c r="Q15" s="34" t="str" cm="1">
        <f t="array" ref="Q15">_xll.BDH(O15,"PX_LAST",TEXT(YEAR(O$4)*10000+MONTH(O$4)*100+DAY(O$4),"00000000"),TEXT(YEAR(O$4)*10000+MONTH(O$4)*100+DAY(O$4),"00000000"),"Fill=P","Days=A")</f>
        <v>#N/A N/A</v>
      </c>
      <c r="R15" s="4">
        <f>IFERROR(_xll.BCOUNTPERIODS($O$4,P15,"CDR=BZ")*1,"")</f>
        <v>171</v>
      </c>
    </row>
    <row r="16" spans="2:18" x14ac:dyDescent="0.25">
      <c r="B16" s="6" t="s">
        <v>174</v>
      </c>
      <c r="C16" s="1" t="str" cm="1">
        <f t="array" aca="1" ref="C16" ca="1">_xll.BDH($H16,"FUT_CUR_GEN_TICKER",TEXT(YEAR(C$4)*10000+MONTH(C$4)*100+DAY(C$4),"00000000"),TEXT(YEAR(C$4)*10000+MONTH(C$4)*100+DAY(C$4),"00000000"),"fill=p","days=a")&amp;" Index"</f>
        <v>WLK27 Index</v>
      </c>
      <c r="D16" s="1" t="str" cm="1">
        <f t="array" aca="1" ref="D16" ca="1">_xll.BDP(C16,"LAST_TRADEABLE_DT")</f>
        <v>5/14/2027</v>
      </c>
      <c r="E16" s="34" cm="1">
        <f t="array" aca="1" ref="E16" ca="1">_xll.BDH(C16,"PX_LAST",TEXT(YEAR(C$4)*10000+MONTH(C$4)*100+DAY(C$4),"00000000"),TEXT(YEAR(C$4)*10000+MONTH(C$4)*100+DAY(C$4),"00000000"),"Fill=P","Days=A")</f>
        <v>8.77</v>
      </c>
      <c r="F16" s="4">
        <f ca="1">IFERROR(_xll.BCOUNTPERIODS($C$4,D16,"CDR=BZ")*1,"")</f>
        <v>476</v>
      </c>
      <c r="H16" s="6" t="s">
        <v>174</v>
      </c>
      <c r="I16" s="1" t="str" cm="1">
        <f t="array" ref="I16">_xll.BDH($H16,"FUT_CUR_GEN_TICKER",TEXT(YEAR(I$4)*10000+MONTH(I$4)*100+DAY(I$4),"00000000"),TEXT(YEAR(I$4)*10000+MONTH(I$4)*100+DAY(I$4),"00000000"),"fill=p","days=a")&amp;" Index"</f>
        <v>WLU24 Index</v>
      </c>
      <c r="J16" s="1" t="str" cm="1">
        <f t="array" ref="J16">_xll.BDP(I16,"LAST_TRADEABLE_DT")</f>
        <v>9/13/2024</v>
      </c>
      <c r="K16" s="34" t="str" cm="1">
        <f t="array" ref="K16">_xll.BDH(I16,"PX_LAST",TEXT(YEAR(I$4)*10000+MONTH(I$4)*100+DAY(I$4),"00000000"),TEXT(YEAR(I$4)*10000+MONTH(I$4)*100+DAY(I$4),"00000000"),"Fill=P","Days=A")</f>
        <v>#N/A N/A</v>
      </c>
      <c r="L16" s="4">
        <f>IFERROR(_xll.BCOUNTPERIODS($I$4,J16,"CDR=BZ")*1,"")</f>
        <v>193</v>
      </c>
      <c r="N16" s="6" t="s">
        <v>174</v>
      </c>
      <c r="O16" s="1" t="str" cm="1">
        <f t="array" ref="O16">_xll.BDH($N16,"FUT_CUR_GEN_TICKER",TEXT(YEAR(O$4)*10000+MONTH(O$4)*100+DAY(O$4),"00000000"),TEXT(YEAR(O$4)*10000+MONTH(O$4)*100+DAY(O$4),"00000000"),"fill=p","days=a")&amp;" Index"</f>
        <v>WLH24 Index</v>
      </c>
      <c r="P16" s="1" t="str" cm="1">
        <f t="array" ref="P16">_xll.BDP(O16,"LAST_TRADEABLE_DT")</f>
        <v>3/14/2024</v>
      </c>
      <c r="Q16" s="34" t="str" cm="1">
        <f t="array" ref="Q16">_xll.BDH(O16,"PX_LAST",TEXT(YEAR(O$4)*10000+MONTH(O$4)*100+DAY(O$4),"00000000"),TEXT(YEAR(O$4)*10000+MONTH(O$4)*100+DAY(O$4),"00000000"),"Fill=P","Days=A")</f>
        <v>#N/A N/A</v>
      </c>
      <c r="R16" s="4">
        <f>IFERROR(_xll.BCOUNTPERIODS($O$4,P16,"CDR=BZ")*1,"")</f>
        <v>192</v>
      </c>
    </row>
    <row r="17" spans="2:18" x14ac:dyDescent="0.25">
      <c r="B17" s="6" t="s">
        <v>175</v>
      </c>
      <c r="C17" s="1" t="str" cm="1">
        <f t="array" aca="1" ref="C17" ca="1">_xll.BDH($H17,"FUT_CUR_GEN_TICKER",TEXT(YEAR(C$4)*10000+MONTH(C$4)*100+DAY(C$4),"00000000"),TEXT(YEAR(C$4)*10000+MONTH(C$4)*100+DAY(C$4),"00000000"),"fill=p","days=a")&amp;" Index"</f>
        <v>WLQ28 Index</v>
      </c>
      <c r="D17" s="1" t="str" cm="1">
        <f t="array" aca="1" ref="D17" ca="1">_xll.BDP(C17,"LAST_TRADEABLE_DT")</f>
        <v>8/14/2028</v>
      </c>
      <c r="E17" s="34" cm="1">
        <f t="array" aca="1" ref="E17" ca="1">_xll.BDH(C17,"PX_LAST",TEXT(YEAR(C$4)*10000+MONTH(C$4)*100+DAY(C$4),"00000000"),TEXT(YEAR(C$4)*10000+MONTH(C$4)*100+DAY(C$4),"00000000"),"Fill=P","Days=A")</f>
        <v>7.9950000000000001</v>
      </c>
      <c r="F17" s="4">
        <f ca="1">IFERROR(_xll.BCOUNTPERIODS($C$4,D17,"CDR=BZ")*1,"")</f>
        <v>791</v>
      </c>
      <c r="H17" s="6" t="s">
        <v>175</v>
      </c>
      <c r="I17" s="1" t="str" cm="1">
        <f t="array" ref="I17">_xll.BDH($H17,"FUT_CUR_GEN_TICKER",TEXT(YEAR(I$4)*10000+MONTH(I$4)*100+DAY(I$4),"00000000"),TEXT(YEAR(I$4)*10000+MONTH(I$4)*100+DAY(I$4),"00000000"),"fill=p","days=a")&amp;" Index"</f>
        <v>WLV24 Index</v>
      </c>
      <c r="J17" s="1" t="str" cm="1">
        <f t="array" ref="J17">_xll.BDP(I17,"LAST_TRADEABLE_DT")</f>
        <v>10/14/2024</v>
      </c>
      <c r="K17" s="34" t="str" cm="1">
        <f t="array" ref="K17">_xll.BDH(I17,"PX_LAST",TEXT(YEAR(I$4)*10000+MONTH(I$4)*100+DAY(I$4),"00000000"),TEXT(YEAR(I$4)*10000+MONTH(I$4)*100+DAY(I$4),"00000000"),"Fill=P","Days=A")</f>
        <v>#N/A N/A</v>
      </c>
      <c r="L17" s="4">
        <f>IFERROR(_xll.BCOUNTPERIODS($I$4,J17,"CDR=BZ")*1,"")</f>
        <v>214</v>
      </c>
      <c r="N17" s="6" t="s">
        <v>175</v>
      </c>
      <c r="O17" s="1" t="str" cm="1">
        <f t="array" ref="O17">_xll.BDH($N17,"FUT_CUR_GEN_TICKER",TEXT(YEAR(O$4)*10000+MONTH(O$4)*100+DAY(O$4),"00000000"),TEXT(YEAR(O$4)*10000+MONTH(O$4)*100+DAY(O$4),"00000000"),"fill=p","days=a")&amp;" Index"</f>
        <v>WLJ24 Index</v>
      </c>
      <c r="P17" s="1" t="str" cm="1">
        <f t="array" ref="P17">_xll.BDP(O17,"LAST_TRADEABLE_DT")</f>
        <v>4/12/2024</v>
      </c>
      <c r="Q17" s="34" t="str" cm="1">
        <f t="array" ref="Q17">_xll.BDH(O17,"PX_LAST",TEXT(YEAR(O$4)*10000+MONTH(O$4)*100+DAY(O$4),"00000000"),TEXT(YEAR(O$4)*10000+MONTH(O$4)*100+DAY(O$4),"00000000"),"Fill=P","Days=A")</f>
        <v>#N/A N/A</v>
      </c>
      <c r="R17" s="4">
        <f>IFERROR(_xll.BCOUNTPERIODS($O$4,P17,"CDR=BZ")*1,"")</f>
        <v>212</v>
      </c>
    </row>
    <row r="18" spans="2:18" x14ac:dyDescent="0.25">
      <c r="B18" s="6" t="s">
        <v>176</v>
      </c>
      <c r="C18" s="1" t="str" cm="1">
        <f t="array" aca="1" ref="C18" ca="1">_xll.BDH($H18,"FUT_CUR_GEN_TICKER",TEXT(YEAR(C$4)*10000+MONTH(C$4)*100+DAY(C$4),"00000000"),TEXT(YEAR(C$4)*10000+MONTH(C$4)*100+DAY(C$4),"00000000"),"fill=p","days=a")&amp;" Index"</f>
        <v>WLK29 Index</v>
      </c>
      <c r="D18" s="1" t="str" cm="1">
        <f t="array" aca="1" ref="D18" ca="1">_xll.BDP(C18,"LAST_TRADEABLE_DT")</f>
        <v>5/14/2029</v>
      </c>
      <c r="E18" s="34" cm="1">
        <f t="array" aca="1" ref="E18" ca="1">_xll.BDH(C18,"PX_LAST",TEXT(YEAR(C$4)*10000+MONTH(C$4)*100+DAY(C$4),"00000000"),TEXT(YEAR(C$4)*10000+MONTH(C$4)*100+DAY(C$4),"00000000"),"Fill=P","Days=A")</f>
        <v>7.68</v>
      </c>
      <c r="F18" s="4">
        <f ca="1">IFERROR(_xll.BCOUNTPERIODS($C$4,D18,"CDR=BZ")*1,"")</f>
        <v>975</v>
      </c>
      <c r="H18" s="6" t="s">
        <v>176</v>
      </c>
      <c r="I18" s="1" t="str" cm="1">
        <f t="array" ref="I18">_xll.BDH($H18,"FUT_CUR_GEN_TICKER",TEXT(YEAR(I$4)*10000+MONTH(I$4)*100+DAY(I$4),"00000000"),TEXT(YEAR(I$4)*10000+MONTH(I$4)*100+DAY(I$4),"00000000"),"fill=p","days=a")&amp;" Index"</f>
        <v>WLX24 Index</v>
      </c>
      <c r="J18" s="1" t="str" cm="1">
        <f t="array" ref="J18">_xll.BDP(I18,"LAST_TRADEABLE_DT")</f>
        <v>11/14/2024</v>
      </c>
      <c r="K18" s="34" t="str" cm="1">
        <f t="array" ref="K18">_xll.BDH(I18,"PX_LAST",TEXT(YEAR(I$4)*10000+MONTH(I$4)*100+DAY(I$4),"00000000"),TEXT(YEAR(I$4)*10000+MONTH(I$4)*100+DAY(I$4),"00000000"),"Fill=P","Days=A")</f>
        <v>#N/A N/A</v>
      </c>
      <c r="L18" s="4">
        <f>IFERROR(_xll.BCOUNTPERIODS($I$4,J18,"CDR=BZ")*1,"")</f>
        <v>237</v>
      </c>
      <c r="N18" s="6" t="s">
        <v>176</v>
      </c>
      <c r="O18" s="1" t="str" cm="1">
        <f t="array" ref="O18">_xll.BDH($N18,"FUT_CUR_GEN_TICKER",TEXT(YEAR(O$4)*10000+MONTH(O$4)*100+DAY(O$4),"00000000"),TEXT(YEAR(O$4)*10000+MONTH(O$4)*100+DAY(O$4),"00000000"),"fill=p","days=a")&amp;" Index"</f>
        <v>WLK24 Index</v>
      </c>
      <c r="P18" s="1" t="str" cm="1">
        <f t="array" ref="P18">_xll.BDP(O18,"LAST_TRADEABLE_DT")</f>
        <v>5/14/2024</v>
      </c>
      <c r="Q18" s="34" t="str" cm="1">
        <f t="array" ref="Q18">_xll.BDH(O18,"PX_LAST",TEXT(YEAR(O$4)*10000+MONTH(O$4)*100+DAY(O$4),"00000000"),TEXT(YEAR(O$4)*10000+MONTH(O$4)*100+DAY(O$4),"00000000"),"Fill=P","Days=A")</f>
        <v>#N/A N/A</v>
      </c>
      <c r="R18" s="4">
        <f>IFERROR(_xll.BCOUNTPERIODS($O$4,P18,"CDR=BZ")*1,"")</f>
        <v>233</v>
      </c>
    </row>
    <row r="19" spans="2:18" x14ac:dyDescent="0.25">
      <c r="B19" s="6" t="s">
        <v>177</v>
      </c>
      <c r="C19" s="1" t="str" cm="1">
        <f t="array" aca="1" ref="C19" ca="1">_xll.BDH($H19,"FUT_CUR_GEN_TICKER",TEXT(YEAR(C$4)*10000+MONTH(C$4)*100+DAY(C$4),"00000000"),TEXT(YEAR(C$4)*10000+MONTH(C$4)*100+DAY(C$4),"00000000"),"fill=p","days=a")&amp;" Index"</f>
        <v>WLQ30 Index</v>
      </c>
      <c r="D19" s="1" t="str" cm="1">
        <f t="array" aca="1" ref="D19" ca="1">_xll.BDP(C19,"LAST_TRADEABLE_DT")</f>
        <v>8/14/2030</v>
      </c>
      <c r="E19" s="34" cm="1">
        <f t="array" aca="1" ref="E19" ca="1">_xll.BDH(C19,"PX_LAST",TEXT(YEAR(C$4)*10000+MONTH(C$4)*100+DAY(C$4),"00000000"),TEXT(YEAR(C$4)*10000+MONTH(C$4)*100+DAY(C$4),"00000000"),"Fill=P","Days=A")</f>
        <v>7.5449999999999999</v>
      </c>
      <c r="F19" s="4">
        <f ca="1">IFERROR(_xll.BCOUNTPERIODS($C$4,D19,"CDR=BZ")*1,"")</f>
        <v>1289</v>
      </c>
      <c r="H19" s="6" t="s">
        <v>177</v>
      </c>
      <c r="I19" s="1" t="str" cm="1">
        <f t="array" ref="I19">_xll.BDH($H19,"FUT_CUR_GEN_TICKER",TEXT(YEAR(I$4)*10000+MONTH(I$4)*100+DAY(I$4),"00000000"),TEXT(YEAR(I$4)*10000+MONTH(I$4)*100+DAY(I$4),"00000000"),"fill=p","days=a")&amp;" Index"</f>
        <v>WLZ24 Index</v>
      </c>
      <c r="J19" s="1" t="str" cm="1">
        <f t="array" ref="J19">_xll.BDP(I19,"LAST_TRADEABLE_DT")</f>
        <v>12/13/2024</v>
      </c>
      <c r="K19" s="34" t="str" cm="1">
        <f t="array" ref="K19">_xll.BDH(I19,"PX_LAST",TEXT(YEAR(I$4)*10000+MONTH(I$4)*100+DAY(I$4),"00000000"),TEXT(YEAR(I$4)*10000+MONTH(I$4)*100+DAY(I$4),"00000000"),"Fill=P","Days=A")</f>
        <v>#N/A N/A</v>
      </c>
      <c r="L19" s="4">
        <f>IFERROR(_xll.BCOUNTPERIODS($I$4,J19,"CDR=BZ")*1,"")</f>
        <v>256</v>
      </c>
      <c r="N19" s="6" t="s">
        <v>177</v>
      </c>
      <c r="O19" s="1" t="str" cm="1">
        <f t="array" ref="O19">_xll.BDH($N19,"FUT_CUR_GEN_TICKER",TEXT(YEAR(O$4)*10000+MONTH(O$4)*100+DAY(O$4),"00000000"),TEXT(YEAR(O$4)*10000+MONTH(O$4)*100+DAY(O$4),"00000000"),"fill=p","days=a")&amp;" Index"</f>
        <v>WLM24 Index</v>
      </c>
      <c r="P19" s="1" t="str" cm="1">
        <f t="array" ref="P19">_xll.BDP(O19,"LAST_TRADEABLE_DT")</f>
        <v>6/14/2024</v>
      </c>
      <c r="Q19" s="34" t="str" cm="1">
        <f t="array" ref="Q19">_xll.BDH(O19,"PX_LAST",TEXT(YEAR(O$4)*10000+MONTH(O$4)*100+DAY(O$4),"00000000"),TEXT(YEAR(O$4)*10000+MONTH(O$4)*100+DAY(O$4),"00000000"),"Fill=P","Days=A")</f>
        <v>#N/A N/A</v>
      </c>
      <c r="R19" s="4">
        <f>IFERROR(_xll.BCOUNTPERIODS($O$4,P19,"CDR=BZ")*1,"")</f>
        <v>255</v>
      </c>
    </row>
    <row r="20" spans="2:18" x14ac:dyDescent="0.25">
      <c r="B20" s="6" t="s">
        <v>178</v>
      </c>
      <c r="C20" s="1" t="str" cm="1">
        <f t="array" aca="1" ref="C20" ca="1">_xll.BDH($H20,"FUT_CUR_GEN_TICKER",TEXT(YEAR(C$4)*10000+MONTH(C$4)*100+DAY(C$4),"00000000"),TEXT(YEAR(C$4)*10000+MONTH(C$4)*100+DAY(C$4),"00000000"),"fill=p","days=a")&amp;" Index"</f>
        <v>WLQ32 Index</v>
      </c>
      <c r="D20" s="1" t="str" cm="1">
        <f t="array" aca="1" ref="D20" ca="1">_xll.BDP(C20,"LAST_TRADEABLE_DT")</f>
        <v>8/13/2032</v>
      </c>
      <c r="E20" s="34" cm="1">
        <f t="array" aca="1" ref="E20" ca="1">_xll.BDH(C20,"PX_LAST",TEXT(YEAR(C$4)*10000+MONTH(C$4)*100+DAY(C$4),"00000000"),TEXT(YEAR(C$4)*10000+MONTH(C$4)*100+DAY(C$4),"00000000"),"Fill=P","Days=A")</f>
        <v>7.4749999999999996</v>
      </c>
      <c r="F20" s="4">
        <f ca="1">IFERROR(_xll.BCOUNTPERIODS($C$4,D20,"CDR=BZ")*1,"")</f>
        <v>1793</v>
      </c>
      <c r="H20" s="6" t="s">
        <v>178</v>
      </c>
      <c r="I20" s="1" t="str" cm="1">
        <f t="array" ref="I20">_xll.BDH($H20,"FUT_CUR_GEN_TICKER",TEXT(YEAR(I$4)*10000+MONTH(I$4)*100+DAY(I$4),"00000000"),TEXT(YEAR(I$4)*10000+MONTH(I$4)*100+DAY(I$4),"00000000"),"fill=p","days=a")&amp;" Index"</f>
        <v>WLF25 Index</v>
      </c>
      <c r="J20" s="1" t="str" cm="1">
        <f t="array" ref="J20">_xll.BDP(I20,"LAST_TRADEABLE_DT")</f>
        <v>1/14/2025</v>
      </c>
      <c r="K20" s="34" cm="1">
        <f t="array" ref="K20">_xll.BDH(I20,"PX_LAST",TEXT(YEAR(I$4)*10000+MONTH(I$4)*100+DAY(I$4),"00000000"),TEXT(YEAR(I$4)*10000+MONTH(I$4)*100+DAY(I$4),"00000000"),"Fill=P","Days=A")</f>
        <v>5.83</v>
      </c>
      <c r="L20" s="4">
        <f>IFERROR(_xll.BCOUNTPERIODS($I$4,J20,"CDR=BZ")*1,"")</f>
        <v>276</v>
      </c>
      <c r="N20" s="6" t="s">
        <v>178</v>
      </c>
      <c r="O20" s="1" t="str" cm="1">
        <f t="array" ref="O20">_xll.BDH($N20,"FUT_CUR_GEN_TICKER",TEXT(YEAR(O$4)*10000+MONTH(O$4)*100+DAY(O$4),"00000000"),TEXT(YEAR(O$4)*10000+MONTH(O$4)*100+DAY(O$4),"00000000"),"fill=p","days=a")&amp;" Index"</f>
        <v>WLN24 Index</v>
      </c>
      <c r="P20" s="1" t="str" cm="1">
        <f t="array" ref="P20">_xll.BDP(O20,"LAST_TRADEABLE_DT")</f>
        <v>7/12/2024</v>
      </c>
      <c r="Q20" s="34" t="str" cm="1">
        <f t="array" ref="Q20">_xll.BDH(O20,"PX_LAST",TEXT(YEAR(O$4)*10000+MONTH(O$4)*100+DAY(O$4),"00000000"),TEXT(YEAR(O$4)*10000+MONTH(O$4)*100+DAY(O$4),"00000000"),"Fill=P","Days=A")</f>
        <v>#N/A N/A</v>
      </c>
      <c r="R20" s="4">
        <f>IFERROR(_xll.BCOUNTPERIODS($O$4,P20,"CDR=BZ")*1,"")</f>
        <v>275</v>
      </c>
    </row>
    <row r="21" spans="2:18" x14ac:dyDescent="0.25">
      <c r="B21" s="6" t="s">
        <v>179</v>
      </c>
      <c r="C21" s="1" t="str" cm="1">
        <f t="array" aca="1" ref="C21" ca="1">_xll.BDH($H21,"FUT_CUR_GEN_TICKER",TEXT(YEAR(C$4)*10000+MONTH(C$4)*100+DAY(C$4),"00000000"),TEXT(YEAR(C$4)*10000+MONTH(C$4)*100+DAY(C$4),"00000000"),"fill=p","days=a")&amp;" Index"</f>
        <v>WLK33 Index</v>
      </c>
      <c r="D21" s="1" t="str" cm="1">
        <f t="array" aca="1" ref="D21" ca="1">_xll.BDP(C21,"LAST_TRADEABLE_DT")</f>
        <v>5/13/2033</v>
      </c>
      <c r="E21" s="34" cm="1">
        <f t="array" aca="1" ref="E21" ca="1">_xll.BDH(C21,"PX_LAST",TEXT(YEAR(C$4)*10000+MONTH(C$4)*100+DAY(C$4),"00000000"),TEXT(YEAR(C$4)*10000+MONTH(C$4)*100+DAY(C$4),"00000000"),"Fill=P","Days=A")</f>
        <v>7.41</v>
      </c>
      <c r="F21" s="4">
        <f ca="1">IFERROR(_xll.BCOUNTPERIODS($C$4,D21,"CDR=BZ")*1,"")</f>
        <v>1980</v>
      </c>
      <c r="H21" s="6" t="s">
        <v>179</v>
      </c>
      <c r="I21" s="1" t="str" cm="1">
        <f t="array" ref="I21">_xll.BDH($H21,"FUT_CUR_GEN_TICKER",TEXT(YEAR(I$4)*10000+MONTH(I$4)*100+DAY(I$4),"00000000"),TEXT(YEAR(I$4)*10000+MONTH(I$4)*100+DAY(I$4),"00000000"),"fill=p","days=a")&amp;" Index"</f>
        <v>WLG25 Index</v>
      </c>
      <c r="J21" s="1" t="str" cm="1">
        <f t="array" ref="J21">_xll.BDP(I21,"LAST_TRADEABLE_DT")</f>
        <v>2/14/2025</v>
      </c>
      <c r="K21" s="34" t="str" cm="1">
        <f t="array" ref="K21">_xll.BDH(I21,"PX_LAST",TEXT(YEAR(I$4)*10000+MONTH(I$4)*100+DAY(I$4),"00000000"),TEXT(YEAR(I$4)*10000+MONTH(I$4)*100+DAY(I$4),"00000000"),"Fill=P","Days=A")</f>
        <v>#N/A N/A</v>
      </c>
      <c r="L21" s="4">
        <f>IFERROR(_xll.BCOUNTPERIODS($I$4,J21,"CDR=BZ")*1,"")</f>
        <v>299</v>
      </c>
      <c r="N21" s="6" t="s">
        <v>179</v>
      </c>
      <c r="O21" s="1" t="str" cm="1">
        <f t="array" ref="O21">_xll.BDH($N21,"FUT_CUR_GEN_TICKER",TEXT(YEAR(O$4)*10000+MONTH(O$4)*100+DAY(O$4),"00000000"),TEXT(YEAR(O$4)*10000+MONTH(O$4)*100+DAY(O$4),"00000000"),"fill=p","days=a")&amp;" Index"</f>
        <v>WLQ24 Index</v>
      </c>
      <c r="P21" s="1" t="str" cm="1">
        <f t="array" ref="P21">_xll.BDP(O21,"LAST_TRADEABLE_DT")</f>
        <v>8/14/2024</v>
      </c>
      <c r="Q21" s="34" cm="1">
        <f t="array" ref="Q21">_xll.BDH(O21,"PX_LAST",TEXT(YEAR(O$4)*10000+MONTH(O$4)*100+DAY(O$4),"00000000"),TEXT(YEAR(O$4)*10000+MONTH(O$4)*100+DAY(O$4),"00000000"),"Fill=P","Days=A")</f>
        <v>7.63</v>
      </c>
      <c r="R21" s="4">
        <f>IFERROR(_xll.BCOUNTPERIODS($O$4,P21,"CDR=BZ")*1,"")</f>
        <v>298</v>
      </c>
    </row>
    <row r="22" spans="2:18" x14ac:dyDescent="0.25">
      <c r="B22" s="6" t="s">
        <v>180</v>
      </c>
      <c r="C22" s="1" t="str" cm="1">
        <f t="array" aca="1" ref="C22" ca="1">_xll.BDH($H22,"FUT_CUR_GEN_TICKER",TEXT(YEAR(C$4)*10000+MONTH(C$4)*100+DAY(C$4),"00000000"),TEXT(YEAR(C$4)*10000+MONTH(C$4)*100+DAY(C$4),"00000000"),"fill=p","days=a")&amp;" Index"</f>
        <v>WLK35 Index</v>
      </c>
      <c r="D22" s="1" t="str" cm="1">
        <f t="array" aca="1" ref="D22" ca="1">_xll.BDP(C22,"LAST_TRADEABLE_DT")</f>
        <v>5/14/2035</v>
      </c>
      <c r="E22" s="34" cm="1">
        <f t="array" aca="1" ref="E22" ca="1">_xll.BDH(C22,"PX_LAST",TEXT(YEAR(C$4)*10000+MONTH(C$4)*100+DAY(C$4),"00000000"),TEXT(YEAR(C$4)*10000+MONTH(C$4)*100+DAY(C$4),"00000000"),"Fill=P","Days=A")</f>
        <v>7.2649999999999997</v>
      </c>
      <c r="F22" s="4">
        <f ca="1">IFERROR(_xll.BCOUNTPERIODS($C$4,D22,"CDR=BZ")*1,"")</f>
        <v>2479</v>
      </c>
      <c r="H22" s="6" t="s">
        <v>180</v>
      </c>
      <c r="I22" s="1" t="str" cm="1">
        <f t="array" ref="I22">_xll.BDH($H22,"FUT_CUR_GEN_TICKER",TEXT(YEAR(I$4)*10000+MONTH(I$4)*100+DAY(I$4),"00000000"),TEXT(YEAR(I$4)*10000+MONTH(I$4)*100+DAY(I$4),"00000000"),"fill=p","days=a")&amp;" Index"</f>
        <v>WLH25 Index</v>
      </c>
      <c r="J22" s="1" t="str" cm="1">
        <f t="array" ref="J22">_xll.BDP(I22,"LAST_TRADEABLE_DT")</f>
        <v>3/14/2025</v>
      </c>
      <c r="K22" s="34" t="str" cm="1">
        <f t="array" ref="K22">_xll.BDH(I22,"PX_LAST",TEXT(YEAR(I$4)*10000+MONTH(I$4)*100+DAY(I$4),"00000000"),TEXT(YEAR(I$4)*10000+MONTH(I$4)*100+DAY(I$4),"00000000"),"Fill=P","Days=A")</f>
        <v>#N/A N/A</v>
      </c>
      <c r="L22" s="4">
        <f>IFERROR(_xll.BCOUNTPERIODS($I$4,J22,"CDR=BZ")*1,"")</f>
        <v>317</v>
      </c>
      <c r="N22" s="6" t="s">
        <v>180</v>
      </c>
      <c r="O22" s="1" t="str" cm="1">
        <f t="array" ref="O22">_xll.BDH($N22,"FUT_CUR_GEN_TICKER",TEXT(YEAR(O$4)*10000+MONTH(O$4)*100+DAY(O$4),"00000000"),TEXT(YEAR(O$4)*10000+MONTH(O$4)*100+DAY(O$4),"00000000"),"fill=p","days=a")&amp;" Index"</f>
        <v>WLU24 Index</v>
      </c>
      <c r="P22" s="1" t="str" cm="1">
        <f t="array" ref="P22">_xll.BDP(O22,"LAST_TRADEABLE_DT")</f>
        <v>9/13/2024</v>
      </c>
      <c r="Q22" s="34" t="str" cm="1">
        <f t="array" ref="Q22">_xll.BDH(O22,"PX_LAST",TEXT(YEAR(O$4)*10000+MONTH(O$4)*100+DAY(O$4),"00000000"),TEXT(YEAR(O$4)*10000+MONTH(O$4)*100+DAY(O$4),"00000000"),"Fill=P","Days=A")</f>
        <v>#N/A N/A</v>
      </c>
      <c r="R22" s="4">
        <f>IFERROR(_xll.BCOUNTPERIODS($O$4,P22,"CDR=BZ")*1,"")</f>
        <v>320</v>
      </c>
    </row>
    <row r="23" spans="2:18" x14ac:dyDescent="0.25">
      <c r="B23" s="6" t="s">
        <v>181</v>
      </c>
      <c r="C23" s="1" t="str" cm="1">
        <f t="array" aca="1" ref="C23" ca="1">_xll.BDH($H23,"FUT_CUR_GEN_TICKER",TEXT(YEAR(C$4)*10000+MONTH(C$4)*100+DAY(C$4),"00000000"),TEXT(YEAR(C$4)*10000+MONTH(C$4)*100+DAY(C$4),"00000000"),"fill=p","days=a")&amp;" Index"</f>
        <v>WLQ40 Index</v>
      </c>
      <c r="D23" s="1" t="str" cm="1">
        <f t="array" aca="1" ref="D23" ca="1">_xll.BDP(C23,"LAST_TRADEABLE_DT")</f>
        <v>8/14/2040</v>
      </c>
      <c r="E23" s="34" cm="1">
        <f t="array" aca="1" ref="E23" ca="1">_xll.BDH(C23,"PX_LAST",TEXT(YEAR(C$4)*10000+MONTH(C$4)*100+DAY(C$4),"00000000"),TEXT(YEAR(C$4)*10000+MONTH(C$4)*100+DAY(C$4),"00000000"),"Fill=P","Days=A")</f>
        <v>7.1150000000000002</v>
      </c>
      <c r="F23" s="4">
        <f ca="1">IFERROR(_xll.BCOUNTPERIODS($C$4,D23,"CDR=BZ")*1,"")</f>
        <v>3798</v>
      </c>
      <c r="H23" s="6" t="s">
        <v>181</v>
      </c>
      <c r="I23" s="1" t="str" cm="1">
        <f t="array" ref="I23">_xll.BDH($H23,"FUT_CUR_GEN_TICKER",TEXT(YEAR(I$4)*10000+MONTH(I$4)*100+DAY(I$4),"00000000"),TEXT(YEAR(I$4)*10000+MONTH(I$4)*100+DAY(I$4),"00000000"),"fill=p","days=a")&amp;" Index"</f>
        <v>WLJ25 Index</v>
      </c>
      <c r="J23" s="1" t="str" cm="1">
        <f t="array" ref="J23">_xll.BDP(I23,"LAST_TRADEABLE_DT")</f>
        <v>4/14/2025</v>
      </c>
      <c r="K23" s="34" t="str" cm="1">
        <f t="array" ref="K23">_xll.BDH(I23,"PX_LAST",TEXT(YEAR(I$4)*10000+MONTH(I$4)*100+DAY(I$4),"00000000"),TEXT(YEAR(I$4)*10000+MONTH(I$4)*100+DAY(I$4),"00000000"),"Fill=P","Days=A")</f>
        <v>#N/A N/A</v>
      </c>
      <c r="L23" s="4">
        <f>IFERROR(_xll.BCOUNTPERIODS($I$4,J23,"CDR=BZ")*1,"")</f>
        <v>338</v>
      </c>
      <c r="N23" s="6" t="s">
        <v>181</v>
      </c>
      <c r="O23" s="1" t="str" cm="1">
        <f t="array" ref="O23">_xll.BDH($N23,"FUT_CUR_GEN_TICKER",TEXT(YEAR(O$4)*10000+MONTH(O$4)*100+DAY(O$4),"00000000"),TEXT(YEAR(O$4)*10000+MONTH(O$4)*100+DAY(O$4),"00000000"),"fill=p","days=a")&amp;" Index"</f>
        <v>WLV24 Index</v>
      </c>
      <c r="P23" s="1" t="str" cm="1">
        <f t="array" ref="P23">_xll.BDP(O23,"LAST_TRADEABLE_DT")</f>
        <v>10/14/2024</v>
      </c>
      <c r="Q23" s="34" t="str" cm="1">
        <f t="array" ref="Q23">_xll.BDH(O23,"PX_LAST",TEXT(YEAR(O$4)*10000+MONTH(O$4)*100+DAY(O$4),"00000000"),TEXT(YEAR(O$4)*10000+MONTH(O$4)*100+DAY(O$4),"00000000"),"Fill=P","Days=A")</f>
        <v>#N/A N/A</v>
      </c>
      <c r="R23" s="4">
        <f>IFERROR(_xll.BCOUNTPERIODS($O$4,P23,"CDR=BZ")*1,"")</f>
        <v>341</v>
      </c>
    </row>
    <row r="24" spans="2:18" x14ac:dyDescent="0.25">
      <c r="B24" s="6" t="s">
        <v>182</v>
      </c>
      <c r="C24" s="1" t="str" cm="1">
        <f t="array" aca="1" ref="C24" ca="1">_xll.BDH($H24,"FUT_CUR_GEN_TICKER",TEXT(YEAR(C$4)*10000+MONTH(C$4)*100+DAY(C$4),"00000000"),TEXT(YEAR(C$4)*10000+MONTH(C$4)*100+DAY(C$4),"00000000"),"fill=p","days=a")&amp;" Index"</f>
        <v>WLK45 Index</v>
      </c>
      <c r="D24" s="1" t="str" cm="1">
        <f t="array" aca="1" ref="D24" ca="1">_xll.BDP(C24,"LAST_TRADEABLE_DT")</f>
        <v>5/12/2045</v>
      </c>
      <c r="E24" s="34" cm="1">
        <f t="array" aca="1" ref="E24" ca="1">_xll.BDH(C24,"PX_LAST",TEXT(YEAR(C$4)*10000+MONTH(C$4)*100+DAY(C$4),"00000000"),TEXT(YEAR(C$4)*10000+MONTH(C$4)*100+DAY(C$4),"00000000"),"Fill=P","Days=A")</f>
        <v>7.0209999999999999</v>
      </c>
      <c r="F24" s="4">
        <f ca="1">IFERROR(_xll.BCOUNTPERIODS($C$4,D24,"CDR=BZ")*1,"")</f>
        <v>4985</v>
      </c>
      <c r="H24" s="6" t="s">
        <v>182</v>
      </c>
      <c r="I24" s="1" t="str" cm="1">
        <f t="array" ref="I24">_xll.BDH($H24,"FUT_CUR_GEN_TICKER",TEXT(YEAR(I$4)*10000+MONTH(I$4)*100+DAY(I$4),"00000000"),TEXT(YEAR(I$4)*10000+MONTH(I$4)*100+DAY(I$4),"00000000"),"fill=p","days=a")&amp;" Index"</f>
        <v>WLK25 Index</v>
      </c>
      <c r="J24" s="1" t="str" cm="1">
        <f t="array" ref="J24">_xll.BDP(I24,"LAST_TRADEABLE_DT")</f>
        <v>5/14/2025</v>
      </c>
      <c r="K24" s="34" cm="1">
        <f t="array" ref="K24">_xll.BDH(I24,"PX_LAST",TEXT(YEAR(I$4)*10000+MONTH(I$4)*100+DAY(I$4),"00000000"),TEXT(YEAR(I$4)*10000+MONTH(I$4)*100+DAY(I$4),"00000000"),"Fill=P","Days=A")</f>
        <v>5.75</v>
      </c>
      <c r="L24" s="4">
        <f>IFERROR(_xll.BCOUNTPERIODS($I$4,J24,"CDR=BZ")*1,"")</f>
        <v>357</v>
      </c>
      <c r="N24" s="6" t="s">
        <v>182</v>
      </c>
      <c r="O24" s="1" t="str" cm="1">
        <f t="array" ref="O24">_xll.BDH($N24,"FUT_CUR_GEN_TICKER",TEXT(YEAR(O$4)*10000+MONTH(O$4)*100+DAY(O$4),"00000000"),TEXT(YEAR(O$4)*10000+MONTH(O$4)*100+DAY(O$4),"00000000"),"fill=p","days=a")&amp;" Index"</f>
        <v>WLX24 Index</v>
      </c>
      <c r="P24" s="1" t="str" cm="1">
        <f t="array" ref="P24">_xll.BDP(O24,"LAST_TRADEABLE_DT")</f>
        <v>11/14/2024</v>
      </c>
      <c r="Q24" s="34" t="str" cm="1">
        <f t="array" ref="Q24">_xll.BDH(O24,"PX_LAST",TEXT(YEAR(O$4)*10000+MONTH(O$4)*100+DAY(O$4),"00000000"),TEXT(YEAR(O$4)*10000+MONTH(O$4)*100+DAY(O$4),"00000000"),"Fill=P","Days=A")</f>
        <v>#N/A N/A</v>
      </c>
      <c r="R24" s="4">
        <f>IFERROR(_xll.BCOUNTPERIODS($O$4,P24,"CDR=BZ")*1,"")</f>
        <v>364</v>
      </c>
    </row>
    <row r="25" spans="2:18" x14ac:dyDescent="0.25">
      <c r="B25" s="6" t="s">
        <v>183</v>
      </c>
      <c r="C25" s="1" t="str" cm="1">
        <f t="array" aca="1" ref="C25" ca="1">_xll.BDH($H25,"FUT_CUR_GEN_TICKER",TEXT(YEAR(C$4)*10000+MONTH(C$4)*100+DAY(C$4),"00000000"),TEXT(YEAR(C$4)*10000+MONTH(C$4)*100+DAY(C$4),"00000000"),"fill=p","days=a")&amp;" Index"</f>
        <v>WLQ50 Index</v>
      </c>
      <c r="D25" s="1" t="str" cm="1">
        <f t="array" aca="1" ref="D25" ca="1">_xll.BDP(C25,"LAST_TRADEABLE_DT")</f>
        <v>8/12/2050</v>
      </c>
      <c r="E25" s="34" cm="1">
        <f t="array" aca="1" ref="E25" ca="1">_xll.BDH(C25,"PX_LAST",TEXT(YEAR(C$4)*10000+MONTH(C$4)*100+DAY(C$4),"00000000"),TEXT(YEAR(C$4)*10000+MONTH(C$4)*100+DAY(C$4),"00000000"),"Fill=P","Days=A")</f>
        <v>6.9569999999999999</v>
      </c>
      <c r="F25" s="4">
        <f ca="1">IFERROR(_xll.BCOUNTPERIODS($C$4,D25,"CDR=BZ")*1,"")</f>
        <v>6300</v>
      </c>
      <c r="H25" s="6" t="s">
        <v>183</v>
      </c>
      <c r="I25" s="1" t="str" cm="1">
        <f t="array" ref="I25">_xll.BDH($H25,"FUT_CUR_GEN_TICKER",TEXT(YEAR(I$4)*10000+MONTH(I$4)*100+DAY(I$4),"00000000"),TEXT(YEAR(I$4)*10000+MONTH(I$4)*100+DAY(I$4),"00000000"),"fill=p","days=a")&amp;" Index"</f>
        <v>WLM25 Index</v>
      </c>
      <c r="J25" s="1" t="str" cm="1">
        <f t="array" ref="J25">_xll.BDP(I25,"LAST_TRADEABLE_DT")</f>
        <v>6/13/2025</v>
      </c>
      <c r="K25" s="34" t="str" cm="1">
        <f t="array" ref="K25">_xll.BDH(I25,"PX_LAST",TEXT(YEAR(I$4)*10000+MONTH(I$4)*100+DAY(I$4),"00000000"),TEXT(YEAR(I$4)*10000+MONTH(I$4)*100+DAY(I$4),"00000000"),"Fill=P","Days=A")</f>
        <v>#N/A N/A</v>
      </c>
      <c r="L25" s="4">
        <f>IFERROR(_xll.BCOUNTPERIODS($I$4,J25,"CDR=BZ")*1,"")</f>
        <v>379</v>
      </c>
      <c r="N25" s="6" t="s">
        <v>183</v>
      </c>
      <c r="O25" s="1" t="str" cm="1">
        <f t="array" ref="O25">_xll.BDH($N25,"FUT_CUR_GEN_TICKER",TEXT(YEAR(O$4)*10000+MONTH(O$4)*100+DAY(O$4),"00000000"),TEXT(YEAR(O$4)*10000+MONTH(O$4)*100+DAY(O$4),"00000000"),"fill=p","days=a")&amp;" Index"</f>
        <v>WLZ24 Index</v>
      </c>
      <c r="P25" s="1" t="str" cm="1">
        <f t="array" ref="P25">_xll.BDP(O25,"LAST_TRADEABLE_DT")</f>
        <v>12/13/2024</v>
      </c>
      <c r="Q25" s="34" t="str" cm="1">
        <f t="array" ref="Q25">_xll.BDH(O25,"PX_LAST",TEXT(YEAR(O$4)*10000+MONTH(O$4)*100+DAY(O$4),"00000000"),TEXT(YEAR(O$4)*10000+MONTH(O$4)*100+DAY(O$4),"00000000"),"Fill=P","Days=A")</f>
        <v>#N/A N/A</v>
      </c>
      <c r="R25" s="4">
        <f>IFERROR(_xll.BCOUNTPERIODS($O$4,P25,"CDR=BZ")*1,"")</f>
        <v>383</v>
      </c>
    </row>
    <row r="26" spans="2:18" x14ac:dyDescent="0.25">
      <c r="B26" s="6" t="s">
        <v>184</v>
      </c>
      <c r="C26" s="1" t="str" cm="1">
        <f t="array" aca="1" ref="C26" ca="1">_xll.BDH($H26,"FUT_CUR_GEN_TICKER",TEXT(YEAR(C$4)*10000+MONTH(C$4)*100+DAY(C$4),"00000000"),TEXT(YEAR(C$4)*10000+MONTH(C$4)*100+DAY(C$4),"00000000"),"fill=p","days=a")&amp;" Index"</f>
        <v>WLK55 Index</v>
      </c>
      <c r="D26" s="1" t="str" cm="1">
        <f t="array" aca="1" ref="D26" ca="1">_xll.BDP(C26,"LAST_TRADEABLE_DT")</f>
        <v>5/14/2055</v>
      </c>
      <c r="E26" s="34" cm="1">
        <f t="array" aca="1" ref="E26" ca="1">_xll.BDH(C26,"PX_LAST",TEXT(YEAR(C$4)*10000+MONTH(C$4)*100+DAY(C$4),"00000000"),TEXT(YEAR(C$4)*10000+MONTH(C$4)*100+DAY(C$4),"00000000"),"Fill=P","Days=A")</f>
        <v>6.9130000000000003</v>
      </c>
      <c r="F26" s="4">
        <f ca="1">IFERROR(_xll.BCOUNTPERIODS($C$4,D26,"CDR=BZ")*1,"")</f>
        <v>7489</v>
      </c>
      <c r="H26" s="6" t="s">
        <v>184</v>
      </c>
      <c r="I26" s="1" t="str" cm="1">
        <f t="array" ref="I26">_xll.BDH($H26,"FUT_CUR_GEN_TICKER",TEXT(YEAR(I$4)*10000+MONTH(I$4)*100+DAY(I$4),"00000000"),TEXT(YEAR(I$4)*10000+MONTH(I$4)*100+DAY(I$4),"00000000"),"fill=p","days=a")&amp;" Index"</f>
        <v>WLN25 Index</v>
      </c>
      <c r="J26" s="1" t="str" cm="1">
        <f t="array" ref="J26">_xll.BDP(I26,"LAST_TRADEABLE_DT")</f>
        <v>7/14/2025</v>
      </c>
      <c r="K26" s="34" t="str" cm="1">
        <f t="array" ref="K26">_xll.BDH(I26,"PX_LAST",TEXT(YEAR(I$4)*10000+MONTH(I$4)*100+DAY(I$4),"00000000"),TEXT(YEAR(I$4)*10000+MONTH(I$4)*100+DAY(I$4),"00000000"),"Fill=P","Days=A")</f>
        <v>#N/A N/A</v>
      </c>
      <c r="L26" s="4">
        <f>IFERROR(_xll.BCOUNTPERIODS($I$4,J26,"CDR=BZ")*1,"")</f>
        <v>399</v>
      </c>
      <c r="N26" s="6" t="s">
        <v>184</v>
      </c>
      <c r="O26" s="1" t="str" cm="1">
        <f t="array" ref="O26">_xll.BDH($N26,"FUT_CUR_GEN_TICKER",TEXT(YEAR(O$4)*10000+MONTH(O$4)*100+DAY(O$4),"00000000"),TEXT(YEAR(O$4)*10000+MONTH(O$4)*100+DAY(O$4),"00000000"),"fill=p","days=a")&amp;" Index"</f>
        <v>WLF25 Index</v>
      </c>
      <c r="P26" s="1" t="str" cm="1">
        <f t="array" ref="P26">_xll.BDP(O26,"LAST_TRADEABLE_DT")</f>
        <v>1/14/2025</v>
      </c>
      <c r="Q26" s="34" cm="1">
        <f t="array" ref="Q26">_xll.BDH(O26,"PX_LAST",TEXT(YEAR(O$4)*10000+MONTH(O$4)*100+DAY(O$4),"00000000"),TEXT(YEAR(O$4)*10000+MONTH(O$4)*100+DAY(O$4),"00000000"),"Fill=P","Days=A")</f>
        <v>6.79</v>
      </c>
      <c r="R26" s="4">
        <f>IFERROR(_xll.BCOUNTPERIODS($O$4,P26,"CDR=BZ")*1,"")</f>
        <v>403</v>
      </c>
    </row>
    <row r="27" spans="2:18" x14ac:dyDescent="0.25">
      <c r="B27" s="6" t="s">
        <v>185</v>
      </c>
      <c r="C27" s="1" t="str" cm="1">
        <f t="array" aca="1" ref="C27" ca="1">_xll.BDH($H27,"FUT_CUR_GEN_TICKER",TEXT(YEAR(C$4)*10000+MONTH(C$4)*100+DAY(C$4),"00000000"),TEXT(YEAR(C$4)*10000+MONTH(C$4)*100+DAY(C$4),"00000000"),"fill=p","days=a")&amp;" Index"</f>
        <v>WLQ60 Index</v>
      </c>
      <c r="D27" s="1" t="str" cm="1">
        <f t="array" aca="1" ref="D27" ca="1">_xll.BDP(C27,"LAST_TRADEABLE_DT")</f>
        <v>8/13/2060</v>
      </c>
      <c r="E27" s="34" cm="1">
        <f t="array" aca="1" ref="E27" ca="1">_xll.BDH(C27,"PX_LAST",TEXT(YEAR(C$4)*10000+MONTH(C$4)*100+DAY(C$4),"00000000"),TEXT(YEAR(C$4)*10000+MONTH(C$4)*100+DAY(C$4),"00000000"),"Fill=P","Days=A")</f>
        <v>6.9130000000000003</v>
      </c>
      <c r="F27" s="4">
        <f ca="1">IFERROR(_xll.BCOUNTPERIODS($C$4,D27,"CDR=BZ")*1,"")</f>
        <v>8806</v>
      </c>
      <c r="H27" s="6" t="s">
        <v>185</v>
      </c>
      <c r="I27" s="1" t="str" cm="1">
        <f t="array" ref="I27">_xll.BDH($H27,"FUT_CUR_GEN_TICKER",TEXT(YEAR(I$4)*10000+MONTH(I$4)*100+DAY(I$4),"00000000"),TEXT(YEAR(I$4)*10000+MONTH(I$4)*100+DAY(I$4),"00000000"),"fill=p","days=a")&amp;" Index"</f>
        <v>WLQ25 Index</v>
      </c>
      <c r="J27" s="1" t="str" cm="1">
        <f t="array" ref="J27">_xll.BDP(I27,"LAST_TRADEABLE_DT")</f>
        <v>8/14/2025</v>
      </c>
      <c r="K27" s="34" t="str" cm="1">
        <f t="array" ref="K27">_xll.BDH(I27,"PX_LAST",TEXT(YEAR(I$4)*10000+MONTH(I$4)*100+DAY(I$4),"00000000"),TEXT(YEAR(I$4)*10000+MONTH(I$4)*100+DAY(I$4),"00000000"),"Fill=P","Days=A")</f>
        <v>#N/A N/A</v>
      </c>
      <c r="L27" s="4">
        <f>IFERROR(_xll.BCOUNTPERIODS($I$4,J27,"CDR=BZ")*1,"")</f>
        <v>422</v>
      </c>
      <c r="N27" s="6" t="s">
        <v>185</v>
      </c>
      <c r="O27" s="1" t="str" cm="1">
        <f t="array" ref="O27">_xll.BDH($N27,"FUT_CUR_GEN_TICKER",TEXT(YEAR(O$4)*10000+MONTH(O$4)*100+DAY(O$4),"00000000"),TEXT(YEAR(O$4)*10000+MONTH(O$4)*100+DAY(O$4),"00000000"),"fill=p","days=a")&amp;" Index"</f>
        <v>WLG25 Index</v>
      </c>
      <c r="P27" s="1" t="str" cm="1">
        <f t="array" ref="P27">_xll.BDP(O27,"LAST_TRADEABLE_DT")</f>
        <v>2/14/2025</v>
      </c>
      <c r="Q27" s="34" t="str" cm="1">
        <f t="array" ref="Q27">_xll.BDH(O27,"PX_LAST",TEXT(YEAR(O$4)*10000+MONTH(O$4)*100+DAY(O$4),"00000000"),TEXT(YEAR(O$4)*10000+MONTH(O$4)*100+DAY(O$4),"00000000"),"Fill=P","Days=A")</f>
        <v>#N/A N/A</v>
      </c>
      <c r="R27" s="4">
        <f>IFERROR(_xll.BCOUNTPERIODS($O$4,P27,"CDR=BZ")*1,"")</f>
        <v>426</v>
      </c>
    </row>
    <row r="28" spans="2:18" ht="15.75" thickBot="1" x14ac:dyDescent="0.3">
      <c r="B28" s="52" t="s">
        <v>186</v>
      </c>
      <c r="C28" s="111" t="str" cm="1">
        <f t="array" aca="1" ref="C28" ca="1">_xll.BDH($H28,"FUT_CUR_GEN_TICKER",TEXT(YEAR(C$4)*10000+MONTH(C$4)*100+DAY(C$4),"00000000"),TEXT(YEAR(C$4)*10000+MONTH(C$4)*100+DAY(C$4),"00000000"),"fill=p","days=a")&amp;" Index"</f>
        <v>#N/A N/A Index</v>
      </c>
      <c r="D28" s="111" t="str">
        <f ca="1">_xll.BDP(C28,"LAST_TRADEABLE_DT")</f>
        <v>#N/A N/A Index</v>
      </c>
      <c r="E28" s="55" t="str">
        <f ca="1">_xll.BDH(C28,"PX_LAST",TEXT(YEAR(C$4)*10000+MONTH(C$4)*100+DAY(C$4),"00000000"),TEXT(YEAR(C$4)*10000+MONTH(C$4)*100+DAY(C$4),"00000000"),"Fill=P","Days=A")</f>
        <v>#N/A N/A Index</v>
      </c>
      <c r="F28" s="110" t="str">
        <f ca="1">IFERROR(_xll.BCOUNTPERIODS($C$4,D28,"CDR=BZ")*1,"")</f>
        <v/>
      </c>
      <c r="H28" s="52" t="s">
        <v>186</v>
      </c>
      <c r="I28" s="111" t="str" cm="1">
        <f t="array" ref="I28">_xll.BDH($H28,"FUT_CUR_GEN_TICKER",TEXT(YEAR(I$4)*10000+MONTH(I$4)*100+DAY(I$4),"00000000"),TEXT(YEAR(I$4)*10000+MONTH(I$4)*100+DAY(I$4),"00000000"),"fill=p","days=a")&amp;" Index"</f>
        <v>WLU25 Index</v>
      </c>
      <c r="J28" s="111" t="str" cm="1">
        <f t="array" ref="J28">_xll.BDP(I28,"LAST_TRADEABLE_DT")</f>
        <v>9/12/2025</v>
      </c>
      <c r="K28" s="55" t="str" cm="1">
        <f t="array" ref="K28">_xll.BDH(I28,"PX_LAST",TEXT(YEAR(I$4)*10000+MONTH(I$4)*100+DAY(I$4),"00000000"),TEXT(YEAR(I$4)*10000+MONTH(I$4)*100+DAY(I$4),"00000000"),"Fill=P","Days=A")</f>
        <v>#N/A N/A</v>
      </c>
      <c r="L28" s="110">
        <f>IFERROR(_xll.BCOUNTPERIODS($I$4,J28,"CDR=BZ")*1,"")</f>
        <v>443</v>
      </c>
      <c r="N28" s="52" t="s">
        <v>186</v>
      </c>
      <c r="O28" s="111" t="str" cm="1">
        <f t="array" ref="O28">_xll.BDH($N28,"FUT_CUR_GEN_TICKER",TEXT(YEAR(O$4)*10000+MONTH(O$4)*100+DAY(O$4),"00000000"),TEXT(YEAR(O$4)*10000+MONTH(O$4)*100+DAY(O$4),"00000000"),"fill=p","days=a")&amp;" Index"</f>
        <v>WLH25 Index</v>
      </c>
      <c r="P28" s="111" t="str" cm="1">
        <f t="array" ref="P28">_xll.BDP(O28,"LAST_TRADEABLE_DT")</f>
        <v>3/14/2025</v>
      </c>
      <c r="Q28" s="55" t="str" cm="1">
        <f t="array" ref="Q28">_xll.BDH(O28,"PX_LAST",TEXT(YEAR(O$4)*10000+MONTH(O$4)*100+DAY(O$4),"00000000"),TEXT(YEAR(O$4)*10000+MONTH(O$4)*100+DAY(O$4),"00000000"),"Fill=P","Days=A")</f>
        <v>#N/A N/A</v>
      </c>
      <c r="R28" s="110">
        <f>IFERROR(_xll.BCOUNTPERIODS($O$4,P28,"CDR=BZ")*1,"")</f>
        <v>444</v>
      </c>
    </row>
    <row r="29" spans="2:18" x14ac:dyDescent="0.25">
      <c r="I29" s="1"/>
    </row>
    <row r="30" spans="2:18" x14ac:dyDescent="0.25">
      <c r="I30" s="1"/>
    </row>
    <row r="31" spans="2:18" x14ac:dyDescent="0.25">
      <c r="I31" s="1"/>
    </row>
    <row r="32" spans="2:18" x14ac:dyDescent="0.25">
      <c r="I32" s="1"/>
    </row>
    <row r="33" spans="9:9" x14ac:dyDescent="0.25">
      <c r="I33" s="1"/>
    </row>
    <row r="34" spans="9:9" x14ac:dyDescent="0.25">
      <c r="I34" s="1"/>
    </row>
    <row r="35" spans="9:9" x14ac:dyDescent="0.25">
      <c r="I35" s="1"/>
    </row>
    <row r="36" spans="9:9" x14ac:dyDescent="0.25">
      <c r="I36" s="1"/>
    </row>
    <row r="37" spans="9:9" x14ac:dyDescent="0.25">
      <c r="I37" s="1"/>
    </row>
    <row r="38" spans="9:9" x14ac:dyDescent="0.25">
      <c r="I38" s="1"/>
    </row>
    <row r="39" spans="9:9" x14ac:dyDescent="0.25">
      <c r="I39" s="1"/>
    </row>
    <row r="40" spans="9:9" x14ac:dyDescent="0.25">
      <c r="I40" s="1"/>
    </row>
    <row r="41" spans="9:9" x14ac:dyDescent="0.25">
      <c r="I41" s="1"/>
    </row>
    <row r="42" spans="9:9" x14ac:dyDescent="0.25">
      <c r="I42" s="1"/>
    </row>
    <row r="43" spans="9:9" x14ac:dyDescent="0.25">
      <c r="I43" s="1"/>
    </row>
    <row r="44" spans="9:9" x14ac:dyDescent="0.25">
      <c r="I44" s="1"/>
    </row>
    <row r="45" spans="9:9" x14ac:dyDescent="0.25">
      <c r="I45" s="1"/>
    </row>
    <row r="46" spans="9:9" x14ac:dyDescent="0.25">
      <c r="I46" s="1"/>
    </row>
    <row r="47" spans="9:9" x14ac:dyDescent="0.25">
      <c r="I47" s="1"/>
    </row>
    <row r="48" spans="9:9" x14ac:dyDescent="0.25">
      <c r="I48" s="1"/>
    </row>
    <row r="49" spans="9:9" x14ac:dyDescent="0.25">
      <c r="I49" s="1"/>
    </row>
    <row r="50" spans="9:9" x14ac:dyDescent="0.25">
      <c r="I50" s="1"/>
    </row>
    <row r="51" spans="9:9" x14ac:dyDescent="0.25">
      <c r="I51" s="1"/>
    </row>
    <row r="52" spans="9:9" x14ac:dyDescent="0.25">
      <c r="I52" s="1"/>
    </row>
    <row r="53" spans="9:9" x14ac:dyDescent="0.25">
      <c r="I53" s="1"/>
    </row>
    <row r="54" spans="9:9" x14ac:dyDescent="0.25">
      <c r="I54" s="1"/>
    </row>
    <row r="55" spans="9:9" x14ac:dyDescent="0.25">
      <c r="I55" s="1"/>
    </row>
    <row r="56" spans="9:9" x14ac:dyDescent="0.25">
      <c r="I56" s="1"/>
    </row>
    <row r="57" spans="9:9" x14ac:dyDescent="0.25">
      <c r="I57" s="1"/>
    </row>
    <row r="58" spans="9:9" x14ac:dyDescent="0.25">
      <c r="I58" s="1"/>
    </row>
    <row r="59" spans="9:9" x14ac:dyDescent="0.25">
      <c r="I59" s="1"/>
    </row>
    <row r="60" spans="9:9" x14ac:dyDescent="0.25">
      <c r="I60" s="1"/>
    </row>
    <row r="61" spans="9:9" x14ac:dyDescent="0.25">
      <c r="I61" s="1"/>
    </row>
    <row r="62" spans="9:9" x14ac:dyDescent="0.25">
      <c r="I62" s="1"/>
    </row>
    <row r="63" spans="9:9" x14ac:dyDescent="0.25">
      <c r="I63" s="1"/>
    </row>
    <row r="64" spans="9:9" x14ac:dyDescent="0.25">
      <c r="I64" s="1"/>
    </row>
    <row r="65" spans="9:9" x14ac:dyDescent="0.25">
      <c r="I65" s="1"/>
    </row>
    <row r="66" spans="9:9" x14ac:dyDescent="0.25">
      <c r="I66" s="1"/>
    </row>
    <row r="67" spans="9:9" x14ac:dyDescent="0.25">
      <c r="I67" s="1"/>
    </row>
    <row r="68" spans="9:9" x14ac:dyDescent="0.25">
      <c r="I68" s="1"/>
    </row>
    <row r="69" spans="9:9" x14ac:dyDescent="0.25">
      <c r="I69" s="1"/>
    </row>
    <row r="70" spans="9:9" x14ac:dyDescent="0.25">
      <c r="I70" s="1"/>
    </row>
    <row r="71" spans="9:9" x14ac:dyDescent="0.25">
      <c r="I71" s="1"/>
    </row>
    <row r="72" spans="9:9" x14ac:dyDescent="0.25">
      <c r="I72" s="1"/>
    </row>
    <row r="73" spans="9:9" x14ac:dyDescent="0.25">
      <c r="I73" s="1"/>
    </row>
    <row r="74" spans="9:9" x14ac:dyDescent="0.25">
      <c r="I74" s="1"/>
    </row>
    <row r="75" spans="9:9" x14ac:dyDescent="0.25">
      <c r="I75" s="1"/>
    </row>
    <row r="76" spans="9:9" x14ac:dyDescent="0.25">
      <c r="I76" s="1"/>
    </row>
    <row r="77" spans="9:9" x14ac:dyDescent="0.25">
      <c r="I77" s="1"/>
    </row>
    <row r="78" spans="9:9" x14ac:dyDescent="0.25">
      <c r="I78" s="1"/>
    </row>
    <row r="79" spans="9:9" x14ac:dyDescent="0.25">
      <c r="I79" s="1"/>
    </row>
    <row r="80" spans="9:9" x14ac:dyDescent="0.25">
      <c r="I80" s="1"/>
    </row>
    <row r="81" spans="9:9" x14ac:dyDescent="0.25">
      <c r="I81" s="1"/>
    </row>
    <row r="82" spans="9:9" x14ac:dyDescent="0.25">
      <c r="I82" s="1"/>
    </row>
    <row r="83" spans="9:9" x14ac:dyDescent="0.25">
      <c r="I83" s="1"/>
    </row>
    <row r="84" spans="9:9" x14ac:dyDescent="0.25">
      <c r="I84" s="1"/>
    </row>
    <row r="85" spans="9:9" x14ac:dyDescent="0.25">
      <c r="I85" s="1"/>
    </row>
    <row r="86" spans="9:9" x14ac:dyDescent="0.25">
      <c r="I86" s="1"/>
    </row>
    <row r="87" spans="9:9" x14ac:dyDescent="0.25">
      <c r="I87" s="1"/>
    </row>
    <row r="88" spans="9:9" x14ac:dyDescent="0.25">
      <c r="I88" s="1"/>
    </row>
    <row r="89" spans="9:9" x14ac:dyDescent="0.25">
      <c r="I89" s="1"/>
    </row>
    <row r="90" spans="9:9" x14ac:dyDescent="0.25">
      <c r="I90" s="1"/>
    </row>
    <row r="91" spans="9:9" x14ac:dyDescent="0.25">
      <c r="I91" s="1"/>
    </row>
    <row r="92" spans="9:9" x14ac:dyDescent="0.25">
      <c r="I92" s="1"/>
    </row>
    <row r="93" spans="9:9" x14ac:dyDescent="0.25">
      <c r="I93" s="1"/>
    </row>
    <row r="94" spans="9:9" x14ac:dyDescent="0.25">
      <c r="I94" s="1"/>
    </row>
    <row r="95" spans="9:9" x14ac:dyDescent="0.25">
      <c r="I95" s="1"/>
    </row>
    <row r="96" spans="9:9" x14ac:dyDescent="0.25">
      <c r="I96" s="1"/>
    </row>
    <row r="97" spans="9:9" x14ac:dyDescent="0.25">
      <c r="I97" s="1"/>
    </row>
    <row r="98" spans="9:9" x14ac:dyDescent="0.25">
      <c r="I98" s="1"/>
    </row>
    <row r="99" spans="9:9" x14ac:dyDescent="0.25">
      <c r="I99" s="1"/>
    </row>
    <row r="100" spans="9:9" x14ac:dyDescent="0.25">
      <c r="I100" s="1"/>
    </row>
    <row r="101" spans="9:9" x14ac:dyDescent="0.25">
      <c r="I101" s="1"/>
    </row>
    <row r="102" spans="9:9" x14ac:dyDescent="0.25">
      <c r="I102" s="1"/>
    </row>
    <row r="103" spans="9:9" x14ac:dyDescent="0.25">
      <c r="I103" s="1"/>
    </row>
    <row r="104" spans="9:9" x14ac:dyDescent="0.25">
      <c r="I104" s="1"/>
    </row>
    <row r="105" spans="9:9" x14ac:dyDescent="0.25">
      <c r="I105" s="1"/>
    </row>
    <row r="106" spans="9:9" x14ac:dyDescent="0.25">
      <c r="I106" s="1"/>
    </row>
    <row r="107" spans="9:9" x14ac:dyDescent="0.25">
      <c r="I107" s="1"/>
    </row>
    <row r="108" spans="9:9" x14ac:dyDescent="0.25">
      <c r="I108" s="1"/>
    </row>
    <row r="109" spans="9:9" x14ac:dyDescent="0.25">
      <c r="I109" s="1"/>
    </row>
    <row r="110" spans="9:9" x14ac:dyDescent="0.25">
      <c r="I110" s="1"/>
    </row>
    <row r="111" spans="9:9" x14ac:dyDescent="0.25">
      <c r="I111" s="1"/>
    </row>
    <row r="112" spans="9:9" x14ac:dyDescent="0.25">
      <c r="I112" s="1"/>
    </row>
    <row r="113" spans="9:9" x14ac:dyDescent="0.25">
      <c r="I113" s="1"/>
    </row>
    <row r="114" spans="9:9" x14ac:dyDescent="0.25">
      <c r="I114" s="1"/>
    </row>
    <row r="115" spans="9:9" x14ac:dyDescent="0.25">
      <c r="I115" s="1"/>
    </row>
    <row r="116" spans="9:9" x14ac:dyDescent="0.25">
      <c r="I116" s="1"/>
    </row>
    <row r="117" spans="9:9" x14ac:dyDescent="0.25">
      <c r="I117" s="1"/>
    </row>
    <row r="118" spans="9:9" x14ac:dyDescent="0.25">
      <c r="I118" s="1"/>
    </row>
    <row r="119" spans="9:9" x14ac:dyDescent="0.25">
      <c r="I119" s="1"/>
    </row>
    <row r="120" spans="9:9" x14ac:dyDescent="0.25">
      <c r="I120" s="1"/>
    </row>
    <row r="121" spans="9:9" x14ac:dyDescent="0.25">
      <c r="I121" s="1"/>
    </row>
    <row r="122" spans="9:9" x14ac:dyDescent="0.25">
      <c r="I122" s="1"/>
    </row>
    <row r="123" spans="9:9" x14ac:dyDescent="0.25">
      <c r="I123" s="1"/>
    </row>
    <row r="124" spans="9:9" x14ac:dyDescent="0.25">
      <c r="I124" s="1"/>
    </row>
    <row r="125" spans="9:9" x14ac:dyDescent="0.25">
      <c r="I125" s="1"/>
    </row>
    <row r="126" spans="9:9" x14ac:dyDescent="0.25">
      <c r="I126" s="1"/>
    </row>
    <row r="127" spans="9:9" x14ac:dyDescent="0.25">
      <c r="I127" s="1"/>
    </row>
    <row r="128" spans="9:9" x14ac:dyDescent="0.25">
      <c r="I128" s="1"/>
    </row>
    <row r="129" spans="9:9" x14ac:dyDescent="0.25">
      <c r="I129" s="1"/>
    </row>
    <row r="130" spans="9:9" x14ac:dyDescent="0.25">
      <c r="I130" s="1"/>
    </row>
    <row r="131" spans="9:9" x14ac:dyDescent="0.25">
      <c r="I131" s="1"/>
    </row>
    <row r="132" spans="9:9" x14ac:dyDescent="0.25">
      <c r="I132" s="1"/>
    </row>
    <row r="133" spans="9:9" x14ac:dyDescent="0.25">
      <c r="I133" s="1"/>
    </row>
    <row r="134" spans="9:9" x14ac:dyDescent="0.25">
      <c r="I134" s="1"/>
    </row>
    <row r="135" spans="9:9" x14ac:dyDescent="0.25">
      <c r="I135" s="1"/>
    </row>
    <row r="136" spans="9:9" x14ac:dyDescent="0.25">
      <c r="I136" s="1"/>
    </row>
    <row r="137" spans="9:9" x14ac:dyDescent="0.25">
      <c r="I137" s="1"/>
    </row>
    <row r="138" spans="9:9" x14ac:dyDescent="0.25">
      <c r="I138" s="1"/>
    </row>
    <row r="139" spans="9:9" x14ac:dyDescent="0.25">
      <c r="I139" s="1"/>
    </row>
    <row r="140" spans="9:9" x14ac:dyDescent="0.25">
      <c r="I140" s="1"/>
    </row>
    <row r="141" spans="9:9" x14ac:dyDescent="0.25">
      <c r="I141" s="1"/>
    </row>
    <row r="142" spans="9:9" x14ac:dyDescent="0.25">
      <c r="I142" s="1"/>
    </row>
    <row r="143" spans="9:9" x14ac:dyDescent="0.25">
      <c r="I143" s="1"/>
    </row>
    <row r="144" spans="9:9" x14ac:dyDescent="0.25">
      <c r="I144" s="1"/>
    </row>
    <row r="145" spans="9:9" x14ac:dyDescent="0.25">
      <c r="I145" s="1"/>
    </row>
    <row r="146" spans="9:9" x14ac:dyDescent="0.25">
      <c r="I146" s="1"/>
    </row>
    <row r="147" spans="9:9" x14ac:dyDescent="0.25">
      <c r="I147" s="1"/>
    </row>
    <row r="148" spans="9:9" x14ac:dyDescent="0.25">
      <c r="I148" s="1"/>
    </row>
    <row r="149" spans="9:9" x14ac:dyDescent="0.25">
      <c r="I149" s="1"/>
    </row>
    <row r="150" spans="9:9" x14ac:dyDescent="0.25">
      <c r="I150" s="1"/>
    </row>
    <row r="151" spans="9:9" x14ac:dyDescent="0.25">
      <c r="I151" s="1"/>
    </row>
    <row r="152" spans="9:9" x14ac:dyDescent="0.25">
      <c r="I152" s="1"/>
    </row>
    <row r="153" spans="9:9" x14ac:dyDescent="0.25">
      <c r="I153" s="1"/>
    </row>
    <row r="154" spans="9:9" x14ac:dyDescent="0.25">
      <c r="I154" s="1"/>
    </row>
    <row r="155" spans="9:9" x14ac:dyDescent="0.25">
      <c r="I155" s="1"/>
    </row>
    <row r="156" spans="9:9" x14ac:dyDescent="0.25">
      <c r="I156" s="1"/>
    </row>
    <row r="157" spans="9:9" x14ac:dyDescent="0.25">
      <c r="I157" s="1"/>
    </row>
    <row r="158" spans="9:9" x14ac:dyDescent="0.25">
      <c r="I158" s="1"/>
    </row>
    <row r="159" spans="9:9" x14ac:dyDescent="0.25">
      <c r="I159" s="1"/>
    </row>
    <row r="160" spans="9:9" x14ac:dyDescent="0.25">
      <c r="I160" s="1"/>
    </row>
    <row r="161" spans="9:9" x14ac:dyDescent="0.25">
      <c r="I161" s="1"/>
    </row>
    <row r="162" spans="9:9" x14ac:dyDescent="0.25">
      <c r="I162" s="1"/>
    </row>
    <row r="163" spans="9:9" x14ac:dyDescent="0.25">
      <c r="I163" s="1"/>
    </row>
    <row r="164" spans="9:9" x14ac:dyDescent="0.25">
      <c r="I164" s="1"/>
    </row>
    <row r="165" spans="9:9" x14ac:dyDescent="0.25">
      <c r="I165" s="1"/>
    </row>
    <row r="166" spans="9:9" x14ac:dyDescent="0.25">
      <c r="I166" s="1"/>
    </row>
    <row r="167" spans="9:9" x14ac:dyDescent="0.25">
      <c r="I167" s="1"/>
    </row>
  </sheetData>
  <mergeCells count="3">
    <mergeCell ref="B2:F2"/>
    <mergeCell ref="H2:L2"/>
    <mergeCell ref="N2:R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CDE07-AB4E-43CE-B972-77E6E539437F}">
  <sheetPr>
    <tabColor rgb="FF156082"/>
  </sheetPr>
  <dimension ref="P1:P10"/>
  <sheetViews>
    <sheetView showGridLines="0" showRowColHeaders="0" zoomScale="130" zoomScaleNormal="130" workbookViewId="0">
      <pane ySplit="1" topLeftCell="A2" activePane="bottomLeft" state="frozen"/>
      <selection pane="bottomLeft" activeCell="V170" sqref="V170"/>
    </sheetView>
  </sheetViews>
  <sheetFormatPr defaultRowHeight="15" x14ac:dyDescent="0.25"/>
  <sheetData>
    <row r="1" spans="16:16" ht="50.25" customHeight="1" x14ac:dyDescent="0.25"/>
    <row r="10" spans="16:16" x14ac:dyDescent="0.25">
      <c r="P10" s="14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IPCA</vt:lpstr>
      <vt:lpstr>Comparison</vt:lpstr>
      <vt:lpstr>PERIODS</vt:lpstr>
      <vt:lpstr>DATA</vt:lpstr>
      <vt:lpstr>CALC</vt:lpstr>
      <vt:lpstr>CURVES</vt:lpstr>
      <vt:lpstr>FUT</vt:lpstr>
      <vt:lpstr>HELP</vt:lpstr>
      <vt:lpstr>Relative</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Levy</dc:creator>
  <cp:lastModifiedBy>Siqueira, Thiago</cp:lastModifiedBy>
  <dcterms:created xsi:type="dcterms:W3CDTF">2023-10-31T20:11:50Z</dcterms:created>
  <dcterms:modified xsi:type="dcterms:W3CDTF">2025-06-21T19:47:54Z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preadsheetBuilder_1">
    <vt:lpwstr>eyIwIjoiQW5hbHlzaXNIaXN0b3JpY2FsIiwiMSI6MCwiMiI6MCwiMyI6MCwiNCI6MCwiNSI6MCwiNiI6MCwiNyI6MSwiOCI6MCwiOSI6MSwiMTAiOjAsIjExIjowLCIxMiI6MH0=</vt:lpwstr>
  </property>
  <property fmtid="{D5CDD505-2E9C-101B-9397-08002B2CF9AE}" pid="3" name="SSR_MIGRATION_STATUS">
    <vt:lpwstr>2</vt:lpwstr>
  </property>
</Properties>
</file>