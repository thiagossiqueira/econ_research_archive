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oomberglp-my.sharepoint.com/personal/tsiqueira4_bloomberg_com/Documents/Desktop/master_thesis_economics/referencias/"/>
    </mc:Choice>
  </mc:AlternateContent>
  <xr:revisionPtr revIDLastSave="0" documentId="8_{BC6BCA4E-09D3-4964-8A4B-D8E733D9724D}" xr6:coauthVersionLast="47" xr6:coauthVersionMax="47" xr10:uidLastSave="{00000000-0000-0000-0000-000000000000}"/>
  <bookViews>
    <workbookView xWindow="-120" yWindow="-120" windowWidth="29040" windowHeight="15840" xr2:uid="{89382CF4-9197-4F5F-9E65-4B026879B18F}"/>
  </bookViews>
  <sheets>
    <sheet name="act_a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00" i="1" l="1"/>
  <c r="Z100" i="1"/>
  <c r="Z99" i="1"/>
  <c r="AA99" i="1" s="1"/>
  <c r="Z98" i="1"/>
  <c r="AA98" i="1" s="1"/>
  <c r="Z97" i="1"/>
  <c r="AA97" i="1" s="1"/>
  <c r="Z96" i="1"/>
  <c r="AA96" i="1" s="1"/>
  <c r="Z95" i="1"/>
  <c r="AA95" i="1" s="1"/>
  <c r="Z94" i="1"/>
  <c r="AA94" i="1" s="1"/>
  <c r="Z93" i="1"/>
  <c r="AA93" i="1" s="1"/>
  <c r="Z92" i="1"/>
  <c r="AA92" i="1" s="1"/>
  <c r="Z91" i="1"/>
  <c r="AA91" i="1" s="1"/>
  <c r="Z90" i="1"/>
  <c r="AA90" i="1" s="1"/>
  <c r="Z89" i="1"/>
  <c r="AA89" i="1" s="1"/>
  <c r="Z88" i="1"/>
  <c r="AA88" i="1" s="1"/>
  <c r="Z87" i="1"/>
  <c r="AA87" i="1" s="1"/>
  <c r="Z86" i="1"/>
  <c r="AA86" i="1" s="1"/>
  <c r="Z85" i="1"/>
  <c r="AA85" i="1" s="1"/>
  <c r="Z84" i="1"/>
  <c r="AA84" i="1" s="1"/>
  <c r="Z83" i="1"/>
  <c r="AA83" i="1" s="1"/>
  <c r="Z82" i="1"/>
  <c r="AA82" i="1" s="1"/>
  <c r="Z81" i="1"/>
  <c r="AA81" i="1" s="1"/>
  <c r="Z80" i="1"/>
  <c r="AA80" i="1" s="1"/>
  <c r="Z79" i="1"/>
  <c r="AA79" i="1" s="1"/>
  <c r="Z78" i="1"/>
  <c r="AA78" i="1" s="1"/>
  <c r="Z77" i="1"/>
  <c r="AA77" i="1" s="1"/>
  <c r="Z76" i="1"/>
  <c r="AA76" i="1" s="1"/>
  <c r="Z75" i="1"/>
  <c r="AA75" i="1" s="1"/>
  <c r="Z74" i="1"/>
  <c r="AA74" i="1" s="1"/>
  <c r="Z73" i="1"/>
  <c r="AA73" i="1" s="1"/>
  <c r="Z72" i="1"/>
  <c r="AA72" i="1" s="1"/>
  <c r="Z71" i="1"/>
  <c r="AA71" i="1" s="1"/>
  <c r="Z70" i="1"/>
  <c r="AA70" i="1" s="1"/>
  <c r="Z69" i="1"/>
  <c r="AA69" i="1" s="1"/>
  <c r="Z68" i="1"/>
  <c r="AA68" i="1" s="1"/>
  <c r="Z67" i="1"/>
  <c r="AA67" i="1" s="1"/>
  <c r="Z66" i="1"/>
  <c r="AA66" i="1" s="1"/>
  <c r="Z65" i="1"/>
  <c r="AA65" i="1" s="1"/>
  <c r="Z64" i="1"/>
  <c r="AA64" i="1" s="1"/>
  <c r="Z63" i="1"/>
  <c r="AA63" i="1" s="1"/>
  <c r="Z62" i="1"/>
  <c r="AA62" i="1" s="1"/>
  <c r="Z61" i="1"/>
  <c r="AA61" i="1" s="1"/>
  <c r="Z60" i="1"/>
  <c r="AA60" i="1" s="1"/>
  <c r="Z59" i="1"/>
  <c r="AA59" i="1" s="1"/>
  <c r="Z58" i="1"/>
  <c r="AA58" i="1" s="1"/>
  <c r="Z57" i="1"/>
  <c r="AA57" i="1" s="1"/>
  <c r="Z56" i="1"/>
  <c r="AA56" i="1" s="1"/>
  <c r="Z55" i="1"/>
  <c r="AA55" i="1" s="1"/>
  <c r="Z54" i="1"/>
  <c r="AA54" i="1" s="1"/>
  <c r="Z53" i="1"/>
  <c r="AA53" i="1" s="1"/>
  <c r="Z52" i="1"/>
  <c r="AA52" i="1" s="1"/>
  <c r="Z51" i="1"/>
  <c r="AA51" i="1" s="1"/>
  <c r="Z50" i="1"/>
  <c r="AA50" i="1" s="1"/>
  <c r="Z49" i="1"/>
  <c r="AA49" i="1" s="1"/>
  <c r="Z48" i="1"/>
  <c r="AA48" i="1" s="1"/>
  <c r="Z47" i="1"/>
  <c r="AA47" i="1" s="1"/>
  <c r="Z46" i="1"/>
  <c r="AA46" i="1" s="1"/>
  <c r="Z45" i="1"/>
  <c r="AA45" i="1" s="1"/>
  <c r="Z44" i="1"/>
  <c r="AA44" i="1" s="1"/>
  <c r="Z43" i="1"/>
  <c r="AA43" i="1" s="1"/>
  <c r="Z42" i="1"/>
  <c r="AA42" i="1" s="1"/>
  <c r="Z41" i="1"/>
  <c r="AA41" i="1" s="1"/>
  <c r="Z40" i="1"/>
  <c r="AA40" i="1" s="1"/>
  <c r="Z39" i="1"/>
  <c r="AA39" i="1" s="1"/>
  <c r="Z38" i="1"/>
  <c r="AA38" i="1" s="1"/>
  <c r="D38" i="1"/>
  <c r="Z37" i="1"/>
  <c r="AA37" i="1" s="1"/>
  <c r="Z36" i="1"/>
  <c r="AA36" i="1" s="1"/>
  <c r="Z35" i="1"/>
  <c r="AA35" i="1" s="1"/>
  <c r="Z34" i="1"/>
  <c r="AA34" i="1" s="1"/>
  <c r="Z33" i="1"/>
  <c r="AA33" i="1" s="1"/>
  <c r="Z32" i="1"/>
  <c r="AA32" i="1" s="1"/>
  <c r="Z31" i="1"/>
  <c r="AA31" i="1" s="1"/>
  <c r="Z30" i="1"/>
  <c r="AA30" i="1" s="1"/>
  <c r="Z29" i="1"/>
  <c r="AA29" i="1" s="1"/>
  <c r="Z28" i="1"/>
  <c r="AA28" i="1" s="1"/>
  <c r="F28" i="1"/>
  <c r="Z27" i="1"/>
  <c r="AA27" i="1" s="1"/>
  <c r="Z26" i="1"/>
  <c r="AA26" i="1" s="1"/>
  <c r="F26" i="1"/>
  <c r="Z25" i="1"/>
  <c r="AA25" i="1" s="1"/>
  <c r="Z24" i="1"/>
  <c r="AA24" i="1" s="1"/>
  <c r="Z23" i="1"/>
  <c r="AA23" i="1" s="1"/>
  <c r="Z22" i="1"/>
  <c r="AA22" i="1" s="1"/>
  <c r="Z21" i="1"/>
  <c r="AA21" i="1" s="1"/>
  <c r="Z20" i="1"/>
  <c r="AA20" i="1" s="1"/>
  <c r="Z19" i="1"/>
  <c r="AA19" i="1" s="1"/>
  <c r="Z18" i="1"/>
  <c r="AA18" i="1" s="1"/>
  <c r="Z17" i="1"/>
  <c r="AA17" i="1" s="1"/>
  <c r="Z16" i="1"/>
  <c r="AA16" i="1" s="1"/>
  <c r="Z15" i="1"/>
  <c r="AA15" i="1" s="1"/>
  <c r="Z14" i="1"/>
  <c r="AA14" i="1" s="1"/>
  <c r="Z13" i="1"/>
  <c r="AA13" i="1" s="1"/>
  <c r="Z12" i="1"/>
  <c r="AA12" i="1" s="1"/>
  <c r="Z11" i="1"/>
  <c r="AA11" i="1" s="1"/>
  <c r="Z10" i="1"/>
  <c r="AA10" i="1" s="1"/>
  <c r="Z9" i="1"/>
  <c r="AA9" i="1" s="1"/>
  <c r="Z8" i="1"/>
  <c r="AA8" i="1" s="1"/>
  <c r="Z7" i="1"/>
  <c r="AA7" i="1" s="1"/>
  <c r="Z6" i="1"/>
  <c r="AA6" i="1" s="1"/>
  <c r="Z5" i="1"/>
  <c r="AA5" i="1" s="1"/>
  <c r="W3" i="1" a="1"/>
  <c r="R1" i="1" a="1"/>
  <c r="B10" i="1"/>
  <c r="B20" i="1" a="1"/>
  <c r="B11" i="1"/>
  <c r="B21" i="1" a="1"/>
  <c r="B13" i="1" a="1"/>
  <c r="B23" i="1" a="1"/>
  <c r="B24" i="1" a="1"/>
  <c r="B16" i="1" a="1"/>
  <c r="B15" i="1" a="1"/>
  <c r="B5" i="1" a="1"/>
  <c r="B18" i="1"/>
  <c r="B6" i="1"/>
  <c r="W1" i="1" a="1"/>
  <c r="W1" i="1" l="1"/>
  <c r="B5" i="1"/>
  <c r="B15" i="1"/>
  <c r="B16" i="1"/>
  <c r="B24" i="1"/>
  <c r="B23" i="1"/>
  <c r="B13" i="1"/>
  <c r="B21" i="1"/>
  <c r="B20" i="1"/>
  <c r="R1" i="1"/>
  <c r="W3" i="1"/>
  <c r="B17" i="1"/>
  <c r="B22" i="1"/>
  <c r="B9" i="1"/>
  <c r="Z3" i="1"/>
  <c r="A39" i="1"/>
  <c r="G15" i="1"/>
  <c r="G13" i="1"/>
  <c r="A38" i="1"/>
  <c r="Z4" i="1" l="1"/>
  <c r="AA4" i="1" s="1"/>
  <c r="AA3" i="1"/>
  <c r="G12" i="1"/>
  <c r="G14" i="1"/>
  <c r="H15" i="1" s="1"/>
  <c r="A40" i="1"/>
  <c r="C39" i="1"/>
  <c r="D39" i="1" s="1"/>
  <c r="G27" i="1"/>
  <c r="AF102" i="1"/>
  <c r="G28" i="1"/>
  <c r="AA2" i="1" l="1"/>
  <c r="K28" i="1"/>
  <c r="H28" i="1"/>
  <c r="J28" i="1"/>
  <c r="I28" i="1"/>
  <c r="B40" i="1"/>
  <c r="A41" i="1"/>
  <c r="C40" i="1"/>
  <c r="D40" i="1" s="1"/>
  <c r="J15" i="1"/>
  <c r="K19" i="1" s="1"/>
  <c r="I15" i="1"/>
  <c r="K18" i="1" s="1"/>
  <c r="I13" i="1"/>
  <c r="H13" i="1"/>
  <c r="J13" i="1"/>
  <c r="K15" i="1"/>
  <c r="K13" i="1"/>
  <c r="C41" i="1" l="1"/>
  <c r="D41" i="1" s="1"/>
  <c r="B41" i="1"/>
  <c r="A42" i="1"/>
  <c r="A43" i="1" l="1"/>
  <c r="C42" i="1"/>
  <c r="D42" i="1" s="1"/>
  <c r="C43" i="1" l="1"/>
  <c r="D43" i="1" s="1"/>
  <c r="A44" i="1"/>
  <c r="E44" i="1" s="1"/>
  <c r="A45" i="1" l="1"/>
  <c r="E45" i="1" s="1"/>
  <c r="B44" i="1"/>
  <c r="C44" i="1"/>
  <c r="D44" i="1" s="1"/>
  <c r="A46" i="1" l="1"/>
  <c r="E46" i="1" s="1"/>
  <c r="C45" i="1"/>
  <c r="D45" i="1" s="1"/>
  <c r="C46" i="1" l="1"/>
  <c r="D46" i="1" s="1"/>
  <c r="A47" i="1"/>
  <c r="E47" i="1" s="1"/>
  <c r="B46" i="1"/>
  <c r="A48" i="1" l="1"/>
  <c r="E48" i="1" s="1"/>
  <c r="B47" i="1"/>
  <c r="C47" i="1"/>
  <c r="D47" i="1"/>
  <c r="C48" i="1" l="1"/>
  <c r="D48" i="1"/>
  <c r="A49" i="1"/>
  <c r="E49" i="1" s="1"/>
  <c r="A50" i="1" l="1"/>
  <c r="E50" i="1" s="1"/>
  <c r="C49" i="1"/>
  <c r="H49" i="1"/>
  <c r="F49" i="1"/>
  <c r="G49" i="1"/>
  <c r="I49" i="1"/>
  <c r="B49" i="1"/>
  <c r="D49" i="1"/>
  <c r="A51" i="1" l="1"/>
  <c r="E51" i="1" s="1"/>
  <c r="I50" i="1"/>
  <c r="H50" i="1"/>
  <c r="G50" i="1"/>
  <c r="F50" i="1"/>
  <c r="D50" i="1"/>
  <c r="C50" i="1"/>
  <c r="B50" i="1"/>
  <c r="I51" i="1" l="1"/>
  <c r="H51" i="1"/>
  <c r="A52" i="1"/>
  <c r="E52" i="1" s="1"/>
  <c r="D51" i="1"/>
  <c r="C51" i="1"/>
  <c r="G51" i="1"/>
  <c r="F51" i="1"/>
  <c r="B51" i="1"/>
  <c r="C52" i="1" l="1"/>
  <c r="A53" i="1"/>
  <c r="E53" i="1" s="1"/>
  <c r="H52" i="1"/>
  <c r="G52" i="1"/>
  <c r="I52" i="1"/>
  <c r="F52" i="1"/>
  <c r="D52" i="1"/>
  <c r="B52" i="1"/>
  <c r="H53" i="1" l="1"/>
  <c r="F53" i="1"/>
  <c r="G53" i="1"/>
  <c r="A54" i="1"/>
  <c r="E54" i="1" s="1"/>
  <c r="D53" i="1"/>
  <c r="C53" i="1"/>
  <c r="B53" i="1"/>
  <c r="I53" i="1"/>
  <c r="H54" i="1" l="1"/>
  <c r="G54" i="1"/>
  <c r="A55" i="1"/>
  <c r="E55" i="1" s="1"/>
  <c r="B54" i="1"/>
  <c r="I54" i="1"/>
  <c r="F54" i="1"/>
  <c r="D54" i="1"/>
  <c r="C54" i="1"/>
  <c r="F55" i="1" l="1"/>
  <c r="D55" i="1"/>
  <c r="G55" i="1"/>
  <c r="C55" i="1"/>
  <c r="B55" i="1"/>
  <c r="I55" i="1"/>
  <c r="A56" i="1"/>
  <c r="E56" i="1" s="1"/>
  <c r="H55" i="1"/>
  <c r="F56" i="1" l="1"/>
  <c r="A57" i="1"/>
  <c r="E57" i="1" s="1"/>
  <c r="D56" i="1"/>
  <c r="G56" i="1"/>
  <c r="I56" i="1"/>
  <c r="H56" i="1"/>
  <c r="C56" i="1"/>
  <c r="B56" i="1"/>
  <c r="H57" i="1" l="1"/>
  <c r="D57" i="1"/>
  <c r="B57" i="1"/>
  <c r="C57" i="1"/>
  <c r="I57" i="1"/>
  <c r="G57" i="1"/>
  <c r="F57" i="1"/>
  <c r="A58" i="1"/>
  <c r="E58" i="1" s="1"/>
  <c r="A59" i="1" l="1"/>
  <c r="E59" i="1" s="1"/>
  <c r="I58" i="1"/>
  <c r="D58" i="1"/>
  <c r="C58" i="1"/>
  <c r="B58" i="1"/>
  <c r="H58" i="1"/>
  <c r="G58" i="1"/>
  <c r="F58" i="1"/>
  <c r="F59" i="1" l="1"/>
  <c r="C59" i="1"/>
  <c r="B59" i="1"/>
  <c r="H59" i="1"/>
  <c r="G59" i="1"/>
  <c r="A60" i="1"/>
  <c r="E60" i="1" s="1"/>
  <c r="I59" i="1"/>
  <c r="D59" i="1"/>
  <c r="A61" i="1" l="1"/>
  <c r="E61" i="1" s="1"/>
  <c r="D60" i="1"/>
  <c r="C60" i="1"/>
  <c r="B60" i="1"/>
  <c r="I60" i="1"/>
  <c r="H60" i="1"/>
  <c r="G60" i="1"/>
  <c r="F60" i="1"/>
  <c r="D61" i="1" l="1"/>
  <c r="B61" i="1"/>
  <c r="G61" i="1"/>
  <c r="F61" i="1"/>
  <c r="A62" i="1"/>
  <c r="E62" i="1" s="1"/>
  <c r="H61" i="1"/>
  <c r="I61" i="1"/>
  <c r="C61" i="1"/>
  <c r="A63" i="1" l="1"/>
  <c r="E63" i="1" s="1"/>
  <c r="C62" i="1"/>
  <c r="H62" i="1"/>
  <c r="G62" i="1"/>
  <c r="F62" i="1"/>
  <c r="B62" i="1"/>
  <c r="D62" i="1"/>
  <c r="I62" i="1"/>
  <c r="B63" i="1" l="1"/>
  <c r="F63" i="1"/>
  <c r="I63" i="1"/>
  <c r="A64" i="1"/>
  <c r="E64" i="1" s="1"/>
  <c r="D63" i="1"/>
  <c r="C63" i="1"/>
  <c r="H63" i="1"/>
  <c r="G63" i="1"/>
  <c r="A65" i="1" l="1"/>
  <c r="E65" i="1" s="1"/>
  <c r="I64" i="1"/>
  <c r="B64" i="1"/>
  <c r="G64" i="1"/>
  <c r="H64" i="1"/>
  <c r="F64" i="1"/>
  <c r="D64" i="1"/>
  <c r="C64" i="1"/>
  <c r="H65" i="1" l="1"/>
  <c r="C65" i="1"/>
  <c r="B65" i="1"/>
  <c r="I65" i="1"/>
  <c r="G65" i="1"/>
  <c r="F65" i="1"/>
  <c r="A66" i="1"/>
  <c r="E66" i="1" s="1"/>
  <c r="D65" i="1"/>
  <c r="I66" i="1" l="1"/>
  <c r="H66" i="1"/>
  <c r="A67" i="1"/>
  <c r="E67" i="1" s="1"/>
  <c r="B66" i="1"/>
  <c r="D66" i="1"/>
  <c r="G66" i="1"/>
  <c r="F66" i="1"/>
  <c r="C66" i="1"/>
  <c r="F67" i="1" l="1"/>
  <c r="B67" i="1"/>
  <c r="G67" i="1"/>
  <c r="I67" i="1"/>
  <c r="D67" i="1"/>
  <c r="H67" i="1"/>
  <c r="C67" i="1"/>
  <c r="A68" i="1"/>
  <c r="E68" i="1" s="1"/>
  <c r="H68" i="1" l="1"/>
  <c r="G68" i="1"/>
  <c r="F68" i="1"/>
  <c r="C68" i="1"/>
  <c r="A69" i="1"/>
  <c r="E69" i="1" s="1"/>
  <c r="D68" i="1"/>
  <c r="B68" i="1"/>
  <c r="I68" i="1"/>
  <c r="D69" i="1" l="1"/>
  <c r="B69" i="1"/>
  <c r="C69" i="1"/>
  <c r="I69" i="1"/>
  <c r="A70" i="1"/>
  <c r="E70" i="1" s="1"/>
  <c r="H69" i="1"/>
  <c r="G69" i="1"/>
  <c r="F69" i="1"/>
  <c r="H70" i="1" l="1"/>
  <c r="F70" i="1"/>
  <c r="D70" i="1"/>
  <c r="I70" i="1"/>
  <c r="G70" i="1"/>
  <c r="C70" i="1"/>
  <c r="B70" i="1"/>
  <c r="A71" i="1"/>
  <c r="E71" i="1" s="1"/>
  <c r="B71" i="1" l="1"/>
  <c r="H71" i="1"/>
  <c r="G71" i="1"/>
  <c r="F71" i="1"/>
  <c r="A72" i="1"/>
  <c r="E72" i="1" s="1"/>
  <c r="D71" i="1"/>
  <c r="I71" i="1"/>
  <c r="C71" i="1"/>
  <c r="F72" i="1" l="1"/>
  <c r="D72" i="1"/>
  <c r="C72" i="1"/>
  <c r="B72" i="1"/>
  <c r="A73" i="1"/>
  <c r="E73" i="1" s="1"/>
  <c r="G72" i="1"/>
  <c r="H72" i="1"/>
  <c r="I72" i="1"/>
  <c r="A74" i="1" l="1"/>
  <c r="E74" i="1" s="1"/>
  <c r="I73" i="1"/>
  <c r="B73" i="1"/>
  <c r="H73" i="1"/>
  <c r="G73" i="1"/>
  <c r="F73" i="1"/>
  <c r="D73" i="1"/>
  <c r="C73" i="1"/>
  <c r="I74" i="1" l="1"/>
  <c r="D74" i="1"/>
  <c r="B74" i="1"/>
  <c r="C74" i="1"/>
  <c r="H74" i="1"/>
  <c r="G74" i="1"/>
  <c r="A75" i="1"/>
  <c r="E75" i="1" s="1"/>
  <c r="F74" i="1"/>
  <c r="I75" i="1" l="1"/>
  <c r="C75" i="1"/>
  <c r="A76" i="1"/>
  <c r="E76" i="1" s="1"/>
  <c r="H75" i="1"/>
  <c r="D75" i="1"/>
  <c r="G75" i="1"/>
  <c r="F75" i="1"/>
  <c r="B75" i="1"/>
  <c r="G76" i="1" l="1"/>
  <c r="B76" i="1"/>
  <c r="F76" i="1"/>
  <c r="D76" i="1"/>
  <c r="A77" i="1"/>
  <c r="E77" i="1" s="1"/>
  <c r="I76" i="1"/>
  <c r="H76" i="1"/>
  <c r="C76" i="1"/>
  <c r="I77" i="1" l="1"/>
  <c r="H77" i="1"/>
  <c r="G77" i="1"/>
  <c r="B77" i="1"/>
  <c r="F77" i="1"/>
  <c r="A78" i="1"/>
  <c r="E78" i="1" s="1"/>
  <c r="D77" i="1"/>
  <c r="C77" i="1"/>
  <c r="H78" i="1" l="1"/>
  <c r="I78" i="1"/>
  <c r="D78" i="1"/>
  <c r="C78" i="1"/>
  <c r="A79" i="1"/>
  <c r="E79" i="1" s="1"/>
  <c r="G78" i="1"/>
  <c r="F78" i="1"/>
  <c r="B78" i="1"/>
  <c r="I79" i="1" l="1"/>
  <c r="G79" i="1"/>
  <c r="F79" i="1"/>
  <c r="C79" i="1"/>
  <c r="A80" i="1"/>
  <c r="E80" i="1" s="1"/>
  <c r="H79" i="1"/>
  <c r="D79" i="1"/>
  <c r="B79" i="1"/>
  <c r="C80" i="1" l="1"/>
  <c r="A81" i="1"/>
  <c r="E81" i="1" s="1"/>
  <c r="D80" i="1"/>
  <c r="G80" i="1"/>
  <c r="F80" i="1"/>
  <c r="H80" i="1"/>
  <c r="B80" i="1"/>
  <c r="I80" i="1"/>
  <c r="A82" i="1" l="1"/>
  <c r="E82" i="1" s="1"/>
  <c r="G81" i="1"/>
  <c r="D81" i="1"/>
  <c r="C81" i="1"/>
  <c r="B81" i="1"/>
  <c r="H81" i="1"/>
  <c r="F81" i="1"/>
  <c r="I81" i="1"/>
  <c r="A83" i="1" l="1"/>
  <c r="E83" i="1" s="1"/>
  <c r="G82" i="1"/>
  <c r="I82" i="1"/>
  <c r="H82" i="1"/>
  <c r="F82" i="1"/>
  <c r="D82" i="1"/>
  <c r="C82" i="1"/>
  <c r="B82" i="1"/>
  <c r="H83" i="1" l="1"/>
  <c r="C83" i="1"/>
  <c r="B83" i="1"/>
  <c r="G83" i="1"/>
  <c r="I83" i="1"/>
  <c r="F83" i="1"/>
  <c r="D83" i="1"/>
  <c r="A84" i="1"/>
  <c r="E84" i="1" s="1"/>
  <c r="A85" i="1" l="1"/>
  <c r="E85" i="1" s="1"/>
  <c r="C84" i="1"/>
  <c r="D84" i="1"/>
  <c r="I84" i="1"/>
  <c r="H84" i="1"/>
  <c r="G84" i="1"/>
  <c r="F84" i="1"/>
  <c r="B84" i="1"/>
  <c r="H85" i="1" l="1"/>
  <c r="F85" i="1"/>
  <c r="C85" i="1"/>
  <c r="A86" i="1"/>
  <c r="E86" i="1" s="1"/>
  <c r="I85" i="1"/>
  <c r="G85" i="1"/>
  <c r="D85" i="1"/>
  <c r="B85" i="1"/>
  <c r="A87" i="1" l="1"/>
  <c r="E87" i="1" s="1"/>
  <c r="I86" i="1"/>
  <c r="H86" i="1"/>
  <c r="B86" i="1"/>
  <c r="F86" i="1"/>
  <c r="G86" i="1"/>
  <c r="D86" i="1"/>
  <c r="C86" i="1"/>
  <c r="F87" i="1" l="1"/>
  <c r="D87" i="1"/>
  <c r="G87" i="1"/>
  <c r="A88" i="1"/>
  <c r="E88" i="1" s="1"/>
  <c r="C87" i="1"/>
  <c r="I87" i="1"/>
  <c r="H87" i="1"/>
  <c r="B87" i="1"/>
  <c r="A89" i="1" l="1"/>
  <c r="E89" i="1" s="1"/>
  <c r="H88" i="1"/>
  <c r="G88" i="1"/>
  <c r="F88" i="1"/>
  <c r="D88" i="1"/>
  <c r="C88" i="1"/>
  <c r="I88" i="1"/>
  <c r="B88" i="1"/>
  <c r="D89" i="1" l="1"/>
  <c r="B89" i="1"/>
  <c r="C89" i="1"/>
  <c r="F89" i="1"/>
  <c r="I89" i="1"/>
  <c r="H89" i="1"/>
  <c r="A90" i="1"/>
  <c r="E90" i="1" s="1"/>
  <c r="G89" i="1"/>
  <c r="H90" i="1" l="1"/>
  <c r="F90" i="1"/>
  <c r="D90" i="1"/>
  <c r="A91" i="1"/>
  <c r="E91" i="1" s="1"/>
  <c r="G90" i="1"/>
  <c r="I90" i="1"/>
  <c r="C90" i="1"/>
  <c r="B90" i="1"/>
  <c r="B91" i="1" l="1"/>
  <c r="D91" i="1"/>
  <c r="C91" i="1"/>
  <c r="H91" i="1"/>
  <c r="A92" i="1"/>
  <c r="E92" i="1" s="1"/>
  <c r="I91" i="1"/>
  <c r="G91" i="1"/>
  <c r="F91" i="1"/>
  <c r="I92" i="1" l="1"/>
  <c r="H92" i="1"/>
  <c r="F92" i="1"/>
  <c r="D92" i="1"/>
  <c r="C92" i="1"/>
  <c r="B92" i="1"/>
  <c r="G92" i="1"/>
  <c r="A93" i="1"/>
  <c r="E93" i="1" s="1"/>
  <c r="A94" i="1" l="1"/>
  <c r="E94" i="1" s="1"/>
  <c r="I93" i="1"/>
  <c r="H93" i="1"/>
  <c r="G93" i="1"/>
  <c r="F93" i="1"/>
  <c r="D93" i="1"/>
  <c r="C93" i="1"/>
  <c r="B93" i="1"/>
  <c r="I94" i="1" l="1"/>
  <c r="G94" i="1"/>
  <c r="F94" i="1"/>
  <c r="D94" i="1"/>
  <c r="C94" i="1"/>
  <c r="B94" i="1"/>
  <c r="A95" i="1"/>
  <c r="E95" i="1" s="1"/>
  <c r="H94" i="1"/>
  <c r="A96" i="1" l="1"/>
  <c r="E96" i="1" s="1"/>
  <c r="I95" i="1"/>
  <c r="F95" i="1"/>
  <c r="H95" i="1"/>
  <c r="G95" i="1"/>
  <c r="D95" i="1"/>
  <c r="C95" i="1"/>
  <c r="B95" i="1"/>
  <c r="G96" i="1" l="1"/>
  <c r="D96" i="1"/>
  <c r="B96" i="1"/>
  <c r="I96" i="1"/>
  <c r="H96" i="1"/>
  <c r="F96" i="1"/>
  <c r="C96" i="1"/>
  <c r="A97" i="1"/>
  <c r="E97" i="1" s="1"/>
  <c r="A98" i="1" l="1"/>
  <c r="E98" i="1" s="1"/>
  <c r="I97" i="1"/>
  <c r="H97" i="1"/>
  <c r="G97" i="1"/>
  <c r="D97" i="1"/>
  <c r="C97" i="1"/>
  <c r="B97" i="1"/>
  <c r="F97" i="1"/>
  <c r="C98" i="1" l="1"/>
  <c r="B98" i="1"/>
  <c r="H98" i="1"/>
  <c r="D98" i="1"/>
  <c r="A99" i="1"/>
  <c r="E99" i="1" s="1"/>
  <c r="F98" i="1"/>
  <c r="I98" i="1"/>
  <c r="G98" i="1"/>
  <c r="A100" i="1" l="1"/>
  <c r="E100" i="1" s="1"/>
  <c r="I99" i="1"/>
  <c r="H99" i="1"/>
  <c r="G99" i="1"/>
  <c r="F99" i="1"/>
  <c r="D99" i="1"/>
  <c r="C99" i="1"/>
  <c r="B99" i="1"/>
  <c r="C100" i="1" l="1"/>
  <c r="B100" i="1"/>
  <c r="G100" i="1"/>
  <c r="H100" i="1"/>
  <c r="F100" i="1"/>
  <c r="D100" i="1"/>
  <c r="A101" i="1"/>
  <c r="E101" i="1" s="1"/>
  <c r="I100" i="1"/>
  <c r="A102" i="1" l="1"/>
  <c r="E102" i="1" s="1"/>
  <c r="I101" i="1"/>
  <c r="H101" i="1"/>
  <c r="G101" i="1"/>
  <c r="F101" i="1"/>
  <c r="D101" i="1"/>
  <c r="C101" i="1"/>
  <c r="B101" i="1"/>
  <c r="C102" i="1" l="1"/>
  <c r="A103" i="1"/>
  <c r="E103" i="1" s="1"/>
  <c r="I102" i="1"/>
  <c r="B102" i="1"/>
  <c r="G102" i="1"/>
  <c r="F102" i="1"/>
  <c r="H102" i="1"/>
  <c r="D102" i="1"/>
  <c r="A104" i="1" l="1"/>
  <c r="E104" i="1" s="1"/>
  <c r="I103" i="1"/>
  <c r="H103" i="1"/>
  <c r="G103" i="1"/>
  <c r="F103" i="1"/>
  <c r="D103" i="1"/>
  <c r="B103" i="1"/>
  <c r="C103" i="1"/>
  <c r="D104" i="1" l="1"/>
  <c r="B104" i="1"/>
  <c r="F104" i="1"/>
  <c r="A105" i="1"/>
  <c r="E105" i="1" s="1"/>
  <c r="I104" i="1"/>
  <c r="H104" i="1"/>
  <c r="G104" i="1"/>
  <c r="C104" i="1"/>
  <c r="A106" i="1" l="1"/>
  <c r="E106" i="1" s="1"/>
  <c r="I105" i="1"/>
  <c r="H105" i="1"/>
  <c r="G105" i="1"/>
  <c r="F105" i="1"/>
  <c r="D105" i="1"/>
  <c r="C105" i="1"/>
  <c r="B105" i="1"/>
  <c r="F106" i="1" l="1"/>
  <c r="D106" i="1"/>
  <c r="C106" i="1"/>
  <c r="B106" i="1"/>
  <c r="A107" i="1"/>
  <c r="E107" i="1" s="1"/>
  <c r="I106" i="1"/>
  <c r="H106" i="1"/>
  <c r="G106" i="1"/>
  <c r="A108" i="1" l="1"/>
  <c r="E108" i="1" s="1"/>
  <c r="I107" i="1"/>
  <c r="H107" i="1"/>
  <c r="D107" i="1"/>
  <c r="C107" i="1"/>
  <c r="B107" i="1"/>
  <c r="G107" i="1"/>
  <c r="F107" i="1"/>
  <c r="H108" i="1" l="1"/>
  <c r="F108" i="1"/>
  <c r="D108" i="1"/>
  <c r="C108" i="1"/>
  <c r="B108" i="1"/>
  <c r="G108" i="1"/>
  <c r="I108" i="1"/>
  <c r="A109" i="1"/>
  <c r="E109" i="1" s="1"/>
  <c r="A110" i="1" l="1"/>
  <c r="E110" i="1" s="1"/>
  <c r="F109" i="1"/>
  <c r="I109" i="1"/>
  <c r="H109" i="1"/>
  <c r="G109" i="1"/>
  <c r="D109" i="1"/>
  <c r="C109" i="1"/>
  <c r="B109" i="1"/>
  <c r="A111" i="1" l="1"/>
  <c r="E111" i="1" s="1"/>
  <c r="H110" i="1"/>
  <c r="G110" i="1"/>
  <c r="F110" i="1"/>
  <c r="D110" i="1"/>
  <c r="C110" i="1"/>
  <c r="B110" i="1"/>
  <c r="I110" i="1"/>
  <c r="F111" i="1" l="1"/>
  <c r="D111" i="1"/>
  <c r="C111" i="1"/>
  <c r="A112" i="1"/>
  <c r="E112" i="1" s="1"/>
  <c r="H111" i="1"/>
  <c r="G111" i="1"/>
  <c r="B111" i="1"/>
  <c r="I111" i="1"/>
  <c r="A113" i="1" l="1"/>
  <c r="E113" i="1" s="1"/>
  <c r="I112" i="1"/>
  <c r="H112" i="1"/>
  <c r="G112" i="1"/>
  <c r="F112" i="1"/>
  <c r="D112" i="1"/>
  <c r="C112" i="1"/>
  <c r="B112" i="1"/>
  <c r="C113" i="1" l="1"/>
  <c r="H113" i="1"/>
  <c r="A114" i="1"/>
  <c r="E114" i="1" s="1"/>
  <c r="I113" i="1"/>
  <c r="D113" i="1"/>
  <c r="B113" i="1"/>
  <c r="G113" i="1"/>
  <c r="F113" i="1"/>
  <c r="A115" i="1" l="1"/>
  <c r="E115" i="1" s="1"/>
  <c r="I114" i="1"/>
  <c r="H114" i="1"/>
  <c r="G114" i="1"/>
  <c r="F114" i="1"/>
  <c r="D114" i="1"/>
  <c r="C114" i="1"/>
  <c r="B114" i="1"/>
  <c r="C115" i="1" l="1"/>
  <c r="B115" i="1"/>
  <c r="H115" i="1"/>
  <c r="F115" i="1"/>
  <c r="G115" i="1"/>
  <c r="D115" i="1"/>
  <c r="A116" i="1"/>
  <c r="E116" i="1" s="1"/>
  <c r="I115" i="1"/>
  <c r="A117" i="1" l="1"/>
  <c r="E117" i="1" s="1"/>
  <c r="I116" i="1"/>
  <c r="H116" i="1"/>
  <c r="G116" i="1"/>
  <c r="C116" i="1"/>
  <c r="F116" i="1"/>
  <c r="D116" i="1"/>
  <c r="B116" i="1"/>
  <c r="G117" i="1" l="1"/>
  <c r="D117" i="1"/>
  <c r="C117" i="1"/>
  <c r="B117" i="1"/>
  <c r="A118" i="1"/>
  <c r="E118" i="1" s="1"/>
  <c r="I117" i="1"/>
  <c r="H117" i="1"/>
  <c r="F117" i="1"/>
  <c r="A119" i="1" l="1"/>
  <c r="E119" i="1" s="1"/>
  <c r="I118" i="1"/>
  <c r="H118" i="1"/>
  <c r="G118" i="1"/>
  <c r="D118" i="1"/>
  <c r="C118" i="1"/>
  <c r="F118" i="1"/>
  <c r="B118" i="1"/>
  <c r="I119" i="1" l="1"/>
  <c r="G119" i="1"/>
  <c r="F119" i="1"/>
  <c r="D119" i="1"/>
  <c r="C119" i="1"/>
  <c r="B119" i="1"/>
  <c r="A120" i="1"/>
  <c r="E120" i="1" s="1"/>
  <c r="H119" i="1"/>
  <c r="D120" i="1" l="1"/>
  <c r="A121" i="1"/>
  <c r="E121" i="1" s="1"/>
  <c r="I120" i="1"/>
  <c r="F120" i="1"/>
  <c r="H120" i="1"/>
  <c r="G120" i="1"/>
  <c r="B120" i="1"/>
  <c r="C120" i="1"/>
  <c r="I121" i="1" l="1"/>
  <c r="H121" i="1"/>
  <c r="G121" i="1"/>
  <c r="F121" i="1"/>
  <c r="D121" i="1"/>
  <c r="C121" i="1"/>
  <c r="B121" i="1"/>
  <c r="A122" i="1"/>
  <c r="E122" i="1" s="1"/>
  <c r="B122" i="1" l="1"/>
  <c r="A123" i="1"/>
  <c r="E123" i="1" s="1"/>
  <c r="I122" i="1"/>
  <c r="H122" i="1"/>
  <c r="C122" i="1"/>
  <c r="G122" i="1"/>
  <c r="F122" i="1"/>
  <c r="D122" i="1"/>
  <c r="A124" i="1" l="1"/>
  <c r="E124" i="1" s="1"/>
  <c r="I123" i="1"/>
  <c r="H123" i="1"/>
  <c r="G123" i="1"/>
  <c r="F123" i="1"/>
  <c r="D123" i="1"/>
  <c r="C123" i="1"/>
  <c r="B123" i="1"/>
  <c r="D124" i="1" l="1"/>
  <c r="B124" i="1"/>
  <c r="G124" i="1"/>
  <c r="F124" i="1"/>
  <c r="C124" i="1"/>
  <c r="A125" i="1"/>
  <c r="E125" i="1" s="1"/>
  <c r="I124" i="1"/>
  <c r="H124" i="1"/>
  <c r="A126" i="1" l="1"/>
  <c r="E126" i="1" s="1"/>
  <c r="I125" i="1"/>
  <c r="H125" i="1"/>
  <c r="G125" i="1"/>
  <c r="F125" i="1"/>
  <c r="D125" i="1"/>
  <c r="B125" i="1"/>
  <c r="C125" i="1"/>
  <c r="F126" i="1" l="1"/>
  <c r="D126" i="1"/>
  <c r="C126" i="1"/>
  <c r="B126" i="1"/>
  <c r="A127" i="1"/>
  <c r="E127" i="1" s="1"/>
  <c r="I126" i="1"/>
  <c r="H126" i="1"/>
  <c r="G126" i="1"/>
  <c r="A128" i="1" l="1"/>
  <c r="E128" i="1" s="1"/>
  <c r="I127" i="1"/>
  <c r="H127" i="1"/>
  <c r="D127" i="1"/>
  <c r="C127" i="1"/>
  <c r="B127" i="1"/>
  <c r="G127" i="1"/>
  <c r="F127" i="1"/>
  <c r="H128" i="1" l="1"/>
  <c r="F128" i="1"/>
  <c r="D128" i="1"/>
  <c r="C128" i="1"/>
  <c r="B128" i="1"/>
  <c r="I128" i="1"/>
  <c r="G128" i="1"/>
  <c r="A129" i="1"/>
  <c r="E129" i="1" s="1"/>
  <c r="A130" i="1" l="1"/>
  <c r="E130" i="1" s="1"/>
  <c r="I129" i="1"/>
  <c r="H129" i="1"/>
  <c r="G129" i="1"/>
  <c r="F129" i="1"/>
  <c r="D129" i="1"/>
  <c r="C129" i="1"/>
  <c r="B129" i="1"/>
  <c r="A131" i="1" l="1"/>
  <c r="E131" i="1" s="1"/>
  <c r="H130" i="1"/>
  <c r="G130" i="1"/>
  <c r="F130" i="1"/>
  <c r="D130" i="1"/>
  <c r="C130" i="1"/>
  <c r="B130" i="1"/>
  <c r="I130" i="1"/>
  <c r="G131" i="1" l="1"/>
  <c r="F131" i="1"/>
  <c r="D131" i="1"/>
  <c r="C131" i="1"/>
  <c r="B131" i="1"/>
  <c r="A132" i="1"/>
  <c r="E132" i="1" s="1"/>
  <c r="I131" i="1"/>
  <c r="H131" i="1"/>
  <c r="A133" i="1" l="1"/>
  <c r="E133" i="1" s="1"/>
  <c r="I132" i="1"/>
  <c r="H132" i="1"/>
  <c r="G132" i="1"/>
  <c r="F132" i="1"/>
  <c r="D132" i="1"/>
  <c r="C132" i="1"/>
  <c r="B132" i="1"/>
  <c r="C133" i="1" l="1"/>
  <c r="A134" i="1"/>
  <c r="E134" i="1" s="1"/>
  <c r="I133" i="1"/>
  <c r="H133" i="1"/>
  <c r="D133" i="1"/>
  <c r="B133" i="1"/>
  <c r="G133" i="1"/>
  <c r="F133" i="1"/>
  <c r="A135" i="1" l="1"/>
  <c r="E135" i="1" s="1"/>
  <c r="I134" i="1"/>
  <c r="H134" i="1"/>
  <c r="G134" i="1"/>
  <c r="F134" i="1"/>
  <c r="D134" i="1"/>
  <c r="C134" i="1"/>
  <c r="B134" i="1"/>
  <c r="C135" i="1" l="1"/>
  <c r="B135" i="1"/>
  <c r="I135" i="1"/>
  <c r="H135" i="1"/>
  <c r="G135" i="1"/>
  <c r="F135" i="1"/>
  <c r="D135" i="1"/>
  <c r="A136" i="1"/>
  <c r="E136" i="1" s="1"/>
  <c r="A137" i="1" l="1"/>
  <c r="E137" i="1" s="1"/>
  <c r="I136" i="1"/>
  <c r="H136" i="1"/>
  <c r="G136" i="1"/>
  <c r="D136" i="1"/>
  <c r="B136" i="1"/>
  <c r="C136" i="1"/>
  <c r="F136" i="1"/>
  <c r="G137" i="1" l="1"/>
  <c r="F137" i="1"/>
  <c r="D137" i="1"/>
  <c r="C137" i="1"/>
  <c r="B137" i="1"/>
  <c r="I137" i="1"/>
  <c r="H137" i="1"/>
  <c r="A138" i="1"/>
  <c r="E138" i="1" s="1"/>
  <c r="A139" i="1" l="1"/>
  <c r="E139" i="1" s="1"/>
  <c r="I138" i="1"/>
  <c r="F138" i="1"/>
  <c r="H138" i="1"/>
  <c r="G138" i="1"/>
  <c r="D138" i="1"/>
  <c r="C138" i="1"/>
  <c r="B138" i="1"/>
  <c r="I139" i="1" l="1"/>
  <c r="H139" i="1"/>
  <c r="G139" i="1"/>
  <c r="F139" i="1"/>
  <c r="D139" i="1"/>
  <c r="C139" i="1"/>
  <c r="B139" i="1"/>
  <c r="A140" i="1"/>
  <c r="E140" i="1" s="1"/>
  <c r="H140" i="1" l="1"/>
  <c r="C140" i="1"/>
  <c r="D140" i="1"/>
  <c r="B140" i="1"/>
  <c r="A141" i="1"/>
  <c r="E141" i="1" s="1"/>
  <c r="I140" i="1"/>
  <c r="G140" i="1"/>
  <c r="F140" i="1"/>
  <c r="A142" i="1" l="1"/>
  <c r="E142" i="1" s="1"/>
  <c r="I141" i="1"/>
  <c r="H141" i="1"/>
  <c r="G141" i="1"/>
  <c r="F141" i="1"/>
  <c r="D141" i="1"/>
  <c r="C141" i="1"/>
  <c r="B141" i="1"/>
  <c r="B142" i="1" l="1"/>
  <c r="A143" i="1"/>
  <c r="E143" i="1" s="1"/>
  <c r="I142" i="1"/>
  <c r="H142" i="1"/>
  <c r="G142" i="1"/>
  <c r="F142" i="1"/>
  <c r="D142" i="1"/>
  <c r="C142" i="1"/>
  <c r="A144" i="1" l="1"/>
  <c r="E144" i="1" s="1"/>
  <c r="I143" i="1"/>
  <c r="H143" i="1"/>
  <c r="G143" i="1"/>
  <c r="F143" i="1"/>
  <c r="D143" i="1"/>
  <c r="C143" i="1"/>
  <c r="B143" i="1"/>
  <c r="D144" i="1" l="1"/>
  <c r="C144" i="1"/>
  <c r="B144" i="1"/>
  <c r="A145" i="1"/>
  <c r="E145" i="1" s="1"/>
  <c r="I144" i="1"/>
  <c r="H144" i="1"/>
  <c r="G144" i="1"/>
  <c r="F144" i="1"/>
  <c r="A146" i="1" l="1"/>
  <c r="E146" i="1" s="1"/>
  <c r="I145" i="1"/>
  <c r="H145" i="1"/>
  <c r="G145" i="1"/>
  <c r="F145" i="1"/>
  <c r="C145" i="1"/>
  <c r="B145" i="1"/>
  <c r="D145" i="1"/>
  <c r="F146" i="1" l="1"/>
  <c r="D146" i="1"/>
  <c r="C146" i="1"/>
  <c r="B146" i="1"/>
  <c r="H146" i="1"/>
  <c r="A147" i="1"/>
  <c r="E147" i="1" s="1"/>
  <c r="I146" i="1"/>
  <c r="G146" i="1"/>
  <c r="A148" i="1" l="1"/>
  <c r="E148" i="1" s="1"/>
  <c r="I147" i="1"/>
  <c r="H147" i="1"/>
  <c r="G147" i="1"/>
  <c r="F147" i="1"/>
  <c r="B147" i="1"/>
  <c r="D147" i="1"/>
  <c r="C147" i="1"/>
  <c r="H148" i="1" l="1"/>
  <c r="G148" i="1"/>
  <c r="F148" i="1"/>
  <c r="D148" i="1"/>
  <c r="C148" i="1"/>
  <c r="B148" i="1"/>
  <c r="A149" i="1"/>
  <c r="E149" i="1" s="1"/>
  <c r="I148" i="1"/>
  <c r="A150" i="1" l="1"/>
  <c r="E150" i="1" s="1"/>
  <c r="G149" i="1"/>
  <c r="I149" i="1"/>
  <c r="H149" i="1"/>
  <c r="F149" i="1"/>
  <c r="D149" i="1"/>
  <c r="C149" i="1"/>
  <c r="B149" i="1"/>
  <c r="A151" i="1" l="1"/>
  <c r="E151" i="1" s="1"/>
  <c r="I150" i="1"/>
  <c r="H150" i="1"/>
  <c r="G150" i="1"/>
  <c r="F150" i="1"/>
  <c r="D150" i="1"/>
  <c r="C150" i="1"/>
  <c r="B150" i="1"/>
  <c r="I151" i="1" l="1"/>
  <c r="C151" i="1"/>
  <c r="A152" i="1"/>
  <c r="E152" i="1" s="1"/>
  <c r="H151" i="1"/>
  <c r="G151" i="1"/>
  <c r="F151" i="1"/>
  <c r="D151" i="1"/>
  <c r="B151" i="1"/>
  <c r="A153" i="1" l="1"/>
  <c r="E153" i="1" s="1"/>
  <c r="I152" i="1"/>
  <c r="H152" i="1"/>
  <c r="G152" i="1"/>
  <c r="F152" i="1"/>
  <c r="D152" i="1"/>
  <c r="C152" i="1"/>
  <c r="B152" i="1"/>
  <c r="C153" i="1" l="1"/>
  <c r="B153" i="1"/>
  <c r="A154" i="1"/>
  <c r="E154" i="1" s="1"/>
  <c r="I153" i="1"/>
  <c r="H153" i="1"/>
  <c r="G153" i="1"/>
  <c r="F153" i="1"/>
  <c r="D153" i="1"/>
  <c r="A155" i="1" l="1"/>
  <c r="E155" i="1" s="1"/>
  <c r="I154" i="1"/>
  <c r="H154" i="1"/>
  <c r="G154" i="1"/>
  <c r="F154" i="1"/>
  <c r="B154" i="1"/>
  <c r="D154" i="1"/>
  <c r="C154" i="1"/>
  <c r="D155" i="1" l="1"/>
  <c r="C155" i="1"/>
  <c r="B155" i="1"/>
  <c r="G155" i="1"/>
  <c r="F155" i="1"/>
  <c r="A156" i="1"/>
  <c r="E156" i="1" s="1"/>
  <c r="I155" i="1"/>
  <c r="H155" i="1"/>
  <c r="A157" i="1" l="1"/>
  <c r="E157" i="1" s="1"/>
  <c r="I156" i="1"/>
  <c r="H156" i="1"/>
  <c r="G156" i="1"/>
  <c r="D156" i="1"/>
  <c r="B156" i="1"/>
  <c r="F156" i="1"/>
  <c r="C156" i="1"/>
  <c r="G157" i="1" l="1"/>
  <c r="F157" i="1"/>
  <c r="D157" i="1"/>
  <c r="C157" i="1"/>
  <c r="B157" i="1"/>
  <c r="A158" i="1"/>
  <c r="E158" i="1" s="1"/>
  <c r="I157" i="1"/>
  <c r="H157" i="1"/>
  <c r="A159" i="1" l="1"/>
  <c r="E159" i="1" s="1"/>
  <c r="I158" i="1"/>
  <c r="F158" i="1"/>
  <c r="H158" i="1"/>
  <c r="G158" i="1"/>
  <c r="D158" i="1"/>
  <c r="C158" i="1"/>
  <c r="B158" i="1"/>
  <c r="I159" i="1" l="1"/>
  <c r="H159" i="1"/>
  <c r="G159" i="1"/>
  <c r="F159" i="1"/>
  <c r="D159" i="1"/>
  <c r="C159" i="1"/>
  <c r="B159" i="1"/>
  <c r="A160" i="1"/>
  <c r="E160" i="1" s="1"/>
  <c r="H160" i="1" l="1"/>
  <c r="D160" i="1"/>
  <c r="C160" i="1"/>
  <c r="B160" i="1"/>
  <c r="I160" i="1"/>
  <c r="F160" i="1"/>
  <c r="A161" i="1"/>
  <c r="E161" i="1" s="1"/>
  <c r="G160" i="1"/>
  <c r="A162" i="1" l="1"/>
  <c r="E162" i="1" s="1"/>
  <c r="I161" i="1"/>
  <c r="H161" i="1"/>
  <c r="G161" i="1"/>
  <c r="F161" i="1"/>
  <c r="D161" i="1"/>
  <c r="C161" i="1"/>
  <c r="B161" i="1"/>
  <c r="B162" i="1" l="1"/>
  <c r="A163" i="1"/>
  <c r="E163" i="1" s="1"/>
  <c r="I162" i="1"/>
  <c r="H162" i="1"/>
  <c r="G162" i="1"/>
  <c r="D162" i="1"/>
  <c r="F162" i="1"/>
  <c r="C162" i="1"/>
  <c r="A164" i="1" l="1"/>
  <c r="E164" i="1" s="1"/>
  <c r="I163" i="1"/>
  <c r="H163" i="1"/>
  <c r="G163" i="1"/>
  <c r="F163" i="1"/>
  <c r="D163" i="1"/>
  <c r="C163" i="1"/>
  <c r="B163" i="1"/>
  <c r="D164" i="1" l="1"/>
  <c r="C164" i="1"/>
  <c r="B164" i="1"/>
  <c r="A165" i="1"/>
  <c r="E165" i="1" s="1"/>
  <c r="I164" i="1"/>
  <c r="H164" i="1"/>
  <c r="G164" i="1"/>
  <c r="F164" i="1"/>
  <c r="A166" i="1" l="1"/>
  <c r="E166" i="1" s="1"/>
  <c r="I165" i="1"/>
  <c r="H165" i="1"/>
  <c r="G165" i="1"/>
  <c r="F165" i="1"/>
  <c r="C165" i="1"/>
  <c r="D165" i="1"/>
  <c r="B165" i="1"/>
  <c r="F166" i="1" l="1"/>
  <c r="D166" i="1"/>
  <c r="C166" i="1"/>
  <c r="B166" i="1"/>
  <c r="G166" i="1"/>
  <c r="A167" i="1"/>
  <c r="E167" i="1" s="1"/>
  <c r="I166" i="1"/>
  <c r="H166" i="1"/>
  <c r="A168" i="1" l="1"/>
  <c r="E168" i="1" s="1"/>
  <c r="I167" i="1"/>
  <c r="H167" i="1"/>
  <c r="G167" i="1"/>
  <c r="F167" i="1"/>
  <c r="D167" i="1"/>
  <c r="C167" i="1"/>
  <c r="B167" i="1"/>
  <c r="H168" i="1" l="1"/>
  <c r="G168" i="1"/>
  <c r="F168" i="1"/>
  <c r="D168" i="1"/>
  <c r="C168" i="1"/>
  <c r="B168" i="1"/>
  <c r="A169" i="1"/>
  <c r="E169" i="1" s="1"/>
  <c r="I168" i="1"/>
  <c r="A170" i="1" l="1"/>
  <c r="E170" i="1" s="1"/>
  <c r="G169" i="1"/>
  <c r="H169" i="1"/>
  <c r="F169" i="1"/>
  <c r="D169" i="1"/>
  <c r="C169" i="1"/>
  <c r="B169" i="1"/>
  <c r="I169" i="1"/>
  <c r="A171" i="1" l="1"/>
  <c r="E171" i="1" s="1"/>
  <c r="I170" i="1"/>
  <c r="H170" i="1"/>
  <c r="G170" i="1"/>
  <c r="F170" i="1"/>
  <c r="D170" i="1"/>
  <c r="C170" i="1"/>
  <c r="B170" i="1"/>
  <c r="I171" i="1" l="1"/>
  <c r="D171" i="1"/>
  <c r="B171" i="1"/>
  <c r="G171" i="1"/>
  <c r="F171" i="1"/>
  <c r="A172" i="1"/>
  <c r="E172" i="1" s="1"/>
  <c r="C171" i="1"/>
  <c r="H171" i="1"/>
  <c r="A173" i="1" l="1"/>
  <c r="E173" i="1" s="1"/>
  <c r="I172" i="1"/>
  <c r="H172" i="1"/>
  <c r="G172" i="1"/>
  <c r="F172" i="1"/>
  <c r="D172" i="1"/>
  <c r="C172" i="1"/>
  <c r="B172" i="1"/>
  <c r="C173" i="1" l="1"/>
  <c r="B173" i="1"/>
  <c r="A174" i="1"/>
  <c r="E174" i="1" s="1"/>
  <c r="I173" i="1"/>
  <c r="H173" i="1"/>
  <c r="G173" i="1"/>
  <c r="F173" i="1"/>
  <c r="D173" i="1"/>
  <c r="A175" i="1" l="1"/>
  <c r="E175" i="1" s="1"/>
  <c r="I174" i="1"/>
  <c r="H174" i="1"/>
  <c r="G174" i="1"/>
  <c r="F174" i="1"/>
  <c r="B174" i="1"/>
  <c r="D174" i="1"/>
  <c r="C174" i="1"/>
  <c r="D175" i="1" l="1"/>
  <c r="C175" i="1"/>
  <c r="B175" i="1"/>
  <c r="F175" i="1"/>
  <c r="A176" i="1"/>
  <c r="E176" i="1" s="1"/>
  <c r="I175" i="1"/>
  <c r="H175" i="1"/>
  <c r="G175" i="1"/>
  <c r="A177" i="1" l="1"/>
  <c r="E177" i="1" s="1"/>
  <c r="I176" i="1"/>
  <c r="H176" i="1"/>
  <c r="G176" i="1"/>
  <c r="D176" i="1"/>
  <c r="F176" i="1"/>
  <c r="C176" i="1"/>
  <c r="B176" i="1"/>
  <c r="G177" i="1" l="1"/>
  <c r="F177" i="1"/>
  <c r="D177" i="1"/>
  <c r="C177" i="1"/>
  <c r="B177" i="1"/>
  <c r="A178" i="1"/>
  <c r="E178" i="1" s="1"/>
  <c r="I177" i="1"/>
  <c r="H177" i="1"/>
  <c r="A179" i="1" l="1"/>
  <c r="E179" i="1" s="1"/>
  <c r="I178" i="1"/>
  <c r="F178" i="1"/>
  <c r="H178" i="1"/>
  <c r="G178" i="1"/>
  <c r="D178" i="1"/>
  <c r="C178" i="1"/>
  <c r="B178" i="1"/>
  <c r="I179" i="1" l="1"/>
  <c r="H179" i="1"/>
  <c r="G179" i="1"/>
  <c r="F179" i="1"/>
  <c r="D179" i="1"/>
  <c r="C179" i="1"/>
  <c r="B179" i="1"/>
  <c r="A180" i="1"/>
  <c r="E180" i="1" s="1"/>
  <c r="H180" i="1" l="1"/>
  <c r="C180" i="1"/>
  <c r="B180" i="1"/>
  <c r="G180" i="1"/>
  <c r="A181" i="1"/>
  <c r="E181" i="1" s="1"/>
  <c r="I180" i="1"/>
  <c r="F180" i="1"/>
  <c r="D180" i="1"/>
  <c r="A182" i="1" l="1"/>
  <c r="E182" i="1" s="1"/>
  <c r="I181" i="1"/>
  <c r="H181" i="1"/>
  <c r="G181" i="1"/>
  <c r="F181" i="1"/>
  <c r="D181" i="1"/>
  <c r="C181" i="1"/>
  <c r="B181" i="1"/>
  <c r="B182" i="1" l="1"/>
  <c r="A183" i="1"/>
  <c r="E183" i="1" s="1"/>
  <c r="I182" i="1"/>
  <c r="H182" i="1"/>
  <c r="G182" i="1"/>
  <c r="F182" i="1"/>
  <c r="C182" i="1"/>
  <c r="D182" i="1"/>
  <c r="A184" i="1" l="1"/>
  <c r="E184" i="1" s="1"/>
  <c r="I183" i="1"/>
  <c r="H183" i="1"/>
  <c r="G183" i="1"/>
  <c r="F183" i="1"/>
  <c r="D183" i="1"/>
  <c r="C183" i="1"/>
  <c r="B183" i="1"/>
  <c r="D184" i="1" l="1"/>
  <c r="C184" i="1"/>
  <c r="B184" i="1"/>
  <c r="I184" i="1"/>
  <c r="H184" i="1"/>
  <c r="G184" i="1"/>
  <c r="F184" i="1"/>
  <c r="A185" i="1"/>
  <c r="E185" i="1" s="1"/>
  <c r="A186" i="1" l="1"/>
  <c r="E186" i="1" s="1"/>
  <c r="I185" i="1"/>
  <c r="H185" i="1"/>
  <c r="G185" i="1"/>
  <c r="F185" i="1"/>
  <c r="C185" i="1"/>
  <c r="B185" i="1"/>
  <c r="D185" i="1"/>
  <c r="F186" i="1" l="1"/>
  <c r="D186" i="1"/>
  <c r="C186" i="1"/>
  <c r="B186" i="1"/>
  <c r="A187" i="1"/>
  <c r="E187" i="1" s="1"/>
  <c r="I186" i="1"/>
  <c r="G186" i="1"/>
  <c r="H186" i="1"/>
  <c r="A188" i="1" l="1"/>
  <c r="E188" i="1" s="1"/>
  <c r="I187" i="1"/>
  <c r="H187" i="1"/>
  <c r="G187" i="1"/>
  <c r="F187" i="1"/>
  <c r="D187" i="1"/>
  <c r="C187" i="1"/>
  <c r="B187" i="1"/>
  <c r="H188" i="1" l="1"/>
  <c r="G188" i="1"/>
  <c r="F188" i="1"/>
  <c r="D188" i="1"/>
  <c r="C188" i="1"/>
  <c r="B188" i="1"/>
  <c r="A189" i="1"/>
  <c r="E189" i="1" s="1"/>
  <c r="I188" i="1"/>
  <c r="A190" i="1" l="1"/>
  <c r="E190" i="1" s="1"/>
  <c r="G189" i="1"/>
  <c r="F189" i="1"/>
  <c r="D189" i="1"/>
  <c r="C189" i="1"/>
  <c r="B189" i="1"/>
  <c r="I189" i="1"/>
  <c r="H189" i="1"/>
  <c r="A191" i="1" l="1"/>
  <c r="E191" i="1" s="1"/>
  <c r="I190" i="1"/>
  <c r="H190" i="1"/>
  <c r="G190" i="1"/>
  <c r="F190" i="1"/>
  <c r="D190" i="1"/>
  <c r="C190" i="1"/>
  <c r="B190" i="1"/>
  <c r="I191" i="1" l="1"/>
  <c r="A192" i="1"/>
  <c r="E192" i="1" s="1"/>
  <c r="C191" i="1"/>
  <c r="B191" i="1"/>
  <c r="H191" i="1"/>
  <c r="G191" i="1"/>
  <c r="F191" i="1"/>
  <c r="D191" i="1"/>
  <c r="A193" i="1" l="1"/>
  <c r="E193" i="1" s="1"/>
  <c r="I192" i="1"/>
  <c r="H192" i="1"/>
  <c r="G192" i="1"/>
  <c r="F192" i="1"/>
  <c r="D192" i="1"/>
  <c r="C192" i="1"/>
  <c r="B192" i="1"/>
  <c r="C193" i="1" l="1"/>
  <c r="B193" i="1"/>
  <c r="A194" i="1"/>
  <c r="E194" i="1" s="1"/>
  <c r="I193" i="1"/>
  <c r="H193" i="1"/>
  <c r="G193" i="1"/>
  <c r="F193" i="1"/>
  <c r="D193" i="1"/>
  <c r="A195" i="1" l="1"/>
  <c r="E195" i="1" s="1"/>
  <c r="I194" i="1"/>
  <c r="H194" i="1"/>
  <c r="G194" i="1"/>
  <c r="F194" i="1"/>
  <c r="B194" i="1"/>
  <c r="D194" i="1"/>
  <c r="C194" i="1"/>
  <c r="D195" i="1" l="1"/>
  <c r="C195" i="1"/>
  <c r="B195" i="1"/>
  <c r="I195" i="1"/>
  <c r="H195" i="1"/>
  <c r="A196" i="1"/>
  <c r="E196" i="1" s="1"/>
  <c r="G195" i="1"/>
  <c r="F195" i="1"/>
  <c r="A197" i="1" l="1"/>
  <c r="E197" i="1" s="1"/>
  <c r="I196" i="1"/>
  <c r="H196" i="1"/>
  <c r="G196" i="1"/>
  <c r="D196" i="1"/>
  <c r="F196" i="1"/>
  <c r="C196" i="1"/>
  <c r="B196" i="1"/>
  <c r="G197" i="1" l="1"/>
  <c r="F197" i="1"/>
  <c r="D197" i="1"/>
  <c r="C197" i="1"/>
  <c r="B197" i="1"/>
  <c r="A198" i="1"/>
  <c r="E198" i="1" s="1"/>
  <c r="I197" i="1"/>
  <c r="H197" i="1"/>
  <c r="A199" i="1" l="1"/>
  <c r="E199" i="1" s="1"/>
  <c r="I198" i="1"/>
  <c r="F198" i="1"/>
  <c r="H198" i="1"/>
  <c r="G198" i="1"/>
  <c r="D198" i="1"/>
  <c r="C198" i="1"/>
  <c r="B198" i="1"/>
  <c r="I199" i="1" l="1"/>
  <c r="H199" i="1"/>
  <c r="G199" i="1"/>
  <c r="F199" i="1"/>
  <c r="D199" i="1"/>
  <c r="C199" i="1"/>
  <c r="B199" i="1"/>
  <c r="A200" i="1"/>
  <c r="E200" i="1" s="1"/>
  <c r="H200" i="1" l="1"/>
  <c r="B200" i="1"/>
  <c r="F200" i="1"/>
  <c r="A201" i="1"/>
  <c r="E201" i="1" s="1"/>
  <c r="I200" i="1"/>
  <c r="C200" i="1"/>
  <c r="G200" i="1"/>
  <c r="D200" i="1"/>
  <c r="A202" i="1" l="1"/>
  <c r="E202" i="1" s="1"/>
  <c r="I201" i="1"/>
  <c r="H201" i="1"/>
  <c r="G201" i="1"/>
  <c r="F201" i="1"/>
  <c r="D201" i="1"/>
  <c r="C201" i="1"/>
  <c r="B201" i="1"/>
  <c r="B202" i="1" l="1"/>
  <c r="A203" i="1"/>
  <c r="E203" i="1" s="1"/>
  <c r="I202" i="1"/>
  <c r="H202" i="1"/>
  <c r="G202" i="1"/>
  <c r="F202" i="1"/>
  <c r="D202" i="1"/>
  <c r="C202" i="1"/>
  <c r="A204" i="1" l="1"/>
  <c r="E204" i="1" s="1"/>
  <c r="I203" i="1"/>
  <c r="H203" i="1"/>
  <c r="G203" i="1"/>
  <c r="F203" i="1"/>
  <c r="D203" i="1"/>
  <c r="C203" i="1"/>
  <c r="B203" i="1"/>
  <c r="D204" i="1" l="1"/>
  <c r="C204" i="1"/>
  <c r="B204" i="1"/>
  <c r="H204" i="1"/>
  <c r="G204" i="1"/>
  <c r="F204" i="1"/>
  <c r="A205" i="1"/>
  <c r="E205" i="1" s="1"/>
  <c r="I204" i="1"/>
  <c r="A206" i="1" l="1"/>
  <c r="E206" i="1" s="1"/>
  <c r="I205" i="1"/>
  <c r="H205" i="1"/>
  <c r="G205" i="1"/>
  <c r="F205" i="1"/>
  <c r="C205" i="1"/>
  <c r="D205" i="1"/>
  <c r="B205" i="1"/>
  <c r="F206" i="1" l="1"/>
  <c r="D206" i="1"/>
  <c r="C206" i="1"/>
  <c r="B206" i="1"/>
  <c r="A207" i="1"/>
  <c r="E207" i="1" s="1"/>
  <c r="I206" i="1"/>
  <c r="H206" i="1"/>
  <c r="G206" i="1"/>
  <c r="A208" i="1" l="1"/>
  <c r="E208" i="1" s="1"/>
  <c r="I207" i="1"/>
  <c r="H207" i="1"/>
  <c r="G207" i="1"/>
  <c r="F207" i="1"/>
  <c r="D207" i="1"/>
  <c r="C207" i="1"/>
  <c r="B207" i="1"/>
  <c r="H208" i="1" l="1"/>
  <c r="G208" i="1"/>
  <c r="F208" i="1"/>
  <c r="D208" i="1"/>
  <c r="C208" i="1"/>
  <c r="B208" i="1"/>
  <c r="A209" i="1"/>
  <c r="E209" i="1" s="1"/>
  <c r="I208" i="1"/>
  <c r="A210" i="1" l="1"/>
  <c r="E210" i="1" s="1"/>
  <c r="G209" i="1"/>
  <c r="D209" i="1"/>
  <c r="C209" i="1"/>
  <c r="B209" i="1"/>
  <c r="I209" i="1"/>
  <c r="H209" i="1"/>
  <c r="F209" i="1"/>
  <c r="A211" i="1" l="1"/>
  <c r="E211" i="1" s="1"/>
  <c r="I210" i="1"/>
  <c r="H210" i="1"/>
  <c r="G210" i="1"/>
  <c r="F210" i="1"/>
  <c r="D210" i="1"/>
  <c r="C210" i="1"/>
  <c r="B210" i="1"/>
  <c r="I211" i="1" l="1"/>
  <c r="A212" i="1"/>
  <c r="E212" i="1" s="1"/>
  <c r="H211" i="1"/>
  <c r="B211" i="1"/>
  <c r="F211" i="1"/>
  <c r="D211" i="1"/>
  <c r="G211" i="1"/>
  <c r="C211" i="1"/>
  <c r="A213" i="1" l="1"/>
  <c r="E213" i="1" s="1"/>
  <c r="I212" i="1"/>
  <c r="H212" i="1"/>
  <c r="G212" i="1"/>
  <c r="F212" i="1"/>
  <c r="D212" i="1"/>
  <c r="C212" i="1"/>
  <c r="B212" i="1"/>
  <c r="C213" i="1" l="1"/>
  <c r="B213" i="1"/>
  <c r="A214" i="1"/>
  <c r="E214" i="1" s="1"/>
  <c r="I213" i="1"/>
  <c r="H213" i="1"/>
  <c r="G213" i="1"/>
  <c r="F213" i="1"/>
  <c r="D213" i="1"/>
  <c r="A215" i="1" l="1"/>
  <c r="E215" i="1" s="1"/>
  <c r="I214" i="1"/>
  <c r="H214" i="1"/>
  <c r="G214" i="1"/>
  <c r="F214" i="1"/>
  <c r="B214" i="1"/>
  <c r="C214" i="1"/>
  <c r="D214" i="1"/>
  <c r="D215" i="1" l="1"/>
  <c r="C215" i="1"/>
  <c r="B215" i="1"/>
  <c r="H215" i="1"/>
  <c r="G215" i="1"/>
  <c r="I215" i="1"/>
  <c r="A216" i="1"/>
  <c r="E216" i="1" s="1"/>
  <c r="F215" i="1"/>
  <c r="A217" i="1" l="1"/>
  <c r="E217" i="1" s="1"/>
  <c r="I216" i="1"/>
  <c r="H216" i="1"/>
  <c r="G216" i="1"/>
  <c r="D216" i="1"/>
  <c r="F216" i="1"/>
  <c r="C216" i="1"/>
  <c r="B216" i="1"/>
  <c r="G217" i="1" l="1"/>
  <c r="F217" i="1"/>
  <c r="D217" i="1"/>
  <c r="C217" i="1"/>
  <c r="B217" i="1"/>
  <c r="A218" i="1"/>
  <c r="E218" i="1" s="1"/>
  <c r="I217" i="1"/>
  <c r="H217" i="1"/>
  <c r="A219" i="1" l="1"/>
  <c r="E219" i="1" s="1"/>
  <c r="I218" i="1"/>
  <c r="F218" i="1"/>
  <c r="H218" i="1"/>
  <c r="G218" i="1"/>
  <c r="D218" i="1"/>
  <c r="C218" i="1"/>
  <c r="B218" i="1"/>
  <c r="I219" i="1" l="1"/>
  <c r="H219" i="1"/>
  <c r="G219" i="1"/>
  <c r="F219" i="1"/>
  <c r="D219" i="1"/>
  <c r="C219" i="1"/>
  <c r="B219" i="1"/>
  <c r="A220" i="1"/>
  <c r="E220" i="1" s="1"/>
  <c r="H220" i="1" l="1"/>
  <c r="D220" i="1"/>
  <c r="A221" i="1"/>
  <c r="E221" i="1" s="1"/>
  <c r="I220" i="1"/>
  <c r="G220" i="1"/>
  <c r="F220" i="1"/>
  <c r="C220" i="1"/>
  <c r="B220" i="1"/>
  <c r="A222" i="1" l="1"/>
  <c r="E222" i="1" s="1"/>
  <c r="I221" i="1"/>
  <c r="H221" i="1"/>
  <c r="G221" i="1"/>
  <c r="F221" i="1"/>
  <c r="D221" i="1"/>
  <c r="C221" i="1"/>
  <c r="B221" i="1"/>
  <c r="B222" i="1" l="1"/>
  <c r="A223" i="1"/>
  <c r="E223" i="1" s="1"/>
  <c r="I222" i="1"/>
  <c r="H222" i="1"/>
  <c r="G222" i="1"/>
  <c r="F222" i="1"/>
  <c r="D222" i="1"/>
  <c r="C222" i="1"/>
  <c r="A224" i="1" l="1"/>
  <c r="E224" i="1" s="1"/>
  <c r="I223" i="1"/>
  <c r="H223" i="1"/>
  <c r="G223" i="1"/>
  <c r="F223" i="1"/>
  <c r="D223" i="1"/>
  <c r="C223" i="1"/>
  <c r="B223" i="1"/>
  <c r="D224" i="1" l="1"/>
  <c r="C224" i="1"/>
  <c r="B224" i="1"/>
  <c r="G224" i="1"/>
  <c r="F224" i="1"/>
  <c r="A225" i="1"/>
  <c r="E225" i="1" s="1"/>
  <c r="H224" i="1"/>
  <c r="I224" i="1"/>
  <c r="A226" i="1" l="1"/>
  <c r="E226" i="1" s="1"/>
  <c r="I225" i="1"/>
  <c r="H225" i="1"/>
  <c r="G225" i="1"/>
  <c r="F225" i="1"/>
  <c r="C225" i="1"/>
  <c r="B225" i="1"/>
  <c r="D225" i="1"/>
  <c r="F226" i="1" l="1"/>
  <c r="D226" i="1"/>
  <c r="C226" i="1"/>
  <c r="B226" i="1"/>
  <c r="A227" i="1"/>
  <c r="E227" i="1" s="1"/>
  <c r="G226" i="1"/>
  <c r="I226" i="1"/>
  <c r="H226" i="1"/>
  <c r="A228" i="1" l="1"/>
  <c r="E228" i="1" s="1"/>
  <c r="I227" i="1"/>
  <c r="H227" i="1"/>
  <c r="G227" i="1"/>
  <c r="F227" i="1"/>
  <c r="D227" i="1"/>
  <c r="C227" i="1"/>
  <c r="B227" i="1"/>
  <c r="H228" i="1" l="1"/>
  <c r="G228" i="1"/>
  <c r="F228" i="1"/>
  <c r="D228" i="1"/>
  <c r="C228" i="1"/>
  <c r="B228" i="1"/>
  <c r="A229" i="1"/>
  <c r="E229" i="1" s="1"/>
  <c r="I228" i="1"/>
  <c r="A230" i="1" l="1"/>
  <c r="E230" i="1" s="1"/>
  <c r="G229" i="1"/>
  <c r="D229" i="1"/>
  <c r="C229" i="1"/>
  <c r="B229" i="1"/>
  <c r="I229" i="1"/>
  <c r="H229" i="1"/>
  <c r="F229" i="1"/>
  <c r="A231" i="1" l="1"/>
  <c r="E231" i="1" s="1"/>
  <c r="I230" i="1"/>
  <c r="H230" i="1"/>
  <c r="G230" i="1"/>
  <c r="F230" i="1"/>
  <c r="D230" i="1"/>
  <c r="C230" i="1"/>
  <c r="B230" i="1"/>
  <c r="I231" i="1" l="1"/>
  <c r="A232" i="1"/>
  <c r="E232" i="1" s="1"/>
  <c r="H231" i="1"/>
  <c r="G231" i="1"/>
  <c r="B231" i="1"/>
  <c r="F231" i="1"/>
  <c r="D231" i="1"/>
  <c r="C231" i="1"/>
  <c r="A233" i="1" l="1"/>
  <c r="E233" i="1" s="1"/>
  <c r="I232" i="1"/>
  <c r="H232" i="1"/>
  <c r="G232" i="1"/>
  <c r="F232" i="1"/>
  <c r="D232" i="1"/>
  <c r="C232" i="1"/>
  <c r="B232" i="1"/>
  <c r="C233" i="1" l="1"/>
  <c r="B233" i="1"/>
  <c r="A234" i="1"/>
  <c r="E234" i="1" s="1"/>
  <c r="I233" i="1"/>
  <c r="H233" i="1"/>
  <c r="G233" i="1"/>
  <c r="F233" i="1"/>
  <c r="D233" i="1"/>
  <c r="A235" i="1" l="1"/>
  <c r="E235" i="1" s="1"/>
  <c r="I234" i="1"/>
  <c r="H234" i="1"/>
  <c r="G234" i="1"/>
  <c r="F234" i="1"/>
  <c r="B234" i="1"/>
  <c r="D234" i="1"/>
  <c r="C234" i="1"/>
  <c r="D235" i="1" l="1"/>
  <c r="C235" i="1"/>
  <c r="B235" i="1"/>
  <c r="G235" i="1"/>
  <c r="F235" i="1"/>
  <c r="A236" i="1"/>
  <c r="E236" i="1" s="1"/>
  <c r="I235" i="1"/>
  <c r="H235" i="1"/>
  <c r="A237" i="1" l="1"/>
  <c r="E237" i="1" s="1"/>
  <c r="I236" i="1"/>
  <c r="H236" i="1"/>
  <c r="G236" i="1"/>
  <c r="D236" i="1"/>
  <c r="F236" i="1"/>
  <c r="C236" i="1"/>
  <c r="B236" i="1"/>
  <c r="G237" i="1" l="1"/>
  <c r="F237" i="1"/>
  <c r="D237" i="1"/>
  <c r="C237" i="1"/>
  <c r="B237" i="1"/>
  <c r="A238" i="1"/>
  <c r="E238" i="1" s="1"/>
  <c r="I237" i="1"/>
  <c r="H237" i="1"/>
  <c r="A239" i="1" l="1"/>
  <c r="E239" i="1" s="1"/>
  <c r="I238" i="1"/>
  <c r="F238" i="1"/>
  <c r="H238" i="1"/>
  <c r="G238" i="1"/>
  <c r="D238" i="1"/>
  <c r="C238" i="1"/>
  <c r="B238" i="1"/>
  <c r="I239" i="1" l="1"/>
  <c r="H239" i="1"/>
  <c r="G239" i="1"/>
  <c r="F239" i="1"/>
  <c r="D239" i="1"/>
  <c r="C239" i="1"/>
  <c r="B239" i="1"/>
  <c r="B12" i="1"/>
  <c r="G26" i="1" s="1"/>
  <c r="B7" i="1"/>
  <c r="B25" i="1" s="1"/>
  <c r="K17" i="1" s="1"/>
  <c r="B39" i="1" s="1"/>
  <c r="B8" i="1" l="1"/>
  <c r="J7" i="1"/>
  <c r="G29" i="1"/>
  <c r="H26" i="1" s="1"/>
  <c r="I26" i="1"/>
  <c r="K26" i="1"/>
  <c r="H44" i="1" l="1"/>
  <c r="I44" i="1"/>
  <c r="I45" i="1"/>
  <c r="I46" i="1"/>
  <c r="H46" i="1"/>
  <c r="H47" i="1"/>
  <c r="I47" i="1"/>
  <c r="I48" i="1"/>
  <c r="J26" i="1"/>
  <c r="K32" i="1" s="1"/>
  <c r="K30" i="1"/>
  <c r="K31" i="1"/>
  <c r="D3" i="1" s="1"/>
  <c r="K7" i="1" s="1"/>
  <c r="H39" i="1"/>
  <c r="I39" i="1"/>
  <c r="E39" i="1"/>
  <c r="F39" i="1" s="1"/>
  <c r="G39" i="1" s="1"/>
  <c r="H40" i="1"/>
  <c r="E40" i="1"/>
  <c r="F40" i="1" s="1"/>
  <c r="G40" i="1" s="1"/>
  <c r="I40" i="1"/>
  <c r="E41" i="1"/>
  <c r="F41" i="1" s="1"/>
  <c r="G41" i="1" s="1"/>
  <c r="I41" i="1"/>
  <c r="H41" i="1"/>
  <c r="I42" i="1"/>
  <c r="I43" i="1"/>
  <c r="B48" i="1" l="1"/>
  <c r="H48" i="1" s="1"/>
  <c r="B45" i="1"/>
  <c r="H45" i="1" s="1"/>
  <c r="E42" i="1"/>
  <c r="F42" i="1" s="1"/>
  <c r="B43" i="1"/>
  <c r="H43" i="1" s="1"/>
  <c r="B42" i="1"/>
  <c r="H42" i="1" s="1"/>
  <c r="E43" i="1" l="1"/>
  <c r="G42" i="1"/>
  <c r="F43" i="1" l="1"/>
  <c r="G43" i="1" l="1"/>
  <c r="F44" i="1"/>
  <c r="G44" i="1" s="1"/>
  <c r="F45" i="1" l="1"/>
  <c r="G45" i="1" s="1"/>
  <c r="F46" i="1" l="1"/>
  <c r="G46" i="1" s="1"/>
  <c r="F48" i="1" l="1"/>
  <c r="G48" i="1" s="1"/>
  <c r="F47" i="1"/>
  <c r="G47" i="1" s="1"/>
  <c r="D2" i="1" l="1"/>
  <c r="D4" i="1" s="1"/>
  <c r="K6" i="1" s="1"/>
  <c r="K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hwalsh</author>
  </authors>
  <commentList>
    <comment ref="AA2" authorId="0" shapeId="0" xr:uid="{391C711E-BE4C-4572-A888-2E7886DFFFA4}">
      <text>
        <r>
          <rPr>
            <b/>
            <sz val="9"/>
            <color indexed="81"/>
            <rFont val="Tahoma"/>
            <family val="2"/>
          </rPr>
          <t>hwalsh:</t>
        </r>
        <r>
          <rPr>
            <sz val="9"/>
            <color indexed="81"/>
            <rFont val="Tahoma"/>
            <family val="2"/>
          </rPr>
          <t xml:space="preserve">
check</t>
        </r>
      </text>
    </comment>
    <comment ref="B37" authorId="0" shapeId="0" xr:uid="{D2C69DF5-540A-44B4-AD61-47773FD32DD7}">
      <text>
        <r>
          <rPr>
            <b/>
            <sz val="9"/>
            <color indexed="81"/>
            <rFont val="Tahoma"/>
            <family val="2"/>
          </rPr>
          <t>hwalsh:</t>
        </r>
        <r>
          <rPr>
            <sz val="9"/>
            <color indexed="81"/>
            <rFont val="Tahoma"/>
            <family val="2"/>
          </rPr>
          <t xml:space="preserve">
IIAC says odd discount flow are act/act. real odd flows are Act/365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<sst xmlns="http://schemas.openxmlformats.org/spreadsheetml/2006/main" count="73" uniqueCount="61">
  <si>
    <t>Y</t>
  </si>
  <si>
    <t>CALL_SCHEDULE</t>
  </si>
  <si>
    <t>AMT_ISSUED</t>
  </si>
  <si>
    <t>Settle</t>
  </si>
  <si>
    <t>nominal sum of PV</t>
  </si>
  <si>
    <t>N</t>
  </si>
  <si>
    <t>Yield</t>
  </si>
  <si>
    <t>nominal accrued</t>
  </si>
  <si>
    <t>SINK_SCHEDULE</t>
  </si>
  <si>
    <t>Par</t>
  </si>
  <si>
    <t>Clean Price</t>
  </si>
  <si>
    <t>CPN_FREQ_INBLP</t>
  </si>
  <si>
    <t>M</t>
  </si>
  <si>
    <t>coupon</t>
  </si>
  <si>
    <t>Principal</t>
  </si>
  <si>
    <t>Previous</t>
  </si>
  <si>
    <t>Accrued</t>
  </si>
  <si>
    <t>Next</t>
  </si>
  <si>
    <t>Total payment</t>
  </si>
  <si>
    <t>Calc Mty</t>
  </si>
  <si>
    <t>INT_ACC_DT_INBLP</t>
  </si>
  <si>
    <t>First Period</t>
  </si>
  <si>
    <t>FIRST_CPN_DT_INBLP</t>
  </si>
  <si>
    <t>Dates</t>
  </si>
  <si>
    <t xml:space="preserve"> Act  Basis</t>
  </si>
  <si>
    <t>Act Day accrued</t>
  </si>
  <si>
    <t>Act Days Remaining</t>
  </si>
  <si>
    <t>Coupon Days</t>
  </si>
  <si>
    <t>Penultimate</t>
  </si>
  <si>
    <t>first quasi date</t>
  </si>
  <si>
    <t>REDEMP_VAL</t>
  </si>
  <si>
    <t>Int Accrual</t>
  </si>
  <si>
    <t>interim quasi date</t>
  </si>
  <si>
    <t>LAST_CPN_PERIOD_TYP</t>
  </si>
  <si>
    <t>First Coupon</t>
  </si>
  <si>
    <t>Day_CNT</t>
  </si>
  <si>
    <t>EOM</t>
  </si>
  <si>
    <t>Nominal Coupon</t>
  </si>
  <si>
    <t>Maturity</t>
  </si>
  <si>
    <t>Nominal AI</t>
  </si>
  <si>
    <t>Workout</t>
  </si>
  <si>
    <t>Discount period</t>
  </si>
  <si>
    <t>CALLABLE</t>
  </si>
  <si>
    <t>CALL_DISCRETE</t>
  </si>
  <si>
    <t>Call price</t>
  </si>
  <si>
    <t>SINKABLE</t>
  </si>
  <si>
    <t>PCT_SINKER</t>
  </si>
  <si>
    <t>Current Factor</t>
  </si>
  <si>
    <t xml:space="preserve">EFUP11 OFF </t>
  </si>
  <si>
    <t>Last Quasi</t>
  </si>
  <si>
    <t>Need to update workout for both  discrete and continous calls</t>
  </si>
  <si>
    <t>YT Avg life supercedes YTC</t>
  </si>
  <si>
    <t>Includes Zero coupon</t>
  </si>
  <si>
    <t>Discount flows</t>
  </si>
  <si>
    <t>Remaing</t>
  </si>
  <si>
    <t>discount period</t>
  </si>
  <si>
    <t>DF</t>
  </si>
  <si>
    <t>PV</t>
  </si>
  <si>
    <t>CSHF</t>
  </si>
  <si>
    <t>Coupon</t>
  </si>
  <si>
    <t xml:space="preserve"> BN496886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</si>
</sst>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00000000%"/>
    <numFmt numFmtId="165" formatCode="0.00000000000000"/>
    <numFmt numFmtId="166" formatCode="0.00000000000"/>
    <numFmt numFmtId="167" formatCode="0.0000%"/>
    <numFmt numFmtId="168" formatCode="0.000000000000"/>
    <numFmt numFmtId="169" formatCode="_(* #,##0.0000_);_(* \(#,##0.0000\);_(* &quot;-&quot;??_);_(@_)"/>
    <numFmt numFmtId="170" formatCode="_(* #,##0.00000000_);_(* \(#,##0.00000000\);_(* &quot;-&quot;??_);_(@_)"/>
    <numFmt numFmtId="171" formatCode="_(* #,##0.000000000_);_(* \(#,##0.00000000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dotted">
        <color auto="1"/>
      </left>
      <right style="dotted">
        <color auto="1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38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1" xfId="0" applyBorder="1"/>
    <xf numFmtId="14" fontId="0" fillId="3" borderId="0" xfId="0" applyNumberFormat="1" applyFill="1"/>
    <xf numFmtId="0" fontId="0" fillId="3" borderId="0" xfId="0" applyFill="1"/>
    <xf numFmtId="14" fontId="0" fillId="0" borderId="0" xfId="0" applyNumberFormat="1"/>
    <xf numFmtId="14" fontId="0" fillId="2" borderId="0" xfId="0" applyNumberFormat="1" applyFill="1"/>
    <xf numFmtId="0" fontId="0" fillId="0" borderId="2" xfId="0" applyBorder="1"/>
    <xf numFmtId="164" fontId="0" fillId="2" borderId="0" xfId="0" applyNumberFormat="1" applyFill="1"/>
    <xf numFmtId="165" fontId="0" fillId="0" borderId="0" xfId="0" applyNumberFormat="1"/>
    <xf numFmtId="14" fontId="0" fillId="4" borderId="0" xfId="0" applyNumberFormat="1" applyFill="1"/>
    <xf numFmtId="0" fontId="0" fillId="4" borderId="0" xfId="0" applyFill="1"/>
    <xf numFmtId="166" fontId="0" fillId="5" borderId="0" xfId="0" applyNumberFormat="1" applyFill="1"/>
    <xf numFmtId="0" fontId="0" fillId="6" borderId="0" xfId="0" applyFill="1"/>
    <xf numFmtId="167" fontId="0" fillId="0" borderId="0" xfId="0" applyNumberFormat="1"/>
    <xf numFmtId="0" fontId="0" fillId="7" borderId="0" xfId="0" applyFill="1"/>
    <xf numFmtId="0" fontId="0" fillId="7" borderId="0" xfId="3" applyFont="1" applyFill="1"/>
    <xf numFmtId="14" fontId="0" fillId="7" borderId="0" xfId="0" applyNumberFormat="1" applyFill="1"/>
    <xf numFmtId="0" fontId="1" fillId="7" borderId="0" xfId="3" applyFill="1"/>
    <xf numFmtId="0" fontId="0" fillId="8" borderId="0" xfId="0" applyFill="1"/>
    <xf numFmtId="0" fontId="0" fillId="8" borderId="3" xfId="3" applyFont="1" applyFill="1" applyBorder="1"/>
    <xf numFmtId="14" fontId="0" fillId="9" borderId="0" xfId="0" applyNumberFormat="1" applyFill="1"/>
    <xf numFmtId="0" fontId="0" fillId="8" borderId="3" xfId="0" applyFill="1" applyBorder="1"/>
    <xf numFmtId="0" fontId="0" fillId="9" borderId="0" xfId="0" applyFill="1"/>
    <xf numFmtId="168" fontId="0" fillId="0" borderId="0" xfId="0" applyNumberFormat="1"/>
    <xf numFmtId="0" fontId="0" fillId="10" borderId="0" xfId="0" applyFill="1"/>
    <xf numFmtId="0" fontId="0" fillId="10" borderId="0" xfId="3" applyFont="1" applyFill="1"/>
    <xf numFmtId="14" fontId="1" fillId="10" borderId="0" xfId="3" applyNumberFormat="1" applyFill="1"/>
    <xf numFmtId="14" fontId="0" fillId="10" borderId="0" xfId="0" applyNumberFormat="1" applyFill="1"/>
    <xf numFmtId="0" fontId="3" fillId="0" borderId="0" xfId="0" applyFont="1"/>
    <xf numFmtId="0" fontId="0" fillId="11" borderId="0" xfId="0" applyFill="1"/>
    <xf numFmtId="9" fontId="0" fillId="0" borderId="0" xfId="2" applyFont="1"/>
    <xf numFmtId="169" fontId="0" fillId="0" borderId="0" xfId="1" applyNumberFormat="1" applyFont="1"/>
    <xf numFmtId="170" fontId="0" fillId="0" borderId="0" xfId="1" applyNumberFormat="1" applyFont="1"/>
    <xf numFmtId="171" fontId="0" fillId="0" borderId="0" xfId="1" applyNumberFormat="1" applyFont="1"/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4">
    <cellStyle name="Comma" xfId="1" builtinId="3"/>
    <cellStyle name="Normal" xfId="0" builtinId="0"/>
    <cellStyle name="Normal 4" xfId="3" xr:uid="{5FF235F6-B978-4964-A456-B0494098B0A3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Data...2133852451</v>
        <stp/>
        <stp>BDP|17413175104554274993</stp>
        <tr r="B13" s="1"/>
      </tp>
    </main>
    <main first="bofaddin.rtdserver">
      <tp t="s">
        <v>#N/A Requesting Data...465836541</v>
        <stp/>
        <stp>BDP|12536479190437699658</stp>
        <tr r="B15" s="1"/>
      </tp>
    </main>
    <main first="bofaddin.rtdserver">
      <tp t="s">
        <v>#N/A Requesting Data...1818380247</v>
        <stp/>
        <stp>BDP|10276959032580865609</stp>
        <tr r="W1" s="1"/>
      </tp>
      <tp t="e">
        <v>#N/A</v>
        <stp/>
        <stp>BDS|10191591806171543843</stp>
        <tr r="R1" s="1"/>
      </tp>
      <tp t="s">
        <v>#N/A Requesting Data...794207350</v>
        <stp/>
        <stp>BDP|18374316861751793089</stp>
        <tr r="B10" s="1"/>
      </tp>
    </main>
    <main first="bofaddin.rtdserver">
      <tp t="e">
        <v>#N/A</v>
        <stp/>
        <stp>BDS|11835775206092671607</stp>
        <tr r="W3" s="1"/>
      </tp>
    </main>
    <main first="bofaddin.rtdserver">
      <tp t="s">
        <v>#N/A Requesting Data...1651366051</v>
        <stp/>
        <stp>BDP|18302320394324962755</stp>
        <tr r="B11" s="1"/>
      </tp>
    </main>
    <main first="bofaddin.rtdserver">
      <tp t="s">
        <v>#N/A Requesting Data...321137227</v>
        <stp/>
        <stp>BDP|13849535649622065609</stp>
        <tr r="B5" s="1"/>
      </tp>
    </main>
    <main first="bofaddin.rtdserver">
      <tp t="s">
        <v>#N/A Requesting Data...698158748</v>
        <stp/>
        <stp>BDP|13042270662786535568</stp>
        <tr r="B6" s="1"/>
      </tp>
    </main>
    <main first="bofaddin.rtdserver">
      <tp t="s">
        <v>#N/A Requesting Data...1741209714</v>
        <stp/>
        <stp>BDP|11686641976742875767</stp>
        <tr r="B18" s="1"/>
      </tp>
      <tp t="s">
        <v>#N/A Requesting Data...1263302170</v>
        <stp/>
        <stp>BDP|13864162061918854935</stp>
        <tr r="B24" s="1"/>
      </tp>
    </main>
    <main first="bofaddin.rtdserver">
      <tp t="s">
        <v>#N/A Requesting Data...2220208719</v>
        <stp/>
        <stp>BDP|2104679909823718972</stp>
        <tr r="B23" s="1"/>
      </tp>
    </main>
    <main first="bofaddin.rtdserver">
      <tp t="s">
        <v>#N/A Requesting Data...4113368782</v>
        <stp/>
        <stp>BDP|5833450473998674971</stp>
        <tr r="B20" s="1"/>
      </tp>
    </main>
    <main first="bofaddin.rtdserver">
      <tp t="s">
        <v>#N/A Requesting Data...2492716054</v>
        <stp/>
        <stp>BDP|7080263159985509530</stp>
        <tr r="B21" s="1"/>
      </tp>
    </main>
    <main first="bofaddin.rtdserver">
      <tp t="s">
        <v>#N/A Requesting Data...2671990805</v>
        <stp/>
        <stp>BDP|525002094066848060</stp>
        <tr r="B16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8B297-3015-4CB1-9B91-35DF79A680E0}">
  <dimension ref="A1:AF239"/>
  <sheetViews>
    <sheetView tabSelected="1" workbookViewId="0">
      <selection activeCell="G4" sqref="G4"/>
    </sheetView>
  </sheetViews>
  <sheetFormatPr defaultRowHeight="15" x14ac:dyDescent="0.25"/>
  <cols>
    <col min="1" max="1" width="43.42578125" bestFit="1" customWidth="1"/>
    <col min="2" max="2" width="14.28515625" bestFit="1" customWidth="1"/>
    <col min="4" max="5" width="16.7109375" bestFit="1" customWidth="1"/>
    <col min="6" max="6" width="15.140625" bestFit="1" customWidth="1"/>
    <col min="7" max="7" width="17.85546875" bestFit="1" customWidth="1"/>
    <col min="8" max="8" width="15.7109375" bestFit="1" customWidth="1"/>
    <col min="9" max="9" width="16.28515625" bestFit="1" customWidth="1"/>
    <col min="10" max="10" width="18.5703125" bestFit="1" customWidth="1"/>
    <col min="11" max="11" width="16.7109375" bestFit="1" customWidth="1"/>
    <col min="12" max="12" width="22.85546875" customWidth="1"/>
    <col min="13" max="13" width="13.28515625" customWidth="1"/>
    <col min="14" max="14" width="15.140625" bestFit="1" customWidth="1"/>
    <col min="15" max="15" width="43" bestFit="1" customWidth="1"/>
    <col min="17" max="17" width="15.140625" bestFit="1" customWidth="1"/>
    <col min="18" max="18" width="24.42578125" bestFit="1" customWidth="1"/>
    <col min="22" max="22" width="19.28515625" bestFit="1" customWidth="1"/>
    <col min="23" max="24" width="11" bestFit="1" customWidth="1"/>
    <col min="25" max="25" width="11" customWidth="1"/>
    <col min="26" max="26" width="10.7109375" style="6" bestFit="1" customWidth="1"/>
    <col min="32" max="32" width="9.7109375" bestFit="1" customWidth="1"/>
  </cols>
  <sheetData>
    <row r="1" spans="1:27" x14ac:dyDescent="0.25">
      <c r="A1" s="1" t="s">
        <v>60</v>
      </c>
      <c r="I1" s="2"/>
      <c r="P1" s="3" t="s">
        <v>0</v>
      </c>
      <c r="Q1" t="s">
        <v>1</v>
      </c>
      <c r="R1" s="4" t="str" cm="1">
        <f t="array" ref="R1">_xll.BDS(A1 &amp; " corp",$Q$1)</f>
        <v>#N/A Field Not Applicable</v>
      </c>
      <c r="S1" s="5"/>
      <c r="V1" t="s">
        <v>2</v>
      </c>
      <c r="W1" cm="1">
        <f t="array" ref="W1">_xll.BDP(A1&amp; " corp",V1)</f>
        <v>1000000000</v>
      </c>
    </row>
    <row r="2" spans="1:27" x14ac:dyDescent="0.25">
      <c r="A2" t="s">
        <v>3</v>
      </c>
      <c r="B2" s="7">
        <v>45839</v>
      </c>
      <c r="D2">
        <f>SUM(G39:G239)/B25</f>
        <v>97.65978081286957</v>
      </c>
      <c r="E2" t="s">
        <v>4</v>
      </c>
      <c r="P2" s="8" t="s">
        <v>5</v>
      </c>
      <c r="R2" s="4"/>
      <c r="S2" s="5"/>
      <c r="AA2">
        <f>SUM(AA3:AA100)</f>
        <v>0</v>
      </c>
    </row>
    <row r="3" spans="1:27" x14ac:dyDescent="0.25">
      <c r="A3" t="s">
        <v>6</v>
      </c>
      <c r="B3" s="9">
        <v>0.13382347</v>
      </c>
      <c r="D3" s="10">
        <f>IF($B$8=$B$11,$K$18,IF($B$8=$B$9,$K$31,($B$2-$B$7)/($B$8-$B$7)*$B$6/$B$5*$B$4))</f>
        <v>2.1917808219178081</v>
      </c>
      <c r="E3" t="s">
        <v>7</v>
      </c>
      <c r="R3" s="4"/>
      <c r="S3" s="5"/>
      <c r="V3" t="s">
        <v>8</v>
      </c>
      <c r="W3" s="11" t="str" cm="1">
        <f t="array" ref="W3">_xll.BDS(A1 &amp; " corp",$V$3)</f>
        <v>#N/A Field Not Applicable</v>
      </c>
      <c r="X3" s="12"/>
      <c r="Y3" s="12"/>
      <c r="Z3" s="11" t="str">
        <f>IF(AND(ISNUMBER(W2),W3=""),$B$18,IF(W3="","",W3))</f>
        <v>#N/A Field Not Applicable</v>
      </c>
      <c r="AA3" s="12">
        <f>IF(Z3="","",IF(Y3="",X3,Y3)/IF($B$24="N",$W$1/100,1))</f>
        <v>0</v>
      </c>
    </row>
    <row r="4" spans="1:27" x14ac:dyDescent="0.25">
      <c r="A4" t="s">
        <v>9</v>
      </c>
      <c r="B4" s="1">
        <v>100</v>
      </c>
      <c r="D4" s="13">
        <f>D2-D3</f>
        <v>95.467999990951768</v>
      </c>
      <c r="E4" s="14" t="s">
        <v>10</v>
      </c>
      <c r="F4" s="36"/>
      <c r="G4" s="33"/>
      <c r="R4" s="5"/>
      <c r="S4" s="5"/>
      <c r="W4" s="11"/>
      <c r="X4" s="12"/>
      <c r="Y4" s="12"/>
      <c r="Z4" s="11" t="str">
        <f t="shared" ref="Z4:Z67" si="0">IF(AND(ISNUMBER(W3),W4=""),$B$18,IF(W4="","",W4))</f>
        <v/>
      </c>
      <c r="AA4" s="12" t="str">
        <f>IF(Z4="","",IF(Z4=$B$18,100-SUM($AA$3:AA3),IF(Y4="",X4,Y4)/IF($B$24="N",$W$1/100,1)))</f>
        <v/>
      </c>
    </row>
    <row r="5" spans="1:27" x14ac:dyDescent="0.25">
      <c r="A5" t="s">
        <v>11</v>
      </c>
      <c r="B5" cm="1">
        <f t="array" ref="B5">_xll.BDP(A1 &amp; " CORP",$A$5)</f>
        <v>1</v>
      </c>
      <c r="K5" s="14">
        <v>1000</v>
      </c>
      <c r="L5" s="14" t="s">
        <v>12</v>
      </c>
      <c r="R5" s="5"/>
      <c r="S5" s="5"/>
      <c r="W5" s="11"/>
      <c r="X5" s="12"/>
      <c r="Y5" s="12"/>
      <c r="Z5" s="11" t="str">
        <f t="shared" si="0"/>
        <v/>
      </c>
      <c r="AA5" s="12" t="str">
        <f>IF(Z5="","",IF(Z5=$B$18,100-SUM($AA$3:AA4),IF(Y5="",X5,Y5)/IF($B$24="N",$W$1/100,1)))</f>
        <v/>
      </c>
    </row>
    <row r="6" spans="1:27" x14ac:dyDescent="0.25">
      <c r="A6" t="s">
        <v>13</v>
      </c>
      <c r="B6" s="15">
        <f>VALUE(_xll.BDP(A1 &amp; " CORP",A6))/100</f>
        <v>0.05</v>
      </c>
      <c r="C6" s="32"/>
      <c r="K6" s="14">
        <f>ROUND(D4*K5*1000/B4*IF(B26="Y",1,B25),0)</f>
        <v>954680</v>
      </c>
      <c r="L6" s="14" t="s">
        <v>14</v>
      </c>
      <c r="R6" s="5"/>
      <c r="S6" s="5"/>
      <c r="W6" s="11"/>
      <c r="X6" s="12"/>
      <c r="Y6" s="12"/>
      <c r="Z6" s="11" t="str">
        <f t="shared" si="0"/>
        <v/>
      </c>
      <c r="AA6" s="12" t="str">
        <f>IF(Z6="","",IF(Z6=$B$18,100-SUM($AA$3:AA5),IF(Y6="",X6,Y6)/IF($B$24="N",$W$1/100,1)))</f>
        <v/>
      </c>
    </row>
    <row r="7" spans="1:27" x14ac:dyDescent="0.25">
      <c r="A7" t="s">
        <v>15</v>
      </c>
      <c r="B7" s="6">
        <f>LOOKUP(B2,$A$38:$A$239)</f>
        <v>45679</v>
      </c>
      <c r="J7" s="14" t="str">
        <f>B2-B7&amp;" Days"</f>
        <v>160 Days</v>
      </c>
      <c r="K7" s="14">
        <f>ROUND(D3*1000*K5/B4*IF(B26="Y",1,B25),0)</f>
        <v>21918</v>
      </c>
      <c r="L7" s="14" t="s">
        <v>16</v>
      </c>
      <c r="R7" s="5"/>
      <c r="S7" s="5"/>
      <c r="W7" s="11"/>
      <c r="X7" s="12"/>
      <c r="Y7" s="12"/>
      <c r="Z7" s="11" t="str">
        <f t="shared" si="0"/>
        <v/>
      </c>
      <c r="AA7" s="12" t="str">
        <f>IF(Z7="","",IF(Z7=$B$18,100-SUM($AA$3:AA6),IF(Y7="",X7,Y7)/IF($B$24="N",$W$1/100,1)))</f>
        <v/>
      </c>
    </row>
    <row r="8" spans="1:27" x14ac:dyDescent="0.25">
      <c r="A8" t="s">
        <v>17</v>
      </c>
      <c r="B8" s="6">
        <f>INDEX($A$38:$A$239,MATCH(B7,$A$38:$A$239)+1)</f>
        <v>46044</v>
      </c>
      <c r="K8" s="14">
        <f>K6+K7</f>
        <v>976598</v>
      </c>
      <c r="L8" s="14" t="s">
        <v>18</v>
      </c>
      <c r="R8" s="5"/>
      <c r="S8" s="5"/>
      <c r="W8" s="11"/>
      <c r="X8" s="12"/>
      <c r="Y8" s="12"/>
      <c r="Z8" s="11" t="str">
        <f t="shared" si="0"/>
        <v/>
      </c>
      <c r="AA8" s="12" t="str">
        <f>IF(Z8="","",IF(Z8=$B$18,100-SUM($AA$3:AA7),IF(Y8="",X8,Y8)/IF($B$24="N",$W$1/100,1)))</f>
        <v/>
      </c>
    </row>
    <row r="9" spans="1:27" x14ac:dyDescent="0.25">
      <c r="A9" t="s">
        <v>19</v>
      </c>
      <c r="B9" s="6">
        <f>IF(AND(B20="Y",NOT(B19="")),B19,B18)</f>
        <v>46044</v>
      </c>
      <c r="R9" s="5"/>
      <c r="S9" s="5"/>
      <c r="W9" s="11"/>
      <c r="X9" s="12"/>
      <c r="Y9" s="12"/>
      <c r="Z9" s="11" t="str">
        <f t="shared" si="0"/>
        <v/>
      </c>
      <c r="AA9" s="12" t="str">
        <f>IF(Z9="","",IF(Z9=$B$18,100-SUM($AA$3:AA8),IF(Y9="",X9,Y9)/IF($B$24="N",$W$1/100,1)))</f>
        <v/>
      </c>
    </row>
    <row r="10" spans="1:27" x14ac:dyDescent="0.25">
      <c r="A10" t="s">
        <v>20</v>
      </c>
      <c r="B10" s="6">
        <f>VALUE(_xll.BDP($A$1&amp; " CORP",A10))</f>
        <v>44218</v>
      </c>
      <c r="H10" t="s">
        <v>21</v>
      </c>
      <c r="R10" s="5"/>
      <c r="S10" s="5"/>
      <c r="W10" s="11"/>
      <c r="X10" s="12"/>
      <c r="Y10" s="12"/>
      <c r="Z10" s="11" t="str">
        <f t="shared" si="0"/>
        <v/>
      </c>
      <c r="AA10" s="12" t="str">
        <f>IF(Z10="","",IF(Z10=$B$18,100-SUM($AA$3:AA9),IF(Y10="",X10,Y10)/IF($B$24="N",$W$1/100,1)))</f>
        <v/>
      </c>
    </row>
    <row r="11" spans="1:27" x14ac:dyDescent="0.25">
      <c r="A11" t="s">
        <v>22</v>
      </c>
      <c r="B11" s="6">
        <f>VALUE(_xll.BDP($A$1&amp; " CORP",A11))</f>
        <v>44583</v>
      </c>
      <c r="F11" s="16"/>
      <c r="G11" s="16" t="s">
        <v>23</v>
      </c>
      <c r="H11" s="16" t="s">
        <v>24</v>
      </c>
      <c r="I11" s="16" t="s">
        <v>25</v>
      </c>
      <c r="J11" s="16" t="s">
        <v>26</v>
      </c>
      <c r="K11" s="17" t="s">
        <v>27</v>
      </c>
      <c r="R11" s="5"/>
      <c r="S11" s="5"/>
      <c r="W11" s="11"/>
      <c r="X11" s="12"/>
      <c r="Y11" s="12"/>
      <c r="Z11" s="11" t="str">
        <f t="shared" si="0"/>
        <v/>
      </c>
      <c r="AA11" s="12" t="str">
        <f>IF(Z11="","",IF(Z11=$B$18,100-SUM($AA$3:AA10),IF(Y11="",X11,Y11)/IF($B$24="N",$W$1/100,1)))</f>
        <v/>
      </c>
    </row>
    <row r="12" spans="1:27" x14ac:dyDescent="0.25">
      <c r="A12" t="s">
        <v>28</v>
      </c>
      <c r="B12" s="6">
        <f>INDEX(A37:A239,MATCH(B9,A37:A239)-1)</f>
        <v>45679</v>
      </c>
      <c r="F12" s="16" t="s">
        <v>29</v>
      </c>
      <c r="G12" s="18" t="str">
        <f>IF(IF(B17,EOMONTH(G15,12/B5*-1),EDATE(G15,12/B5*-1))&gt;$G$13,IF(B17,EOMONTH(G14,12/B5*-1),EDATE(G14,12/B5*-1)),"")</f>
        <v/>
      </c>
      <c r="H12" s="16"/>
      <c r="I12" s="16"/>
      <c r="J12" s="16"/>
      <c r="K12" s="16"/>
      <c r="R12" s="5"/>
      <c r="S12" s="5"/>
      <c r="W12" s="11"/>
      <c r="X12" s="12"/>
      <c r="Y12" s="12"/>
      <c r="Z12" s="11" t="str">
        <f t="shared" si="0"/>
        <v/>
      </c>
      <c r="AA12" s="12" t="str">
        <f>IF(Z12="","",IF(Z12=$B$18,100-SUM($AA$3:AA11),IF(Y12="",X12,Y12)/IF($B$24="N",$W$1/100,1)))</f>
        <v/>
      </c>
    </row>
    <row r="13" spans="1:27" x14ac:dyDescent="0.25">
      <c r="A13" t="s">
        <v>30</v>
      </c>
      <c r="B13" cm="1">
        <f t="array" ref="B13">_xll.BDP(A1 &amp; " corp",$A$13)</f>
        <v>100</v>
      </c>
      <c r="F13" s="19" t="s">
        <v>31</v>
      </c>
      <c r="G13" s="18">
        <f>B10</f>
        <v>44218</v>
      </c>
      <c r="H13" s="16">
        <f>IF(G12="",0,G14-G12)</f>
        <v>0</v>
      </c>
      <c r="I13" s="16">
        <f>IF(G12="",0,MIN(G14-G13,B2-G13))</f>
        <v>0</v>
      </c>
      <c r="J13" s="16">
        <f>IF(G12="",0,IF(B2&gt;=G14,0,G14-B2))</f>
        <v>0</v>
      </c>
      <c r="K13" s="16">
        <f>IF(G12="",0,G14-G13)</f>
        <v>0</v>
      </c>
      <c r="R13" s="5"/>
      <c r="S13" s="5"/>
      <c r="W13" s="11"/>
      <c r="X13" s="12"/>
      <c r="Y13" s="12"/>
      <c r="Z13" s="11" t="str">
        <f t="shared" si="0"/>
        <v/>
      </c>
      <c r="AA13" s="12" t="str">
        <f>IF(Z13="","",IF(Z13=$B$18,100-SUM($AA$3:AA12),IF(Y13="",X13,Y13)/IF($B$24="N",$W$1/100,1)))</f>
        <v/>
      </c>
    </row>
    <row r="14" spans="1:27" x14ac:dyDescent="0.25">
      <c r="F14" s="19" t="s">
        <v>32</v>
      </c>
      <c r="G14" s="18">
        <f>IF(B17,EOMONTH(G15,12/B5*-1),EDATE(G15,12/B5*-1))</f>
        <v>44218</v>
      </c>
      <c r="H14" s="16"/>
      <c r="I14" s="16"/>
      <c r="J14" s="16"/>
      <c r="K14" s="16"/>
      <c r="R14" s="5"/>
      <c r="S14" s="5"/>
      <c r="W14" s="11"/>
      <c r="X14" s="12"/>
      <c r="Y14" s="12"/>
      <c r="Z14" s="11" t="str">
        <f t="shared" si="0"/>
        <v/>
      </c>
      <c r="AA14" s="12" t="str">
        <f>IF(Z14="","",IF(Z14=$B$18,100-SUM($AA$3:AA13),IF(Y14="",X14,Y14)/IF($B$24="N",$W$1/100,1)))</f>
        <v/>
      </c>
    </row>
    <row r="15" spans="1:27" x14ac:dyDescent="0.25">
      <c r="A15" t="s">
        <v>33</v>
      </c>
      <c r="B15" t="str" cm="1">
        <f t="array" ref="B15">_xll.BDP($A$1&amp; " CORP",A15)</f>
        <v>Normal</v>
      </c>
      <c r="F15" s="16" t="s">
        <v>34</v>
      </c>
      <c r="G15" s="18">
        <f>B11</f>
        <v>44583</v>
      </c>
      <c r="H15" s="16">
        <f>G15-G14</f>
        <v>365</v>
      </c>
      <c r="I15" s="16">
        <f>IF(AND(B2&lt;G15,B2&gt;=G14),IF(G12="",B2-G13,B2-G14),0)</f>
        <v>0</v>
      </c>
      <c r="J15" s="16">
        <f>MAX(MIN(G15-B2,G15-G14),0)</f>
        <v>0</v>
      </c>
      <c r="K15" s="16">
        <f>IF(G12="",G15-G13,G15-G14)</f>
        <v>365</v>
      </c>
      <c r="R15" s="5"/>
      <c r="S15" s="5"/>
      <c r="W15" s="11"/>
      <c r="X15" s="12"/>
      <c r="Y15" s="12"/>
      <c r="Z15" s="11" t="str">
        <f t="shared" si="0"/>
        <v/>
      </c>
      <c r="AA15" s="12" t="str">
        <f>IF(Z15="","",IF(Z15=$B$18,100-SUM($AA$3:AA14),IF(Y15="",X15,Y15)/IF($B$24="N",$W$1/100,1)))</f>
        <v/>
      </c>
    </row>
    <row r="16" spans="1:27" x14ac:dyDescent="0.25">
      <c r="A16" t="s">
        <v>35</v>
      </c>
      <c r="B16" cm="1">
        <f t="array" ref="B16">_xll.BDP($A$1&amp; " CORP",A16)</f>
        <v>1</v>
      </c>
      <c r="F16" s="16"/>
      <c r="G16" s="16"/>
      <c r="H16" s="16"/>
      <c r="I16" s="16"/>
      <c r="J16" s="16"/>
      <c r="K16" s="16"/>
      <c r="R16" s="5"/>
      <c r="S16" s="5"/>
      <c r="W16" s="11"/>
      <c r="X16" s="12"/>
      <c r="Y16" s="12"/>
      <c r="Z16" s="11" t="str">
        <f t="shared" si="0"/>
        <v/>
      </c>
      <c r="AA16" s="12" t="str">
        <f>IF(Z16="","",IF(Z16=$B$18,100-SUM($AA$3:AA15),IF(Y16="",X16,Y16)/IF($B$24="N",$W$1/100,1)))</f>
        <v/>
      </c>
    </row>
    <row r="17" spans="1:27" x14ac:dyDescent="0.25">
      <c r="A17" t="s">
        <v>36</v>
      </c>
      <c r="B17" t="b">
        <f>AND(B16=1,EOMONTH(B11,0)=B11)</f>
        <v>0</v>
      </c>
      <c r="J17" s="20" t="s">
        <v>37</v>
      </c>
      <c r="K17" s="20">
        <f>IF(G12="",K15/H15,K13/H13+K15/H15)*B6/B5*B4*B25</f>
        <v>5</v>
      </c>
      <c r="R17" s="5"/>
      <c r="S17" s="5"/>
      <c r="W17" s="11"/>
      <c r="X17" s="12"/>
      <c r="Y17" s="12"/>
      <c r="Z17" s="11" t="str">
        <f t="shared" si="0"/>
        <v/>
      </c>
      <c r="AA17" s="12" t="str">
        <f>IF(Z17="","",IF(Z17=$B$18,100-SUM($AA$3:AA16),IF(Y17="",X17,Y17)/IF($B$24="N",$W$1/100,1)))</f>
        <v/>
      </c>
    </row>
    <row r="18" spans="1:27" x14ac:dyDescent="0.25">
      <c r="A18" t="s">
        <v>38</v>
      </c>
      <c r="B18" s="6">
        <f>VALUE(_xll.BDP($A$1&amp; " CORP",A18))</f>
        <v>46044</v>
      </c>
      <c r="J18" s="21" t="s">
        <v>39</v>
      </c>
      <c r="K18" s="20">
        <f>IF(G12="",I15/H15,I15/H15+I13/H13)*B6/B5*B4</f>
        <v>0</v>
      </c>
      <c r="R18" s="5"/>
      <c r="S18" s="5"/>
      <c r="W18" s="11"/>
      <c r="X18" s="12"/>
      <c r="Y18" s="12"/>
      <c r="Z18" s="11" t="str">
        <f t="shared" si="0"/>
        <v/>
      </c>
      <c r="AA18" s="12" t="str">
        <f>IF(Z18="","",IF(Z18=$B$18,100-SUM($AA$3:AA17),IF(Y18="",X18,Y18)/IF($B$24="N",$W$1/100,1)))</f>
        <v/>
      </c>
    </row>
    <row r="19" spans="1:27" x14ac:dyDescent="0.25">
      <c r="A19" t="s">
        <v>40</v>
      </c>
      <c r="B19" s="22"/>
      <c r="J19" s="23" t="s">
        <v>41</v>
      </c>
      <c r="K19" s="20">
        <f>IF(G12="",J15/H15,J15/H15+J13/H13)</f>
        <v>0</v>
      </c>
      <c r="R19" s="5"/>
      <c r="S19" s="5"/>
      <c r="W19" s="11"/>
      <c r="X19" s="12"/>
      <c r="Y19" s="12"/>
      <c r="Z19" s="11" t="str">
        <f t="shared" si="0"/>
        <v/>
      </c>
      <c r="AA19" s="12" t="str">
        <f>IF(Z19="","",IF(Z19=$B$18,100-SUM($AA$3:AA18),IF(Y19="",X19,Y19)/IF($B$24="N",$W$1/100,1)))</f>
        <v/>
      </c>
    </row>
    <row r="20" spans="1:27" x14ac:dyDescent="0.25">
      <c r="A20" t="s">
        <v>42</v>
      </c>
      <c r="B20" t="str" cm="1">
        <f t="array" ref="B20">_xll.BDP(A1 &amp; " corp",$A$20)</f>
        <v>N</v>
      </c>
      <c r="F20" s="6"/>
      <c r="G20" s="6"/>
      <c r="R20" s="5"/>
      <c r="S20" s="5"/>
      <c r="W20" s="11"/>
      <c r="X20" s="12"/>
      <c r="Y20" s="12"/>
      <c r="Z20" s="11" t="str">
        <f t="shared" si="0"/>
        <v/>
      </c>
      <c r="AA20" s="12" t="str">
        <f>IF(Z20="","",IF(Z20=$B$18,100-SUM($AA$3:AA19),IF(Y20="",X20,Y20)/IF($B$24="N",$W$1/100,1)))</f>
        <v/>
      </c>
    </row>
    <row r="21" spans="1:27" x14ac:dyDescent="0.25">
      <c r="A21" t="s">
        <v>43</v>
      </c>
      <c r="B21" t="str" cm="1">
        <f t="array" ref="B21">_xll.BDP(A1 &amp; " corp",$A$21)</f>
        <v>#N/A Field Not Applicable</v>
      </c>
      <c r="F21" s="6"/>
      <c r="W21" s="11"/>
      <c r="X21" s="12"/>
      <c r="Y21" s="12"/>
      <c r="Z21" s="11" t="str">
        <f t="shared" si="0"/>
        <v/>
      </c>
      <c r="AA21" s="12" t="str">
        <f>IF(Z21="","",IF(Z21=$B$18,100-SUM($AA$3:AA20),IF(Y21="",X21,Y21)/IF($B$24="N",$W$1/100,1)))</f>
        <v/>
      </c>
    </row>
    <row r="22" spans="1:27" x14ac:dyDescent="0.25">
      <c r="A22" t="s">
        <v>44</v>
      </c>
      <c r="B22" t="e">
        <f>IF(C22="",VLOOKUP(B19,$R$1:$S$20,2,B21="N"),C22)</f>
        <v>#N/A</v>
      </c>
      <c r="C22" s="24"/>
      <c r="G22" s="6"/>
      <c r="O22" s="25"/>
      <c r="W22" s="11"/>
      <c r="X22" s="12"/>
      <c r="Y22" s="12"/>
      <c r="Z22" s="11" t="str">
        <f t="shared" si="0"/>
        <v/>
      </c>
      <c r="AA22" s="12" t="str">
        <f>IF(Z22="","",IF(Z22=$B$18,100-SUM($AA$3:AA21),IF(Y22="",X22,Y22)/IF($B$24="N",$W$1/100,1)))</f>
        <v/>
      </c>
    </row>
    <row r="23" spans="1:27" x14ac:dyDescent="0.25">
      <c r="A23" t="s">
        <v>45</v>
      </c>
      <c r="B23" t="str" cm="1">
        <f t="array" ref="B23">_xll.BDP($A$1 &amp; " corp",A23)</f>
        <v>N</v>
      </c>
      <c r="W23" s="11"/>
      <c r="X23" s="12"/>
      <c r="Y23" s="12"/>
      <c r="Z23" s="11" t="str">
        <f t="shared" si="0"/>
        <v/>
      </c>
      <c r="AA23" s="12" t="str">
        <f>IF(Z23="","",IF(Z23=$B$18,100-SUM($AA$3:AA22),IF(Y23="",X23,Y23)/IF($B$24="N",$W$1/100,1)))</f>
        <v/>
      </c>
    </row>
    <row r="24" spans="1:27" x14ac:dyDescent="0.25">
      <c r="A24" t="s">
        <v>46</v>
      </c>
      <c r="B24" t="str" cm="1">
        <f t="array" ref="B24">_xll.BDP($A$1 &amp; " corp",A24)</f>
        <v>#N/A Field Not Applicable</v>
      </c>
      <c r="F24" s="26"/>
      <c r="G24" s="26" t="s">
        <v>23</v>
      </c>
      <c r="H24" s="26" t="s">
        <v>24</v>
      </c>
      <c r="I24" s="26" t="s">
        <v>25</v>
      </c>
      <c r="J24" s="26" t="s">
        <v>26</v>
      </c>
      <c r="K24" s="27" t="s">
        <v>27</v>
      </c>
      <c r="W24" s="11"/>
      <c r="X24" s="12"/>
      <c r="Y24" s="12"/>
      <c r="Z24" s="11" t="str">
        <f t="shared" si="0"/>
        <v/>
      </c>
      <c r="AA24" s="12" t="str">
        <f>IF(Z24="","",IF(Z24=$B$18,100-SUM($AA$3:AA23),IF(Y24="",X24,Y24)/IF($B$24="N",$W$1/100,1)))</f>
        <v/>
      </c>
    </row>
    <row r="25" spans="1:27" x14ac:dyDescent="0.25">
      <c r="A25" t="s">
        <v>47</v>
      </c>
      <c r="B25">
        <f>IF(B23="N",1,VLOOKUP(B7,$A$38:$D$239,4,FALSE)/$B$4)</f>
        <v>1</v>
      </c>
      <c r="F25" s="26"/>
      <c r="G25" s="26"/>
      <c r="H25" s="26"/>
      <c r="I25" s="26"/>
      <c r="J25" s="26"/>
      <c r="K25" s="26"/>
      <c r="W25" s="11"/>
      <c r="X25" s="12"/>
      <c r="Y25" s="12"/>
      <c r="Z25" s="11" t="str">
        <f t="shared" si="0"/>
        <v/>
      </c>
      <c r="AA25" s="12" t="str">
        <f>IF(Z25="","",IF(Z25=$B$18,100-SUM($AA$3:AA24),IF(Y25="",X25,Y25)/IF($B$24="N",$W$1/100,1)))</f>
        <v/>
      </c>
    </row>
    <row r="26" spans="1:27" x14ac:dyDescent="0.25">
      <c r="A26" t="s">
        <v>48</v>
      </c>
      <c r="B26" s="24" t="s">
        <v>5</v>
      </c>
      <c r="F26" s="28" t="str">
        <f>A12</f>
        <v>Penultimate</v>
      </c>
      <c r="G26" s="29">
        <f>B12</f>
        <v>45679</v>
      </c>
      <c r="H26" s="26">
        <f>IF(G27="",G29-G26,G27-G26)</f>
        <v>365</v>
      </c>
      <c r="I26" s="26">
        <f>IF(G27="",MAX(B2-G26,0),MAX(MIN(G27-G26,B2-G26),0))</f>
        <v>160</v>
      </c>
      <c r="J26" s="26">
        <f>IF(G27="",MIN(K26,MAX(G28-$B$2,0)),MIN(K26,MAX(G27-$B$2,0)))</f>
        <v>205</v>
      </c>
      <c r="K26" s="26">
        <f>IF(G27="",G28-G26,G27-G26)</f>
        <v>365</v>
      </c>
      <c r="W26" s="11"/>
      <c r="X26" s="12"/>
      <c r="Y26" s="12"/>
      <c r="Z26" s="11" t="str">
        <f t="shared" si="0"/>
        <v/>
      </c>
      <c r="AA26" s="12" t="str">
        <f>IF(Z26="","",IF(Z26=$B$18,100-SUM($AA$3:AA25),IF(Y26="",X26,Y26)/IF($B$24="N",$W$1/100,1)))</f>
        <v/>
      </c>
    </row>
    <row r="27" spans="1:27" x14ac:dyDescent="0.25">
      <c r="F27" s="26" t="s">
        <v>29</v>
      </c>
      <c r="G27" s="29" t="str">
        <f>IF(AND(B15="Long",$B$18=$B$9),MIN(EOMONTH(G26,12/$B$5+IF($B$17,0,-1))+IF($B$17,0,DAY($B$11)),EOMONTH(G26,12/$B$5)),"")</f>
        <v/>
      </c>
      <c r="H27" s="26"/>
      <c r="I27" s="26"/>
      <c r="J27" s="26"/>
      <c r="K27" s="26"/>
      <c r="W27" s="11"/>
      <c r="X27" s="12"/>
      <c r="Y27" s="12"/>
      <c r="Z27" s="11" t="str">
        <f t="shared" si="0"/>
        <v/>
      </c>
      <c r="AA27" s="12" t="str">
        <f>IF(Z27="","",IF(Z27=$B$18,100-SUM($AA$3:AA26),IF(Y27="",X27,Y27)/IF($B$24="N",$W$1/100,1)))</f>
        <v/>
      </c>
    </row>
    <row r="28" spans="1:27" x14ac:dyDescent="0.25">
      <c r="F28" s="26" t="str">
        <f>A9</f>
        <v>Calc Mty</v>
      </c>
      <c r="G28" s="29">
        <f>B9</f>
        <v>46044</v>
      </c>
      <c r="H28" s="26">
        <f>IF(G27="",0,G29-G27)</f>
        <v>0</v>
      </c>
      <c r="I28" s="26">
        <f>IF(G27="",0,MAX(B2-G27,0))</f>
        <v>0</v>
      </c>
      <c r="J28" s="26">
        <f>IF(G27="",0,MIN(K28,MAX(G28-$B$2,0)))</f>
        <v>0</v>
      </c>
      <c r="K28" s="26">
        <f>IF(G27="",0,G28-G27)</f>
        <v>0</v>
      </c>
      <c r="W28" s="11"/>
      <c r="X28" s="12"/>
      <c r="Y28" s="12"/>
      <c r="Z28" s="11" t="str">
        <f t="shared" si="0"/>
        <v/>
      </c>
      <c r="AA28" s="12" t="str">
        <f>IF(Z28="","",IF(Z28=$B$18,100-SUM($AA$3:AA27),IF(Y28="",X28,Y28)/IF($B$24="N",$W$1/100,1)))</f>
        <v/>
      </c>
    </row>
    <row r="29" spans="1:27" x14ac:dyDescent="0.25">
      <c r="B29" s="6"/>
      <c r="F29" s="27" t="s">
        <v>49</v>
      </c>
      <c r="G29" s="29">
        <f>IF(AND(B15="Long",$B$18=$B$9),MIN(EOMONTH(G27,12/$B$5+IF($B$17,0,-1))+IF($B$17,0,DAY($B$11)),EOMONTH(G27,12/$B$5)),MIN(EOMONTH(G26,12/$B$5+IF($B$17,0,-1))+IF($B$17,0,DAY($B$11)),EOMONTH(G26,12/$B$5)))</f>
        <v>46044</v>
      </c>
      <c r="H29" s="26"/>
      <c r="I29" s="26"/>
      <c r="J29" s="26"/>
      <c r="K29" s="26"/>
      <c r="W29" s="11"/>
      <c r="X29" s="12"/>
      <c r="Y29" s="12"/>
      <c r="Z29" s="11" t="str">
        <f t="shared" si="0"/>
        <v/>
      </c>
      <c r="AA29" s="12" t="str">
        <f>IF(Z29="","",IF(Z29=$B$18,100-SUM($AA$3:AA28),IF(Y29="",X29,Y29)/IF($B$24="N",$W$1/100,1)))</f>
        <v/>
      </c>
    </row>
    <row r="30" spans="1:27" x14ac:dyDescent="0.25">
      <c r="A30" s="30" t="s">
        <v>50</v>
      </c>
      <c r="J30" s="20" t="s">
        <v>37</v>
      </c>
      <c r="K30" s="20">
        <f>IF(G27="",K26/H26,K26/H26+K28/H28)*B6/B5*B4</f>
        <v>5</v>
      </c>
      <c r="W30" s="11"/>
      <c r="X30" s="12"/>
      <c r="Y30" s="12"/>
      <c r="Z30" s="11" t="str">
        <f t="shared" si="0"/>
        <v/>
      </c>
      <c r="AA30" s="12" t="str">
        <f>IF(Z30="","",IF(Z30=$B$18,100-SUM($AA$3:AA29),IF(Y30="",X30,Y30)/IF($B$24="N",$W$1/100,1)))</f>
        <v/>
      </c>
    </row>
    <row r="31" spans="1:27" x14ac:dyDescent="0.25">
      <c r="A31" s="30" t="s">
        <v>51</v>
      </c>
      <c r="J31" s="21" t="s">
        <v>39</v>
      </c>
      <c r="K31" s="20">
        <f>IF(G27="",I26/H26,I28/H28+I26/H26)*B6/B5*B4</f>
        <v>2.1917808219178081</v>
      </c>
      <c r="W31" s="11"/>
      <c r="X31" s="12"/>
      <c r="Y31" s="12"/>
      <c r="Z31" s="11" t="str">
        <f t="shared" si="0"/>
        <v/>
      </c>
      <c r="AA31" s="12" t="str">
        <f>IF(Z31="","",IF(Z31=$B$18,100-SUM($AA$3:AA30),IF(Y31="",X31,Y31)/IF($B$24="N",$W$1/100,1)))</f>
        <v/>
      </c>
    </row>
    <row r="32" spans="1:27" x14ac:dyDescent="0.25">
      <c r="A32" s="30" t="s">
        <v>52</v>
      </c>
      <c r="J32" s="23" t="s">
        <v>41</v>
      </c>
      <c r="K32" s="20">
        <f>IF(G27="",J26/H26,J26/H26+J28/H28)</f>
        <v>0.56164383561643838</v>
      </c>
      <c r="W32" s="11"/>
      <c r="X32" s="12"/>
      <c r="Y32" s="12"/>
      <c r="Z32" s="11" t="str">
        <f t="shared" si="0"/>
        <v/>
      </c>
      <c r="AA32" s="12" t="str">
        <f>IF(Z32="","",IF(Z32=$B$18,100-SUM($AA$3:AA31),IF(Y32="",X32,Y32)/IF($B$24="N",$W$1/100,1)))</f>
        <v/>
      </c>
    </row>
    <row r="33" spans="1:27" x14ac:dyDescent="0.25">
      <c r="W33" s="11"/>
      <c r="X33" s="12"/>
      <c r="Y33" s="12"/>
      <c r="Z33" s="11" t="str">
        <f t="shared" si="0"/>
        <v/>
      </c>
      <c r="AA33" s="12" t="str">
        <f>IF(Z33="","",IF(Z33=$B$18,100-SUM($AA$3:AA32),IF(Y33="",X33,Y33)/IF($B$24="N",$W$1/100,1)))</f>
        <v/>
      </c>
    </row>
    <row r="34" spans="1:27" x14ac:dyDescent="0.25">
      <c r="E34" s="35"/>
      <c r="F34" s="34"/>
      <c r="W34" s="11"/>
      <c r="X34" s="12"/>
      <c r="Y34" s="12"/>
      <c r="Z34" s="11" t="str">
        <f t="shared" si="0"/>
        <v/>
      </c>
      <c r="AA34" s="12" t="str">
        <f>IF(Z34="","",IF(Z34=$B$18,100-SUM($AA$3:AA33),IF(Y34="",X34,Y34)/IF($B$24="N",$W$1/100,1)))</f>
        <v/>
      </c>
    </row>
    <row r="35" spans="1:27" x14ac:dyDescent="0.25">
      <c r="W35" s="11"/>
      <c r="X35" s="12"/>
      <c r="Y35" s="12"/>
      <c r="Z35" s="11" t="str">
        <f t="shared" si="0"/>
        <v/>
      </c>
      <c r="AA35" s="12" t="str">
        <f>IF(Z35="","",IF(Z35=$B$18,100-SUM($AA$3:AA34),IF(Y35="",X35,Y35)/IF($B$24="N",$W$1/100,1)))</f>
        <v/>
      </c>
    </row>
    <row r="36" spans="1:27" x14ac:dyDescent="0.25">
      <c r="W36" s="11"/>
      <c r="X36" s="12"/>
      <c r="Y36" s="12"/>
      <c r="Z36" s="11" t="str">
        <f t="shared" si="0"/>
        <v/>
      </c>
      <c r="AA36" s="12" t="str">
        <f>IF(Z36="","",IF(Z36=$B$18,100-SUM($AA$3:AA35),IF(Y36="",X36,Y36)/IF($B$24="N",$W$1/100,1)))</f>
        <v/>
      </c>
    </row>
    <row r="37" spans="1:27" x14ac:dyDescent="0.25">
      <c r="A37" s="6"/>
      <c r="B37" t="s">
        <v>53</v>
      </c>
      <c r="C37" t="s">
        <v>14</v>
      </c>
      <c r="D37" t="s">
        <v>54</v>
      </c>
      <c r="E37" t="s">
        <v>55</v>
      </c>
      <c r="F37" t="s">
        <v>56</v>
      </c>
      <c r="G37" t="s">
        <v>57</v>
      </c>
      <c r="H37" s="37" t="s">
        <v>58</v>
      </c>
      <c r="I37" s="37"/>
      <c r="W37" s="11"/>
      <c r="X37" s="12"/>
      <c r="Y37" s="12"/>
      <c r="Z37" s="11" t="str">
        <f>IF(AND(ISNUMBER(W36),W37=""),$B$18,IF(W37="","",W37))</f>
        <v/>
      </c>
      <c r="AA37" s="12" t="str">
        <f>IF(Z37="","",IF(Z37=$B$18,100-SUM($AA$3:AA36),IF(Y37="",X37,Y37)/IF($B$24="N",$W$1/100,1)))</f>
        <v/>
      </c>
    </row>
    <row r="38" spans="1:27" x14ac:dyDescent="0.25">
      <c r="A38" s="4">
        <f>B10</f>
        <v>44218</v>
      </c>
      <c r="D38">
        <f>B4</f>
        <v>100</v>
      </c>
      <c r="H38" t="s">
        <v>59</v>
      </c>
      <c r="I38" t="s">
        <v>14</v>
      </c>
      <c r="W38" s="11"/>
      <c r="X38" s="12"/>
      <c r="Y38" s="12"/>
      <c r="Z38" s="11" t="str">
        <f t="shared" si="0"/>
        <v/>
      </c>
      <c r="AA38" s="12" t="str">
        <f>IF(Z38="","",IF(Z38=$B$18,100-SUM($AA$3:AA37),IF(Y38="",X38,Y38)/IF($B$24="N",$W$1/100,1)))</f>
        <v/>
      </c>
    </row>
    <row r="39" spans="1:27" x14ac:dyDescent="0.25">
      <c r="A39" s="4">
        <f>B11</f>
        <v>44583</v>
      </c>
      <c r="B39" s="5">
        <f>K17</f>
        <v>5</v>
      </c>
      <c r="C39" s="5">
        <f t="shared" ref="C39:C102" si="1">IF(A39="","",IF($B$23="Y",IF(ISNA(VLOOKUP(A39,$Z$3:$AA$100,2,FALSE)),0,VLOOKUP(A39,$Z$3:$AA$100,2,FALSE)),IF(A39=$B$9,IF($B$9=$B$18,$B$4*$B$13/100,$B$22),0)))</f>
        <v>0</v>
      </c>
      <c r="D39" s="5">
        <f>IF(A39="","",D38-C39)</f>
        <v>100</v>
      </c>
      <c r="E39" s="5">
        <f>IF(A39="","",IF(A39&lt;$B$8,0,IF(A39=$B$11,K$19,IF(A39=$B$9,$K$32+E38,IF(A39=$B$8,(A39-$B$2)/(A39-A38),1+E38)))))</f>
        <v>0</v>
      </c>
      <c r="F39" s="5">
        <f>IF(A39="","",IF(E39=0,0,IF($B$8=$B$9,1/(1+$B$3/$B$5*E39),1/((1+$B$3/$B$5)^E39))))</f>
        <v>0</v>
      </c>
      <c r="G39" s="5">
        <f t="shared" ref="G39:G102" si="2">IF(A39="","",F39*(B39+C39))</f>
        <v>0</v>
      </c>
      <c r="H39" s="31">
        <f>IF(A39="","",IF(A39&lt;$B$8,0,B39/$B$25))</f>
        <v>0</v>
      </c>
      <c r="I39" s="31">
        <f>IF(A39="","",IF(A39&lt;$B$8,0,C39/$B$25))</f>
        <v>0</v>
      </c>
      <c r="W39" s="11"/>
      <c r="X39" s="12"/>
      <c r="Y39" s="12"/>
      <c r="Z39" s="11" t="str">
        <f t="shared" si="0"/>
        <v/>
      </c>
      <c r="AA39" s="12" t="str">
        <f>IF(Z39="","",IF(Z39=$B$18,100-SUM($AA$3:AA38),IF(Y39="",X39,Y39)/IF($B$24="N",$W$1/100,1)))</f>
        <v/>
      </c>
    </row>
    <row r="40" spans="1:27" x14ac:dyDescent="0.25">
      <c r="A40" s="4">
        <f>IF(OR(A39=$B$9,A39=""),"",IF(MIN(EOMONTH(A39,(12/$B$5)*IF($B$15="Long",2,1)+IF($B$17,0,-1))+IF($B$17,0,DAY($B$11)),EOMONTH(A39,(12/$B$5)*IF($B$15="Long",2,1)))&gt;=$B$9,$B$9,MIN(EOMONTH(A39,12/$B$5+IF($B$17,0,-1))+IF($B$17,0,DAY($B$11)),EOMONTH(A39,12/$B$5))))</f>
        <v>44948</v>
      </c>
      <c r="B40" s="5">
        <f>IF(A40="","",IF(A40=$B$9,$K$30/100*D39,$B$6/$B$5*D39))</f>
        <v>5</v>
      </c>
      <c r="C40" s="5">
        <f t="shared" si="1"/>
        <v>0</v>
      </c>
      <c r="D40" s="5">
        <f t="shared" ref="D40:D103" si="3">IF(A40="","",D39-C40)</f>
        <v>100</v>
      </c>
      <c r="E40" s="5">
        <f>IF(A40="","",IF(A40&lt;$B$8,0,IF(A40=$B$11,K$19,IF(A40=$B$9,$K$32+E39,IF(A40=$B$8,(A40-$B$2)/(A40-A39),1+E39)))))</f>
        <v>0</v>
      </c>
      <c r="F40" s="5">
        <f t="shared" ref="F40:F103" si="4">IF(A40="","",IF(E40=0,0,IF($B$8=$B$9,1/(1+$B$3/$B$5*E40),1/((1+$B$3/$B$5)^E40))))</f>
        <v>0</v>
      </c>
      <c r="G40" s="5">
        <f t="shared" si="2"/>
        <v>0</v>
      </c>
      <c r="H40" s="31">
        <f t="shared" ref="H40:H103" si="5">IF(A40="","",IF(A40&lt;$B$8,0,B40/$B$25))</f>
        <v>0</v>
      </c>
      <c r="I40" s="31">
        <f t="shared" ref="I40:I103" si="6">IF(A40="","",IF(A40&lt;$B$8,0,C40/$B$25))</f>
        <v>0</v>
      </c>
      <c r="W40" s="11"/>
      <c r="X40" s="12"/>
      <c r="Y40" s="12"/>
      <c r="Z40" s="11" t="str">
        <f t="shared" si="0"/>
        <v/>
      </c>
      <c r="AA40" s="12" t="str">
        <f>IF(Z40="","",IF(Z40=$B$18,100-SUM($AA$3:AA39),IF(Y40="",X40,Y40)/IF($B$24="N",$W$1/100,1)))</f>
        <v/>
      </c>
    </row>
    <row r="41" spans="1:27" x14ac:dyDescent="0.25">
      <c r="A41" s="4">
        <f t="shared" ref="A41:A104" si="7">IF(OR(A40=$B$9,A40=""),"",IF(MIN(EOMONTH(A40,(12/$B$5)*IF($B$15="Long",2,1)+IF($B$17,0,-1))+IF($B$17,0,DAY($B$11)),EOMONTH(A40,(12/$B$5)*IF($B$15="Long",2,1)))&gt;=$B$9,$B$9,MIN(EOMONTH(A40,12/$B$5+IF($B$17,0,-1))+IF($B$17,0,DAY($B$11)),EOMONTH(A40,12/$B$5))))</f>
        <v>45313</v>
      </c>
      <c r="B41" s="5">
        <f t="shared" ref="B41:B104" si="8">IF(A41="","",IF(A41=$B$9,$K$30/100*D40,$B$6/$B$5*D40))</f>
        <v>5</v>
      </c>
      <c r="C41" s="5">
        <f t="shared" si="1"/>
        <v>0</v>
      </c>
      <c r="D41" s="5">
        <f t="shared" si="3"/>
        <v>100</v>
      </c>
      <c r="E41" s="5">
        <f t="shared" ref="E41:E104" si="9">IF(A41="","",IF(A41&lt;$B$8,0,IF(A41=$B$11,K$19,IF(A41=$B$9,$K$32+E40,IF(A41=$B$8,(A41-$B$2)/(A41-A40),1+E40)))))</f>
        <v>0</v>
      </c>
      <c r="F41" s="5">
        <f t="shared" si="4"/>
        <v>0</v>
      </c>
      <c r="G41" s="5">
        <f t="shared" si="2"/>
        <v>0</v>
      </c>
      <c r="H41" s="31">
        <f t="shared" si="5"/>
        <v>0</v>
      </c>
      <c r="I41" s="31">
        <f t="shared" si="6"/>
        <v>0</v>
      </c>
      <c r="W41" s="11"/>
      <c r="X41" s="12"/>
      <c r="Y41" s="12"/>
      <c r="Z41" s="11" t="str">
        <f t="shared" si="0"/>
        <v/>
      </c>
      <c r="AA41" s="12" t="str">
        <f>IF(Z41="","",IF(Z41=$B$18,100-SUM($AA$3:AA40),IF(Y41="",X41,Y41)/IF($B$24="N",$W$1/100,1)))</f>
        <v/>
      </c>
    </row>
    <row r="42" spans="1:27" x14ac:dyDescent="0.25">
      <c r="A42" s="4">
        <f t="shared" si="7"/>
        <v>45679</v>
      </c>
      <c r="B42" s="5">
        <f t="shared" si="8"/>
        <v>5</v>
      </c>
      <c r="C42" s="5">
        <f t="shared" si="1"/>
        <v>0</v>
      </c>
      <c r="D42" s="5">
        <f t="shared" si="3"/>
        <v>100</v>
      </c>
      <c r="E42" s="5">
        <f t="shared" si="9"/>
        <v>0</v>
      </c>
      <c r="F42" s="5">
        <f t="shared" si="4"/>
        <v>0</v>
      </c>
      <c r="G42" s="5">
        <f t="shared" si="2"/>
        <v>0</v>
      </c>
      <c r="H42" s="31">
        <f t="shared" si="5"/>
        <v>0</v>
      </c>
      <c r="I42" s="31">
        <f t="shared" si="6"/>
        <v>0</v>
      </c>
      <c r="W42" s="12"/>
      <c r="X42" s="12"/>
      <c r="Y42" s="12"/>
      <c r="Z42" s="11" t="str">
        <f t="shared" si="0"/>
        <v/>
      </c>
      <c r="AA42" s="12" t="str">
        <f>IF(Z42="","",IF(Z42=$B$18,100-SUM($AA$3:AA41),IF(Y42="",X42,Y42)/IF($B$24="N",$W$1/100,1)))</f>
        <v/>
      </c>
    </row>
    <row r="43" spans="1:27" x14ac:dyDescent="0.25">
      <c r="A43" s="4">
        <f t="shared" si="7"/>
        <v>46044</v>
      </c>
      <c r="B43" s="5">
        <f t="shared" si="8"/>
        <v>5</v>
      </c>
      <c r="C43" s="5">
        <f t="shared" si="1"/>
        <v>100</v>
      </c>
      <c r="D43" s="5">
        <f t="shared" si="3"/>
        <v>0</v>
      </c>
      <c r="E43" s="5">
        <f t="shared" si="9"/>
        <v>0.56164383561643838</v>
      </c>
      <c r="F43" s="5">
        <f t="shared" si="4"/>
        <v>0.93009315059875775</v>
      </c>
      <c r="G43" s="5">
        <f>IF(A43="","",F43*(B43+C43))</f>
        <v>97.65978081286957</v>
      </c>
      <c r="H43" s="31">
        <f t="shared" si="5"/>
        <v>5</v>
      </c>
      <c r="I43" s="31">
        <f t="shared" si="6"/>
        <v>100</v>
      </c>
      <c r="W43" s="12"/>
      <c r="X43" s="12"/>
      <c r="Y43" s="12"/>
      <c r="Z43" s="11" t="str">
        <f t="shared" si="0"/>
        <v/>
      </c>
      <c r="AA43" s="12" t="str">
        <f>IF(Z43="","",IF(Z43=$B$18,100-SUM($AA$3:AA42),IF(Y43="",X43,Y43)/IF($B$24="N",$W$1/100,1)))</f>
        <v/>
      </c>
    </row>
    <row r="44" spans="1:27" x14ac:dyDescent="0.25">
      <c r="A44" s="4" t="str">
        <f t="shared" si="7"/>
        <v/>
      </c>
      <c r="B44" s="5" t="str">
        <f t="shared" si="8"/>
        <v/>
      </c>
      <c r="C44" s="5" t="str">
        <f t="shared" si="1"/>
        <v/>
      </c>
      <c r="D44" s="5" t="str">
        <f t="shared" si="3"/>
        <v/>
      </c>
      <c r="E44" s="5" t="str">
        <f t="shared" si="9"/>
        <v/>
      </c>
      <c r="F44" s="5" t="str">
        <f t="shared" si="4"/>
        <v/>
      </c>
      <c r="G44" s="5" t="str">
        <f t="shared" si="2"/>
        <v/>
      </c>
      <c r="H44" s="31" t="str">
        <f t="shared" si="5"/>
        <v/>
      </c>
      <c r="I44" s="31" t="str">
        <f t="shared" si="6"/>
        <v/>
      </c>
      <c r="W44" s="12"/>
      <c r="X44" s="12"/>
      <c r="Y44" s="12"/>
      <c r="Z44" s="11" t="str">
        <f t="shared" si="0"/>
        <v/>
      </c>
      <c r="AA44" s="12" t="str">
        <f>IF(Z44="","",IF(Z44=$B$18,100-SUM($AA$3:AA43),IF(Y44="",X44,Y44)/IF($B$24="N",$W$1/100,1)))</f>
        <v/>
      </c>
    </row>
    <row r="45" spans="1:27" x14ac:dyDescent="0.25">
      <c r="A45" s="4" t="str">
        <f t="shared" si="7"/>
        <v/>
      </c>
      <c r="B45" s="5" t="str">
        <f t="shared" si="8"/>
        <v/>
      </c>
      <c r="C45" s="5" t="str">
        <f t="shared" si="1"/>
        <v/>
      </c>
      <c r="D45" s="5" t="str">
        <f t="shared" si="3"/>
        <v/>
      </c>
      <c r="E45" s="5" t="str">
        <f t="shared" si="9"/>
        <v/>
      </c>
      <c r="F45" s="5" t="str">
        <f t="shared" si="4"/>
        <v/>
      </c>
      <c r="G45" s="5" t="str">
        <f t="shared" si="2"/>
        <v/>
      </c>
      <c r="H45" s="31" t="str">
        <f t="shared" si="5"/>
        <v/>
      </c>
      <c r="I45" s="31" t="str">
        <f t="shared" si="6"/>
        <v/>
      </c>
      <c r="W45" s="12"/>
      <c r="X45" s="12"/>
      <c r="Y45" s="12"/>
      <c r="Z45" s="11" t="str">
        <f t="shared" si="0"/>
        <v/>
      </c>
      <c r="AA45" s="12" t="str">
        <f>IF(Z45="","",IF(Z45=$B$18,100-SUM($AA$3:AA44),IF(Y45="",X45,Y45)/IF($B$24="N",$W$1/100,1)))</f>
        <v/>
      </c>
    </row>
    <row r="46" spans="1:27" x14ac:dyDescent="0.25">
      <c r="A46" s="4" t="str">
        <f t="shared" si="7"/>
        <v/>
      </c>
      <c r="B46" s="5" t="str">
        <f t="shared" si="8"/>
        <v/>
      </c>
      <c r="C46" s="5" t="str">
        <f t="shared" si="1"/>
        <v/>
      </c>
      <c r="D46" s="5" t="str">
        <f t="shared" si="3"/>
        <v/>
      </c>
      <c r="E46" s="5" t="str">
        <f t="shared" si="9"/>
        <v/>
      </c>
      <c r="F46" s="5" t="str">
        <f t="shared" si="4"/>
        <v/>
      </c>
      <c r="G46" s="5" t="str">
        <f t="shared" si="2"/>
        <v/>
      </c>
      <c r="H46" s="31" t="str">
        <f t="shared" si="5"/>
        <v/>
      </c>
      <c r="I46" s="31" t="str">
        <f t="shared" si="6"/>
        <v/>
      </c>
      <c r="W46" s="12"/>
      <c r="X46" s="12"/>
      <c r="Y46" s="12"/>
      <c r="Z46" s="11" t="str">
        <f t="shared" si="0"/>
        <v/>
      </c>
      <c r="AA46" s="12" t="str">
        <f>IF(Z46="","",IF(Z46=$B$18,100-SUM($AA$3:AA45),IF(Y46="",X46,Y46)/IF($B$24="N",$W$1/100,1)))</f>
        <v/>
      </c>
    </row>
    <row r="47" spans="1:27" x14ac:dyDescent="0.25">
      <c r="A47" s="4" t="str">
        <f t="shared" si="7"/>
        <v/>
      </c>
      <c r="B47" s="5" t="str">
        <f t="shared" si="8"/>
        <v/>
      </c>
      <c r="C47" s="5" t="str">
        <f t="shared" si="1"/>
        <v/>
      </c>
      <c r="D47" s="5" t="str">
        <f t="shared" si="3"/>
        <v/>
      </c>
      <c r="E47" s="5" t="str">
        <f t="shared" si="9"/>
        <v/>
      </c>
      <c r="F47" s="5" t="str">
        <f t="shared" si="4"/>
        <v/>
      </c>
      <c r="G47" s="5" t="str">
        <f t="shared" si="2"/>
        <v/>
      </c>
      <c r="H47" s="31" t="str">
        <f t="shared" si="5"/>
        <v/>
      </c>
      <c r="I47" s="31" t="str">
        <f t="shared" si="6"/>
        <v/>
      </c>
      <c r="W47" s="12"/>
      <c r="X47" s="12"/>
      <c r="Y47" s="12"/>
      <c r="Z47" s="11" t="str">
        <f t="shared" si="0"/>
        <v/>
      </c>
      <c r="AA47" s="12" t="str">
        <f>IF(Z47="","",IF(Z47=$B$18,100-SUM($AA$3:AA46),IF(Y47="",X47,Y47)/IF($B$24="N",$W$1/100,1)))</f>
        <v/>
      </c>
    </row>
    <row r="48" spans="1:27" x14ac:dyDescent="0.25">
      <c r="A48" s="4" t="str">
        <f t="shared" si="7"/>
        <v/>
      </c>
      <c r="B48" s="5" t="str">
        <f t="shared" si="8"/>
        <v/>
      </c>
      <c r="C48" s="5" t="str">
        <f t="shared" si="1"/>
        <v/>
      </c>
      <c r="D48" s="5" t="str">
        <f t="shared" si="3"/>
        <v/>
      </c>
      <c r="E48" s="5" t="str">
        <f t="shared" si="9"/>
        <v/>
      </c>
      <c r="F48" s="5" t="str">
        <f t="shared" si="4"/>
        <v/>
      </c>
      <c r="G48" s="5" t="str">
        <f t="shared" si="2"/>
        <v/>
      </c>
      <c r="H48" s="31" t="str">
        <f t="shared" si="5"/>
        <v/>
      </c>
      <c r="I48" s="31" t="str">
        <f t="shared" si="6"/>
        <v/>
      </c>
      <c r="W48" s="12"/>
      <c r="X48" s="12"/>
      <c r="Y48" s="12"/>
      <c r="Z48" s="11" t="str">
        <f t="shared" si="0"/>
        <v/>
      </c>
      <c r="AA48" s="12" t="str">
        <f>IF(Z48="","",IF(Z48=$B$18,100-SUM($AA$3:AA47),IF(Y48="",X48,Y48)/IF($B$24="N",$W$1/100,1)))</f>
        <v/>
      </c>
    </row>
    <row r="49" spans="1:27" x14ac:dyDescent="0.25">
      <c r="A49" s="4" t="str">
        <f t="shared" si="7"/>
        <v/>
      </c>
      <c r="B49" s="5" t="str">
        <f t="shared" si="8"/>
        <v/>
      </c>
      <c r="C49" s="5" t="str">
        <f t="shared" si="1"/>
        <v/>
      </c>
      <c r="D49" s="5" t="str">
        <f t="shared" si="3"/>
        <v/>
      </c>
      <c r="E49" s="5" t="str">
        <f t="shared" si="9"/>
        <v/>
      </c>
      <c r="F49" s="5" t="str">
        <f t="shared" si="4"/>
        <v/>
      </c>
      <c r="G49" s="5" t="str">
        <f t="shared" si="2"/>
        <v/>
      </c>
      <c r="H49" s="31" t="str">
        <f t="shared" si="5"/>
        <v/>
      </c>
      <c r="I49" s="31" t="str">
        <f t="shared" si="6"/>
        <v/>
      </c>
      <c r="W49" s="12"/>
      <c r="X49" s="12"/>
      <c r="Y49" s="12"/>
      <c r="Z49" s="11" t="str">
        <f t="shared" si="0"/>
        <v/>
      </c>
      <c r="AA49" s="12" t="str">
        <f>IF(Z49="","",IF(Z49=$B$18,100-SUM($AA$3:AA48),IF(Y49="",X49,Y49)/IF($B$24="N",$W$1/100,1)))</f>
        <v/>
      </c>
    </row>
    <row r="50" spans="1:27" x14ac:dyDescent="0.25">
      <c r="A50" s="4" t="str">
        <f t="shared" si="7"/>
        <v/>
      </c>
      <c r="B50" s="5" t="str">
        <f t="shared" si="8"/>
        <v/>
      </c>
      <c r="C50" s="5" t="str">
        <f t="shared" si="1"/>
        <v/>
      </c>
      <c r="D50" s="5" t="str">
        <f t="shared" si="3"/>
        <v/>
      </c>
      <c r="E50" s="5" t="str">
        <f t="shared" si="9"/>
        <v/>
      </c>
      <c r="F50" s="5" t="str">
        <f t="shared" si="4"/>
        <v/>
      </c>
      <c r="G50" s="5" t="str">
        <f t="shared" si="2"/>
        <v/>
      </c>
      <c r="H50" s="31" t="str">
        <f t="shared" si="5"/>
        <v/>
      </c>
      <c r="I50" s="31" t="str">
        <f t="shared" si="6"/>
        <v/>
      </c>
      <c r="W50" s="12"/>
      <c r="X50" s="12"/>
      <c r="Y50" s="12"/>
      <c r="Z50" s="11" t="str">
        <f t="shared" si="0"/>
        <v/>
      </c>
      <c r="AA50" s="12" t="str">
        <f>IF(Z50="","",IF(Z50=$B$18,100-SUM($AA$3:AA49),IF(Y50="",X50,Y50)/IF($B$24="N",$W$1/100,1)))</f>
        <v/>
      </c>
    </row>
    <row r="51" spans="1:27" x14ac:dyDescent="0.25">
      <c r="A51" s="4" t="str">
        <f t="shared" si="7"/>
        <v/>
      </c>
      <c r="B51" s="5" t="str">
        <f t="shared" si="8"/>
        <v/>
      </c>
      <c r="C51" s="5" t="str">
        <f t="shared" si="1"/>
        <v/>
      </c>
      <c r="D51" s="5" t="str">
        <f t="shared" si="3"/>
        <v/>
      </c>
      <c r="E51" s="5" t="str">
        <f t="shared" si="9"/>
        <v/>
      </c>
      <c r="F51" s="5" t="str">
        <f t="shared" si="4"/>
        <v/>
      </c>
      <c r="G51" s="5" t="str">
        <f t="shared" si="2"/>
        <v/>
      </c>
      <c r="H51" s="31" t="str">
        <f t="shared" si="5"/>
        <v/>
      </c>
      <c r="I51" s="31" t="str">
        <f t="shared" si="6"/>
        <v/>
      </c>
      <c r="W51" s="12"/>
      <c r="X51" s="12"/>
      <c r="Y51" s="12"/>
      <c r="Z51" s="11" t="str">
        <f t="shared" si="0"/>
        <v/>
      </c>
      <c r="AA51" s="12" t="str">
        <f>IF(Z51="","",IF(Z51=$B$18,100-SUM($AA$3:AA50),IF(Y51="",X51,Y51)/IF($B$24="N",$W$1/100,1)))</f>
        <v/>
      </c>
    </row>
    <row r="52" spans="1:27" x14ac:dyDescent="0.25">
      <c r="A52" s="4" t="str">
        <f t="shared" si="7"/>
        <v/>
      </c>
      <c r="B52" s="5" t="str">
        <f t="shared" si="8"/>
        <v/>
      </c>
      <c r="C52" s="5" t="str">
        <f t="shared" si="1"/>
        <v/>
      </c>
      <c r="D52" s="5" t="str">
        <f t="shared" si="3"/>
        <v/>
      </c>
      <c r="E52" s="5" t="str">
        <f t="shared" si="9"/>
        <v/>
      </c>
      <c r="F52" s="5" t="str">
        <f t="shared" si="4"/>
        <v/>
      </c>
      <c r="G52" s="5" t="str">
        <f t="shared" si="2"/>
        <v/>
      </c>
      <c r="H52" s="31" t="str">
        <f t="shared" si="5"/>
        <v/>
      </c>
      <c r="I52" s="31" t="str">
        <f t="shared" si="6"/>
        <v/>
      </c>
      <c r="W52" s="12"/>
      <c r="X52" s="12"/>
      <c r="Y52" s="12"/>
      <c r="Z52" s="11" t="str">
        <f t="shared" si="0"/>
        <v/>
      </c>
      <c r="AA52" s="12" t="str">
        <f>IF(Z52="","",IF(Z52=$B$18,100-SUM($AA$3:AA51),IF(Y52="",X52,Y52)/IF($B$24="N",$W$1/100,1)))</f>
        <v/>
      </c>
    </row>
    <row r="53" spans="1:27" x14ac:dyDescent="0.25">
      <c r="A53" s="4" t="str">
        <f t="shared" si="7"/>
        <v/>
      </c>
      <c r="B53" s="5" t="str">
        <f t="shared" si="8"/>
        <v/>
      </c>
      <c r="C53" s="5" t="str">
        <f t="shared" si="1"/>
        <v/>
      </c>
      <c r="D53" s="5" t="str">
        <f t="shared" si="3"/>
        <v/>
      </c>
      <c r="E53" s="5" t="str">
        <f t="shared" si="9"/>
        <v/>
      </c>
      <c r="F53" s="5" t="str">
        <f t="shared" si="4"/>
        <v/>
      </c>
      <c r="G53" s="5" t="str">
        <f t="shared" si="2"/>
        <v/>
      </c>
      <c r="H53" s="31" t="str">
        <f t="shared" si="5"/>
        <v/>
      </c>
      <c r="I53" s="31" t="str">
        <f t="shared" si="6"/>
        <v/>
      </c>
      <c r="W53" s="12"/>
      <c r="X53" s="12"/>
      <c r="Y53" s="12"/>
      <c r="Z53" s="11" t="str">
        <f t="shared" si="0"/>
        <v/>
      </c>
      <c r="AA53" s="12" t="str">
        <f>IF(Z53="","",IF(Z53=$B$18,100-SUM($AA$3:AA52),IF(Y53="",X53,Y53)/IF($B$24="N",$W$1/100,1)))</f>
        <v/>
      </c>
    </row>
    <row r="54" spans="1:27" x14ac:dyDescent="0.25">
      <c r="A54" s="4" t="str">
        <f t="shared" si="7"/>
        <v/>
      </c>
      <c r="B54" s="5" t="str">
        <f t="shared" si="8"/>
        <v/>
      </c>
      <c r="C54" s="5" t="str">
        <f t="shared" si="1"/>
        <v/>
      </c>
      <c r="D54" s="5" t="str">
        <f t="shared" si="3"/>
        <v/>
      </c>
      <c r="E54" s="5" t="str">
        <f t="shared" si="9"/>
        <v/>
      </c>
      <c r="F54" s="5" t="str">
        <f t="shared" si="4"/>
        <v/>
      </c>
      <c r="G54" s="5" t="str">
        <f t="shared" si="2"/>
        <v/>
      </c>
      <c r="H54" s="31" t="str">
        <f t="shared" si="5"/>
        <v/>
      </c>
      <c r="I54" s="31" t="str">
        <f t="shared" si="6"/>
        <v/>
      </c>
      <c r="W54" s="12"/>
      <c r="X54" s="12"/>
      <c r="Y54" s="12"/>
      <c r="Z54" s="11" t="str">
        <f t="shared" si="0"/>
        <v/>
      </c>
      <c r="AA54" s="12" t="str">
        <f>IF(Z54="","",IF(Z54=$B$18,100-SUM($AA$3:AA53),IF(Y54="",X54,Y54)/IF($B$24="N",$W$1/100,1)))</f>
        <v/>
      </c>
    </row>
    <row r="55" spans="1:27" x14ac:dyDescent="0.25">
      <c r="A55" s="4" t="str">
        <f t="shared" si="7"/>
        <v/>
      </c>
      <c r="B55" s="5" t="str">
        <f t="shared" si="8"/>
        <v/>
      </c>
      <c r="C55" s="5" t="str">
        <f t="shared" si="1"/>
        <v/>
      </c>
      <c r="D55" s="5" t="str">
        <f t="shared" si="3"/>
        <v/>
      </c>
      <c r="E55" s="5" t="str">
        <f t="shared" si="9"/>
        <v/>
      </c>
      <c r="F55" s="5" t="str">
        <f t="shared" si="4"/>
        <v/>
      </c>
      <c r="G55" s="5" t="str">
        <f t="shared" si="2"/>
        <v/>
      </c>
      <c r="H55" s="31" t="str">
        <f t="shared" si="5"/>
        <v/>
      </c>
      <c r="I55" s="31" t="str">
        <f t="shared" si="6"/>
        <v/>
      </c>
      <c r="W55" s="12"/>
      <c r="X55" s="12"/>
      <c r="Y55" s="12"/>
      <c r="Z55" s="11" t="str">
        <f t="shared" si="0"/>
        <v/>
      </c>
      <c r="AA55" s="12" t="str">
        <f>IF(Z55="","",IF(Z55=$B$18,100-SUM($AA$3:AA54),IF(Y55="",X55,Y55)/IF($B$24="N",$W$1/100,1)))</f>
        <v/>
      </c>
    </row>
    <row r="56" spans="1:27" x14ac:dyDescent="0.25">
      <c r="A56" s="4" t="str">
        <f t="shared" si="7"/>
        <v/>
      </c>
      <c r="B56" s="5" t="str">
        <f t="shared" si="8"/>
        <v/>
      </c>
      <c r="C56" s="5" t="str">
        <f t="shared" si="1"/>
        <v/>
      </c>
      <c r="D56" s="5" t="str">
        <f t="shared" si="3"/>
        <v/>
      </c>
      <c r="E56" s="5" t="str">
        <f t="shared" si="9"/>
        <v/>
      </c>
      <c r="F56" s="5" t="str">
        <f t="shared" si="4"/>
        <v/>
      </c>
      <c r="G56" s="5" t="str">
        <f t="shared" si="2"/>
        <v/>
      </c>
      <c r="H56" s="31" t="str">
        <f t="shared" si="5"/>
        <v/>
      </c>
      <c r="I56" s="31" t="str">
        <f t="shared" si="6"/>
        <v/>
      </c>
      <c r="W56" s="12"/>
      <c r="X56" s="12"/>
      <c r="Y56" s="12"/>
      <c r="Z56" s="11" t="str">
        <f t="shared" si="0"/>
        <v/>
      </c>
      <c r="AA56" s="12" t="str">
        <f>IF(Z56="","",IF(Z56=$B$18,100-SUM($AA$3:AA55),IF(Y56="",X56,Y56)/IF($B$24="N",$W$1/100,1)))</f>
        <v/>
      </c>
    </row>
    <row r="57" spans="1:27" x14ac:dyDescent="0.25">
      <c r="A57" s="4" t="str">
        <f t="shared" si="7"/>
        <v/>
      </c>
      <c r="B57" s="5" t="str">
        <f t="shared" si="8"/>
        <v/>
      </c>
      <c r="C57" s="5" t="str">
        <f t="shared" si="1"/>
        <v/>
      </c>
      <c r="D57" s="5" t="str">
        <f t="shared" si="3"/>
        <v/>
      </c>
      <c r="E57" s="5" t="str">
        <f t="shared" si="9"/>
        <v/>
      </c>
      <c r="F57" s="5" t="str">
        <f t="shared" si="4"/>
        <v/>
      </c>
      <c r="G57" s="5" t="str">
        <f t="shared" si="2"/>
        <v/>
      </c>
      <c r="H57" s="31" t="str">
        <f t="shared" si="5"/>
        <v/>
      </c>
      <c r="I57" s="31" t="str">
        <f t="shared" si="6"/>
        <v/>
      </c>
      <c r="W57" s="12"/>
      <c r="X57" s="12"/>
      <c r="Y57" s="12"/>
      <c r="Z57" s="11" t="str">
        <f t="shared" si="0"/>
        <v/>
      </c>
      <c r="AA57" s="12" t="str">
        <f>IF(Z57="","",IF(Z57=$B$18,100-SUM($AA$3:AA56),IF(Y57="",X57,Y57)/IF($B$24="N",$W$1/100,1)))</f>
        <v/>
      </c>
    </row>
    <row r="58" spans="1:27" x14ac:dyDescent="0.25">
      <c r="A58" s="4" t="str">
        <f t="shared" si="7"/>
        <v/>
      </c>
      <c r="B58" s="5" t="str">
        <f t="shared" si="8"/>
        <v/>
      </c>
      <c r="C58" s="5" t="str">
        <f t="shared" si="1"/>
        <v/>
      </c>
      <c r="D58" s="5" t="str">
        <f t="shared" si="3"/>
        <v/>
      </c>
      <c r="E58" s="5" t="str">
        <f t="shared" si="9"/>
        <v/>
      </c>
      <c r="F58" s="5" t="str">
        <f t="shared" si="4"/>
        <v/>
      </c>
      <c r="G58" s="5" t="str">
        <f t="shared" si="2"/>
        <v/>
      </c>
      <c r="H58" s="31" t="str">
        <f t="shared" si="5"/>
        <v/>
      </c>
      <c r="I58" s="31" t="str">
        <f t="shared" si="6"/>
        <v/>
      </c>
      <c r="W58" s="12"/>
      <c r="X58" s="12"/>
      <c r="Y58" s="12"/>
      <c r="Z58" s="11" t="str">
        <f t="shared" si="0"/>
        <v/>
      </c>
      <c r="AA58" s="12" t="str">
        <f>IF(Z58="","",IF(Z58=$B$18,100-SUM($AA$3:AA57),IF(Y58="",X58,Y58)/IF($B$24="N",$W$1/100,1)))</f>
        <v/>
      </c>
    </row>
    <row r="59" spans="1:27" x14ac:dyDescent="0.25">
      <c r="A59" s="4" t="str">
        <f t="shared" si="7"/>
        <v/>
      </c>
      <c r="B59" s="5" t="str">
        <f t="shared" si="8"/>
        <v/>
      </c>
      <c r="C59" s="5" t="str">
        <f t="shared" si="1"/>
        <v/>
      </c>
      <c r="D59" s="5" t="str">
        <f t="shared" si="3"/>
        <v/>
      </c>
      <c r="E59" s="5" t="str">
        <f t="shared" si="9"/>
        <v/>
      </c>
      <c r="F59" s="5" t="str">
        <f t="shared" si="4"/>
        <v/>
      </c>
      <c r="G59" s="5" t="str">
        <f t="shared" si="2"/>
        <v/>
      </c>
      <c r="H59" s="31" t="str">
        <f t="shared" si="5"/>
        <v/>
      </c>
      <c r="I59" s="31" t="str">
        <f t="shared" si="6"/>
        <v/>
      </c>
      <c r="W59" s="12"/>
      <c r="X59" s="12"/>
      <c r="Y59" s="12"/>
      <c r="Z59" s="11" t="str">
        <f t="shared" si="0"/>
        <v/>
      </c>
      <c r="AA59" s="12" t="str">
        <f>IF(Z59="","",IF(Z59=$B$18,100-SUM($AA$3:AA58),IF(Y59="",X59,Y59)/IF($B$24="N",$W$1/100,1)))</f>
        <v/>
      </c>
    </row>
    <row r="60" spans="1:27" x14ac:dyDescent="0.25">
      <c r="A60" s="4" t="str">
        <f t="shared" si="7"/>
        <v/>
      </c>
      <c r="B60" s="5" t="str">
        <f t="shared" si="8"/>
        <v/>
      </c>
      <c r="C60" s="5" t="str">
        <f t="shared" si="1"/>
        <v/>
      </c>
      <c r="D60" s="5" t="str">
        <f t="shared" si="3"/>
        <v/>
      </c>
      <c r="E60" s="5" t="str">
        <f t="shared" si="9"/>
        <v/>
      </c>
      <c r="F60" s="5" t="str">
        <f t="shared" si="4"/>
        <v/>
      </c>
      <c r="G60" s="5" t="str">
        <f t="shared" si="2"/>
        <v/>
      </c>
      <c r="H60" s="31" t="str">
        <f t="shared" si="5"/>
        <v/>
      </c>
      <c r="I60" s="31" t="str">
        <f t="shared" si="6"/>
        <v/>
      </c>
      <c r="W60" s="12"/>
      <c r="X60" s="12"/>
      <c r="Y60" s="12"/>
      <c r="Z60" s="11" t="str">
        <f t="shared" si="0"/>
        <v/>
      </c>
      <c r="AA60" s="12" t="str">
        <f>IF(Z60="","",IF(Z60=$B$18,100-SUM($AA$3:AA59),IF(Y60="",X60,Y60)/IF($B$24="N",$W$1/100,1)))</f>
        <v/>
      </c>
    </row>
    <row r="61" spans="1:27" x14ac:dyDescent="0.25">
      <c r="A61" s="4" t="str">
        <f t="shared" si="7"/>
        <v/>
      </c>
      <c r="B61" s="5" t="str">
        <f t="shared" si="8"/>
        <v/>
      </c>
      <c r="C61" s="5" t="str">
        <f t="shared" si="1"/>
        <v/>
      </c>
      <c r="D61" s="5" t="str">
        <f t="shared" si="3"/>
        <v/>
      </c>
      <c r="E61" s="5" t="str">
        <f t="shared" si="9"/>
        <v/>
      </c>
      <c r="F61" s="5" t="str">
        <f t="shared" si="4"/>
        <v/>
      </c>
      <c r="G61" s="5" t="str">
        <f t="shared" si="2"/>
        <v/>
      </c>
      <c r="H61" s="31" t="str">
        <f t="shared" si="5"/>
        <v/>
      </c>
      <c r="I61" s="31" t="str">
        <f t="shared" si="6"/>
        <v/>
      </c>
      <c r="W61" s="12"/>
      <c r="X61" s="12"/>
      <c r="Y61" s="12"/>
      <c r="Z61" s="11" t="str">
        <f t="shared" si="0"/>
        <v/>
      </c>
      <c r="AA61" s="12" t="str">
        <f>IF(Z61="","",IF(Z61=$B$18,100-SUM($AA$3:AA60),IF(Y61="",X61,Y61)/IF($B$24="N",$W$1/100,1)))</f>
        <v/>
      </c>
    </row>
    <row r="62" spans="1:27" x14ac:dyDescent="0.25">
      <c r="A62" s="4" t="str">
        <f t="shared" si="7"/>
        <v/>
      </c>
      <c r="B62" s="5" t="str">
        <f t="shared" si="8"/>
        <v/>
      </c>
      <c r="C62" s="5" t="str">
        <f t="shared" si="1"/>
        <v/>
      </c>
      <c r="D62" s="5" t="str">
        <f t="shared" si="3"/>
        <v/>
      </c>
      <c r="E62" s="5" t="str">
        <f t="shared" si="9"/>
        <v/>
      </c>
      <c r="F62" s="5" t="str">
        <f t="shared" si="4"/>
        <v/>
      </c>
      <c r="G62" s="5" t="str">
        <f t="shared" si="2"/>
        <v/>
      </c>
      <c r="H62" s="31" t="str">
        <f t="shared" si="5"/>
        <v/>
      </c>
      <c r="I62" s="31" t="str">
        <f t="shared" si="6"/>
        <v/>
      </c>
      <c r="W62" s="12"/>
      <c r="X62" s="12"/>
      <c r="Y62" s="12"/>
      <c r="Z62" s="11" t="str">
        <f t="shared" si="0"/>
        <v/>
      </c>
      <c r="AA62" s="12" t="str">
        <f>IF(Z62="","",IF(Z62=$B$18,100-SUM($AA$3:AA61),IF(Y62="",X62,Y62)/IF($B$24="N",$W$1/100,1)))</f>
        <v/>
      </c>
    </row>
    <row r="63" spans="1:27" x14ac:dyDescent="0.25">
      <c r="A63" s="4" t="str">
        <f t="shared" si="7"/>
        <v/>
      </c>
      <c r="B63" s="5" t="str">
        <f t="shared" si="8"/>
        <v/>
      </c>
      <c r="C63" s="5" t="str">
        <f t="shared" si="1"/>
        <v/>
      </c>
      <c r="D63" s="5" t="str">
        <f t="shared" si="3"/>
        <v/>
      </c>
      <c r="E63" s="5" t="str">
        <f t="shared" si="9"/>
        <v/>
      </c>
      <c r="F63" s="5" t="str">
        <f t="shared" si="4"/>
        <v/>
      </c>
      <c r="G63" s="5" t="str">
        <f t="shared" si="2"/>
        <v/>
      </c>
      <c r="H63" s="31" t="str">
        <f t="shared" si="5"/>
        <v/>
      </c>
      <c r="I63" s="31" t="str">
        <f t="shared" si="6"/>
        <v/>
      </c>
      <c r="W63" s="12"/>
      <c r="X63" s="12"/>
      <c r="Y63" s="12"/>
      <c r="Z63" s="11" t="str">
        <f t="shared" si="0"/>
        <v/>
      </c>
      <c r="AA63" s="12" t="str">
        <f>IF(Z63="","",IF(Z63=$B$18,100-SUM($AA$3:AA62),IF(Y63="",X63,Y63)/IF($B$24="N",$W$1/100,1)))</f>
        <v/>
      </c>
    </row>
    <row r="64" spans="1:27" x14ac:dyDescent="0.25">
      <c r="A64" s="4" t="str">
        <f t="shared" si="7"/>
        <v/>
      </c>
      <c r="B64" s="5" t="str">
        <f t="shared" si="8"/>
        <v/>
      </c>
      <c r="C64" s="5" t="str">
        <f t="shared" si="1"/>
        <v/>
      </c>
      <c r="D64" s="5" t="str">
        <f t="shared" si="3"/>
        <v/>
      </c>
      <c r="E64" s="5" t="str">
        <f t="shared" si="9"/>
        <v/>
      </c>
      <c r="F64" s="5" t="str">
        <f t="shared" si="4"/>
        <v/>
      </c>
      <c r="G64" s="5" t="str">
        <f t="shared" si="2"/>
        <v/>
      </c>
      <c r="H64" s="31" t="str">
        <f t="shared" si="5"/>
        <v/>
      </c>
      <c r="I64" s="31" t="str">
        <f t="shared" si="6"/>
        <v/>
      </c>
      <c r="W64" s="12"/>
      <c r="X64" s="12"/>
      <c r="Y64" s="12"/>
      <c r="Z64" s="11" t="str">
        <f t="shared" si="0"/>
        <v/>
      </c>
      <c r="AA64" s="12" t="str">
        <f>IF(Z64="","",IF(Z64=$B$18,100-SUM($AA$3:AA63),IF(Y64="",X64,Y64)/IF($B$24="N",$W$1/100,1)))</f>
        <v/>
      </c>
    </row>
    <row r="65" spans="1:27" x14ac:dyDescent="0.25">
      <c r="A65" s="4" t="str">
        <f t="shared" si="7"/>
        <v/>
      </c>
      <c r="B65" s="5" t="str">
        <f t="shared" si="8"/>
        <v/>
      </c>
      <c r="C65" s="5" t="str">
        <f t="shared" si="1"/>
        <v/>
      </c>
      <c r="D65" s="5" t="str">
        <f t="shared" si="3"/>
        <v/>
      </c>
      <c r="E65" s="5" t="str">
        <f t="shared" si="9"/>
        <v/>
      </c>
      <c r="F65" s="5" t="str">
        <f t="shared" si="4"/>
        <v/>
      </c>
      <c r="G65" s="5" t="str">
        <f t="shared" si="2"/>
        <v/>
      </c>
      <c r="H65" s="31" t="str">
        <f t="shared" si="5"/>
        <v/>
      </c>
      <c r="I65" s="31" t="str">
        <f t="shared" si="6"/>
        <v/>
      </c>
      <c r="W65" s="12"/>
      <c r="X65" s="12"/>
      <c r="Y65" s="12"/>
      <c r="Z65" s="11" t="str">
        <f t="shared" si="0"/>
        <v/>
      </c>
      <c r="AA65" s="12" t="str">
        <f>IF(Z65="","",IF(Z65=$B$18,100-SUM($AA$3:AA64),IF(Y65="",X65,Y65)/IF($B$24="N",$W$1/100,1)))</f>
        <v/>
      </c>
    </row>
    <row r="66" spans="1:27" x14ac:dyDescent="0.25">
      <c r="A66" s="4" t="str">
        <f t="shared" si="7"/>
        <v/>
      </c>
      <c r="B66" s="5" t="str">
        <f t="shared" si="8"/>
        <v/>
      </c>
      <c r="C66" s="5" t="str">
        <f t="shared" si="1"/>
        <v/>
      </c>
      <c r="D66" s="5" t="str">
        <f t="shared" si="3"/>
        <v/>
      </c>
      <c r="E66" s="5" t="str">
        <f t="shared" si="9"/>
        <v/>
      </c>
      <c r="F66" s="5" t="str">
        <f t="shared" si="4"/>
        <v/>
      </c>
      <c r="G66" s="5" t="str">
        <f t="shared" si="2"/>
        <v/>
      </c>
      <c r="H66" s="31" t="str">
        <f t="shared" si="5"/>
        <v/>
      </c>
      <c r="I66" s="31" t="str">
        <f t="shared" si="6"/>
        <v/>
      </c>
      <c r="W66" s="12"/>
      <c r="X66" s="12"/>
      <c r="Y66" s="12"/>
      <c r="Z66" s="11" t="str">
        <f t="shared" si="0"/>
        <v/>
      </c>
      <c r="AA66" s="12" t="str">
        <f>IF(Z66="","",IF(Z66=$B$18,100-SUM($AA$3:AA65),IF(Y66="",X66,Y66)/IF($B$24="N",$W$1/100,1)))</f>
        <v/>
      </c>
    </row>
    <row r="67" spans="1:27" x14ac:dyDescent="0.25">
      <c r="A67" s="4" t="str">
        <f t="shared" si="7"/>
        <v/>
      </c>
      <c r="B67" s="5" t="str">
        <f t="shared" si="8"/>
        <v/>
      </c>
      <c r="C67" s="5" t="str">
        <f t="shared" si="1"/>
        <v/>
      </c>
      <c r="D67" s="5" t="str">
        <f t="shared" si="3"/>
        <v/>
      </c>
      <c r="E67" s="5" t="str">
        <f t="shared" si="9"/>
        <v/>
      </c>
      <c r="F67" s="5" t="str">
        <f t="shared" si="4"/>
        <v/>
      </c>
      <c r="G67" s="5" t="str">
        <f t="shared" si="2"/>
        <v/>
      </c>
      <c r="H67" s="31" t="str">
        <f t="shared" si="5"/>
        <v/>
      </c>
      <c r="I67" s="31" t="str">
        <f t="shared" si="6"/>
        <v/>
      </c>
      <c r="W67" s="12"/>
      <c r="X67" s="12"/>
      <c r="Y67" s="12"/>
      <c r="Z67" s="11" t="str">
        <f t="shared" si="0"/>
        <v/>
      </c>
      <c r="AA67" s="12" t="str">
        <f>IF(Z67="","",IF(Z67=$B$18,100-SUM($AA$3:AA66),IF(Y67="",X67,Y67)/IF($B$24="N",$W$1/100,1)))</f>
        <v/>
      </c>
    </row>
    <row r="68" spans="1:27" x14ac:dyDescent="0.25">
      <c r="A68" s="4" t="str">
        <f t="shared" si="7"/>
        <v/>
      </c>
      <c r="B68" s="5" t="str">
        <f t="shared" si="8"/>
        <v/>
      </c>
      <c r="C68" s="5" t="str">
        <f t="shared" si="1"/>
        <v/>
      </c>
      <c r="D68" s="5" t="str">
        <f t="shared" si="3"/>
        <v/>
      </c>
      <c r="E68" s="5" t="str">
        <f t="shared" si="9"/>
        <v/>
      </c>
      <c r="F68" s="5" t="str">
        <f t="shared" si="4"/>
        <v/>
      </c>
      <c r="G68" s="5" t="str">
        <f t="shared" si="2"/>
        <v/>
      </c>
      <c r="H68" s="31" t="str">
        <f t="shared" si="5"/>
        <v/>
      </c>
      <c r="I68" s="31" t="str">
        <f t="shared" si="6"/>
        <v/>
      </c>
      <c r="W68" s="12"/>
      <c r="X68" s="12"/>
      <c r="Y68" s="12"/>
      <c r="Z68" s="11" t="str">
        <f t="shared" ref="Z68:Z100" si="10">IF(AND(ISNUMBER(W67),W68=""),$B$18,IF(W68="","",W68))</f>
        <v/>
      </c>
      <c r="AA68" s="12" t="str">
        <f>IF(Z68="","",IF(Z68=$B$18,100-SUM($AA$3:AA67),IF(Y68="",X68,Y68)/IF($B$24="N",$W$1/100,1)))</f>
        <v/>
      </c>
    </row>
    <row r="69" spans="1:27" x14ac:dyDescent="0.25">
      <c r="A69" s="4" t="str">
        <f t="shared" si="7"/>
        <v/>
      </c>
      <c r="B69" s="5" t="str">
        <f t="shared" si="8"/>
        <v/>
      </c>
      <c r="C69" s="5" t="str">
        <f t="shared" si="1"/>
        <v/>
      </c>
      <c r="D69" s="5" t="str">
        <f t="shared" si="3"/>
        <v/>
      </c>
      <c r="E69" s="5" t="str">
        <f t="shared" si="9"/>
        <v/>
      </c>
      <c r="F69" s="5" t="str">
        <f t="shared" si="4"/>
        <v/>
      </c>
      <c r="G69" s="5" t="str">
        <f t="shared" si="2"/>
        <v/>
      </c>
      <c r="H69" s="31" t="str">
        <f t="shared" si="5"/>
        <v/>
      </c>
      <c r="I69" s="31" t="str">
        <f t="shared" si="6"/>
        <v/>
      </c>
      <c r="W69" s="12"/>
      <c r="X69" s="12"/>
      <c r="Y69" s="12"/>
      <c r="Z69" s="11" t="str">
        <f t="shared" si="10"/>
        <v/>
      </c>
      <c r="AA69" s="12" t="str">
        <f>IF(Z69="","",IF(Z69=$B$18,100-SUM($AA$3:AA68),IF(Y69="",X69,Y69)/IF($B$24="N",$W$1/100,1)))</f>
        <v/>
      </c>
    </row>
    <row r="70" spans="1:27" x14ac:dyDescent="0.25">
      <c r="A70" s="4" t="str">
        <f t="shared" si="7"/>
        <v/>
      </c>
      <c r="B70" s="5" t="str">
        <f t="shared" si="8"/>
        <v/>
      </c>
      <c r="C70" s="5" t="str">
        <f t="shared" si="1"/>
        <v/>
      </c>
      <c r="D70" s="5" t="str">
        <f t="shared" si="3"/>
        <v/>
      </c>
      <c r="E70" s="5" t="str">
        <f t="shared" si="9"/>
        <v/>
      </c>
      <c r="F70" s="5" t="str">
        <f t="shared" si="4"/>
        <v/>
      </c>
      <c r="G70" s="5" t="str">
        <f t="shared" si="2"/>
        <v/>
      </c>
      <c r="H70" s="31" t="str">
        <f t="shared" si="5"/>
        <v/>
      </c>
      <c r="I70" s="31" t="str">
        <f t="shared" si="6"/>
        <v/>
      </c>
      <c r="W70" s="12"/>
      <c r="X70" s="12"/>
      <c r="Y70" s="12"/>
      <c r="Z70" s="11" t="str">
        <f t="shared" si="10"/>
        <v/>
      </c>
      <c r="AA70" s="12" t="str">
        <f>IF(Z70="","",IF(Z70=$B$18,100-SUM($AA$3:AA69),IF(Y70="",X70,Y70)/IF($B$24="N",$W$1/100,1)))</f>
        <v/>
      </c>
    </row>
    <row r="71" spans="1:27" x14ac:dyDescent="0.25">
      <c r="A71" s="4" t="str">
        <f t="shared" si="7"/>
        <v/>
      </c>
      <c r="B71" s="5" t="str">
        <f t="shared" si="8"/>
        <v/>
      </c>
      <c r="C71" s="5" t="str">
        <f t="shared" si="1"/>
        <v/>
      </c>
      <c r="D71" s="5" t="str">
        <f t="shared" si="3"/>
        <v/>
      </c>
      <c r="E71" s="5" t="str">
        <f t="shared" si="9"/>
        <v/>
      </c>
      <c r="F71" s="5" t="str">
        <f t="shared" si="4"/>
        <v/>
      </c>
      <c r="G71" s="5" t="str">
        <f t="shared" si="2"/>
        <v/>
      </c>
      <c r="H71" s="31" t="str">
        <f t="shared" si="5"/>
        <v/>
      </c>
      <c r="I71" s="31" t="str">
        <f t="shared" si="6"/>
        <v/>
      </c>
      <c r="W71" s="12"/>
      <c r="X71" s="12"/>
      <c r="Y71" s="12"/>
      <c r="Z71" s="11" t="str">
        <f t="shared" si="10"/>
        <v/>
      </c>
      <c r="AA71" s="12" t="str">
        <f>IF(Z71="","",IF(Z71=$B$18,100-SUM($AA$3:AA70),IF(Y71="",X71,Y71)/IF($B$24="N",$W$1/100,1)))</f>
        <v/>
      </c>
    </row>
    <row r="72" spans="1:27" x14ac:dyDescent="0.25">
      <c r="A72" s="4" t="str">
        <f t="shared" si="7"/>
        <v/>
      </c>
      <c r="B72" s="5" t="str">
        <f t="shared" si="8"/>
        <v/>
      </c>
      <c r="C72" s="5" t="str">
        <f t="shared" si="1"/>
        <v/>
      </c>
      <c r="D72" s="5" t="str">
        <f t="shared" si="3"/>
        <v/>
      </c>
      <c r="E72" s="5" t="str">
        <f t="shared" si="9"/>
        <v/>
      </c>
      <c r="F72" s="5" t="str">
        <f t="shared" si="4"/>
        <v/>
      </c>
      <c r="G72" s="5" t="str">
        <f t="shared" si="2"/>
        <v/>
      </c>
      <c r="H72" s="31" t="str">
        <f t="shared" si="5"/>
        <v/>
      </c>
      <c r="I72" s="31" t="str">
        <f t="shared" si="6"/>
        <v/>
      </c>
      <c r="W72" s="12"/>
      <c r="X72" s="12"/>
      <c r="Y72" s="12"/>
      <c r="Z72" s="11" t="str">
        <f t="shared" si="10"/>
        <v/>
      </c>
      <c r="AA72" s="12" t="str">
        <f>IF(Z72="","",IF(Z72=$B$18,100-SUM($AA$3:AA71),IF(Y72="",X72,Y72)/IF($B$24="N",$W$1/100,1)))</f>
        <v/>
      </c>
    </row>
    <row r="73" spans="1:27" x14ac:dyDescent="0.25">
      <c r="A73" s="4" t="str">
        <f t="shared" si="7"/>
        <v/>
      </c>
      <c r="B73" s="5" t="str">
        <f t="shared" si="8"/>
        <v/>
      </c>
      <c r="C73" s="5" t="str">
        <f t="shared" si="1"/>
        <v/>
      </c>
      <c r="D73" s="5" t="str">
        <f t="shared" si="3"/>
        <v/>
      </c>
      <c r="E73" s="5" t="str">
        <f t="shared" si="9"/>
        <v/>
      </c>
      <c r="F73" s="5" t="str">
        <f t="shared" si="4"/>
        <v/>
      </c>
      <c r="G73" s="5" t="str">
        <f t="shared" si="2"/>
        <v/>
      </c>
      <c r="H73" s="31" t="str">
        <f t="shared" si="5"/>
        <v/>
      </c>
      <c r="I73" s="31" t="str">
        <f t="shared" si="6"/>
        <v/>
      </c>
      <c r="W73" s="12"/>
      <c r="X73" s="12"/>
      <c r="Y73" s="12"/>
      <c r="Z73" s="11" t="str">
        <f t="shared" si="10"/>
        <v/>
      </c>
      <c r="AA73" s="12" t="str">
        <f>IF(Z73="","",IF(Z73=$B$18,100-SUM($AA$3:AA72),IF(Y73="",X73,Y73)/IF($B$24="N",$W$1/100,1)))</f>
        <v/>
      </c>
    </row>
    <row r="74" spans="1:27" x14ac:dyDescent="0.25">
      <c r="A74" s="4" t="str">
        <f t="shared" si="7"/>
        <v/>
      </c>
      <c r="B74" s="5" t="str">
        <f t="shared" si="8"/>
        <v/>
      </c>
      <c r="C74" s="5" t="str">
        <f t="shared" si="1"/>
        <v/>
      </c>
      <c r="D74" s="5" t="str">
        <f t="shared" si="3"/>
        <v/>
      </c>
      <c r="E74" s="5" t="str">
        <f t="shared" si="9"/>
        <v/>
      </c>
      <c r="F74" s="5" t="str">
        <f t="shared" si="4"/>
        <v/>
      </c>
      <c r="G74" s="5" t="str">
        <f t="shared" si="2"/>
        <v/>
      </c>
      <c r="H74" s="31" t="str">
        <f t="shared" si="5"/>
        <v/>
      </c>
      <c r="I74" s="31" t="str">
        <f t="shared" si="6"/>
        <v/>
      </c>
      <c r="W74" s="12"/>
      <c r="X74" s="12"/>
      <c r="Y74" s="12"/>
      <c r="Z74" s="11" t="str">
        <f t="shared" si="10"/>
        <v/>
      </c>
      <c r="AA74" s="12" t="str">
        <f>IF(Z74="","",IF(Z74=$B$18,100-SUM($AA$3:AA73),IF(Y74="",X74,Y74)/IF($B$24="N",$W$1/100,1)))</f>
        <v/>
      </c>
    </row>
    <row r="75" spans="1:27" x14ac:dyDescent="0.25">
      <c r="A75" s="4" t="str">
        <f t="shared" si="7"/>
        <v/>
      </c>
      <c r="B75" s="5" t="str">
        <f t="shared" si="8"/>
        <v/>
      </c>
      <c r="C75" s="5" t="str">
        <f t="shared" si="1"/>
        <v/>
      </c>
      <c r="D75" s="5" t="str">
        <f t="shared" si="3"/>
        <v/>
      </c>
      <c r="E75" s="5" t="str">
        <f t="shared" si="9"/>
        <v/>
      </c>
      <c r="F75" s="5" t="str">
        <f t="shared" si="4"/>
        <v/>
      </c>
      <c r="G75" s="5" t="str">
        <f t="shared" si="2"/>
        <v/>
      </c>
      <c r="H75" s="31" t="str">
        <f t="shared" si="5"/>
        <v/>
      </c>
      <c r="I75" s="31" t="str">
        <f t="shared" si="6"/>
        <v/>
      </c>
      <c r="W75" s="12"/>
      <c r="X75" s="12"/>
      <c r="Y75" s="12"/>
      <c r="Z75" s="11" t="str">
        <f t="shared" si="10"/>
        <v/>
      </c>
      <c r="AA75" s="12" t="str">
        <f>IF(Z75="","",IF(Z75=$B$18,100-SUM($AA$3:AA74),IF(Y75="",X75,Y75)/IF($B$24="N",$W$1/100,1)))</f>
        <v/>
      </c>
    </row>
    <row r="76" spans="1:27" x14ac:dyDescent="0.25">
      <c r="A76" s="4" t="str">
        <f t="shared" si="7"/>
        <v/>
      </c>
      <c r="B76" s="5" t="str">
        <f t="shared" si="8"/>
        <v/>
      </c>
      <c r="C76" s="5" t="str">
        <f t="shared" si="1"/>
        <v/>
      </c>
      <c r="D76" s="5" t="str">
        <f t="shared" si="3"/>
        <v/>
      </c>
      <c r="E76" s="5" t="str">
        <f t="shared" si="9"/>
        <v/>
      </c>
      <c r="F76" s="5" t="str">
        <f t="shared" si="4"/>
        <v/>
      </c>
      <c r="G76" s="5" t="str">
        <f t="shared" si="2"/>
        <v/>
      </c>
      <c r="H76" s="31" t="str">
        <f t="shared" si="5"/>
        <v/>
      </c>
      <c r="I76" s="31" t="str">
        <f t="shared" si="6"/>
        <v/>
      </c>
      <c r="W76" s="12"/>
      <c r="X76" s="12"/>
      <c r="Y76" s="12"/>
      <c r="Z76" s="11" t="str">
        <f t="shared" si="10"/>
        <v/>
      </c>
      <c r="AA76" s="12" t="str">
        <f>IF(Z76="","",IF(Z76=$B$18,100-SUM($AA$3:AA75),IF(Y76="",X76,Y76)/IF($B$24="N",$W$1/100,1)))</f>
        <v/>
      </c>
    </row>
    <row r="77" spans="1:27" x14ac:dyDescent="0.25">
      <c r="A77" s="4" t="str">
        <f t="shared" si="7"/>
        <v/>
      </c>
      <c r="B77" s="5" t="str">
        <f t="shared" si="8"/>
        <v/>
      </c>
      <c r="C77" s="5" t="str">
        <f t="shared" si="1"/>
        <v/>
      </c>
      <c r="D77" s="5" t="str">
        <f t="shared" si="3"/>
        <v/>
      </c>
      <c r="E77" s="5" t="str">
        <f t="shared" si="9"/>
        <v/>
      </c>
      <c r="F77" s="5" t="str">
        <f t="shared" si="4"/>
        <v/>
      </c>
      <c r="G77" s="5" t="str">
        <f t="shared" si="2"/>
        <v/>
      </c>
      <c r="H77" s="31" t="str">
        <f t="shared" si="5"/>
        <v/>
      </c>
      <c r="I77" s="31" t="str">
        <f t="shared" si="6"/>
        <v/>
      </c>
      <c r="W77" s="12"/>
      <c r="X77" s="12"/>
      <c r="Y77" s="12"/>
      <c r="Z77" s="11" t="str">
        <f t="shared" si="10"/>
        <v/>
      </c>
      <c r="AA77" s="12" t="str">
        <f>IF(Z77="","",IF(Z77=$B$18,100-SUM($AA$3:AA76),IF(Y77="",X77,Y77)/IF($B$24="N",$W$1/100,1)))</f>
        <v/>
      </c>
    </row>
    <row r="78" spans="1:27" x14ac:dyDescent="0.25">
      <c r="A78" s="4" t="str">
        <f t="shared" si="7"/>
        <v/>
      </c>
      <c r="B78" s="5" t="str">
        <f t="shared" si="8"/>
        <v/>
      </c>
      <c r="C78" s="5" t="str">
        <f t="shared" si="1"/>
        <v/>
      </c>
      <c r="D78" s="5" t="str">
        <f t="shared" si="3"/>
        <v/>
      </c>
      <c r="E78" s="5" t="str">
        <f t="shared" si="9"/>
        <v/>
      </c>
      <c r="F78" s="5" t="str">
        <f t="shared" si="4"/>
        <v/>
      </c>
      <c r="G78" s="5" t="str">
        <f t="shared" si="2"/>
        <v/>
      </c>
      <c r="H78" s="31" t="str">
        <f t="shared" si="5"/>
        <v/>
      </c>
      <c r="I78" s="31" t="str">
        <f t="shared" si="6"/>
        <v/>
      </c>
      <c r="W78" s="12"/>
      <c r="X78" s="12"/>
      <c r="Y78" s="12"/>
      <c r="Z78" s="11" t="str">
        <f t="shared" si="10"/>
        <v/>
      </c>
      <c r="AA78" s="12" t="str">
        <f>IF(Z78="","",IF(Z78=$B$18,100-SUM($AA$3:AA77),IF(Y78="",X78,Y78)/IF($B$24="N",$W$1/100,1)))</f>
        <v/>
      </c>
    </row>
    <row r="79" spans="1:27" x14ac:dyDescent="0.25">
      <c r="A79" s="4" t="str">
        <f t="shared" si="7"/>
        <v/>
      </c>
      <c r="B79" s="5" t="str">
        <f t="shared" si="8"/>
        <v/>
      </c>
      <c r="C79" s="5" t="str">
        <f t="shared" si="1"/>
        <v/>
      </c>
      <c r="D79" s="5" t="str">
        <f t="shared" si="3"/>
        <v/>
      </c>
      <c r="E79" s="5" t="str">
        <f t="shared" si="9"/>
        <v/>
      </c>
      <c r="F79" s="5" t="str">
        <f t="shared" si="4"/>
        <v/>
      </c>
      <c r="G79" s="5" t="str">
        <f t="shared" si="2"/>
        <v/>
      </c>
      <c r="H79" s="31" t="str">
        <f t="shared" si="5"/>
        <v/>
      </c>
      <c r="I79" s="31" t="str">
        <f t="shared" si="6"/>
        <v/>
      </c>
      <c r="W79" s="12"/>
      <c r="X79" s="12"/>
      <c r="Y79" s="12"/>
      <c r="Z79" s="11" t="str">
        <f t="shared" si="10"/>
        <v/>
      </c>
      <c r="AA79" s="12" t="str">
        <f>IF(Z79="","",IF(Z79=$B$18,100-SUM($AA$3:AA78),IF(Y79="",X79,Y79)/IF($B$24="N",$W$1/100,1)))</f>
        <v/>
      </c>
    </row>
    <row r="80" spans="1:27" x14ac:dyDescent="0.25">
      <c r="A80" s="4" t="str">
        <f t="shared" si="7"/>
        <v/>
      </c>
      <c r="B80" s="5" t="str">
        <f t="shared" si="8"/>
        <v/>
      </c>
      <c r="C80" s="5" t="str">
        <f t="shared" si="1"/>
        <v/>
      </c>
      <c r="D80" s="5" t="str">
        <f t="shared" si="3"/>
        <v/>
      </c>
      <c r="E80" s="5" t="str">
        <f t="shared" si="9"/>
        <v/>
      </c>
      <c r="F80" s="5" t="str">
        <f t="shared" si="4"/>
        <v/>
      </c>
      <c r="G80" s="5" t="str">
        <f t="shared" si="2"/>
        <v/>
      </c>
      <c r="H80" s="31" t="str">
        <f t="shared" si="5"/>
        <v/>
      </c>
      <c r="I80" s="31" t="str">
        <f t="shared" si="6"/>
        <v/>
      </c>
      <c r="W80" s="12"/>
      <c r="X80" s="12"/>
      <c r="Y80" s="12"/>
      <c r="Z80" s="11" t="str">
        <f t="shared" si="10"/>
        <v/>
      </c>
      <c r="AA80" s="12" t="str">
        <f>IF(Z80="","",IF(Z80=$B$18,100-SUM($AA$3:AA79),IF(Y80="",X80,Y80)/IF($B$24="N",$W$1/100,1)))</f>
        <v/>
      </c>
    </row>
    <row r="81" spans="1:27" x14ac:dyDescent="0.25">
      <c r="A81" s="4" t="str">
        <f t="shared" si="7"/>
        <v/>
      </c>
      <c r="B81" s="5" t="str">
        <f t="shared" si="8"/>
        <v/>
      </c>
      <c r="C81" s="5" t="str">
        <f t="shared" si="1"/>
        <v/>
      </c>
      <c r="D81" s="5" t="str">
        <f t="shared" si="3"/>
        <v/>
      </c>
      <c r="E81" s="5" t="str">
        <f t="shared" si="9"/>
        <v/>
      </c>
      <c r="F81" s="5" t="str">
        <f t="shared" si="4"/>
        <v/>
      </c>
      <c r="G81" s="5" t="str">
        <f t="shared" si="2"/>
        <v/>
      </c>
      <c r="H81" s="31" t="str">
        <f t="shared" si="5"/>
        <v/>
      </c>
      <c r="I81" s="31" t="str">
        <f t="shared" si="6"/>
        <v/>
      </c>
      <c r="W81" s="12"/>
      <c r="X81" s="12"/>
      <c r="Y81" s="12"/>
      <c r="Z81" s="11" t="str">
        <f t="shared" si="10"/>
        <v/>
      </c>
      <c r="AA81" s="12" t="str">
        <f>IF(Z81="","",IF(Z81=$B$18,100-SUM($AA$3:AA80),IF(Y81="",X81,Y81)/IF($B$24="N",$W$1/100,1)))</f>
        <v/>
      </c>
    </row>
    <row r="82" spans="1:27" x14ac:dyDescent="0.25">
      <c r="A82" s="4" t="str">
        <f t="shared" si="7"/>
        <v/>
      </c>
      <c r="B82" s="5" t="str">
        <f t="shared" si="8"/>
        <v/>
      </c>
      <c r="C82" s="5" t="str">
        <f t="shared" si="1"/>
        <v/>
      </c>
      <c r="D82" s="5" t="str">
        <f t="shared" si="3"/>
        <v/>
      </c>
      <c r="E82" s="5" t="str">
        <f t="shared" si="9"/>
        <v/>
      </c>
      <c r="F82" s="5" t="str">
        <f t="shared" si="4"/>
        <v/>
      </c>
      <c r="G82" s="5" t="str">
        <f t="shared" si="2"/>
        <v/>
      </c>
      <c r="H82" s="31" t="str">
        <f t="shared" si="5"/>
        <v/>
      </c>
      <c r="I82" s="31" t="str">
        <f t="shared" si="6"/>
        <v/>
      </c>
      <c r="W82" s="12"/>
      <c r="X82" s="12"/>
      <c r="Y82" s="12"/>
      <c r="Z82" s="11" t="str">
        <f t="shared" si="10"/>
        <v/>
      </c>
      <c r="AA82" s="12" t="str">
        <f>IF(Z82="","",IF(Z82=$B$18,100-SUM($AA$3:AA81),IF(Y82="",X82,Y82)/IF($B$24="N",$W$1/100,1)))</f>
        <v/>
      </c>
    </row>
    <row r="83" spans="1:27" x14ac:dyDescent="0.25">
      <c r="A83" s="4" t="str">
        <f t="shared" si="7"/>
        <v/>
      </c>
      <c r="B83" s="5" t="str">
        <f t="shared" si="8"/>
        <v/>
      </c>
      <c r="C83" s="5" t="str">
        <f t="shared" si="1"/>
        <v/>
      </c>
      <c r="D83" s="5" t="str">
        <f t="shared" si="3"/>
        <v/>
      </c>
      <c r="E83" s="5" t="str">
        <f t="shared" si="9"/>
        <v/>
      </c>
      <c r="F83" s="5" t="str">
        <f t="shared" si="4"/>
        <v/>
      </c>
      <c r="G83" s="5" t="str">
        <f t="shared" si="2"/>
        <v/>
      </c>
      <c r="H83" s="31" t="str">
        <f t="shared" si="5"/>
        <v/>
      </c>
      <c r="I83" s="31" t="str">
        <f t="shared" si="6"/>
        <v/>
      </c>
      <c r="W83" s="12"/>
      <c r="X83" s="12"/>
      <c r="Y83" s="12"/>
      <c r="Z83" s="11" t="str">
        <f t="shared" si="10"/>
        <v/>
      </c>
      <c r="AA83" s="12" t="str">
        <f>IF(Z83="","",IF(Z83=$B$18,100-SUM($AA$3:AA82),IF(Y83="",X83,Y83)/IF($B$24="N",$W$1/100,1)))</f>
        <v/>
      </c>
    </row>
    <row r="84" spans="1:27" x14ac:dyDescent="0.25">
      <c r="A84" s="4" t="str">
        <f t="shared" si="7"/>
        <v/>
      </c>
      <c r="B84" s="5" t="str">
        <f t="shared" si="8"/>
        <v/>
      </c>
      <c r="C84" s="5" t="str">
        <f t="shared" si="1"/>
        <v/>
      </c>
      <c r="D84" s="5" t="str">
        <f t="shared" si="3"/>
        <v/>
      </c>
      <c r="E84" s="5" t="str">
        <f t="shared" si="9"/>
        <v/>
      </c>
      <c r="F84" s="5" t="str">
        <f t="shared" si="4"/>
        <v/>
      </c>
      <c r="G84" s="5" t="str">
        <f t="shared" si="2"/>
        <v/>
      </c>
      <c r="H84" s="31" t="str">
        <f t="shared" si="5"/>
        <v/>
      </c>
      <c r="I84" s="31" t="str">
        <f t="shared" si="6"/>
        <v/>
      </c>
      <c r="W84" s="12"/>
      <c r="X84" s="12"/>
      <c r="Y84" s="12"/>
      <c r="Z84" s="11" t="str">
        <f t="shared" si="10"/>
        <v/>
      </c>
      <c r="AA84" s="12" t="str">
        <f>IF(Z84="","",IF(Z84=$B$18,100-SUM($AA$3:AA83),IF(Y84="",X84,Y84)/IF($B$24="N",$W$1/100,1)))</f>
        <v/>
      </c>
    </row>
    <row r="85" spans="1:27" x14ac:dyDescent="0.25">
      <c r="A85" s="4" t="str">
        <f t="shared" si="7"/>
        <v/>
      </c>
      <c r="B85" s="5" t="str">
        <f t="shared" si="8"/>
        <v/>
      </c>
      <c r="C85" s="5" t="str">
        <f t="shared" si="1"/>
        <v/>
      </c>
      <c r="D85" s="5" t="str">
        <f t="shared" si="3"/>
        <v/>
      </c>
      <c r="E85" s="5" t="str">
        <f t="shared" si="9"/>
        <v/>
      </c>
      <c r="F85" s="5" t="str">
        <f t="shared" si="4"/>
        <v/>
      </c>
      <c r="G85" s="5" t="str">
        <f t="shared" si="2"/>
        <v/>
      </c>
      <c r="H85" s="31" t="str">
        <f t="shared" si="5"/>
        <v/>
      </c>
      <c r="I85" s="31" t="str">
        <f t="shared" si="6"/>
        <v/>
      </c>
      <c r="W85" s="12"/>
      <c r="X85" s="12"/>
      <c r="Y85" s="12"/>
      <c r="Z85" s="11" t="str">
        <f t="shared" si="10"/>
        <v/>
      </c>
      <c r="AA85" s="12" t="str">
        <f>IF(Z85="","",IF(Z85=$B$18,100-SUM($AA$3:AA84),IF(Y85="",X85,Y85)/IF($B$24="N",$W$1/100,1)))</f>
        <v/>
      </c>
    </row>
    <row r="86" spans="1:27" x14ac:dyDescent="0.25">
      <c r="A86" s="4" t="str">
        <f t="shared" si="7"/>
        <v/>
      </c>
      <c r="B86" s="5" t="str">
        <f t="shared" si="8"/>
        <v/>
      </c>
      <c r="C86" s="5" t="str">
        <f t="shared" si="1"/>
        <v/>
      </c>
      <c r="D86" s="5" t="str">
        <f t="shared" si="3"/>
        <v/>
      </c>
      <c r="E86" s="5" t="str">
        <f t="shared" si="9"/>
        <v/>
      </c>
      <c r="F86" s="5" t="str">
        <f t="shared" si="4"/>
        <v/>
      </c>
      <c r="G86" s="5" t="str">
        <f t="shared" si="2"/>
        <v/>
      </c>
      <c r="H86" s="31" t="str">
        <f t="shared" si="5"/>
        <v/>
      </c>
      <c r="I86" s="31" t="str">
        <f t="shared" si="6"/>
        <v/>
      </c>
      <c r="W86" s="12"/>
      <c r="X86" s="12"/>
      <c r="Y86" s="12"/>
      <c r="Z86" s="11" t="str">
        <f t="shared" si="10"/>
        <v/>
      </c>
      <c r="AA86" s="12" t="str">
        <f>IF(Z86="","",IF(Z86=$B$18,100-SUM($AA$3:AA85),IF(Y86="",X86,Y86)/IF($B$24="N",$W$1/100,1)))</f>
        <v/>
      </c>
    </row>
    <row r="87" spans="1:27" x14ac:dyDescent="0.25">
      <c r="A87" s="4" t="str">
        <f t="shared" si="7"/>
        <v/>
      </c>
      <c r="B87" s="5" t="str">
        <f t="shared" si="8"/>
        <v/>
      </c>
      <c r="C87" s="5" t="str">
        <f t="shared" si="1"/>
        <v/>
      </c>
      <c r="D87" s="5" t="str">
        <f t="shared" si="3"/>
        <v/>
      </c>
      <c r="E87" s="5" t="str">
        <f t="shared" si="9"/>
        <v/>
      </c>
      <c r="F87" s="5" t="str">
        <f t="shared" si="4"/>
        <v/>
      </c>
      <c r="G87" s="5" t="str">
        <f t="shared" si="2"/>
        <v/>
      </c>
      <c r="H87" s="31" t="str">
        <f t="shared" si="5"/>
        <v/>
      </c>
      <c r="I87" s="31" t="str">
        <f t="shared" si="6"/>
        <v/>
      </c>
      <c r="W87" s="12"/>
      <c r="X87" s="12"/>
      <c r="Y87" s="12"/>
      <c r="Z87" s="11" t="str">
        <f t="shared" si="10"/>
        <v/>
      </c>
      <c r="AA87" s="12" t="str">
        <f>IF(Z87="","",IF(Z87=$B$18,100-SUM($AA$3:AA86),IF(Y87="",X87,Y87)/IF($B$24="N",$W$1/100,1)))</f>
        <v/>
      </c>
    </row>
    <row r="88" spans="1:27" x14ac:dyDescent="0.25">
      <c r="A88" s="4" t="str">
        <f t="shared" si="7"/>
        <v/>
      </c>
      <c r="B88" s="5" t="str">
        <f t="shared" si="8"/>
        <v/>
      </c>
      <c r="C88" s="5" t="str">
        <f t="shared" si="1"/>
        <v/>
      </c>
      <c r="D88" s="5" t="str">
        <f t="shared" si="3"/>
        <v/>
      </c>
      <c r="E88" s="5" t="str">
        <f t="shared" si="9"/>
        <v/>
      </c>
      <c r="F88" s="5" t="str">
        <f t="shared" si="4"/>
        <v/>
      </c>
      <c r="G88" s="5" t="str">
        <f t="shared" si="2"/>
        <v/>
      </c>
      <c r="H88" s="31" t="str">
        <f t="shared" si="5"/>
        <v/>
      </c>
      <c r="I88" s="31" t="str">
        <f t="shared" si="6"/>
        <v/>
      </c>
      <c r="W88" s="12"/>
      <c r="X88" s="12"/>
      <c r="Y88" s="12"/>
      <c r="Z88" s="11" t="str">
        <f t="shared" si="10"/>
        <v/>
      </c>
      <c r="AA88" s="12" t="str">
        <f>IF(Z88="","",IF(Z88=$B$18,100-SUM($AA$3:AA87),IF(Y88="",X88,Y88)/IF($B$24="N",$W$1/100,1)))</f>
        <v/>
      </c>
    </row>
    <row r="89" spans="1:27" x14ac:dyDescent="0.25">
      <c r="A89" s="4" t="str">
        <f t="shared" si="7"/>
        <v/>
      </c>
      <c r="B89" s="5" t="str">
        <f t="shared" si="8"/>
        <v/>
      </c>
      <c r="C89" s="5" t="str">
        <f t="shared" si="1"/>
        <v/>
      </c>
      <c r="D89" s="5" t="str">
        <f t="shared" si="3"/>
        <v/>
      </c>
      <c r="E89" s="5" t="str">
        <f t="shared" si="9"/>
        <v/>
      </c>
      <c r="F89" s="5" t="str">
        <f t="shared" si="4"/>
        <v/>
      </c>
      <c r="G89" s="5" t="str">
        <f t="shared" si="2"/>
        <v/>
      </c>
      <c r="H89" s="31" t="str">
        <f t="shared" si="5"/>
        <v/>
      </c>
      <c r="I89" s="31" t="str">
        <f t="shared" si="6"/>
        <v/>
      </c>
      <c r="W89" s="12"/>
      <c r="X89" s="12"/>
      <c r="Y89" s="12"/>
      <c r="Z89" s="11" t="str">
        <f t="shared" si="10"/>
        <v/>
      </c>
      <c r="AA89" s="12" t="str">
        <f>IF(Z89="","",IF(Z89=$B$18,100-SUM($AA$3:AA88),IF(Y89="",X89,Y89)/IF($B$24="N",$W$1/100,1)))</f>
        <v/>
      </c>
    </row>
    <row r="90" spans="1:27" x14ac:dyDescent="0.25">
      <c r="A90" s="4" t="str">
        <f t="shared" si="7"/>
        <v/>
      </c>
      <c r="B90" s="5" t="str">
        <f t="shared" si="8"/>
        <v/>
      </c>
      <c r="C90" s="5" t="str">
        <f t="shared" si="1"/>
        <v/>
      </c>
      <c r="D90" s="5" t="str">
        <f t="shared" si="3"/>
        <v/>
      </c>
      <c r="E90" s="5" t="str">
        <f t="shared" si="9"/>
        <v/>
      </c>
      <c r="F90" s="5" t="str">
        <f t="shared" si="4"/>
        <v/>
      </c>
      <c r="G90" s="5" t="str">
        <f t="shared" si="2"/>
        <v/>
      </c>
      <c r="H90" s="31" t="str">
        <f t="shared" si="5"/>
        <v/>
      </c>
      <c r="I90" s="31" t="str">
        <f t="shared" si="6"/>
        <v/>
      </c>
      <c r="W90" s="12"/>
      <c r="X90" s="12"/>
      <c r="Y90" s="12"/>
      <c r="Z90" s="11" t="str">
        <f t="shared" si="10"/>
        <v/>
      </c>
      <c r="AA90" s="12" t="str">
        <f>IF(Z90="","",IF(Z90=$B$18,100-SUM($AA$3:AA89),IF(Y90="",X90,Y90)/IF($B$24="N",$W$1/100,1)))</f>
        <v/>
      </c>
    </row>
    <row r="91" spans="1:27" x14ac:dyDescent="0.25">
      <c r="A91" s="4" t="str">
        <f t="shared" si="7"/>
        <v/>
      </c>
      <c r="B91" s="5" t="str">
        <f t="shared" si="8"/>
        <v/>
      </c>
      <c r="C91" s="5" t="str">
        <f t="shared" si="1"/>
        <v/>
      </c>
      <c r="D91" s="5" t="str">
        <f t="shared" si="3"/>
        <v/>
      </c>
      <c r="E91" s="5" t="str">
        <f t="shared" si="9"/>
        <v/>
      </c>
      <c r="F91" s="5" t="str">
        <f t="shared" si="4"/>
        <v/>
      </c>
      <c r="G91" s="5" t="str">
        <f t="shared" si="2"/>
        <v/>
      </c>
      <c r="H91" s="31" t="str">
        <f t="shared" si="5"/>
        <v/>
      </c>
      <c r="I91" s="31" t="str">
        <f t="shared" si="6"/>
        <v/>
      </c>
      <c r="W91" s="12"/>
      <c r="X91" s="12"/>
      <c r="Y91" s="12"/>
      <c r="Z91" s="11" t="str">
        <f t="shared" si="10"/>
        <v/>
      </c>
      <c r="AA91" s="12" t="str">
        <f>IF(Z91="","",IF(Z91=$B$18,100-SUM($AA$3:AA90),IF(Y91="",X91,Y91)/IF($B$24="N",$W$1/100,1)))</f>
        <v/>
      </c>
    </row>
    <row r="92" spans="1:27" x14ac:dyDescent="0.25">
      <c r="A92" s="4" t="str">
        <f t="shared" si="7"/>
        <v/>
      </c>
      <c r="B92" s="5" t="str">
        <f t="shared" si="8"/>
        <v/>
      </c>
      <c r="C92" s="5" t="str">
        <f t="shared" si="1"/>
        <v/>
      </c>
      <c r="D92" s="5" t="str">
        <f t="shared" si="3"/>
        <v/>
      </c>
      <c r="E92" s="5" t="str">
        <f t="shared" si="9"/>
        <v/>
      </c>
      <c r="F92" s="5" t="str">
        <f t="shared" si="4"/>
        <v/>
      </c>
      <c r="G92" s="5" t="str">
        <f t="shared" si="2"/>
        <v/>
      </c>
      <c r="H92" s="31" t="str">
        <f t="shared" si="5"/>
        <v/>
      </c>
      <c r="I92" s="31" t="str">
        <f t="shared" si="6"/>
        <v/>
      </c>
      <c r="W92" s="12"/>
      <c r="X92" s="12"/>
      <c r="Y92" s="12"/>
      <c r="Z92" s="11" t="str">
        <f t="shared" si="10"/>
        <v/>
      </c>
      <c r="AA92" s="12" t="str">
        <f>IF(Z92="","",IF(Z92=$B$18,100-SUM($AA$3:AA91),IF(Y92="",X92,Y92)/IF($B$24="N",$W$1/100,1)))</f>
        <v/>
      </c>
    </row>
    <row r="93" spans="1:27" x14ac:dyDescent="0.25">
      <c r="A93" s="4" t="str">
        <f t="shared" si="7"/>
        <v/>
      </c>
      <c r="B93" s="5" t="str">
        <f t="shared" si="8"/>
        <v/>
      </c>
      <c r="C93" s="5" t="str">
        <f t="shared" si="1"/>
        <v/>
      </c>
      <c r="D93" s="5" t="str">
        <f t="shared" si="3"/>
        <v/>
      </c>
      <c r="E93" s="5" t="str">
        <f t="shared" si="9"/>
        <v/>
      </c>
      <c r="F93" s="5" t="str">
        <f t="shared" si="4"/>
        <v/>
      </c>
      <c r="G93" s="5" t="str">
        <f t="shared" si="2"/>
        <v/>
      </c>
      <c r="H93" s="31" t="str">
        <f t="shared" si="5"/>
        <v/>
      </c>
      <c r="I93" s="31" t="str">
        <f t="shared" si="6"/>
        <v/>
      </c>
      <c r="W93" s="12"/>
      <c r="X93" s="12"/>
      <c r="Y93" s="12"/>
      <c r="Z93" s="11" t="str">
        <f t="shared" si="10"/>
        <v/>
      </c>
      <c r="AA93" s="12" t="str">
        <f>IF(Z93="","",IF(Z93=$B$18,100-SUM($AA$3:AA92),IF(Y93="",X93,Y93)/IF($B$24="N",$W$1/100,1)))</f>
        <v/>
      </c>
    </row>
    <row r="94" spans="1:27" x14ac:dyDescent="0.25">
      <c r="A94" s="4" t="str">
        <f t="shared" si="7"/>
        <v/>
      </c>
      <c r="B94" s="5" t="str">
        <f t="shared" si="8"/>
        <v/>
      </c>
      <c r="C94" s="5" t="str">
        <f t="shared" si="1"/>
        <v/>
      </c>
      <c r="D94" s="5" t="str">
        <f t="shared" si="3"/>
        <v/>
      </c>
      <c r="E94" s="5" t="str">
        <f t="shared" si="9"/>
        <v/>
      </c>
      <c r="F94" s="5" t="str">
        <f t="shared" si="4"/>
        <v/>
      </c>
      <c r="G94" s="5" t="str">
        <f t="shared" si="2"/>
        <v/>
      </c>
      <c r="H94" s="31" t="str">
        <f t="shared" si="5"/>
        <v/>
      </c>
      <c r="I94" s="31" t="str">
        <f t="shared" si="6"/>
        <v/>
      </c>
      <c r="W94" s="12"/>
      <c r="X94" s="12"/>
      <c r="Y94" s="12"/>
      <c r="Z94" s="11" t="str">
        <f t="shared" si="10"/>
        <v/>
      </c>
      <c r="AA94" s="12" t="str">
        <f>IF(Z94="","",IF(Z94=$B$18,100-SUM($AA$3:AA93),IF(Y94="",X94,Y94)/IF($B$24="N",$W$1/100,1)))</f>
        <v/>
      </c>
    </row>
    <row r="95" spans="1:27" x14ac:dyDescent="0.25">
      <c r="A95" s="4" t="str">
        <f t="shared" si="7"/>
        <v/>
      </c>
      <c r="B95" s="5" t="str">
        <f t="shared" si="8"/>
        <v/>
      </c>
      <c r="C95" s="5" t="str">
        <f t="shared" si="1"/>
        <v/>
      </c>
      <c r="D95" s="5" t="str">
        <f t="shared" si="3"/>
        <v/>
      </c>
      <c r="E95" s="5" t="str">
        <f t="shared" si="9"/>
        <v/>
      </c>
      <c r="F95" s="5" t="str">
        <f t="shared" si="4"/>
        <v/>
      </c>
      <c r="G95" s="5" t="str">
        <f t="shared" si="2"/>
        <v/>
      </c>
      <c r="H95" s="31" t="str">
        <f t="shared" si="5"/>
        <v/>
      </c>
      <c r="I95" s="31" t="str">
        <f t="shared" si="6"/>
        <v/>
      </c>
      <c r="W95" s="12"/>
      <c r="X95" s="12"/>
      <c r="Y95" s="12"/>
      <c r="Z95" s="11" t="str">
        <f t="shared" si="10"/>
        <v/>
      </c>
      <c r="AA95" s="12" t="str">
        <f>IF(Z95="","",IF(Z95=$B$18,100-SUM($AA$3:AA94),IF(Y95="",X95,Y95)/IF($B$24="N",$W$1/100,1)))</f>
        <v/>
      </c>
    </row>
    <row r="96" spans="1:27" x14ac:dyDescent="0.25">
      <c r="A96" s="4" t="str">
        <f t="shared" si="7"/>
        <v/>
      </c>
      <c r="B96" s="5" t="str">
        <f t="shared" si="8"/>
        <v/>
      </c>
      <c r="C96" s="5" t="str">
        <f t="shared" si="1"/>
        <v/>
      </c>
      <c r="D96" s="5" t="str">
        <f t="shared" si="3"/>
        <v/>
      </c>
      <c r="E96" s="5" t="str">
        <f t="shared" si="9"/>
        <v/>
      </c>
      <c r="F96" s="5" t="str">
        <f t="shared" si="4"/>
        <v/>
      </c>
      <c r="G96" s="5" t="str">
        <f t="shared" si="2"/>
        <v/>
      </c>
      <c r="H96" s="31" t="str">
        <f t="shared" si="5"/>
        <v/>
      </c>
      <c r="I96" s="31" t="str">
        <f t="shared" si="6"/>
        <v/>
      </c>
      <c r="W96" s="12"/>
      <c r="X96" s="12"/>
      <c r="Y96" s="12"/>
      <c r="Z96" s="11" t="str">
        <f t="shared" si="10"/>
        <v/>
      </c>
      <c r="AA96" s="12" t="str">
        <f>IF(Z96="","",IF(Z96=$B$18,100-SUM($AA$3:AA95),IF(Y96="",X96,Y96)/IF($B$24="N",$W$1/100,1)))</f>
        <v/>
      </c>
    </row>
    <row r="97" spans="1:32" x14ac:dyDescent="0.25">
      <c r="A97" s="4" t="str">
        <f t="shared" si="7"/>
        <v/>
      </c>
      <c r="B97" s="5" t="str">
        <f t="shared" si="8"/>
        <v/>
      </c>
      <c r="C97" s="5" t="str">
        <f t="shared" si="1"/>
        <v/>
      </c>
      <c r="D97" s="5" t="str">
        <f t="shared" si="3"/>
        <v/>
      </c>
      <c r="E97" s="5" t="str">
        <f t="shared" si="9"/>
        <v/>
      </c>
      <c r="F97" s="5" t="str">
        <f t="shared" si="4"/>
        <v/>
      </c>
      <c r="G97" s="5" t="str">
        <f t="shared" si="2"/>
        <v/>
      </c>
      <c r="H97" s="31" t="str">
        <f t="shared" si="5"/>
        <v/>
      </c>
      <c r="I97" s="31" t="str">
        <f t="shared" si="6"/>
        <v/>
      </c>
      <c r="W97" s="12"/>
      <c r="X97" s="12"/>
      <c r="Y97" s="12"/>
      <c r="Z97" s="11" t="str">
        <f t="shared" si="10"/>
        <v/>
      </c>
      <c r="AA97" s="12" t="str">
        <f>IF(Z97="","",IF(Z97=$B$18,100-SUM($AA$3:AA96),IF(Y97="",X97,Y97)/IF($B$24="N",$W$1/100,1)))</f>
        <v/>
      </c>
    </row>
    <row r="98" spans="1:32" x14ac:dyDescent="0.25">
      <c r="A98" s="4" t="str">
        <f t="shared" si="7"/>
        <v/>
      </c>
      <c r="B98" s="5" t="str">
        <f t="shared" si="8"/>
        <v/>
      </c>
      <c r="C98" s="5" t="str">
        <f t="shared" si="1"/>
        <v/>
      </c>
      <c r="D98" s="5" t="str">
        <f t="shared" si="3"/>
        <v/>
      </c>
      <c r="E98" s="5" t="str">
        <f t="shared" si="9"/>
        <v/>
      </c>
      <c r="F98" s="5" t="str">
        <f t="shared" si="4"/>
        <v/>
      </c>
      <c r="G98" s="5" t="str">
        <f t="shared" si="2"/>
        <v/>
      </c>
      <c r="H98" s="31" t="str">
        <f t="shared" si="5"/>
        <v/>
      </c>
      <c r="I98" s="31" t="str">
        <f t="shared" si="6"/>
        <v/>
      </c>
      <c r="W98" s="12"/>
      <c r="X98" s="12"/>
      <c r="Y98" s="12"/>
      <c r="Z98" s="11" t="str">
        <f t="shared" si="10"/>
        <v/>
      </c>
      <c r="AA98" s="12" t="str">
        <f>IF(Z98="","",IF(Z98=$B$18,100-SUM($AA$3:AA97),IF(Y98="",X98,Y98)/IF($B$24="N",$W$1/100,1)))</f>
        <v/>
      </c>
    </row>
    <row r="99" spans="1:32" x14ac:dyDescent="0.25">
      <c r="A99" s="4" t="str">
        <f t="shared" si="7"/>
        <v/>
      </c>
      <c r="B99" s="5" t="str">
        <f t="shared" si="8"/>
        <v/>
      </c>
      <c r="C99" s="5" t="str">
        <f t="shared" si="1"/>
        <v/>
      </c>
      <c r="D99" s="5" t="str">
        <f t="shared" si="3"/>
        <v/>
      </c>
      <c r="E99" s="5" t="str">
        <f t="shared" si="9"/>
        <v/>
      </c>
      <c r="F99" s="5" t="str">
        <f t="shared" si="4"/>
        <v/>
      </c>
      <c r="G99" s="5" t="str">
        <f t="shared" si="2"/>
        <v/>
      </c>
      <c r="H99" s="31" t="str">
        <f t="shared" si="5"/>
        <v/>
      </c>
      <c r="I99" s="31" t="str">
        <f t="shared" si="6"/>
        <v/>
      </c>
      <c r="W99" s="12"/>
      <c r="X99" s="12"/>
      <c r="Y99" s="12"/>
      <c r="Z99" s="11" t="str">
        <f t="shared" si="10"/>
        <v/>
      </c>
      <c r="AA99" s="12" t="str">
        <f>IF(Z99="","",IF(Z99=$B$18,100-SUM($AA$3:AA98),IF(Y99="",X99,Y99)/IF($B$24="N",$W$1/100,1)))</f>
        <v/>
      </c>
    </row>
    <row r="100" spans="1:32" x14ac:dyDescent="0.25">
      <c r="A100" s="4" t="str">
        <f t="shared" si="7"/>
        <v/>
      </c>
      <c r="B100" s="5" t="str">
        <f t="shared" si="8"/>
        <v/>
      </c>
      <c r="C100" s="5" t="str">
        <f t="shared" si="1"/>
        <v/>
      </c>
      <c r="D100" s="5" t="str">
        <f t="shared" si="3"/>
        <v/>
      </c>
      <c r="E100" s="5" t="str">
        <f t="shared" si="9"/>
        <v/>
      </c>
      <c r="F100" s="5" t="str">
        <f t="shared" si="4"/>
        <v/>
      </c>
      <c r="G100" s="5" t="str">
        <f t="shared" si="2"/>
        <v/>
      </c>
      <c r="H100" s="31" t="str">
        <f t="shared" si="5"/>
        <v/>
      </c>
      <c r="I100" s="31" t="str">
        <f t="shared" si="6"/>
        <v/>
      </c>
      <c r="W100" s="12"/>
      <c r="X100" s="12"/>
      <c r="Y100" s="12"/>
      <c r="Z100" s="11" t="str">
        <f t="shared" si="10"/>
        <v/>
      </c>
      <c r="AA100" s="12" t="str">
        <f>IF(W100="","",IF(Z100=$B$18,100-SUM($AA$3:AA99),IF($B$24="N",X100/$W$1*100,$X$3)))</f>
        <v/>
      </c>
    </row>
    <row r="101" spans="1:32" x14ac:dyDescent="0.25">
      <c r="A101" s="4" t="str">
        <f t="shared" si="7"/>
        <v/>
      </c>
      <c r="B101" s="5" t="str">
        <f t="shared" si="8"/>
        <v/>
      </c>
      <c r="C101" s="5" t="str">
        <f t="shared" si="1"/>
        <v/>
      </c>
      <c r="D101" s="5" t="str">
        <f t="shared" si="3"/>
        <v/>
      </c>
      <c r="E101" s="5" t="str">
        <f t="shared" si="9"/>
        <v/>
      </c>
      <c r="F101" s="5" t="str">
        <f t="shared" si="4"/>
        <v/>
      </c>
      <c r="G101" s="5" t="str">
        <f t="shared" si="2"/>
        <v/>
      </c>
      <c r="H101" s="31" t="str">
        <f t="shared" si="5"/>
        <v/>
      </c>
      <c r="I101" s="31" t="str">
        <f t="shared" si="6"/>
        <v/>
      </c>
    </row>
    <row r="102" spans="1:32" x14ac:dyDescent="0.25">
      <c r="A102" s="4" t="str">
        <f t="shared" si="7"/>
        <v/>
      </c>
      <c r="B102" s="5" t="str">
        <f t="shared" si="8"/>
        <v/>
      </c>
      <c r="C102" s="5" t="str">
        <f t="shared" si="1"/>
        <v/>
      </c>
      <c r="D102" s="5" t="str">
        <f t="shared" si="3"/>
        <v/>
      </c>
      <c r="E102" s="5" t="str">
        <f t="shared" si="9"/>
        <v/>
      </c>
      <c r="F102" s="5" t="str">
        <f t="shared" si="4"/>
        <v/>
      </c>
      <c r="G102" s="5" t="str">
        <f t="shared" si="2"/>
        <v/>
      </c>
      <c r="H102" s="31" t="str">
        <f t="shared" si="5"/>
        <v/>
      </c>
      <c r="I102" s="31" t="str">
        <f t="shared" si="6"/>
        <v/>
      </c>
      <c r="AF102" s="6">
        <f>B9</f>
        <v>46044</v>
      </c>
    </row>
    <row r="103" spans="1:32" x14ac:dyDescent="0.25">
      <c r="A103" s="4" t="str">
        <f t="shared" si="7"/>
        <v/>
      </c>
      <c r="B103" s="5" t="str">
        <f t="shared" si="8"/>
        <v/>
      </c>
      <c r="C103" s="5" t="str">
        <f t="shared" ref="C103:C166" si="11">IF(A103="","",IF($B$23="Y",IF(ISNA(VLOOKUP(A103,$Z$3:$AA$100,2,FALSE)),0,VLOOKUP(A103,$Z$3:$AA$100,2,FALSE)),IF(A103=$B$9,IF($B$9=$B$18,$B$4*$B$13/100,$B$22),0)))</f>
        <v/>
      </c>
      <c r="D103" s="5" t="str">
        <f t="shared" si="3"/>
        <v/>
      </c>
      <c r="E103" s="5" t="str">
        <f t="shared" si="9"/>
        <v/>
      </c>
      <c r="F103" s="5" t="str">
        <f t="shared" si="4"/>
        <v/>
      </c>
      <c r="G103" s="5" t="str">
        <f t="shared" ref="G103:G166" si="12">IF(A103="","",F103*(B103+C103))</f>
        <v/>
      </c>
      <c r="H103" s="31" t="str">
        <f t="shared" si="5"/>
        <v/>
      </c>
      <c r="I103" s="31" t="str">
        <f t="shared" si="6"/>
        <v/>
      </c>
    </row>
    <row r="104" spans="1:32" x14ac:dyDescent="0.25">
      <c r="A104" s="4" t="str">
        <f t="shared" si="7"/>
        <v/>
      </c>
      <c r="B104" s="5" t="str">
        <f t="shared" si="8"/>
        <v/>
      </c>
      <c r="C104" s="5" t="str">
        <f t="shared" si="11"/>
        <v/>
      </c>
      <c r="D104" s="5" t="str">
        <f t="shared" ref="D104:D167" si="13">IF(A104="","",D103-C104)</f>
        <v/>
      </c>
      <c r="E104" s="5" t="str">
        <f t="shared" si="9"/>
        <v/>
      </c>
      <c r="F104" s="5" t="str">
        <f t="shared" ref="F104:F167" si="14">IF(A104="","",IF(E104=0,0,IF($B$8=$B$9,1/(1+$B$3/$B$5*E104),1/((1+$B$3/$B$5)^E104))))</f>
        <v/>
      </c>
      <c r="G104" s="5" t="str">
        <f t="shared" si="12"/>
        <v/>
      </c>
      <c r="H104" s="31" t="str">
        <f t="shared" ref="H104:H167" si="15">IF(A104="","",IF(A104&lt;$B$8,0,B104/$B$25))</f>
        <v/>
      </c>
      <c r="I104" s="31" t="str">
        <f t="shared" ref="I104:I167" si="16">IF(A104="","",IF(A104&lt;$B$8,0,C104/$B$25))</f>
        <v/>
      </c>
    </row>
    <row r="105" spans="1:32" x14ac:dyDescent="0.25">
      <c r="A105" s="4" t="str">
        <f t="shared" ref="A105:A168" si="17">IF(OR(A104=$B$9,A104=""),"",IF(MIN(EOMONTH(A104,(12/$B$5)*IF($B$15="Long",2,1)+IF($B$17,0,-1))+IF($B$17,0,DAY($B$11)),EOMONTH(A104,(12/$B$5)*IF($B$15="Long",2,1)))&gt;=$B$9,$B$9,MIN(EOMONTH(A104,12/$B$5+IF($B$17,0,-1))+IF($B$17,0,DAY($B$11)),EOMONTH(A104,12/$B$5))))</f>
        <v/>
      </c>
      <c r="B105" s="5" t="str">
        <f t="shared" ref="B105:B168" si="18">IF(A105="","",IF(A105=$B$9,$K$30/100*D104,$B$6/$B$5*D104))</f>
        <v/>
      </c>
      <c r="C105" s="5" t="str">
        <f t="shared" si="11"/>
        <v/>
      </c>
      <c r="D105" s="5" t="str">
        <f t="shared" si="13"/>
        <v/>
      </c>
      <c r="E105" s="5" t="str">
        <f t="shared" ref="E105:E168" si="19">IF(A105="","",IF(A105&lt;$B$8,0,IF(A105=$B$11,K$19,IF(A105=$B$9,$K$32+E104,IF(A105=$B$8,(A105-$B$2)/(A105-A104),1+E104)))))</f>
        <v/>
      </c>
      <c r="F105" s="5" t="str">
        <f t="shared" si="14"/>
        <v/>
      </c>
      <c r="G105" s="5" t="str">
        <f t="shared" si="12"/>
        <v/>
      </c>
      <c r="H105" s="31" t="str">
        <f t="shared" si="15"/>
        <v/>
      </c>
      <c r="I105" s="31" t="str">
        <f t="shared" si="16"/>
        <v/>
      </c>
    </row>
    <row r="106" spans="1:32" x14ac:dyDescent="0.25">
      <c r="A106" s="4" t="str">
        <f t="shared" si="17"/>
        <v/>
      </c>
      <c r="B106" s="5" t="str">
        <f t="shared" si="18"/>
        <v/>
      </c>
      <c r="C106" s="5" t="str">
        <f t="shared" si="11"/>
        <v/>
      </c>
      <c r="D106" s="5" t="str">
        <f t="shared" si="13"/>
        <v/>
      </c>
      <c r="E106" s="5" t="str">
        <f t="shared" si="19"/>
        <v/>
      </c>
      <c r="F106" s="5" t="str">
        <f t="shared" si="14"/>
        <v/>
      </c>
      <c r="G106" s="5" t="str">
        <f t="shared" si="12"/>
        <v/>
      </c>
      <c r="H106" s="31" t="str">
        <f t="shared" si="15"/>
        <v/>
      </c>
      <c r="I106" s="31" t="str">
        <f t="shared" si="16"/>
        <v/>
      </c>
    </row>
    <row r="107" spans="1:32" x14ac:dyDescent="0.25">
      <c r="A107" s="4" t="str">
        <f t="shared" si="17"/>
        <v/>
      </c>
      <c r="B107" s="5" t="str">
        <f t="shared" si="18"/>
        <v/>
      </c>
      <c r="C107" s="5" t="str">
        <f t="shared" si="11"/>
        <v/>
      </c>
      <c r="D107" s="5" t="str">
        <f t="shared" si="13"/>
        <v/>
      </c>
      <c r="E107" s="5" t="str">
        <f t="shared" si="19"/>
        <v/>
      </c>
      <c r="F107" s="5" t="str">
        <f t="shared" si="14"/>
        <v/>
      </c>
      <c r="G107" s="5" t="str">
        <f t="shared" si="12"/>
        <v/>
      </c>
      <c r="H107" s="31" t="str">
        <f t="shared" si="15"/>
        <v/>
      </c>
      <c r="I107" s="31" t="str">
        <f t="shared" si="16"/>
        <v/>
      </c>
    </row>
    <row r="108" spans="1:32" x14ac:dyDescent="0.25">
      <c r="A108" s="4" t="str">
        <f t="shared" si="17"/>
        <v/>
      </c>
      <c r="B108" s="5" t="str">
        <f t="shared" si="18"/>
        <v/>
      </c>
      <c r="C108" s="5" t="str">
        <f t="shared" si="11"/>
        <v/>
      </c>
      <c r="D108" s="5" t="str">
        <f t="shared" si="13"/>
        <v/>
      </c>
      <c r="E108" s="5" t="str">
        <f t="shared" si="19"/>
        <v/>
      </c>
      <c r="F108" s="5" t="str">
        <f t="shared" si="14"/>
        <v/>
      </c>
      <c r="G108" s="5" t="str">
        <f t="shared" si="12"/>
        <v/>
      </c>
      <c r="H108" s="31" t="str">
        <f t="shared" si="15"/>
        <v/>
      </c>
      <c r="I108" s="31" t="str">
        <f t="shared" si="16"/>
        <v/>
      </c>
    </row>
    <row r="109" spans="1:32" x14ac:dyDescent="0.25">
      <c r="A109" s="4" t="str">
        <f t="shared" si="17"/>
        <v/>
      </c>
      <c r="B109" s="5" t="str">
        <f t="shared" si="18"/>
        <v/>
      </c>
      <c r="C109" s="5" t="str">
        <f t="shared" si="11"/>
        <v/>
      </c>
      <c r="D109" s="5" t="str">
        <f t="shared" si="13"/>
        <v/>
      </c>
      <c r="E109" s="5" t="str">
        <f t="shared" si="19"/>
        <v/>
      </c>
      <c r="F109" s="5" t="str">
        <f t="shared" si="14"/>
        <v/>
      </c>
      <c r="G109" s="5" t="str">
        <f t="shared" si="12"/>
        <v/>
      </c>
      <c r="H109" s="31" t="str">
        <f t="shared" si="15"/>
        <v/>
      </c>
      <c r="I109" s="31" t="str">
        <f t="shared" si="16"/>
        <v/>
      </c>
    </row>
    <row r="110" spans="1:32" x14ac:dyDescent="0.25">
      <c r="A110" s="4" t="str">
        <f t="shared" si="17"/>
        <v/>
      </c>
      <c r="B110" s="5" t="str">
        <f t="shared" si="18"/>
        <v/>
      </c>
      <c r="C110" s="5" t="str">
        <f t="shared" si="11"/>
        <v/>
      </c>
      <c r="D110" s="5" t="str">
        <f t="shared" si="13"/>
        <v/>
      </c>
      <c r="E110" s="5" t="str">
        <f t="shared" si="19"/>
        <v/>
      </c>
      <c r="F110" s="5" t="str">
        <f t="shared" si="14"/>
        <v/>
      </c>
      <c r="G110" s="5" t="str">
        <f t="shared" si="12"/>
        <v/>
      </c>
      <c r="H110" s="31" t="str">
        <f t="shared" si="15"/>
        <v/>
      </c>
      <c r="I110" s="31" t="str">
        <f t="shared" si="16"/>
        <v/>
      </c>
    </row>
    <row r="111" spans="1:32" x14ac:dyDescent="0.25">
      <c r="A111" s="4" t="str">
        <f t="shared" si="17"/>
        <v/>
      </c>
      <c r="B111" s="5" t="str">
        <f t="shared" si="18"/>
        <v/>
      </c>
      <c r="C111" s="5" t="str">
        <f t="shared" si="11"/>
        <v/>
      </c>
      <c r="D111" s="5" t="str">
        <f t="shared" si="13"/>
        <v/>
      </c>
      <c r="E111" s="5" t="str">
        <f t="shared" si="19"/>
        <v/>
      </c>
      <c r="F111" s="5" t="str">
        <f t="shared" si="14"/>
        <v/>
      </c>
      <c r="G111" s="5" t="str">
        <f t="shared" si="12"/>
        <v/>
      </c>
      <c r="H111" s="31" t="str">
        <f t="shared" si="15"/>
        <v/>
      </c>
      <c r="I111" s="31" t="str">
        <f t="shared" si="16"/>
        <v/>
      </c>
    </row>
    <row r="112" spans="1:32" x14ac:dyDescent="0.25">
      <c r="A112" s="4" t="str">
        <f t="shared" si="17"/>
        <v/>
      </c>
      <c r="B112" s="5" t="str">
        <f t="shared" si="18"/>
        <v/>
      </c>
      <c r="C112" s="5" t="str">
        <f t="shared" si="11"/>
        <v/>
      </c>
      <c r="D112" s="5" t="str">
        <f t="shared" si="13"/>
        <v/>
      </c>
      <c r="E112" s="5" t="str">
        <f t="shared" si="19"/>
        <v/>
      </c>
      <c r="F112" s="5" t="str">
        <f t="shared" si="14"/>
        <v/>
      </c>
      <c r="G112" s="5" t="str">
        <f t="shared" si="12"/>
        <v/>
      </c>
      <c r="H112" s="31" t="str">
        <f t="shared" si="15"/>
        <v/>
      </c>
      <c r="I112" s="31" t="str">
        <f t="shared" si="16"/>
        <v/>
      </c>
    </row>
    <row r="113" spans="1:9" x14ac:dyDescent="0.25">
      <c r="A113" s="4" t="str">
        <f t="shared" si="17"/>
        <v/>
      </c>
      <c r="B113" s="5" t="str">
        <f t="shared" si="18"/>
        <v/>
      </c>
      <c r="C113" s="5" t="str">
        <f t="shared" si="11"/>
        <v/>
      </c>
      <c r="D113" s="5" t="str">
        <f t="shared" si="13"/>
        <v/>
      </c>
      <c r="E113" s="5" t="str">
        <f t="shared" si="19"/>
        <v/>
      </c>
      <c r="F113" s="5" t="str">
        <f t="shared" si="14"/>
        <v/>
      </c>
      <c r="G113" s="5" t="str">
        <f t="shared" si="12"/>
        <v/>
      </c>
      <c r="H113" s="31" t="str">
        <f t="shared" si="15"/>
        <v/>
      </c>
      <c r="I113" s="31" t="str">
        <f t="shared" si="16"/>
        <v/>
      </c>
    </row>
    <row r="114" spans="1:9" x14ac:dyDescent="0.25">
      <c r="A114" s="4" t="str">
        <f t="shared" si="17"/>
        <v/>
      </c>
      <c r="B114" s="5" t="str">
        <f t="shared" si="18"/>
        <v/>
      </c>
      <c r="C114" s="5" t="str">
        <f t="shared" si="11"/>
        <v/>
      </c>
      <c r="D114" s="5" t="str">
        <f t="shared" si="13"/>
        <v/>
      </c>
      <c r="E114" s="5" t="str">
        <f t="shared" si="19"/>
        <v/>
      </c>
      <c r="F114" s="5" t="str">
        <f t="shared" si="14"/>
        <v/>
      </c>
      <c r="G114" s="5" t="str">
        <f t="shared" si="12"/>
        <v/>
      </c>
      <c r="H114" s="31" t="str">
        <f t="shared" si="15"/>
        <v/>
      </c>
      <c r="I114" s="31" t="str">
        <f t="shared" si="16"/>
        <v/>
      </c>
    </row>
    <row r="115" spans="1:9" x14ac:dyDescent="0.25">
      <c r="A115" s="4" t="str">
        <f t="shared" si="17"/>
        <v/>
      </c>
      <c r="B115" s="5" t="str">
        <f t="shared" si="18"/>
        <v/>
      </c>
      <c r="C115" s="5" t="str">
        <f t="shared" si="11"/>
        <v/>
      </c>
      <c r="D115" s="5" t="str">
        <f t="shared" si="13"/>
        <v/>
      </c>
      <c r="E115" s="5" t="str">
        <f t="shared" si="19"/>
        <v/>
      </c>
      <c r="F115" s="5" t="str">
        <f t="shared" si="14"/>
        <v/>
      </c>
      <c r="G115" s="5" t="str">
        <f t="shared" si="12"/>
        <v/>
      </c>
      <c r="H115" s="31" t="str">
        <f t="shared" si="15"/>
        <v/>
      </c>
      <c r="I115" s="31" t="str">
        <f t="shared" si="16"/>
        <v/>
      </c>
    </row>
    <row r="116" spans="1:9" x14ac:dyDescent="0.25">
      <c r="A116" s="4" t="str">
        <f t="shared" si="17"/>
        <v/>
      </c>
      <c r="B116" s="5" t="str">
        <f t="shared" si="18"/>
        <v/>
      </c>
      <c r="C116" s="5" t="str">
        <f t="shared" si="11"/>
        <v/>
      </c>
      <c r="D116" s="5" t="str">
        <f t="shared" si="13"/>
        <v/>
      </c>
      <c r="E116" s="5" t="str">
        <f t="shared" si="19"/>
        <v/>
      </c>
      <c r="F116" s="5" t="str">
        <f t="shared" si="14"/>
        <v/>
      </c>
      <c r="G116" s="5" t="str">
        <f t="shared" si="12"/>
        <v/>
      </c>
      <c r="H116" s="31" t="str">
        <f t="shared" si="15"/>
        <v/>
      </c>
      <c r="I116" s="31" t="str">
        <f t="shared" si="16"/>
        <v/>
      </c>
    </row>
    <row r="117" spans="1:9" x14ac:dyDescent="0.25">
      <c r="A117" s="4" t="str">
        <f t="shared" si="17"/>
        <v/>
      </c>
      <c r="B117" s="5" t="str">
        <f t="shared" si="18"/>
        <v/>
      </c>
      <c r="C117" s="5" t="str">
        <f t="shared" si="11"/>
        <v/>
      </c>
      <c r="D117" s="5" t="str">
        <f t="shared" si="13"/>
        <v/>
      </c>
      <c r="E117" s="5" t="str">
        <f t="shared" si="19"/>
        <v/>
      </c>
      <c r="F117" s="5" t="str">
        <f t="shared" si="14"/>
        <v/>
      </c>
      <c r="G117" s="5" t="str">
        <f t="shared" si="12"/>
        <v/>
      </c>
      <c r="H117" s="31" t="str">
        <f t="shared" si="15"/>
        <v/>
      </c>
      <c r="I117" s="31" t="str">
        <f t="shared" si="16"/>
        <v/>
      </c>
    </row>
    <row r="118" spans="1:9" x14ac:dyDescent="0.25">
      <c r="A118" s="4" t="str">
        <f t="shared" si="17"/>
        <v/>
      </c>
      <c r="B118" s="5" t="str">
        <f t="shared" si="18"/>
        <v/>
      </c>
      <c r="C118" s="5" t="str">
        <f t="shared" si="11"/>
        <v/>
      </c>
      <c r="D118" s="5" t="str">
        <f t="shared" si="13"/>
        <v/>
      </c>
      <c r="E118" s="5" t="str">
        <f t="shared" si="19"/>
        <v/>
      </c>
      <c r="F118" s="5" t="str">
        <f t="shared" si="14"/>
        <v/>
      </c>
      <c r="G118" s="5" t="str">
        <f t="shared" si="12"/>
        <v/>
      </c>
      <c r="H118" s="31" t="str">
        <f t="shared" si="15"/>
        <v/>
      </c>
      <c r="I118" s="31" t="str">
        <f t="shared" si="16"/>
        <v/>
      </c>
    </row>
    <row r="119" spans="1:9" x14ac:dyDescent="0.25">
      <c r="A119" s="4" t="str">
        <f t="shared" si="17"/>
        <v/>
      </c>
      <c r="B119" s="5" t="str">
        <f t="shared" si="18"/>
        <v/>
      </c>
      <c r="C119" s="5" t="str">
        <f t="shared" si="11"/>
        <v/>
      </c>
      <c r="D119" s="5" t="str">
        <f t="shared" si="13"/>
        <v/>
      </c>
      <c r="E119" s="5" t="str">
        <f t="shared" si="19"/>
        <v/>
      </c>
      <c r="F119" s="5" t="str">
        <f t="shared" si="14"/>
        <v/>
      </c>
      <c r="G119" s="5" t="str">
        <f t="shared" si="12"/>
        <v/>
      </c>
      <c r="H119" s="31" t="str">
        <f t="shared" si="15"/>
        <v/>
      </c>
      <c r="I119" s="31" t="str">
        <f t="shared" si="16"/>
        <v/>
      </c>
    </row>
    <row r="120" spans="1:9" x14ac:dyDescent="0.25">
      <c r="A120" s="4" t="str">
        <f t="shared" si="17"/>
        <v/>
      </c>
      <c r="B120" s="5" t="str">
        <f t="shared" si="18"/>
        <v/>
      </c>
      <c r="C120" s="5" t="str">
        <f t="shared" si="11"/>
        <v/>
      </c>
      <c r="D120" s="5" t="str">
        <f t="shared" si="13"/>
        <v/>
      </c>
      <c r="E120" s="5" t="str">
        <f t="shared" si="19"/>
        <v/>
      </c>
      <c r="F120" s="5" t="str">
        <f t="shared" si="14"/>
        <v/>
      </c>
      <c r="G120" s="5" t="str">
        <f t="shared" si="12"/>
        <v/>
      </c>
      <c r="H120" s="31" t="str">
        <f t="shared" si="15"/>
        <v/>
      </c>
      <c r="I120" s="31" t="str">
        <f t="shared" si="16"/>
        <v/>
      </c>
    </row>
    <row r="121" spans="1:9" x14ac:dyDescent="0.25">
      <c r="A121" s="4" t="str">
        <f t="shared" si="17"/>
        <v/>
      </c>
      <c r="B121" s="5" t="str">
        <f t="shared" si="18"/>
        <v/>
      </c>
      <c r="C121" s="5" t="str">
        <f t="shared" si="11"/>
        <v/>
      </c>
      <c r="D121" s="5" t="str">
        <f t="shared" si="13"/>
        <v/>
      </c>
      <c r="E121" s="5" t="str">
        <f t="shared" si="19"/>
        <v/>
      </c>
      <c r="F121" s="5" t="str">
        <f t="shared" si="14"/>
        <v/>
      </c>
      <c r="G121" s="5" t="str">
        <f t="shared" si="12"/>
        <v/>
      </c>
      <c r="H121" s="31" t="str">
        <f t="shared" si="15"/>
        <v/>
      </c>
      <c r="I121" s="31" t="str">
        <f t="shared" si="16"/>
        <v/>
      </c>
    </row>
    <row r="122" spans="1:9" x14ac:dyDescent="0.25">
      <c r="A122" s="4" t="str">
        <f t="shared" si="17"/>
        <v/>
      </c>
      <c r="B122" s="5" t="str">
        <f t="shared" si="18"/>
        <v/>
      </c>
      <c r="C122" s="5" t="str">
        <f t="shared" si="11"/>
        <v/>
      </c>
      <c r="D122" s="5" t="str">
        <f t="shared" si="13"/>
        <v/>
      </c>
      <c r="E122" s="5" t="str">
        <f t="shared" si="19"/>
        <v/>
      </c>
      <c r="F122" s="5" t="str">
        <f t="shared" si="14"/>
        <v/>
      </c>
      <c r="G122" s="5" t="str">
        <f t="shared" si="12"/>
        <v/>
      </c>
      <c r="H122" s="31" t="str">
        <f t="shared" si="15"/>
        <v/>
      </c>
      <c r="I122" s="31" t="str">
        <f t="shared" si="16"/>
        <v/>
      </c>
    </row>
    <row r="123" spans="1:9" x14ac:dyDescent="0.25">
      <c r="A123" s="4" t="str">
        <f t="shared" si="17"/>
        <v/>
      </c>
      <c r="B123" s="5" t="str">
        <f t="shared" si="18"/>
        <v/>
      </c>
      <c r="C123" s="5" t="str">
        <f t="shared" si="11"/>
        <v/>
      </c>
      <c r="D123" s="5" t="str">
        <f t="shared" si="13"/>
        <v/>
      </c>
      <c r="E123" s="5" t="str">
        <f t="shared" si="19"/>
        <v/>
      </c>
      <c r="F123" s="5" t="str">
        <f t="shared" si="14"/>
        <v/>
      </c>
      <c r="G123" s="5" t="str">
        <f t="shared" si="12"/>
        <v/>
      </c>
      <c r="H123" s="31" t="str">
        <f t="shared" si="15"/>
        <v/>
      </c>
      <c r="I123" s="31" t="str">
        <f t="shared" si="16"/>
        <v/>
      </c>
    </row>
    <row r="124" spans="1:9" x14ac:dyDescent="0.25">
      <c r="A124" s="4" t="str">
        <f t="shared" si="17"/>
        <v/>
      </c>
      <c r="B124" s="5" t="str">
        <f t="shared" si="18"/>
        <v/>
      </c>
      <c r="C124" s="5" t="str">
        <f t="shared" si="11"/>
        <v/>
      </c>
      <c r="D124" s="5" t="str">
        <f t="shared" si="13"/>
        <v/>
      </c>
      <c r="E124" s="5" t="str">
        <f t="shared" si="19"/>
        <v/>
      </c>
      <c r="F124" s="5" t="str">
        <f t="shared" si="14"/>
        <v/>
      </c>
      <c r="G124" s="5" t="str">
        <f t="shared" si="12"/>
        <v/>
      </c>
      <c r="H124" s="31" t="str">
        <f t="shared" si="15"/>
        <v/>
      </c>
      <c r="I124" s="31" t="str">
        <f t="shared" si="16"/>
        <v/>
      </c>
    </row>
    <row r="125" spans="1:9" x14ac:dyDescent="0.25">
      <c r="A125" s="4" t="str">
        <f t="shared" si="17"/>
        <v/>
      </c>
      <c r="B125" s="5" t="str">
        <f t="shared" si="18"/>
        <v/>
      </c>
      <c r="C125" s="5" t="str">
        <f t="shared" si="11"/>
        <v/>
      </c>
      <c r="D125" s="5" t="str">
        <f t="shared" si="13"/>
        <v/>
      </c>
      <c r="E125" s="5" t="str">
        <f t="shared" si="19"/>
        <v/>
      </c>
      <c r="F125" s="5" t="str">
        <f t="shared" si="14"/>
        <v/>
      </c>
      <c r="G125" s="5" t="str">
        <f t="shared" si="12"/>
        <v/>
      </c>
      <c r="H125" s="31" t="str">
        <f t="shared" si="15"/>
        <v/>
      </c>
      <c r="I125" s="31" t="str">
        <f t="shared" si="16"/>
        <v/>
      </c>
    </row>
    <row r="126" spans="1:9" x14ac:dyDescent="0.25">
      <c r="A126" s="4" t="str">
        <f t="shared" si="17"/>
        <v/>
      </c>
      <c r="B126" s="5" t="str">
        <f t="shared" si="18"/>
        <v/>
      </c>
      <c r="C126" s="5" t="str">
        <f t="shared" si="11"/>
        <v/>
      </c>
      <c r="D126" s="5" t="str">
        <f t="shared" si="13"/>
        <v/>
      </c>
      <c r="E126" s="5" t="str">
        <f t="shared" si="19"/>
        <v/>
      </c>
      <c r="F126" s="5" t="str">
        <f t="shared" si="14"/>
        <v/>
      </c>
      <c r="G126" s="5" t="str">
        <f t="shared" si="12"/>
        <v/>
      </c>
      <c r="H126" s="31" t="str">
        <f t="shared" si="15"/>
        <v/>
      </c>
      <c r="I126" s="31" t="str">
        <f t="shared" si="16"/>
        <v/>
      </c>
    </row>
    <row r="127" spans="1:9" x14ac:dyDescent="0.25">
      <c r="A127" s="4" t="str">
        <f t="shared" si="17"/>
        <v/>
      </c>
      <c r="B127" s="5" t="str">
        <f t="shared" si="18"/>
        <v/>
      </c>
      <c r="C127" s="5" t="str">
        <f t="shared" si="11"/>
        <v/>
      </c>
      <c r="D127" s="5" t="str">
        <f t="shared" si="13"/>
        <v/>
      </c>
      <c r="E127" s="5" t="str">
        <f t="shared" si="19"/>
        <v/>
      </c>
      <c r="F127" s="5" t="str">
        <f t="shared" si="14"/>
        <v/>
      </c>
      <c r="G127" s="5" t="str">
        <f t="shared" si="12"/>
        <v/>
      </c>
      <c r="H127" s="31" t="str">
        <f t="shared" si="15"/>
        <v/>
      </c>
      <c r="I127" s="31" t="str">
        <f t="shared" si="16"/>
        <v/>
      </c>
    </row>
    <row r="128" spans="1:9" x14ac:dyDescent="0.25">
      <c r="A128" s="4" t="str">
        <f t="shared" si="17"/>
        <v/>
      </c>
      <c r="B128" s="5" t="str">
        <f t="shared" si="18"/>
        <v/>
      </c>
      <c r="C128" s="5" t="str">
        <f t="shared" si="11"/>
        <v/>
      </c>
      <c r="D128" s="5" t="str">
        <f t="shared" si="13"/>
        <v/>
      </c>
      <c r="E128" s="5" t="str">
        <f t="shared" si="19"/>
        <v/>
      </c>
      <c r="F128" s="5" t="str">
        <f t="shared" si="14"/>
        <v/>
      </c>
      <c r="G128" s="5" t="str">
        <f t="shared" si="12"/>
        <v/>
      </c>
      <c r="H128" s="31" t="str">
        <f t="shared" si="15"/>
        <v/>
      </c>
      <c r="I128" s="31" t="str">
        <f t="shared" si="16"/>
        <v/>
      </c>
    </row>
    <row r="129" spans="1:9" x14ac:dyDescent="0.25">
      <c r="A129" s="4" t="str">
        <f t="shared" si="17"/>
        <v/>
      </c>
      <c r="B129" s="5" t="str">
        <f t="shared" si="18"/>
        <v/>
      </c>
      <c r="C129" s="5" t="str">
        <f t="shared" si="11"/>
        <v/>
      </c>
      <c r="D129" s="5" t="str">
        <f t="shared" si="13"/>
        <v/>
      </c>
      <c r="E129" s="5" t="str">
        <f t="shared" si="19"/>
        <v/>
      </c>
      <c r="F129" s="5" t="str">
        <f t="shared" si="14"/>
        <v/>
      </c>
      <c r="G129" s="5" t="str">
        <f t="shared" si="12"/>
        <v/>
      </c>
      <c r="H129" s="31" t="str">
        <f t="shared" si="15"/>
        <v/>
      </c>
      <c r="I129" s="31" t="str">
        <f t="shared" si="16"/>
        <v/>
      </c>
    </row>
    <row r="130" spans="1:9" x14ac:dyDescent="0.25">
      <c r="A130" s="4" t="str">
        <f t="shared" si="17"/>
        <v/>
      </c>
      <c r="B130" s="5" t="str">
        <f t="shared" si="18"/>
        <v/>
      </c>
      <c r="C130" s="5" t="str">
        <f t="shared" si="11"/>
        <v/>
      </c>
      <c r="D130" s="5" t="str">
        <f t="shared" si="13"/>
        <v/>
      </c>
      <c r="E130" s="5" t="str">
        <f t="shared" si="19"/>
        <v/>
      </c>
      <c r="F130" s="5" t="str">
        <f t="shared" si="14"/>
        <v/>
      </c>
      <c r="G130" s="5" t="str">
        <f t="shared" si="12"/>
        <v/>
      </c>
      <c r="H130" s="31" t="str">
        <f t="shared" si="15"/>
        <v/>
      </c>
      <c r="I130" s="31" t="str">
        <f t="shared" si="16"/>
        <v/>
      </c>
    </row>
    <row r="131" spans="1:9" x14ac:dyDescent="0.25">
      <c r="A131" s="4" t="str">
        <f t="shared" si="17"/>
        <v/>
      </c>
      <c r="B131" s="5" t="str">
        <f t="shared" si="18"/>
        <v/>
      </c>
      <c r="C131" s="5" t="str">
        <f t="shared" si="11"/>
        <v/>
      </c>
      <c r="D131" s="5" t="str">
        <f t="shared" si="13"/>
        <v/>
      </c>
      <c r="E131" s="5" t="str">
        <f t="shared" si="19"/>
        <v/>
      </c>
      <c r="F131" s="5" t="str">
        <f t="shared" si="14"/>
        <v/>
      </c>
      <c r="G131" s="5" t="str">
        <f t="shared" si="12"/>
        <v/>
      </c>
      <c r="H131" s="31" t="str">
        <f t="shared" si="15"/>
        <v/>
      </c>
      <c r="I131" s="31" t="str">
        <f t="shared" si="16"/>
        <v/>
      </c>
    </row>
    <row r="132" spans="1:9" x14ac:dyDescent="0.25">
      <c r="A132" s="4" t="str">
        <f t="shared" si="17"/>
        <v/>
      </c>
      <c r="B132" s="5" t="str">
        <f t="shared" si="18"/>
        <v/>
      </c>
      <c r="C132" s="5" t="str">
        <f t="shared" si="11"/>
        <v/>
      </c>
      <c r="D132" s="5" t="str">
        <f t="shared" si="13"/>
        <v/>
      </c>
      <c r="E132" s="5" t="str">
        <f t="shared" si="19"/>
        <v/>
      </c>
      <c r="F132" s="5" t="str">
        <f t="shared" si="14"/>
        <v/>
      </c>
      <c r="G132" s="5" t="str">
        <f t="shared" si="12"/>
        <v/>
      </c>
      <c r="H132" s="31" t="str">
        <f t="shared" si="15"/>
        <v/>
      </c>
      <c r="I132" s="31" t="str">
        <f t="shared" si="16"/>
        <v/>
      </c>
    </row>
    <row r="133" spans="1:9" x14ac:dyDescent="0.25">
      <c r="A133" s="4" t="str">
        <f t="shared" si="17"/>
        <v/>
      </c>
      <c r="B133" s="5" t="str">
        <f t="shared" si="18"/>
        <v/>
      </c>
      <c r="C133" s="5" t="str">
        <f t="shared" si="11"/>
        <v/>
      </c>
      <c r="D133" s="5" t="str">
        <f t="shared" si="13"/>
        <v/>
      </c>
      <c r="E133" s="5" t="str">
        <f t="shared" si="19"/>
        <v/>
      </c>
      <c r="F133" s="5" t="str">
        <f t="shared" si="14"/>
        <v/>
      </c>
      <c r="G133" s="5" t="str">
        <f t="shared" si="12"/>
        <v/>
      </c>
      <c r="H133" s="31" t="str">
        <f t="shared" si="15"/>
        <v/>
      </c>
      <c r="I133" s="31" t="str">
        <f t="shared" si="16"/>
        <v/>
      </c>
    </row>
    <row r="134" spans="1:9" x14ac:dyDescent="0.25">
      <c r="A134" s="4" t="str">
        <f t="shared" si="17"/>
        <v/>
      </c>
      <c r="B134" s="5" t="str">
        <f t="shared" si="18"/>
        <v/>
      </c>
      <c r="C134" s="5" t="str">
        <f t="shared" si="11"/>
        <v/>
      </c>
      <c r="D134" s="5" t="str">
        <f t="shared" si="13"/>
        <v/>
      </c>
      <c r="E134" s="5" t="str">
        <f t="shared" si="19"/>
        <v/>
      </c>
      <c r="F134" s="5" t="str">
        <f t="shared" si="14"/>
        <v/>
      </c>
      <c r="G134" s="5" t="str">
        <f t="shared" si="12"/>
        <v/>
      </c>
      <c r="H134" s="31" t="str">
        <f t="shared" si="15"/>
        <v/>
      </c>
      <c r="I134" s="31" t="str">
        <f t="shared" si="16"/>
        <v/>
      </c>
    </row>
    <row r="135" spans="1:9" x14ac:dyDescent="0.25">
      <c r="A135" s="4" t="str">
        <f t="shared" si="17"/>
        <v/>
      </c>
      <c r="B135" s="5" t="str">
        <f t="shared" si="18"/>
        <v/>
      </c>
      <c r="C135" s="5" t="str">
        <f t="shared" si="11"/>
        <v/>
      </c>
      <c r="D135" s="5" t="str">
        <f t="shared" si="13"/>
        <v/>
      </c>
      <c r="E135" s="5" t="str">
        <f t="shared" si="19"/>
        <v/>
      </c>
      <c r="F135" s="5" t="str">
        <f t="shared" si="14"/>
        <v/>
      </c>
      <c r="G135" s="5" t="str">
        <f t="shared" si="12"/>
        <v/>
      </c>
      <c r="H135" s="31" t="str">
        <f t="shared" si="15"/>
        <v/>
      </c>
      <c r="I135" s="31" t="str">
        <f t="shared" si="16"/>
        <v/>
      </c>
    </row>
    <row r="136" spans="1:9" x14ac:dyDescent="0.25">
      <c r="A136" s="4" t="str">
        <f t="shared" si="17"/>
        <v/>
      </c>
      <c r="B136" s="5" t="str">
        <f t="shared" si="18"/>
        <v/>
      </c>
      <c r="C136" s="5" t="str">
        <f t="shared" si="11"/>
        <v/>
      </c>
      <c r="D136" s="5" t="str">
        <f t="shared" si="13"/>
        <v/>
      </c>
      <c r="E136" s="5" t="str">
        <f t="shared" si="19"/>
        <v/>
      </c>
      <c r="F136" s="5" t="str">
        <f t="shared" si="14"/>
        <v/>
      </c>
      <c r="G136" s="5" t="str">
        <f t="shared" si="12"/>
        <v/>
      </c>
      <c r="H136" s="31" t="str">
        <f t="shared" si="15"/>
        <v/>
      </c>
      <c r="I136" s="31" t="str">
        <f t="shared" si="16"/>
        <v/>
      </c>
    </row>
    <row r="137" spans="1:9" x14ac:dyDescent="0.25">
      <c r="A137" s="4" t="str">
        <f t="shared" si="17"/>
        <v/>
      </c>
      <c r="B137" s="5" t="str">
        <f t="shared" si="18"/>
        <v/>
      </c>
      <c r="C137" s="5" t="str">
        <f t="shared" si="11"/>
        <v/>
      </c>
      <c r="D137" s="5" t="str">
        <f t="shared" si="13"/>
        <v/>
      </c>
      <c r="E137" s="5" t="str">
        <f t="shared" si="19"/>
        <v/>
      </c>
      <c r="F137" s="5" t="str">
        <f t="shared" si="14"/>
        <v/>
      </c>
      <c r="G137" s="5" t="str">
        <f t="shared" si="12"/>
        <v/>
      </c>
      <c r="H137" s="31" t="str">
        <f t="shared" si="15"/>
        <v/>
      </c>
      <c r="I137" s="31" t="str">
        <f t="shared" si="16"/>
        <v/>
      </c>
    </row>
    <row r="138" spans="1:9" x14ac:dyDescent="0.25">
      <c r="A138" s="4" t="str">
        <f t="shared" si="17"/>
        <v/>
      </c>
      <c r="B138" s="5" t="str">
        <f t="shared" si="18"/>
        <v/>
      </c>
      <c r="C138" s="5" t="str">
        <f t="shared" si="11"/>
        <v/>
      </c>
      <c r="D138" s="5" t="str">
        <f t="shared" si="13"/>
        <v/>
      </c>
      <c r="E138" s="5" t="str">
        <f t="shared" si="19"/>
        <v/>
      </c>
      <c r="F138" s="5" t="str">
        <f t="shared" si="14"/>
        <v/>
      </c>
      <c r="G138" s="5" t="str">
        <f t="shared" si="12"/>
        <v/>
      </c>
      <c r="H138" s="31" t="str">
        <f t="shared" si="15"/>
        <v/>
      </c>
      <c r="I138" s="31" t="str">
        <f t="shared" si="16"/>
        <v/>
      </c>
    </row>
    <row r="139" spans="1:9" x14ac:dyDescent="0.25">
      <c r="A139" s="4" t="str">
        <f t="shared" si="17"/>
        <v/>
      </c>
      <c r="B139" s="5" t="str">
        <f t="shared" si="18"/>
        <v/>
      </c>
      <c r="C139" s="5" t="str">
        <f t="shared" si="11"/>
        <v/>
      </c>
      <c r="D139" s="5" t="str">
        <f t="shared" si="13"/>
        <v/>
      </c>
      <c r="E139" s="5" t="str">
        <f t="shared" si="19"/>
        <v/>
      </c>
      <c r="F139" s="5" t="str">
        <f t="shared" si="14"/>
        <v/>
      </c>
      <c r="G139" s="5" t="str">
        <f t="shared" si="12"/>
        <v/>
      </c>
      <c r="H139" s="31" t="str">
        <f t="shared" si="15"/>
        <v/>
      </c>
      <c r="I139" s="31" t="str">
        <f t="shared" si="16"/>
        <v/>
      </c>
    </row>
    <row r="140" spans="1:9" x14ac:dyDescent="0.25">
      <c r="A140" s="4" t="str">
        <f t="shared" si="17"/>
        <v/>
      </c>
      <c r="B140" s="5" t="str">
        <f t="shared" si="18"/>
        <v/>
      </c>
      <c r="C140" s="5" t="str">
        <f t="shared" si="11"/>
        <v/>
      </c>
      <c r="D140" s="5" t="str">
        <f t="shared" si="13"/>
        <v/>
      </c>
      <c r="E140" s="5" t="str">
        <f t="shared" si="19"/>
        <v/>
      </c>
      <c r="F140" s="5" t="str">
        <f t="shared" si="14"/>
        <v/>
      </c>
      <c r="G140" s="5" t="str">
        <f t="shared" si="12"/>
        <v/>
      </c>
      <c r="H140" s="31" t="str">
        <f t="shared" si="15"/>
        <v/>
      </c>
      <c r="I140" s="31" t="str">
        <f t="shared" si="16"/>
        <v/>
      </c>
    </row>
    <row r="141" spans="1:9" x14ac:dyDescent="0.25">
      <c r="A141" s="4" t="str">
        <f t="shared" si="17"/>
        <v/>
      </c>
      <c r="B141" s="5" t="str">
        <f t="shared" si="18"/>
        <v/>
      </c>
      <c r="C141" s="5" t="str">
        <f t="shared" si="11"/>
        <v/>
      </c>
      <c r="D141" s="5" t="str">
        <f t="shared" si="13"/>
        <v/>
      </c>
      <c r="E141" s="5" t="str">
        <f t="shared" si="19"/>
        <v/>
      </c>
      <c r="F141" s="5" t="str">
        <f t="shared" si="14"/>
        <v/>
      </c>
      <c r="G141" s="5" t="str">
        <f t="shared" si="12"/>
        <v/>
      </c>
      <c r="H141" s="31" t="str">
        <f t="shared" si="15"/>
        <v/>
      </c>
      <c r="I141" s="31" t="str">
        <f t="shared" si="16"/>
        <v/>
      </c>
    </row>
    <row r="142" spans="1:9" x14ac:dyDescent="0.25">
      <c r="A142" s="4" t="str">
        <f t="shared" si="17"/>
        <v/>
      </c>
      <c r="B142" s="5" t="str">
        <f t="shared" si="18"/>
        <v/>
      </c>
      <c r="C142" s="5" t="str">
        <f t="shared" si="11"/>
        <v/>
      </c>
      <c r="D142" s="5" t="str">
        <f t="shared" si="13"/>
        <v/>
      </c>
      <c r="E142" s="5" t="str">
        <f t="shared" si="19"/>
        <v/>
      </c>
      <c r="F142" s="5" t="str">
        <f t="shared" si="14"/>
        <v/>
      </c>
      <c r="G142" s="5" t="str">
        <f t="shared" si="12"/>
        <v/>
      </c>
      <c r="H142" s="31" t="str">
        <f t="shared" si="15"/>
        <v/>
      </c>
      <c r="I142" s="31" t="str">
        <f t="shared" si="16"/>
        <v/>
      </c>
    </row>
    <row r="143" spans="1:9" x14ac:dyDescent="0.25">
      <c r="A143" s="4" t="str">
        <f t="shared" si="17"/>
        <v/>
      </c>
      <c r="B143" s="5" t="str">
        <f t="shared" si="18"/>
        <v/>
      </c>
      <c r="C143" s="5" t="str">
        <f t="shared" si="11"/>
        <v/>
      </c>
      <c r="D143" s="5" t="str">
        <f t="shared" si="13"/>
        <v/>
      </c>
      <c r="E143" s="5" t="str">
        <f t="shared" si="19"/>
        <v/>
      </c>
      <c r="F143" s="5" t="str">
        <f t="shared" si="14"/>
        <v/>
      </c>
      <c r="G143" s="5" t="str">
        <f t="shared" si="12"/>
        <v/>
      </c>
      <c r="H143" s="31" t="str">
        <f t="shared" si="15"/>
        <v/>
      </c>
      <c r="I143" s="31" t="str">
        <f t="shared" si="16"/>
        <v/>
      </c>
    </row>
    <row r="144" spans="1:9" x14ac:dyDescent="0.25">
      <c r="A144" s="4" t="str">
        <f t="shared" si="17"/>
        <v/>
      </c>
      <c r="B144" s="5" t="str">
        <f t="shared" si="18"/>
        <v/>
      </c>
      <c r="C144" s="5" t="str">
        <f t="shared" si="11"/>
        <v/>
      </c>
      <c r="D144" s="5" t="str">
        <f t="shared" si="13"/>
        <v/>
      </c>
      <c r="E144" s="5" t="str">
        <f t="shared" si="19"/>
        <v/>
      </c>
      <c r="F144" s="5" t="str">
        <f t="shared" si="14"/>
        <v/>
      </c>
      <c r="G144" s="5" t="str">
        <f t="shared" si="12"/>
        <v/>
      </c>
      <c r="H144" s="31" t="str">
        <f t="shared" si="15"/>
        <v/>
      </c>
      <c r="I144" s="31" t="str">
        <f t="shared" si="16"/>
        <v/>
      </c>
    </row>
    <row r="145" spans="1:9" x14ac:dyDescent="0.25">
      <c r="A145" s="4" t="str">
        <f t="shared" si="17"/>
        <v/>
      </c>
      <c r="B145" s="5" t="str">
        <f t="shared" si="18"/>
        <v/>
      </c>
      <c r="C145" s="5" t="str">
        <f t="shared" si="11"/>
        <v/>
      </c>
      <c r="D145" s="5" t="str">
        <f t="shared" si="13"/>
        <v/>
      </c>
      <c r="E145" s="5" t="str">
        <f t="shared" si="19"/>
        <v/>
      </c>
      <c r="F145" s="5" t="str">
        <f t="shared" si="14"/>
        <v/>
      </c>
      <c r="G145" s="5" t="str">
        <f t="shared" si="12"/>
        <v/>
      </c>
      <c r="H145" s="31" t="str">
        <f t="shared" si="15"/>
        <v/>
      </c>
      <c r="I145" s="31" t="str">
        <f t="shared" si="16"/>
        <v/>
      </c>
    </row>
    <row r="146" spans="1:9" x14ac:dyDescent="0.25">
      <c r="A146" s="4" t="str">
        <f t="shared" si="17"/>
        <v/>
      </c>
      <c r="B146" s="5" t="str">
        <f t="shared" si="18"/>
        <v/>
      </c>
      <c r="C146" s="5" t="str">
        <f t="shared" si="11"/>
        <v/>
      </c>
      <c r="D146" s="5" t="str">
        <f t="shared" si="13"/>
        <v/>
      </c>
      <c r="E146" s="5" t="str">
        <f t="shared" si="19"/>
        <v/>
      </c>
      <c r="F146" s="5" t="str">
        <f t="shared" si="14"/>
        <v/>
      </c>
      <c r="G146" s="5" t="str">
        <f t="shared" si="12"/>
        <v/>
      </c>
      <c r="H146" s="31" t="str">
        <f t="shared" si="15"/>
        <v/>
      </c>
      <c r="I146" s="31" t="str">
        <f t="shared" si="16"/>
        <v/>
      </c>
    </row>
    <row r="147" spans="1:9" x14ac:dyDescent="0.25">
      <c r="A147" s="4" t="str">
        <f t="shared" si="17"/>
        <v/>
      </c>
      <c r="B147" s="5" t="str">
        <f t="shared" si="18"/>
        <v/>
      </c>
      <c r="C147" s="5" t="str">
        <f t="shared" si="11"/>
        <v/>
      </c>
      <c r="D147" s="5" t="str">
        <f t="shared" si="13"/>
        <v/>
      </c>
      <c r="E147" s="5" t="str">
        <f t="shared" si="19"/>
        <v/>
      </c>
      <c r="F147" s="5" t="str">
        <f t="shared" si="14"/>
        <v/>
      </c>
      <c r="G147" s="5" t="str">
        <f t="shared" si="12"/>
        <v/>
      </c>
      <c r="H147" s="31" t="str">
        <f t="shared" si="15"/>
        <v/>
      </c>
      <c r="I147" s="31" t="str">
        <f t="shared" si="16"/>
        <v/>
      </c>
    </row>
    <row r="148" spans="1:9" x14ac:dyDescent="0.25">
      <c r="A148" s="4" t="str">
        <f t="shared" si="17"/>
        <v/>
      </c>
      <c r="B148" s="5" t="str">
        <f t="shared" si="18"/>
        <v/>
      </c>
      <c r="C148" s="5" t="str">
        <f t="shared" si="11"/>
        <v/>
      </c>
      <c r="D148" s="5" t="str">
        <f t="shared" si="13"/>
        <v/>
      </c>
      <c r="E148" s="5" t="str">
        <f t="shared" si="19"/>
        <v/>
      </c>
      <c r="F148" s="5" t="str">
        <f t="shared" si="14"/>
        <v/>
      </c>
      <c r="G148" s="5" t="str">
        <f t="shared" si="12"/>
        <v/>
      </c>
      <c r="H148" s="31" t="str">
        <f t="shared" si="15"/>
        <v/>
      </c>
      <c r="I148" s="31" t="str">
        <f t="shared" si="16"/>
        <v/>
      </c>
    </row>
    <row r="149" spans="1:9" x14ac:dyDescent="0.25">
      <c r="A149" s="4" t="str">
        <f t="shared" si="17"/>
        <v/>
      </c>
      <c r="B149" s="5" t="str">
        <f t="shared" si="18"/>
        <v/>
      </c>
      <c r="C149" s="5" t="str">
        <f t="shared" si="11"/>
        <v/>
      </c>
      <c r="D149" s="5" t="str">
        <f t="shared" si="13"/>
        <v/>
      </c>
      <c r="E149" s="5" t="str">
        <f t="shared" si="19"/>
        <v/>
      </c>
      <c r="F149" s="5" t="str">
        <f t="shared" si="14"/>
        <v/>
      </c>
      <c r="G149" s="5" t="str">
        <f t="shared" si="12"/>
        <v/>
      </c>
      <c r="H149" s="31" t="str">
        <f t="shared" si="15"/>
        <v/>
      </c>
      <c r="I149" s="31" t="str">
        <f t="shared" si="16"/>
        <v/>
      </c>
    </row>
    <row r="150" spans="1:9" x14ac:dyDescent="0.25">
      <c r="A150" s="4" t="str">
        <f t="shared" si="17"/>
        <v/>
      </c>
      <c r="B150" s="5" t="str">
        <f t="shared" si="18"/>
        <v/>
      </c>
      <c r="C150" s="5" t="str">
        <f t="shared" si="11"/>
        <v/>
      </c>
      <c r="D150" s="5" t="str">
        <f t="shared" si="13"/>
        <v/>
      </c>
      <c r="E150" s="5" t="str">
        <f t="shared" si="19"/>
        <v/>
      </c>
      <c r="F150" s="5" t="str">
        <f t="shared" si="14"/>
        <v/>
      </c>
      <c r="G150" s="5" t="str">
        <f t="shared" si="12"/>
        <v/>
      </c>
      <c r="H150" s="31" t="str">
        <f t="shared" si="15"/>
        <v/>
      </c>
      <c r="I150" s="31" t="str">
        <f t="shared" si="16"/>
        <v/>
      </c>
    </row>
    <row r="151" spans="1:9" x14ac:dyDescent="0.25">
      <c r="A151" s="4" t="str">
        <f t="shared" si="17"/>
        <v/>
      </c>
      <c r="B151" s="5" t="str">
        <f t="shared" si="18"/>
        <v/>
      </c>
      <c r="C151" s="5" t="str">
        <f t="shared" si="11"/>
        <v/>
      </c>
      <c r="D151" s="5" t="str">
        <f t="shared" si="13"/>
        <v/>
      </c>
      <c r="E151" s="5" t="str">
        <f t="shared" si="19"/>
        <v/>
      </c>
      <c r="F151" s="5" t="str">
        <f t="shared" si="14"/>
        <v/>
      </c>
      <c r="G151" s="5" t="str">
        <f t="shared" si="12"/>
        <v/>
      </c>
      <c r="H151" s="31" t="str">
        <f t="shared" si="15"/>
        <v/>
      </c>
      <c r="I151" s="31" t="str">
        <f t="shared" si="16"/>
        <v/>
      </c>
    </row>
    <row r="152" spans="1:9" x14ac:dyDescent="0.25">
      <c r="A152" s="4" t="str">
        <f t="shared" si="17"/>
        <v/>
      </c>
      <c r="B152" s="5" t="str">
        <f t="shared" si="18"/>
        <v/>
      </c>
      <c r="C152" s="5" t="str">
        <f t="shared" si="11"/>
        <v/>
      </c>
      <c r="D152" s="5" t="str">
        <f t="shared" si="13"/>
        <v/>
      </c>
      <c r="E152" s="5" t="str">
        <f t="shared" si="19"/>
        <v/>
      </c>
      <c r="F152" s="5" t="str">
        <f t="shared" si="14"/>
        <v/>
      </c>
      <c r="G152" s="5" t="str">
        <f t="shared" si="12"/>
        <v/>
      </c>
      <c r="H152" s="31" t="str">
        <f t="shared" si="15"/>
        <v/>
      </c>
      <c r="I152" s="31" t="str">
        <f t="shared" si="16"/>
        <v/>
      </c>
    </row>
    <row r="153" spans="1:9" x14ac:dyDescent="0.25">
      <c r="A153" s="4" t="str">
        <f t="shared" si="17"/>
        <v/>
      </c>
      <c r="B153" s="5" t="str">
        <f t="shared" si="18"/>
        <v/>
      </c>
      <c r="C153" s="5" t="str">
        <f t="shared" si="11"/>
        <v/>
      </c>
      <c r="D153" s="5" t="str">
        <f t="shared" si="13"/>
        <v/>
      </c>
      <c r="E153" s="5" t="str">
        <f t="shared" si="19"/>
        <v/>
      </c>
      <c r="F153" s="5" t="str">
        <f t="shared" si="14"/>
        <v/>
      </c>
      <c r="G153" s="5" t="str">
        <f t="shared" si="12"/>
        <v/>
      </c>
      <c r="H153" s="31" t="str">
        <f t="shared" si="15"/>
        <v/>
      </c>
      <c r="I153" s="31" t="str">
        <f t="shared" si="16"/>
        <v/>
      </c>
    </row>
    <row r="154" spans="1:9" x14ac:dyDescent="0.25">
      <c r="A154" s="4" t="str">
        <f t="shared" si="17"/>
        <v/>
      </c>
      <c r="B154" s="5" t="str">
        <f t="shared" si="18"/>
        <v/>
      </c>
      <c r="C154" s="5" t="str">
        <f t="shared" si="11"/>
        <v/>
      </c>
      <c r="D154" s="5" t="str">
        <f t="shared" si="13"/>
        <v/>
      </c>
      <c r="E154" s="5" t="str">
        <f t="shared" si="19"/>
        <v/>
      </c>
      <c r="F154" s="5" t="str">
        <f t="shared" si="14"/>
        <v/>
      </c>
      <c r="G154" s="5" t="str">
        <f t="shared" si="12"/>
        <v/>
      </c>
      <c r="H154" s="31" t="str">
        <f t="shared" si="15"/>
        <v/>
      </c>
      <c r="I154" s="31" t="str">
        <f t="shared" si="16"/>
        <v/>
      </c>
    </row>
    <row r="155" spans="1:9" x14ac:dyDescent="0.25">
      <c r="A155" s="4" t="str">
        <f t="shared" si="17"/>
        <v/>
      </c>
      <c r="B155" s="5" t="str">
        <f t="shared" si="18"/>
        <v/>
      </c>
      <c r="C155" s="5" t="str">
        <f t="shared" si="11"/>
        <v/>
      </c>
      <c r="D155" s="5" t="str">
        <f t="shared" si="13"/>
        <v/>
      </c>
      <c r="E155" s="5" t="str">
        <f t="shared" si="19"/>
        <v/>
      </c>
      <c r="F155" s="5" t="str">
        <f t="shared" si="14"/>
        <v/>
      </c>
      <c r="G155" s="5" t="str">
        <f t="shared" si="12"/>
        <v/>
      </c>
      <c r="H155" s="31" t="str">
        <f t="shared" si="15"/>
        <v/>
      </c>
      <c r="I155" s="31" t="str">
        <f t="shared" si="16"/>
        <v/>
      </c>
    </row>
    <row r="156" spans="1:9" x14ac:dyDescent="0.25">
      <c r="A156" s="4" t="str">
        <f t="shared" si="17"/>
        <v/>
      </c>
      <c r="B156" s="5" t="str">
        <f t="shared" si="18"/>
        <v/>
      </c>
      <c r="C156" s="5" t="str">
        <f t="shared" si="11"/>
        <v/>
      </c>
      <c r="D156" s="5" t="str">
        <f t="shared" si="13"/>
        <v/>
      </c>
      <c r="E156" s="5" t="str">
        <f t="shared" si="19"/>
        <v/>
      </c>
      <c r="F156" s="5" t="str">
        <f t="shared" si="14"/>
        <v/>
      </c>
      <c r="G156" s="5" t="str">
        <f t="shared" si="12"/>
        <v/>
      </c>
      <c r="H156" s="31" t="str">
        <f t="shared" si="15"/>
        <v/>
      </c>
      <c r="I156" s="31" t="str">
        <f t="shared" si="16"/>
        <v/>
      </c>
    </row>
    <row r="157" spans="1:9" x14ac:dyDescent="0.25">
      <c r="A157" s="4" t="str">
        <f t="shared" si="17"/>
        <v/>
      </c>
      <c r="B157" s="5" t="str">
        <f t="shared" si="18"/>
        <v/>
      </c>
      <c r="C157" s="5" t="str">
        <f t="shared" si="11"/>
        <v/>
      </c>
      <c r="D157" s="5" t="str">
        <f t="shared" si="13"/>
        <v/>
      </c>
      <c r="E157" s="5" t="str">
        <f t="shared" si="19"/>
        <v/>
      </c>
      <c r="F157" s="5" t="str">
        <f t="shared" si="14"/>
        <v/>
      </c>
      <c r="G157" s="5" t="str">
        <f t="shared" si="12"/>
        <v/>
      </c>
      <c r="H157" s="31" t="str">
        <f t="shared" si="15"/>
        <v/>
      </c>
      <c r="I157" s="31" t="str">
        <f t="shared" si="16"/>
        <v/>
      </c>
    </row>
    <row r="158" spans="1:9" x14ac:dyDescent="0.25">
      <c r="A158" s="4" t="str">
        <f t="shared" si="17"/>
        <v/>
      </c>
      <c r="B158" s="5" t="str">
        <f t="shared" si="18"/>
        <v/>
      </c>
      <c r="C158" s="5" t="str">
        <f t="shared" si="11"/>
        <v/>
      </c>
      <c r="D158" s="5" t="str">
        <f t="shared" si="13"/>
        <v/>
      </c>
      <c r="E158" s="5" t="str">
        <f t="shared" si="19"/>
        <v/>
      </c>
      <c r="F158" s="5" t="str">
        <f t="shared" si="14"/>
        <v/>
      </c>
      <c r="G158" s="5" t="str">
        <f t="shared" si="12"/>
        <v/>
      </c>
      <c r="H158" s="31" t="str">
        <f t="shared" si="15"/>
        <v/>
      </c>
      <c r="I158" s="31" t="str">
        <f t="shared" si="16"/>
        <v/>
      </c>
    </row>
    <row r="159" spans="1:9" x14ac:dyDescent="0.25">
      <c r="A159" s="4" t="str">
        <f t="shared" si="17"/>
        <v/>
      </c>
      <c r="B159" s="5" t="str">
        <f t="shared" si="18"/>
        <v/>
      </c>
      <c r="C159" s="5" t="str">
        <f t="shared" si="11"/>
        <v/>
      </c>
      <c r="D159" s="5" t="str">
        <f t="shared" si="13"/>
        <v/>
      </c>
      <c r="E159" s="5" t="str">
        <f t="shared" si="19"/>
        <v/>
      </c>
      <c r="F159" s="5" t="str">
        <f t="shared" si="14"/>
        <v/>
      </c>
      <c r="G159" s="5" t="str">
        <f t="shared" si="12"/>
        <v/>
      </c>
      <c r="H159" s="31" t="str">
        <f t="shared" si="15"/>
        <v/>
      </c>
      <c r="I159" s="31" t="str">
        <f t="shared" si="16"/>
        <v/>
      </c>
    </row>
    <row r="160" spans="1:9" x14ac:dyDescent="0.25">
      <c r="A160" s="4" t="str">
        <f t="shared" si="17"/>
        <v/>
      </c>
      <c r="B160" s="5" t="str">
        <f t="shared" si="18"/>
        <v/>
      </c>
      <c r="C160" s="5" t="str">
        <f t="shared" si="11"/>
        <v/>
      </c>
      <c r="D160" s="5" t="str">
        <f t="shared" si="13"/>
        <v/>
      </c>
      <c r="E160" s="5" t="str">
        <f t="shared" si="19"/>
        <v/>
      </c>
      <c r="F160" s="5" t="str">
        <f t="shared" si="14"/>
        <v/>
      </c>
      <c r="G160" s="5" t="str">
        <f t="shared" si="12"/>
        <v/>
      </c>
      <c r="H160" s="31" t="str">
        <f t="shared" si="15"/>
        <v/>
      </c>
      <c r="I160" s="31" t="str">
        <f t="shared" si="16"/>
        <v/>
      </c>
    </row>
    <row r="161" spans="1:9" x14ac:dyDescent="0.25">
      <c r="A161" s="4" t="str">
        <f t="shared" si="17"/>
        <v/>
      </c>
      <c r="B161" s="5" t="str">
        <f t="shared" si="18"/>
        <v/>
      </c>
      <c r="C161" s="5" t="str">
        <f t="shared" si="11"/>
        <v/>
      </c>
      <c r="D161" s="5" t="str">
        <f t="shared" si="13"/>
        <v/>
      </c>
      <c r="E161" s="5" t="str">
        <f t="shared" si="19"/>
        <v/>
      </c>
      <c r="F161" s="5" t="str">
        <f t="shared" si="14"/>
        <v/>
      </c>
      <c r="G161" s="5" t="str">
        <f t="shared" si="12"/>
        <v/>
      </c>
      <c r="H161" s="31" t="str">
        <f t="shared" si="15"/>
        <v/>
      </c>
      <c r="I161" s="31" t="str">
        <f t="shared" si="16"/>
        <v/>
      </c>
    </row>
    <row r="162" spans="1:9" x14ac:dyDescent="0.25">
      <c r="A162" s="4" t="str">
        <f t="shared" si="17"/>
        <v/>
      </c>
      <c r="B162" s="5" t="str">
        <f t="shared" si="18"/>
        <v/>
      </c>
      <c r="C162" s="5" t="str">
        <f t="shared" si="11"/>
        <v/>
      </c>
      <c r="D162" s="5" t="str">
        <f t="shared" si="13"/>
        <v/>
      </c>
      <c r="E162" s="5" t="str">
        <f t="shared" si="19"/>
        <v/>
      </c>
      <c r="F162" s="5" t="str">
        <f t="shared" si="14"/>
        <v/>
      </c>
      <c r="G162" s="5" t="str">
        <f t="shared" si="12"/>
        <v/>
      </c>
      <c r="H162" s="31" t="str">
        <f t="shared" si="15"/>
        <v/>
      </c>
      <c r="I162" s="31" t="str">
        <f t="shared" si="16"/>
        <v/>
      </c>
    </row>
    <row r="163" spans="1:9" x14ac:dyDescent="0.25">
      <c r="A163" s="4" t="str">
        <f t="shared" si="17"/>
        <v/>
      </c>
      <c r="B163" s="5" t="str">
        <f t="shared" si="18"/>
        <v/>
      </c>
      <c r="C163" s="5" t="str">
        <f t="shared" si="11"/>
        <v/>
      </c>
      <c r="D163" s="5" t="str">
        <f t="shared" si="13"/>
        <v/>
      </c>
      <c r="E163" s="5" t="str">
        <f t="shared" si="19"/>
        <v/>
      </c>
      <c r="F163" s="5" t="str">
        <f t="shared" si="14"/>
        <v/>
      </c>
      <c r="G163" s="5" t="str">
        <f t="shared" si="12"/>
        <v/>
      </c>
      <c r="H163" s="31" t="str">
        <f t="shared" si="15"/>
        <v/>
      </c>
      <c r="I163" s="31" t="str">
        <f t="shared" si="16"/>
        <v/>
      </c>
    </row>
    <row r="164" spans="1:9" x14ac:dyDescent="0.25">
      <c r="A164" s="4" t="str">
        <f t="shared" si="17"/>
        <v/>
      </c>
      <c r="B164" s="5" t="str">
        <f t="shared" si="18"/>
        <v/>
      </c>
      <c r="C164" s="5" t="str">
        <f t="shared" si="11"/>
        <v/>
      </c>
      <c r="D164" s="5" t="str">
        <f t="shared" si="13"/>
        <v/>
      </c>
      <c r="E164" s="5" t="str">
        <f t="shared" si="19"/>
        <v/>
      </c>
      <c r="F164" s="5" t="str">
        <f t="shared" si="14"/>
        <v/>
      </c>
      <c r="G164" s="5" t="str">
        <f t="shared" si="12"/>
        <v/>
      </c>
      <c r="H164" s="31" t="str">
        <f t="shared" si="15"/>
        <v/>
      </c>
      <c r="I164" s="31" t="str">
        <f t="shared" si="16"/>
        <v/>
      </c>
    </row>
    <row r="165" spans="1:9" x14ac:dyDescent="0.25">
      <c r="A165" s="4" t="str">
        <f t="shared" si="17"/>
        <v/>
      </c>
      <c r="B165" s="5" t="str">
        <f t="shared" si="18"/>
        <v/>
      </c>
      <c r="C165" s="5" t="str">
        <f t="shared" si="11"/>
        <v/>
      </c>
      <c r="D165" s="5" t="str">
        <f t="shared" si="13"/>
        <v/>
      </c>
      <c r="E165" s="5" t="str">
        <f t="shared" si="19"/>
        <v/>
      </c>
      <c r="F165" s="5" t="str">
        <f t="shared" si="14"/>
        <v/>
      </c>
      <c r="G165" s="5" t="str">
        <f t="shared" si="12"/>
        <v/>
      </c>
      <c r="H165" s="31" t="str">
        <f t="shared" si="15"/>
        <v/>
      </c>
      <c r="I165" s="31" t="str">
        <f t="shared" si="16"/>
        <v/>
      </c>
    </row>
    <row r="166" spans="1:9" x14ac:dyDescent="0.25">
      <c r="A166" s="4" t="str">
        <f t="shared" si="17"/>
        <v/>
      </c>
      <c r="B166" s="5" t="str">
        <f t="shared" si="18"/>
        <v/>
      </c>
      <c r="C166" s="5" t="str">
        <f t="shared" si="11"/>
        <v/>
      </c>
      <c r="D166" s="5" t="str">
        <f t="shared" si="13"/>
        <v/>
      </c>
      <c r="E166" s="5" t="str">
        <f t="shared" si="19"/>
        <v/>
      </c>
      <c r="F166" s="5" t="str">
        <f t="shared" si="14"/>
        <v/>
      </c>
      <c r="G166" s="5" t="str">
        <f t="shared" si="12"/>
        <v/>
      </c>
      <c r="H166" s="31" t="str">
        <f t="shared" si="15"/>
        <v/>
      </c>
      <c r="I166" s="31" t="str">
        <f t="shared" si="16"/>
        <v/>
      </c>
    </row>
    <row r="167" spans="1:9" x14ac:dyDescent="0.25">
      <c r="A167" s="4" t="str">
        <f t="shared" si="17"/>
        <v/>
      </c>
      <c r="B167" s="5" t="str">
        <f t="shared" si="18"/>
        <v/>
      </c>
      <c r="C167" s="5" t="str">
        <f t="shared" ref="C167:C230" si="20">IF(A167="","",IF($B$23="Y",IF(ISNA(VLOOKUP(A167,$Z$3:$AA$100,2,FALSE)),0,VLOOKUP(A167,$Z$3:$AA$100,2,FALSE)),IF(A167=$B$9,IF($B$9=$B$18,$B$4*$B$13/100,$B$22),0)))</f>
        <v/>
      </c>
      <c r="D167" s="5" t="str">
        <f t="shared" si="13"/>
        <v/>
      </c>
      <c r="E167" s="5" t="str">
        <f t="shared" si="19"/>
        <v/>
      </c>
      <c r="F167" s="5" t="str">
        <f t="shared" si="14"/>
        <v/>
      </c>
      <c r="G167" s="5" t="str">
        <f t="shared" ref="G167:G230" si="21">IF(A167="","",F167*(B167+C167))</f>
        <v/>
      </c>
      <c r="H167" s="31" t="str">
        <f t="shared" si="15"/>
        <v/>
      </c>
      <c r="I167" s="31" t="str">
        <f t="shared" si="16"/>
        <v/>
      </c>
    </row>
    <row r="168" spans="1:9" x14ac:dyDescent="0.25">
      <c r="A168" s="4" t="str">
        <f t="shared" si="17"/>
        <v/>
      </c>
      <c r="B168" s="5" t="str">
        <f t="shared" si="18"/>
        <v/>
      </c>
      <c r="C168" s="5" t="str">
        <f t="shared" si="20"/>
        <v/>
      </c>
      <c r="D168" s="5" t="str">
        <f t="shared" ref="D168:D231" si="22">IF(A168="","",D167-C168)</f>
        <v/>
      </c>
      <c r="E168" s="5" t="str">
        <f t="shared" si="19"/>
        <v/>
      </c>
      <c r="F168" s="5" t="str">
        <f t="shared" ref="F168:F231" si="23">IF(A168="","",IF(E168=0,0,IF($B$8=$B$9,1/(1+$B$3/$B$5*E168),1/((1+$B$3/$B$5)^E168))))</f>
        <v/>
      </c>
      <c r="G168" s="5" t="str">
        <f t="shared" si="21"/>
        <v/>
      </c>
      <c r="H168" s="31" t="str">
        <f t="shared" ref="H168:H231" si="24">IF(A168="","",IF(A168&lt;$B$8,0,B168/$B$25))</f>
        <v/>
      </c>
      <c r="I168" s="31" t="str">
        <f t="shared" ref="I168:I231" si="25">IF(A168="","",IF(A168&lt;$B$8,0,C168/$B$25))</f>
        <v/>
      </c>
    </row>
    <row r="169" spans="1:9" x14ac:dyDescent="0.25">
      <c r="A169" s="4" t="str">
        <f t="shared" ref="A169:A232" si="26">IF(OR(A168=$B$9,A168=""),"",IF(MIN(EOMONTH(A168,(12/$B$5)*IF($B$15="Long",2,1)+IF($B$17,0,-1))+IF($B$17,0,DAY($B$11)),EOMONTH(A168,(12/$B$5)*IF($B$15="Long",2,1)))&gt;=$B$9,$B$9,MIN(EOMONTH(A168,12/$B$5+IF($B$17,0,-1))+IF($B$17,0,DAY($B$11)),EOMONTH(A168,12/$B$5))))</f>
        <v/>
      </c>
      <c r="B169" s="5" t="str">
        <f t="shared" ref="B169:B232" si="27">IF(A169="","",IF(A169=$B$9,$K$30/100*D168,$B$6/$B$5*D168))</f>
        <v/>
      </c>
      <c r="C169" s="5" t="str">
        <f t="shared" si="20"/>
        <v/>
      </c>
      <c r="D169" s="5" t="str">
        <f t="shared" si="22"/>
        <v/>
      </c>
      <c r="E169" s="5" t="str">
        <f t="shared" ref="E169:E232" si="28">IF(A169="","",IF(A169&lt;$B$8,0,IF(A169=$B$11,K$19,IF(A169=$B$9,$K$32+E168,IF(A169=$B$8,(A169-$B$2)/(A169-A168),1+E168)))))</f>
        <v/>
      </c>
      <c r="F169" s="5" t="str">
        <f t="shared" si="23"/>
        <v/>
      </c>
      <c r="G169" s="5" t="str">
        <f t="shared" si="21"/>
        <v/>
      </c>
      <c r="H169" s="31" t="str">
        <f t="shared" si="24"/>
        <v/>
      </c>
      <c r="I169" s="31" t="str">
        <f t="shared" si="25"/>
        <v/>
      </c>
    </row>
    <row r="170" spans="1:9" x14ac:dyDescent="0.25">
      <c r="A170" s="4" t="str">
        <f t="shared" si="26"/>
        <v/>
      </c>
      <c r="B170" s="5" t="str">
        <f t="shared" si="27"/>
        <v/>
      </c>
      <c r="C170" s="5" t="str">
        <f t="shared" si="20"/>
        <v/>
      </c>
      <c r="D170" s="5" t="str">
        <f t="shared" si="22"/>
        <v/>
      </c>
      <c r="E170" s="5" t="str">
        <f t="shared" si="28"/>
        <v/>
      </c>
      <c r="F170" s="5" t="str">
        <f t="shared" si="23"/>
        <v/>
      </c>
      <c r="G170" s="5" t="str">
        <f t="shared" si="21"/>
        <v/>
      </c>
      <c r="H170" s="31" t="str">
        <f t="shared" si="24"/>
        <v/>
      </c>
      <c r="I170" s="31" t="str">
        <f t="shared" si="25"/>
        <v/>
      </c>
    </row>
    <row r="171" spans="1:9" x14ac:dyDescent="0.25">
      <c r="A171" s="4" t="str">
        <f t="shared" si="26"/>
        <v/>
      </c>
      <c r="B171" s="5" t="str">
        <f t="shared" si="27"/>
        <v/>
      </c>
      <c r="C171" s="5" t="str">
        <f t="shared" si="20"/>
        <v/>
      </c>
      <c r="D171" s="5" t="str">
        <f t="shared" si="22"/>
        <v/>
      </c>
      <c r="E171" s="5" t="str">
        <f t="shared" si="28"/>
        <v/>
      </c>
      <c r="F171" s="5" t="str">
        <f t="shared" si="23"/>
        <v/>
      </c>
      <c r="G171" s="5" t="str">
        <f t="shared" si="21"/>
        <v/>
      </c>
      <c r="H171" s="31" t="str">
        <f t="shared" si="24"/>
        <v/>
      </c>
      <c r="I171" s="31" t="str">
        <f t="shared" si="25"/>
        <v/>
      </c>
    </row>
    <row r="172" spans="1:9" x14ac:dyDescent="0.25">
      <c r="A172" s="4" t="str">
        <f t="shared" si="26"/>
        <v/>
      </c>
      <c r="B172" s="5" t="str">
        <f t="shared" si="27"/>
        <v/>
      </c>
      <c r="C172" s="5" t="str">
        <f t="shared" si="20"/>
        <v/>
      </c>
      <c r="D172" s="5" t="str">
        <f t="shared" si="22"/>
        <v/>
      </c>
      <c r="E172" s="5" t="str">
        <f t="shared" si="28"/>
        <v/>
      </c>
      <c r="F172" s="5" t="str">
        <f t="shared" si="23"/>
        <v/>
      </c>
      <c r="G172" s="5" t="str">
        <f t="shared" si="21"/>
        <v/>
      </c>
      <c r="H172" s="31" t="str">
        <f t="shared" si="24"/>
        <v/>
      </c>
      <c r="I172" s="31" t="str">
        <f t="shared" si="25"/>
        <v/>
      </c>
    </row>
    <row r="173" spans="1:9" x14ac:dyDescent="0.25">
      <c r="A173" s="4" t="str">
        <f t="shared" si="26"/>
        <v/>
      </c>
      <c r="B173" s="5" t="str">
        <f t="shared" si="27"/>
        <v/>
      </c>
      <c r="C173" s="5" t="str">
        <f t="shared" si="20"/>
        <v/>
      </c>
      <c r="D173" s="5" t="str">
        <f t="shared" si="22"/>
        <v/>
      </c>
      <c r="E173" s="5" t="str">
        <f t="shared" si="28"/>
        <v/>
      </c>
      <c r="F173" s="5" t="str">
        <f t="shared" si="23"/>
        <v/>
      </c>
      <c r="G173" s="5" t="str">
        <f t="shared" si="21"/>
        <v/>
      </c>
      <c r="H173" s="31" t="str">
        <f t="shared" si="24"/>
        <v/>
      </c>
      <c r="I173" s="31" t="str">
        <f t="shared" si="25"/>
        <v/>
      </c>
    </row>
    <row r="174" spans="1:9" x14ac:dyDescent="0.25">
      <c r="A174" s="4" t="str">
        <f t="shared" si="26"/>
        <v/>
      </c>
      <c r="B174" s="5" t="str">
        <f t="shared" si="27"/>
        <v/>
      </c>
      <c r="C174" s="5" t="str">
        <f t="shared" si="20"/>
        <v/>
      </c>
      <c r="D174" s="5" t="str">
        <f t="shared" si="22"/>
        <v/>
      </c>
      <c r="E174" s="5" t="str">
        <f t="shared" si="28"/>
        <v/>
      </c>
      <c r="F174" s="5" t="str">
        <f t="shared" si="23"/>
        <v/>
      </c>
      <c r="G174" s="5" t="str">
        <f t="shared" si="21"/>
        <v/>
      </c>
      <c r="H174" s="31" t="str">
        <f t="shared" si="24"/>
        <v/>
      </c>
      <c r="I174" s="31" t="str">
        <f t="shared" si="25"/>
        <v/>
      </c>
    </row>
    <row r="175" spans="1:9" x14ac:dyDescent="0.25">
      <c r="A175" s="4" t="str">
        <f t="shared" si="26"/>
        <v/>
      </c>
      <c r="B175" s="5" t="str">
        <f t="shared" si="27"/>
        <v/>
      </c>
      <c r="C175" s="5" t="str">
        <f t="shared" si="20"/>
        <v/>
      </c>
      <c r="D175" s="5" t="str">
        <f t="shared" si="22"/>
        <v/>
      </c>
      <c r="E175" s="5" t="str">
        <f t="shared" si="28"/>
        <v/>
      </c>
      <c r="F175" s="5" t="str">
        <f t="shared" si="23"/>
        <v/>
      </c>
      <c r="G175" s="5" t="str">
        <f t="shared" si="21"/>
        <v/>
      </c>
      <c r="H175" s="31" t="str">
        <f t="shared" si="24"/>
        <v/>
      </c>
      <c r="I175" s="31" t="str">
        <f t="shared" si="25"/>
        <v/>
      </c>
    </row>
    <row r="176" spans="1:9" x14ac:dyDescent="0.25">
      <c r="A176" s="4" t="str">
        <f t="shared" si="26"/>
        <v/>
      </c>
      <c r="B176" s="5" t="str">
        <f t="shared" si="27"/>
        <v/>
      </c>
      <c r="C176" s="5" t="str">
        <f t="shared" si="20"/>
        <v/>
      </c>
      <c r="D176" s="5" t="str">
        <f t="shared" si="22"/>
        <v/>
      </c>
      <c r="E176" s="5" t="str">
        <f t="shared" si="28"/>
        <v/>
      </c>
      <c r="F176" s="5" t="str">
        <f t="shared" si="23"/>
        <v/>
      </c>
      <c r="G176" s="5" t="str">
        <f t="shared" si="21"/>
        <v/>
      </c>
      <c r="H176" s="31" t="str">
        <f t="shared" si="24"/>
        <v/>
      </c>
      <c r="I176" s="31" t="str">
        <f t="shared" si="25"/>
        <v/>
      </c>
    </row>
    <row r="177" spans="1:9" x14ac:dyDescent="0.25">
      <c r="A177" s="4" t="str">
        <f t="shared" si="26"/>
        <v/>
      </c>
      <c r="B177" s="5" t="str">
        <f t="shared" si="27"/>
        <v/>
      </c>
      <c r="C177" s="5" t="str">
        <f t="shared" si="20"/>
        <v/>
      </c>
      <c r="D177" s="5" t="str">
        <f t="shared" si="22"/>
        <v/>
      </c>
      <c r="E177" s="5" t="str">
        <f t="shared" si="28"/>
        <v/>
      </c>
      <c r="F177" s="5" t="str">
        <f t="shared" si="23"/>
        <v/>
      </c>
      <c r="G177" s="5" t="str">
        <f t="shared" si="21"/>
        <v/>
      </c>
      <c r="H177" s="31" t="str">
        <f t="shared" si="24"/>
        <v/>
      </c>
      <c r="I177" s="31" t="str">
        <f t="shared" si="25"/>
        <v/>
      </c>
    </row>
    <row r="178" spans="1:9" x14ac:dyDescent="0.25">
      <c r="A178" s="4" t="str">
        <f t="shared" si="26"/>
        <v/>
      </c>
      <c r="B178" s="5" t="str">
        <f t="shared" si="27"/>
        <v/>
      </c>
      <c r="C178" s="5" t="str">
        <f t="shared" si="20"/>
        <v/>
      </c>
      <c r="D178" s="5" t="str">
        <f t="shared" si="22"/>
        <v/>
      </c>
      <c r="E178" s="5" t="str">
        <f t="shared" si="28"/>
        <v/>
      </c>
      <c r="F178" s="5" t="str">
        <f t="shared" si="23"/>
        <v/>
      </c>
      <c r="G178" s="5" t="str">
        <f t="shared" si="21"/>
        <v/>
      </c>
      <c r="H178" s="31" t="str">
        <f t="shared" si="24"/>
        <v/>
      </c>
      <c r="I178" s="31" t="str">
        <f t="shared" si="25"/>
        <v/>
      </c>
    </row>
    <row r="179" spans="1:9" x14ac:dyDescent="0.25">
      <c r="A179" s="4" t="str">
        <f t="shared" si="26"/>
        <v/>
      </c>
      <c r="B179" s="5" t="str">
        <f t="shared" si="27"/>
        <v/>
      </c>
      <c r="C179" s="5" t="str">
        <f t="shared" si="20"/>
        <v/>
      </c>
      <c r="D179" s="5" t="str">
        <f t="shared" si="22"/>
        <v/>
      </c>
      <c r="E179" s="5" t="str">
        <f t="shared" si="28"/>
        <v/>
      </c>
      <c r="F179" s="5" t="str">
        <f t="shared" si="23"/>
        <v/>
      </c>
      <c r="G179" s="5" t="str">
        <f t="shared" si="21"/>
        <v/>
      </c>
      <c r="H179" s="31" t="str">
        <f t="shared" si="24"/>
        <v/>
      </c>
      <c r="I179" s="31" t="str">
        <f t="shared" si="25"/>
        <v/>
      </c>
    </row>
    <row r="180" spans="1:9" x14ac:dyDescent="0.25">
      <c r="A180" s="4" t="str">
        <f t="shared" si="26"/>
        <v/>
      </c>
      <c r="B180" s="5" t="str">
        <f t="shared" si="27"/>
        <v/>
      </c>
      <c r="C180" s="5" t="str">
        <f t="shared" si="20"/>
        <v/>
      </c>
      <c r="D180" s="5" t="str">
        <f t="shared" si="22"/>
        <v/>
      </c>
      <c r="E180" s="5" t="str">
        <f t="shared" si="28"/>
        <v/>
      </c>
      <c r="F180" s="5" t="str">
        <f t="shared" si="23"/>
        <v/>
      </c>
      <c r="G180" s="5" t="str">
        <f t="shared" si="21"/>
        <v/>
      </c>
      <c r="H180" s="31" t="str">
        <f t="shared" si="24"/>
        <v/>
      </c>
      <c r="I180" s="31" t="str">
        <f t="shared" si="25"/>
        <v/>
      </c>
    </row>
    <row r="181" spans="1:9" x14ac:dyDescent="0.25">
      <c r="A181" s="4" t="str">
        <f t="shared" si="26"/>
        <v/>
      </c>
      <c r="B181" s="5" t="str">
        <f t="shared" si="27"/>
        <v/>
      </c>
      <c r="C181" s="5" t="str">
        <f t="shared" si="20"/>
        <v/>
      </c>
      <c r="D181" s="5" t="str">
        <f t="shared" si="22"/>
        <v/>
      </c>
      <c r="E181" s="5" t="str">
        <f t="shared" si="28"/>
        <v/>
      </c>
      <c r="F181" s="5" t="str">
        <f t="shared" si="23"/>
        <v/>
      </c>
      <c r="G181" s="5" t="str">
        <f t="shared" si="21"/>
        <v/>
      </c>
      <c r="H181" s="31" t="str">
        <f t="shared" si="24"/>
        <v/>
      </c>
      <c r="I181" s="31" t="str">
        <f t="shared" si="25"/>
        <v/>
      </c>
    </row>
    <row r="182" spans="1:9" x14ac:dyDescent="0.25">
      <c r="A182" s="4" t="str">
        <f t="shared" si="26"/>
        <v/>
      </c>
      <c r="B182" s="5" t="str">
        <f t="shared" si="27"/>
        <v/>
      </c>
      <c r="C182" s="5" t="str">
        <f t="shared" si="20"/>
        <v/>
      </c>
      <c r="D182" s="5" t="str">
        <f t="shared" si="22"/>
        <v/>
      </c>
      <c r="E182" s="5" t="str">
        <f t="shared" si="28"/>
        <v/>
      </c>
      <c r="F182" s="5" t="str">
        <f t="shared" si="23"/>
        <v/>
      </c>
      <c r="G182" s="5" t="str">
        <f t="shared" si="21"/>
        <v/>
      </c>
      <c r="H182" s="31" t="str">
        <f t="shared" si="24"/>
        <v/>
      </c>
      <c r="I182" s="31" t="str">
        <f t="shared" si="25"/>
        <v/>
      </c>
    </row>
    <row r="183" spans="1:9" x14ac:dyDescent="0.25">
      <c r="A183" s="4" t="str">
        <f t="shared" si="26"/>
        <v/>
      </c>
      <c r="B183" s="5" t="str">
        <f t="shared" si="27"/>
        <v/>
      </c>
      <c r="C183" s="5" t="str">
        <f t="shared" si="20"/>
        <v/>
      </c>
      <c r="D183" s="5" t="str">
        <f t="shared" si="22"/>
        <v/>
      </c>
      <c r="E183" s="5" t="str">
        <f t="shared" si="28"/>
        <v/>
      </c>
      <c r="F183" s="5" t="str">
        <f t="shared" si="23"/>
        <v/>
      </c>
      <c r="G183" s="5" t="str">
        <f t="shared" si="21"/>
        <v/>
      </c>
      <c r="H183" s="31" t="str">
        <f t="shared" si="24"/>
        <v/>
      </c>
      <c r="I183" s="31" t="str">
        <f t="shared" si="25"/>
        <v/>
      </c>
    </row>
    <row r="184" spans="1:9" x14ac:dyDescent="0.25">
      <c r="A184" s="4" t="str">
        <f t="shared" si="26"/>
        <v/>
      </c>
      <c r="B184" s="5" t="str">
        <f t="shared" si="27"/>
        <v/>
      </c>
      <c r="C184" s="5" t="str">
        <f t="shared" si="20"/>
        <v/>
      </c>
      <c r="D184" s="5" t="str">
        <f t="shared" si="22"/>
        <v/>
      </c>
      <c r="E184" s="5" t="str">
        <f t="shared" si="28"/>
        <v/>
      </c>
      <c r="F184" s="5" t="str">
        <f t="shared" si="23"/>
        <v/>
      </c>
      <c r="G184" s="5" t="str">
        <f t="shared" si="21"/>
        <v/>
      </c>
      <c r="H184" s="31" t="str">
        <f t="shared" si="24"/>
        <v/>
      </c>
      <c r="I184" s="31" t="str">
        <f t="shared" si="25"/>
        <v/>
      </c>
    </row>
    <row r="185" spans="1:9" x14ac:dyDescent="0.25">
      <c r="A185" s="4" t="str">
        <f t="shared" si="26"/>
        <v/>
      </c>
      <c r="B185" s="5" t="str">
        <f t="shared" si="27"/>
        <v/>
      </c>
      <c r="C185" s="5" t="str">
        <f t="shared" si="20"/>
        <v/>
      </c>
      <c r="D185" s="5" t="str">
        <f t="shared" si="22"/>
        <v/>
      </c>
      <c r="E185" s="5" t="str">
        <f t="shared" si="28"/>
        <v/>
      </c>
      <c r="F185" s="5" t="str">
        <f t="shared" si="23"/>
        <v/>
      </c>
      <c r="G185" s="5" t="str">
        <f t="shared" si="21"/>
        <v/>
      </c>
      <c r="H185" s="31" t="str">
        <f t="shared" si="24"/>
        <v/>
      </c>
      <c r="I185" s="31" t="str">
        <f t="shared" si="25"/>
        <v/>
      </c>
    </row>
    <row r="186" spans="1:9" x14ac:dyDescent="0.25">
      <c r="A186" s="4" t="str">
        <f t="shared" si="26"/>
        <v/>
      </c>
      <c r="B186" s="5" t="str">
        <f t="shared" si="27"/>
        <v/>
      </c>
      <c r="C186" s="5" t="str">
        <f t="shared" si="20"/>
        <v/>
      </c>
      <c r="D186" s="5" t="str">
        <f t="shared" si="22"/>
        <v/>
      </c>
      <c r="E186" s="5" t="str">
        <f t="shared" si="28"/>
        <v/>
      </c>
      <c r="F186" s="5" t="str">
        <f t="shared" si="23"/>
        <v/>
      </c>
      <c r="G186" s="5" t="str">
        <f t="shared" si="21"/>
        <v/>
      </c>
      <c r="H186" s="31" t="str">
        <f t="shared" si="24"/>
        <v/>
      </c>
      <c r="I186" s="31" t="str">
        <f t="shared" si="25"/>
        <v/>
      </c>
    </row>
    <row r="187" spans="1:9" x14ac:dyDescent="0.25">
      <c r="A187" s="4" t="str">
        <f t="shared" si="26"/>
        <v/>
      </c>
      <c r="B187" s="5" t="str">
        <f t="shared" si="27"/>
        <v/>
      </c>
      <c r="C187" s="5" t="str">
        <f t="shared" si="20"/>
        <v/>
      </c>
      <c r="D187" s="5" t="str">
        <f t="shared" si="22"/>
        <v/>
      </c>
      <c r="E187" s="5" t="str">
        <f t="shared" si="28"/>
        <v/>
      </c>
      <c r="F187" s="5" t="str">
        <f t="shared" si="23"/>
        <v/>
      </c>
      <c r="G187" s="5" t="str">
        <f t="shared" si="21"/>
        <v/>
      </c>
      <c r="H187" s="31" t="str">
        <f t="shared" si="24"/>
        <v/>
      </c>
      <c r="I187" s="31" t="str">
        <f t="shared" si="25"/>
        <v/>
      </c>
    </row>
    <row r="188" spans="1:9" x14ac:dyDescent="0.25">
      <c r="A188" s="4" t="str">
        <f t="shared" si="26"/>
        <v/>
      </c>
      <c r="B188" s="5" t="str">
        <f t="shared" si="27"/>
        <v/>
      </c>
      <c r="C188" s="5" t="str">
        <f t="shared" si="20"/>
        <v/>
      </c>
      <c r="D188" s="5" t="str">
        <f t="shared" si="22"/>
        <v/>
      </c>
      <c r="E188" s="5" t="str">
        <f t="shared" si="28"/>
        <v/>
      </c>
      <c r="F188" s="5" t="str">
        <f t="shared" si="23"/>
        <v/>
      </c>
      <c r="G188" s="5" t="str">
        <f t="shared" si="21"/>
        <v/>
      </c>
      <c r="H188" s="31" t="str">
        <f t="shared" si="24"/>
        <v/>
      </c>
      <c r="I188" s="31" t="str">
        <f t="shared" si="25"/>
        <v/>
      </c>
    </row>
    <row r="189" spans="1:9" x14ac:dyDescent="0.25">
      <c r="A189" s="4" t="str">
        <f t="shared" si="26"/>
        <v/>
      </c>
      <c r="B189" s="5" t="str">
        <f t="shared" si="27"/>
        <v/>
      </c>
      <c r="C189" s="5" t="str">
        <f t="shared" si="20"/>
        <v/>
      </c>
      <c r="D189" s="5" t="str">
        <f t="shared" si="22"/>
        <v/>
      </c>
      <c r="E189" s="5" t="str">
        <f t="shared" si="28"/>
        <v/>
      </c>
      <c r="F189" s="5" t="str">
        <f t="shared" si="23"/>
        <v/>
      </c>
      <c r="G189" s="5" t="str">
        <f t="shared" si="21"/>
        <v/>
      </c>
      <c r="H189" s="31" t="str">
        <f t="shared" si="24"/>
        <v/>
      </c>
      <c r="I189" s="31" t="str">
        <f t="shared" si="25"/>
        <v/>
      </c>
    </row>
    <row r="190" spans="1:9" x14ac:dyDescent="0.25">
      <c r="A190" s="4" t="str">
        <f t="shared" si="26"/>
        <v/>
      </c>
      <c r="B190" s="5" t="str">
        <f t="shared" si="27"/>
        <v/>
      </c>
      <c r="C190" s="5" t="str">
        <f t="shared" si="20"/>
        <v/>
      </c>
      <c r="D190" s="5" t="str">
        <f t="shared" si="22"/>
        <v/>
      </c>
      <c r="E190" s="5" t="str">
        <f t="shared" si="28"/>
        <v/>
      </c>
      <c r="F190" s="5" t="str">
        <f t="shared" si="23"/>
        <v/>
      </c>
      <c r="G190" s="5" t="str">
        <f t="shared" si="21"/>
        <v/>
      </c>
      <c r="H190" s="31" t="str">
        <f t="shared" si="24"/>
        <v/>
      </c>
      <c r="I190" s="31" t="str">
        <f t="shared" si="25"/>
        <v/>
      </c>
    </row>
    <row r="191" spans="1:9" x14ac:dyDescent="0.25">
      <c r="A191" s="4" t="str">
        <f t="shared" si="26"/>
        <v/>
      </c>
      <c r="B191" s="5" t="str">
        <f t="shared" si="27"/>
        <v/>
      </c>
      <c r="C191" s="5" t="str">
        <f t="shared" si="20"/>
        <v/>
      </c>
      <c r="D191" s="5" t="str">
        <f t="shared" si="22"/>
        <v/>
      </c>
      <c r="E191" s="5" t="str">
        <f t="shared" si="28"/>
        <v/>
      </c>
      <c r="F191" s="5" t="str">
        <f t="shared" si="23"/>
        <v/>
      </c>
      <c r="G191" s="5" t="str">
        <f t="shared" si="21"/>
        <v/>
      </c>
      <c r="H191" s="31" t="str">
        <f t="shared" si="24"/>
        <v/>
      </c>
      <c r="I191" s="31" t="str">
        <f t="shared" si="25"/>
        <v/>
      </c>
    </row>
    <row r="192" spans="1:9" x14ac:dyDescent="0.25">
      <c r="A192" s="4" t="str">
        <f t="shared" si="26"/>
        <v/>
      </c>
      <c r="B192" s="5" t="str">
        <f t="shared" si="27"/>
        <v/>
      </c>
      <c r="C192" s="5" t="str">
        <f t="shared" si="20"/>
        <v/>
      </c>
      <c r="D192" s="5" t="str">
        <f t="shared" si="22"/>
        <v/>
      </c>
      <c r="E192" s="5" t="str">
        <f t="shared" si="28"/>
        <v/>
      </c>
      <c r="F192" s="5" t="str">
        <f t="shared" si="23"/>
        <v/>
      </c>
      <c r="G192" s="5" t="str">
        <f t="shared" si="21"/>
        <v/>
      </c>
      <c r="H192" s="31" t="str">
        <f t="shared" si="24"/>
        <v/>
      </c>
      <c r="I192" s="31" t="str">
        <f t="shared" si="25"/>
        <v/>
      </c>
    </row>
    <row r="193" spans="1:9" x14ac:dyDescent="0.25">
      <c r="A193" s="4" t="str">
        <f t="shared" si="26"/>
        <v/>
      </c>
      <c r="B193" s="5" t="str">
        <f t="shared" si="27"/>
        <v/>
      </c>
      <c r="C193" s="5" t="str">
        <f t="shared" si="20"/>
        <v/>
      </c>
      <c r="D193" s="5" t="str">
        <f t="shared" si="22"/>
        <v/>
      </c>
      <c r="E193" s="5" t="str">
        <f t="shared" si="28"/>
        <v/>
      </c>
      <c r="F193" s="5" t="str">
        <f t="shared" si="23"/>
        <v/>
      </c>
      <c r="G193" s="5" t="str">
        <f t="shared" si="21"/>
        <v/>
      </c>
      <c r="H193" s="31" t="str">
        <f t="shared" si="24"/>
        <v/>
      </c>
      <c r="I193" s="31" t="str">
        <f t="shared" si="25"/>
        <v/>
      </c>
    </row>
    <row r="194" spans="1:9" x14ac:dyDescent="0.25">
      <c r="A194" s="4" t="str">
        <f t="shared" si="26"/>
        <v/>
      </c>
      <c r="B194" s="5" t="str">
        <f t="shared" si="27"/>
        <v/>
      </c>
      <c r="C194" s="5" t="str">
        <f t="shared" si="20"/>
        <v/>
      </c>
      <c r="D194" s="5" t="str">
        <f t="shared" si="22"/>
        <v/>
      </c>
      <c r="E194" s="5" t="str">
        <f t="shared" si="28"/>
        <v/>
      </c>
      <c r="F194" s="5" t="str">
        <f t="shared" si="23"/>
        <v/>
      </c>
      <c r="G194" s="5" t="str">
        <f t="shared" si="21"/>
        <v/>
      </c>
      <c r="H194" s="31" t="str">
        <f t="shared" si="24"/>
        <v/>
      </c>
      <c r="I194" s="31" t="str">
        <f t="shared" si="25"/>
        <v/>
      </c>
    </row>
    <row r="195" spans="1:9" x14ac:dyDescent="0.25">
      <c r="A195" s="4" t="str">
        <f t="shared" si="26"/>
        <v/>
      </c>
      <c r="B195" s="5" t="str">
        <f t="shared" si="27"/>
        <v/>
      </c>
      <c r="C195" s="5" t="str">
        <f t="shared" si="20"/>
        <v/>
      </c>
      <c r="D195" s="5" t="str">
        <f t="shared" si="22"/>
        <v/>
      </c>
      <c r="E195" s="5" t="str">
        <f t="shared" si="28"/>
        <v/>
      </c>
      <c r="F195" s="5" t="str">
        <f t="shared" si="23"/>
        <v/>
      </c>
      <c r="G195" s="5" t="str">
        <f t="shared" si="21"/>
        <v/>
      </c>
      <c r="H195" s="31" t="str">
        <f t="shared" si="24"/>
        <v/>
      </c>
      <c r="I195" s="31" t="str">
        <f t="shared" si="25"/>
        <v/>
      </c>
    </row>
    <row r="196" spans="1:9" x14ac:dyDescent="0.25">
      <c r="A196" s="4" t="str">
        <f t="shared" si="26"/>
        <v/>
      </c>
      <c r="B196" s="5" t="str">
        <f t="shared" si="27"/>
        <v/>
      </c>
      <c r="C196" s="5" t="str">
        <f t="shared" si="20"/>
        <v/>
      </c>
      <c r="D196" s="5" t="str">
        <f t="shared" si="22"/>
        <v/>
      </c>
      <c r="E196" s="5" t="str">
        <f t="shared" si="28"/>
        <v/>
      </c>
      <c r="F196" s="5" t="str">
        <f t="shared" si="23"/>
        <v/>
      </c>
      <c r="G196" s="5" t="str">
        <f t="shared" si="21"/>
        <v/>
      </c>
      <c r="H196" s="31" t="str">
        <f t="shared" si="24"/>
        <v/>
      </c>
      <c r="I196" s="31" t="str">
        <f t="shared" si="25"/>
        <v/>
      </c>
    </row>
    <row r="197" spans="1:9" x14ac:dyDescent="0.25">
      <c r="A197" s="4" t="str">
        <f t="shared" si="26"/>
        <v/>
      </c>
      <c r="B197" s="5" t="str">
        <f t="shared" si="27"/>
        <v/>
      </c>
      <c r="C197" s="5" t="str">
        <f t="shared" si="20"/>
        <v/>
      </c>
      <c r="D197" s="5" t="str">
        <f t="shared" si="22"/>
        <v/>
      </c>
      <c r="E197" s="5" t="str">
        <f t="shared" si="28"/>
        <v/>
      </c>
      <c r="F197" s="5" t="str">
        <f t="shared" si="23"/>
        <v/>
      </c>
      <c r="G197" s="5" t="str">
        <f t="shared" si="21"/>
        <v/>
      </c>
      <c r="H197" s="31" t="str">
        <f t="shared" si="24"/>
        <v/>
      </c>
      <c r="I197" s="31" t="str">
        <f t="shared" si="25"/>
        <v/>
      </c>
    </row>
    <row r="198" spans="1:9" x14ac:dyDescent="0.25">
      <c r="A198" s="4" t="str">
        <f t="shared" si="26"/>
        <v/>
      </c>
      <c r="B198" s="5" t="str">
        <f t="shared" si="27"/>
        <v/>
      </c>
      <c r="C198" s="5" t="str">
        <f t="shared" si="20"/>
        <v/>
      </c>
      <c r="D198" s="5" t="str">
        <f t="shared" si="22"/>
        <v/>
      </c>
      <c r="E198" s="5" t="str">
        <f t="shared" si="28"/>
        <v/>
      </c>
      <c r="F198" s="5" t="str">
        <f t="shared" si="23"/>
        <v/>
      </c>
      <c r="G198" s="5" t="str">
        <f t="shared" si="21"/>
        <v/>
      </c>
      <c r="H198" s="31" t="str">
        <f t="shared" si="24"/>
        <v/>
      </c>
      <c r="I198" s="31" t="str">
        <f t="shared" si="25"/>
        <v/>
      </c>
    </row>
    <row r="199" spans="1:9" x14ac:dyDescent="0.25">
      <c r="A199" s="4" t="str">
        <f t="shared" si="26"/>
        <v/>
      </c>
      <c r="B199" s="5" t="str">
        <f t="shared" si="27"/>
        <v/>
      </c>
      <c r="C199" s="5" t="str">
        <f t="shared" si="20"/>
        <v/>
      </c>
      <c r="D199" s="5" t="str">
        <f t="shared" si="22"/>
        <v/>
      </c>
      <c r="E199" s="5" t="str">
        <f t="shared" si="28"/>
        <v/>
      </c>
      <c r="F199" s="5" t="str">
        <f t="shared" si="23"/>
        <v/>
      </c>
      <c r="G199" s="5" t="str">
        <f t="shared" si="21"/>
        <v/>
      </c>
      <c r="H199" s="31" t="str">
        <f t="shared" si="24"/>
        <v/>
      </c>
      <c r="I199" s="31" t="str">
        <f t="shared" si="25"/>
        <v/>
      </c>
    </row>
    <row r="200" spans="1:9" x14ac:dyDescent="0.25">
      <c r="A200" s="4" t="str">
        <f t="shared" si="26"/>
        <v/>
      </c>
      <c r="B200" s="5" t="str">
        <f t="shared" si="27"/>
        <v/>
      </c>
      <c r="C200" s="5" t="str">
        <f t="shared" si="20"/>
        <v/>
      </c>
      <c r="D200" s="5" t="str">
        <f t="shared" si="22"/>
        <v/>
      </c>
      <c r="E200" s="5" t="str">
        <f t="shared" si="28"/>
        <v/>
      </c>
      <c r="F200" s="5" t="str">
        <f t="shared" si="23"/>
        <v/>
      </c>
      <c r="G200" s="5" t="str">
        <f t="shared" si="21"/>
        <v/>
      </c>
      <c r="H200" s="31" t="str">
        <f t="shared" si="24"/>
        <v/>
      </c>
      <c r="I200" s="31" t="str">
        <f t="shared" si="25"/>
        <v/>
      </c>
    </row>
    <row r="201" spans="1:9" x14ac:dyDescent="0.25">
      <c r="A201" s="4" t="str">
        <f t="shared" si="26"/>
        <v/>
      </c>
      <c r="B201" s="5" t="str">
        <f t="shared" si="27"/>
        <v/>
      </c>
      <c r="C201" s="5" t="str">
        <f t="shared" si="20"/>
        <v/>
      </c>
      <c r="D201" s="5" t="str">
        <f t="shared" si="22"/>
        <v/>
      </c>
      <c r="E201" s="5" t="str">
        <f t="shared" si="28"/>
        <v/>
      </c>
      <c r="F201" s="5" t="str">
        <f t="shared" si="23"/>
        <v/>
      </c>
      <c r="G201" s="5" t="str">
        <f t="shared" si="21"/>
        <v/>
      </c>
      <c r="H201" s="31" t="str">
        <f t="shared" si="24"/>
        <v/>
      </c>
      <c r="I201" s="31" t="str">
        <f t="shared" si="25"/>
        <v/>
      </c>
    </row>
    <row r="202" spans="1:9" x14ac:dyDescent="0.25">
      <c r="A202" s="4" t="str">
        <f t="shared" si="26"/>
        <v/>
      </c>
      <c r="B202" s="5" t="str">
        <f t="shared" si="27"/>
        <v/>
      </c>
      <c r="C202" s="5" t="str">
        <f t="shared" si="20"/>
        <v/>
      </c>
      <c r="D202" s="5" t="str">
        <f t="shared" si="22"/>
        <v/>
      </c>
      <c r="E202" s="5" t="str">
        <f t="shared" si="28"/>
        <v/>
      </c>
      <c r="F202" s="5" t="str">
        <f t="shared" si="23"/>
        <v/>
      </c>
      <c r="G202" s="5" t="str">
        <f t="shared" si="21"/>
        <v/>
      </c>
      <c r="H202" s="31" t="str">
        <f t="shared" si="24"/>
        <v/>
      </c>
      <c r="I202" s="31" t="str">
        <f t="shared" si="25"/>
        <v/>
      </c>
    </row>
    <row r="203" spans="1:9" x14ac:dyDescent="0.25">
      <c r="A203" s="4" t="str">
        <f t="shared" si="26"/>
        <v/>
      </c>
      <c r="B203" s="5" t="str">
        <f t="shared" si="27"/>
        <v/>
      </c>
      <c r="C203" s="5" t="str">
        <f t="shared" si="20"/>
        <v/>
      </c>
      <c r="D203" s="5" t="str">
        <f t="shared" si="22"/>
        <v/>
      </c>
      <c r="E203" s="5" t="str">
        <f t="shared" si="28"/>
        <v/>
      </c>
      <c r="F203" s="5" t="str">
        <f t="shared" si="23"/>
        <v/>
      </c>
      <c r="G203" s="5" t="str">
        <f t="shared" si="21"/>
        <v/>
      </c>
      <c r="H203" s="31" t="str">
        <f t="shared" si="24"/>
        <v/>
      </c>
      <c r="I203" s="31" t="str">
        <f t="shared" si="25"/>
        <v/>
      </c>
    </row>
    <row r="204" spans="1:9" x14ac:dyDescent="0.25">
      <c r="A204" s="4" t="str">
        <f t="shared" si="26"/>
        <v/>
      </c>
      <c r="B204" s="5" t="str">
        <f t="shared" si="27"/>
        <v/>
      </c>
      <c r="C204" s="5" t="str">
        <f t="shared" si="20"/>
        <v/>
      </c>
      <c r="D204" s="5" t="str">
        <f t="shared" si="22"/>
        <v/>
      </c>
      <c r="E204" s="5" t="str">
        <f t="shared" si="28"/>
        <v/>
      </c>
      <c r="F204" s="5" t="str">
        <f t="shared" si="23"/>
        <v/>
      </c>
      <c r="G204" s="5" t="str">
        <f t="shared" si="21"/>
        <v/>
      </c>
      <c r="H204" s="31" t="str">
        <f t="shared" si="24"/>
        <v/>
      </c>
      <c r="I204" s="31" t="str">
        <f t="shared" si="25"/>
        <v/>
      </c>
    </row>
    <row r="205" spans="1:9" x14ac:dyDescent="0.25">
      <c r="A205" s="4" t="str">
        <f t="shared" si="26"/>
        <v/>
      </c>
      <c r="B205" s="5" t="str">
        <f t="shared" si="27"/>
        <v/>
      </c>
      <c r="C205" s="5" t="str">
        <f t="shared" si="20"/>
        <v/>
      </c>
      <c r="D205" s="5" t="str">
        <f t="shared" si="22"/>
        <v/>
      </c>
      <c r="E205" s="5" t="str">
        <f t="shared" si="28"/>
        <v/>
      </c>
      <c r="F205" s="5" t="str">
        <f t="shared" si="23"/>
        <v/>
      </c>
      <c r="G205" s="5" t="str">
        <f t="shared" si="21"/>
        <v/>
      </c>
      <c r="H205" s="31" t="str">
        <f t="shared" si="24"/>
        <v/>
      </c>
      <c r="I205" s="31" t="str">
        <f t="shared" si="25"/>
        <v/>
      </c>
    </row>
    <row r="206" spans="1:9" x14ac:dyDescent="0.25">
      <c r="A206" s="4" t="str">
        <f t="shared" si="26"/>
        <v/>
      </c>
      <c r="B206" s="5" t="str">
        <f t="shared" si="27"/>
        <v/>
      </c>
      <c r="C206" s="5" t="str">
        <f t="shared" si="20"/>
        <v/>
      </c>
      <c r="D206" s="5" t="str">
        <f t="shared" si="22"/>
        <v/>
      </c>
      <c r="E206" s="5" t="str">
        <f t="shared" si="28"/>
        <v/>
      </c>
      <c r="F206" s="5" t="str">
        <f t="shared" si="23"/>
        <v/>
      </c>
      <c r="G206" s="5" t="str">
        <f t="shared" si="21"/>
        <v/>
      </c>
      <c r="H206" s="31" t="str">
        <f t="shared" si="24"/>
        <v/>
      </c>
      <c r="I206" s="31" t="str">
        <f t="shared" si="25"/>
        <v/>
      </c>
    </row>
    <row r="207" spans="1:9" x14ac:dyDescent="0.25">
      <c r="A207" s="4" t="str">
        <f t="shared" si="26"/>
        <v/>
      </c>
      <c r="B207" s="5" t="str">
        <f t="shared" si="27"/>
        <v/>
      </c>
      <c r="C207" s="5" t="str">
        <f t="shared" si="20"/>
        <v/>
      </c>
      <c r="D207" s="5" t="str">
        <f t="shared" si="22"/>
        <v/>
      </c>
      <c r="E207" s="5" t="str">
        <f t="shared" si="28"/>
        <v/>
      </c>
      <c r="F207" s="5" t="str">
        <f t="shared" si="23"/>
        <v/>
      </c>
      <c r="G207" s="5" t="str">
        <f t="shared" si="21"/>
        <v/>
      </c>
      <c r="H207" s="31" t="str">
        <f t="shared" si="24"/>
        <v/>
      </c>
      <c r="I207" s="31" t="str">
        <f t="shared" si="25"/>
        <v/>
      </c>
    </row>
    <row r="208" spans="1:9" x14ac:dyDescent="0.25">
      <c r="A208" s="4" t="str">
        <f t="shared" si="26"/>
        <v/>
      </c>
      <c r="B208" s="5" t="str">
        <f t="shared" si="27"/>
        <v/>
      </c>
      <c r="C208" s="5" t="str">
        <f t="shared" si="20"/>
        <v/>
      </c>
      <c r="D208" s="5" t="str">
        <f t="shared" si="22"/>
        <v/>
      </c>
      <c r="E208" s="5" t="str">
        <f t="shared" si="28"/>
        <v/>
      </c>
      <c r="F208" s="5" t="str">
        <f t="shared" si="23"/>
        <v/>
      </c>
      <c r="G208" s="5" t="str">
        <f t="shared" si="21"/>
        <v/>
      </c>
      <c r="H208" s="31" t="str">
        <f t="shared" si="24"/>
        <v/>
      </c>
      <c r="I208" s="31" t="str">
        <f t="shared" si="25"/>
        <v/>
      </c>
    </row>
    <row r="209" spans="1:9" x14ac:dyDescent="0.25">
      <c r="A209" s="4" t="str">
        <f t="shared" si="26"/>
        <v/>
      </c>
      <c r="B209" s="5" t="str">
        <f t="shared" si="27"/>
        <v/>
      </c>
      <c r="C209" s="5" t="str">
        <f t="shared" si="20"/>
        <v/>
      </c>
      <c r="D209" s="5" t="str">
        <f t="shared" si="22"/>
        <v/>
      </c>
      <c r="E209" s="5" t="str">
        <f t="shared" si="28"/>
        <v/>
      </c>
      <c r="F209" s="5" t="str">
        <f t="shared" si="23"/>
        <v/>
      </c>
      <c r="G209" s="5" t="str">
        <f t="shared" si="21"/>
        <v/>
      </c>
      <c r="H209" s="31" t="str">
        <f t="shared" si="24"/>
        <v/>
      </c>
      <c r="I209" s="31" t="str">
        <f t="shared" si="25"/>
        <v/>
      </c>
    </row>
    <row r="210" spans="1:9" x14ac:dyDescent="0.25">
      <c r="A210" s="4" t="str">
        <f t="shared" si="26"/>
        <v/>
      </c>
      <c r="B210" s="5" t="str">
        <f t="shared" si="27"/>
        <v/>
      </c>
      <c r="C210" s="5" t="str">
        <f t="shared" si="20"/>
        <v/>
      </c>
      <c r="D210" s="5" t="str">
        <f t="shared" si="22"/>
        <v/>
      </c>
      <c r="E210" s="5" t="str">
        <f t="shared" si="28"/>
        <v/>
      </c>
      <c r="F210" s="5" t="str">
        <f t="shared" si="23"/>
        <v/>
      </c>
      <c r="G210" s="5" t="str">
        <f t="shared" si="21"/>
        <v/>
      </c>
      <c r="H210" s="31" t="str">
        <f t="shared" si="24"/>
        <v/>
      </c>
      <c r="I210" s="31" t="str">
        <f t="shared" si="25"/>
        <v/>
      </c>
    </row>
    <row r="211" spans="1:9" x14ac:dyDescent="0.25">
      <c r="A211" s="4" t="str">
        <f t="shared" si="26"/>
        <v/>
      </c>
      <c r="B211" s="5" t="str">
        <f t="shared" si="27"/>
        <v/>
      </c>
      <c r="C211" s="5" t="str">
        <f t="shared" si="20"/>
        <v/>
      </c>
      <c r="D211" s="5" t="str">
        <f t="shared" si="22"/>
        <v/>
      </c>
      <c r="E211" s="5" t="str">
        <f t="shared" si="28"/>
        <v/>
      </c>
      <c r="F211" s="5" t="str">
        <f t="shared" si="23"/>
        <v/>
      </c>
      <c r="G211" s="5" t="str">
        <f t="shared" si="21"/>
        <v/>
      </c>
      <c r="H211" s="31" t="str">
        <f t="shared" si="24"/>
        <v/>
      </c>
      <c r="I211" s="31" t="str">
        <f t="shared" si="25"/>
        <v/>
      </c>
    </row>
    <row r="212" spans="1:9" x14ac:dyDescent="0.25">
      <c r="A212" s="4" t="str">
        <f t="shared" si="26"/>
        <v/>
      </c>
      <c r="B212" s="5" t="str">
        <f t="shared" si="27"/>
        <v/>
      </c>
      <c r="C212" s="5" t="str">
        <f t="shared" si="20"/>
        <v/>
      </c>
      <c r="D212" s="5" t="str">
        <f t="shared" si="22"/>
        <v/>
      </c>
      <c r="E212" s="5" t="str">
        <f t="shared" si="28"/>
        <v/>
      </c>
      <c r="F212" s="5" t="str">
        <f t="shared" si="23"/>
        <v/>
      </c>
      <c r="G212" s="5" t="str">
        <f t="shared" si="21"/>
        <v/>
      </c>
      <c r="H212" s="31" t="str">
        <f t="shared" si="24"/>
        <v/>
      </c>
      <c r="I212" s="31" t="str">
        <f t="shared" si="25"/>
        <v/>
      </c>
    </row>
    <row r="213" spans="1:9" x14ac:dyDescent="0.25">
      <c r="A213" s="4" t="str">
        <f t="shared" si="26"/>
        <v/>
      </c>
      <c r="B213" s="5" t="str">
        <f t="shared" si="27"/>
        <v/>
      </c>
      <c r="C213" s="5" t="str">
        <f t="shared" si="20"/>
        <v/>
      </c>
      <c r="D213" s="5" t="str">
        <f t="shared" si="22"/>
        <v/>
      </c>
      <c r="E213" s="5" t="str">
        <f t="shared" si="28"/>
        <v/>
      </c>
      <c r="F213" s="5" t="str">
        <f t="shared" si="23"/>
        <v/>
      </c>
      <c r="G213" s="5" t="str">
        <f t="shared" si="21"/>
        <v/>
      </c>
      <c r="H213" s="31" t="str">
        <f t="shared" si="24"/>
        <v/>
      </c>
      <c r="I213" s="31" t="str">
        <f t="shared" si="25"/>
        <v/>
      </c>
    </row>
    <row r="214" spans="1:9" x14ac:dyDescent="0.25">
      <c r="A214" s="4" t="str">
        <f t="shared" si="26"/>
        <v/>
      </c>
      <c r="B214" s="5" t="str">
        <f t="shared" si="27"/>
        <v/>
      </c>
      <c r="C214" s="5" t="str">
        <f t="shared" si="20"/>
        <v/>
      </c>
      <c r="D214" s="5" t="str">
        <f t="shared" si="22"/>
        <v/>
      </c>
      <c r="E214" s="5" t="str">
        <f t="shared" si="28"/>
        <v/>
      </c>
      <c r="F214" s="5" t="str">
        <f t="shared" si="23"/>
        <v/>
      </c>
      <c r="G214" s="5" t="str">
        <f t="shared" si="21"/>
        <v/>
      </c>
      <c r="H214" s="31" t="str">
        <f t="shared" si="24"/>
        <v/>
      </c>
      <c r="I214" s="31" t="str">
        <f t="shared" si="25"/>
        <v/>
      </c>
    </row>
    <row r="215" spans="1:9" x14ac:dyDescent="0.25">
      <c r="A215" s="4" t="str">
        <f t="shared" si="26"/>
        <v/>
      </c>
      <c r="B215" s="5" t="str">
        <f t="shared" si="27"/>
        <v/>
      </c>
      <c r="C215" s="5" t="str">
        <f t="shared" si="20"/>
        <v/>
      </c>
      <c r="D215" s="5" t="str">
        <f t="shared" si="22"/>
        <v/>
      </c>
      <c r="E215" s="5" t="str">
        <f t="shared" si="28"/>
        <v/>
      </c>
      <c r="F215" s="5" t="str">
        <f t="shared" si="23"/>
        <v/>
      </c>
      <c r="G215" s="5" t="str">
        <f t="shared" si="21"/>
        <v/>
      </c>
      <c r="H215" s="31" t="str">
        <f t="shared" si="24"/>
        <v/>
      </c>
      <c r="I215" s="31" t="str">
        <f t="shared" si="25"/>
        <v/>
      </c>
    </row>
    <row r="216" spans="1:9" x14ac:dyDescent="0.25">
      <c r="A216" s="4" t="str">
        <f t="shared" si="26"/>
        <v/>
      </c>
      <c r="B216" s="5" t="str">
        <f t="shared" si="27"/>
        <v/>
      </c>
      <c r="C216" s="5" t="str">
        <f t="shared" si="20"/>
        <v/>
      </c>
      <c r="D216" s="5" t="str">
        <f t="shared" si="22"/>
        <v/>
      </c>
      <c r="E216" s="5" t="str">
        <f t="shared" si="28"/>
        <v/>
      </c>
      <c r="F216" s="5" t="str">
        <f t="shared" si="23"/>
        <v/>
      </c>
      <c r="G216" s="5" t="str">
        <f t="shared" si="21"/>
        <v/>
      </c>
      <c r="H216" s="31" t="str">
        <f t="shared" si="24"/>
        <v/>
      </c>
      <c r="I216" s="31" t="str">
        <f t="shared" si="25"/>
        <v/>
      </c>
    </row>
    <row r="217" spans="1:9" x14ac:dyDescent="0.25">
      <c r="A217" s="4" t="str">
        <f t="shared" si="26"/>
        <v/>
      </c>
      <c r="B217" s="5" t="str">
        <f t="shared" si="27"/>
        <v/>
      </c>
      <c r="C217" s="5" t="str">
        <f t="shared" si="20"/>
        <v/>
      </c>
      <c r="D217" s="5" t="str">
        <f t="shared" si="22"/>
        <v/>
      </c>
      <c r="E217" s="5" t="str">
        <f t="shared" si="28"/>
        <v/>
      </c>
      <c r="F217" s="5" t="str">
        <f t="shared" si="23"/>
        <v/>
      </c>
      <c r="G217" s="5" t="str">
        <f t="shared" si="21"/>
        <v/>
      </c>
      <c r="H217" s="31" t="str">
        <f t="shared" si="24"/>
        <v/>
      </c>
      <c r="I217" s="31" t="str">
        <f t="shared" si="25"/>
        <v/>
      </c>
    </row>
    <row r="218" spans="1:9" x14ac:dyDescent="0.25">
      <c r="A218" s="4" t="str">
        <f t="shared" si="26"/>
        <v/>
      </c>
      <c r="B218" s="5" t="str">
        <f t="shared" si="27"/>
        <v/>
      </c>
      <c r="C218" s="5" t="str">
        <f t="shared" si="20"/>
        <v/>
      </c>
      <c r="D218" s="5" t="str">
        <f t="shared" si="22"/>
        <v/>
      </c>
      <c r="E218" s="5" t="str">
        <f t="shared" si="28"/>
        <v/>
      </c>
      <c r="F218" s="5" t="str">
        <f t="shared" si="23"/>
        <v/>
      </c>
      <c r="G218" s="5" t="str">
        <f t="shared" si="21"/>
        <v/>
      </c>
      <c r="H218" s="31" t="str">
        <f t="shared" si="24"/>
        <v/>
      </c>
      <c r="I218" s="31" t="str">
        <f t="shared" si="25"/>
        <v/>
      </c>
    </row>
    <row r="219" spans="1:9" x14ac:dyDescent="0.25">
      <c r="A219" s="4" t="str">
        <f t="shared" si="26"/>
        <v/>
      </c>
      <c r="B219" s="5" t="str">
        <f t="shared" si="27"/>
        <v/>
      </c>
      <c r="C219" s="5" t="str">
        <f t="shared" si="20"/>
        <v/>
      </c>
      <c r="D219" s="5" t="str">
        <f t="shared" si="22"/>
        <v/>
      </c>
      <c r="E219" s="5" t="str">
        <f t="shared" si="28"/>
        <v/>
      </c>
      <c r="F219" s="5" t="str">
        <f t="shared" si="23"/>
        <v/>
      </c>
      <c r="G219" s="5" t="str">
        <f t="shared" si="21"/>
        <v/>
      </c>
      <c r="H219" s="31" t="str">
        <f t="shared" si="24"/>
        <v/>
      </c>
      <c r="I219" s="31" t="str">
        <f t="shared" si="25"/>
        <v/>
      </c>
    </row>
    <row r="220" spans="1:9" x14ac:dyDescent="0.25">
      <c r="A220" s="4" t="str">
        <f t="shared" si="26"/>
        <v/>
      </c>
      <c r="B220" s="5" t="str">
        <f t="shared" si="27"/>
        <v/>
      </c>
      <c r="C220" s="5" t="str">
        <f t="shared" si="20"/>
        <v/>
      </c>
      <c r="D220" s="5" t="str">
        <f t="shared" si="22"/>
        <v/>
      </c>
      <c r="E220" s="5" t="str">
        <f t="shared" si="28"/>
        <v/>
      </c>
      <c r="F220" s="5" t="str">
        <f t="shared" si="23"/>
        <v/>
      </c>
      <c r="G220" s="5" t="str">
        <f t="shared" si="21"/>
        <v/>
      </c>
      <c r="H220" s="31" t="str">
        <f t="shared" si="24"/>
        <v/>
      </c>
      <c r="I220" s="31" t="str">
        <f t="shared" si="25"/>
        <v/>
      </c>
    </row>
    <row r="221" spans="1:9" x14ac:dyDescent="0.25">
      <c r="A221" s="4" t="str">
        <f t="shared" si="26"/>
        <v/>
      </c>
      <c r="B221" s="5" t="str">
        <f t="shared" si="27"/>
        <v/>
      </c>
      <c r="C221" s="5" t="str">
        <f t="shared" si="20"/>
        <v/>
      </c>
      <c r="D221" s="5" t="str">
        <f t="shared" si="22"/>
        <v/>
      </c>
      <c r="E221" s="5" t="str">
        <f t="shared" si="28"/>
        <v/>
      </c>
      <c r="F221" s="5" t="str">
        <f t="shared" si="23"/>
        <v/>
      </c>
      <c r="G221" s="5" t="str">
        <f t="shared" si="21"/>
        <v/>
      </c>
      <c r="H221" s="31" t="str">
        <f t="shared" si="24"/>
        <v/>
      </c>
      <c r="I221" s="31" t="str">
        <f t="shared" si="25"/>
        <v/>
      </c>
    </row>
    <row r="222" spans="1:9" x14ac:dyDescent="0.25">
      <c r="A222" s="4" t="str">
        <f t="shared" si="26"/>
        <v/>
      </c>
      <c r="B222" s="5" t="str">
        <f t="shared" si="27"/>
        <v/>
      </c>
      <c r="C222" s="5" t="str">
        <f t="shared" si="20"/>
        <v/>
      </c>
      <c r="D222" s="5" t="str">
        <f t="shared" si="22"/>
        <v/>
      </c>
      <c r="E222" s="5" t="str">
        <f t="shared" si="28"/>
        <v/>
      </c>
      <c r="F222" s="5" t="str">
        <f t="shared" si="23"/>
        <v/>
      </c>
      <c r="G222" s="5" t="str">
        <f t="shared" si="21"/>
        <v/>
      </c>
      <c r="H222" s="31" t="str">
        <f t="shared" si="24"/>
        <v/>
      </c>
      <c r="I222" s="31" t="str">
        <f t="shared" si="25"/>
        <v/>
      </c>
    </row>
    <row r="223" spans="1:9" x14ac:dyDescent="0.25">
      <c r="A223" s="4" t="str">
        <f t="shared" si="26"/>
        <v/>
      </c>
      <c r="B223" s="5" t="str">
        <f t="shared" si="27"/>
        <v/>
      </c>
      <c r="C223" s="5" t="str">
        <f t="shared" si="20"/>
        <v/>
      </c>
      <c r="D223" s="5" t="str">
        <f t="shared" si="22"/>
        <v/>
      </c>
      <c r="E223" s="5" t="str">
        <f t="shared" si="28"/>
        <v/>
      </c>
      <c r="F223" s="5" t="str">
        <f t="shared" si="23"/>
        <v/>
      </c>
      <c r="G223" s="5" t="str">
        <f t="shared" si="21"/>
        <v/>
      </c>
      <c r="H223" s="31" t="str">
        <f t="shared" si="24"/>
        <v/>
      </c>
      <c r="I223" s="31" t="str">
        <f t="shared" si="25"/>
        <v/>
      </c>
    </row>
    <row r="224" spans="1:9" x14ac:dyDescent="0.25">
      <c r="A224" s="4" t="str">
        <f t="shared" si="26"/>
        <v/>
      </c>
      <c r="B224" s="5" t="str">
        <f t="shared" si="27"/>
        <v/>
      </c>
      <c r="C224" s="5" t="str">
        <f t="shared" si="20"/>
        <v/>
      </c>
      <c r="D224" s="5" t="str">
        <f t="shared" si="22"/>
        <v/>
      </c>
      <c r="E224" s="5" t="str">
        <f t="shared" si="28"/>
        <v/>
      </c>
      <c r="F224" s="5" t="str">
        <f t="shared" si="23"/>
        <v/>
      </c>
      <c r="G224" s="5" t="str">
        <f t="shared" si="21"/>
        <v/>
      </c>
      <c r="H224" s="31" t="str">
        <f t="shared" si="24"/>
        <v/>
      </c>
      <c r="I224" s="31" t="str">
        <f t="shared" si="25"/>
        <v/>
      </c>
    </row>
    <row r="225" spans="1:9" x14ac:dyDescent="0.25">
      <c r="A225" s="4" t="str">
        <f t="shared" si="26"/>
        <v/>
      </c>
      <c r="B225" s="5" t="str">
        <f t="shared" si="27"/>
        <v/>
      </c>
      <c r="C225" s="5" t="str">
        <f t="shared" si="20"/>
        <v/>
      </c>
      <c r="D225" s="5" t="str">
        <f t="shared" si="22"/>
        <v/>
      </c>
      <c r="E225" s="5" t="str">
        <f t="shared" si="28"/>
        <v/>
      </c>
      <c r="F225" s="5" t="str">
        <f t="shared" si="23"/>
        <v/>
      </c>
      <c r="G225" s="5" t="str">
        <f t="shared" si="21"/>
        <v/>
      </c>
      <c r="H225" s="31" t="str">
        <f t="shared" si="24"/>
        <v/>
      </c>
      <c r="I225" s="31" t="str">
        <f t="shared" si="25"/>
        <v/>
      </c>
    </row>
    <row r="226" spans="1:9" x14ac:dyDescent="0.25">
      <c r="A226" s="4" t="str">
        <f t="shared" si="26"/>
        <v/>
      </c>
      <c r="B226" s="5" t="str">
        <f t="shared" si="27"/>
        <v/>
      </c>
      <c r="C226" s="5" t="str">
        <f t="shared" si="20"/>
        <v/>
      </c>
      <c r="D226" s="5" t="str">
        <f t="shared" si="22"/>
        <v/>
      </c>
      <c r="E226" s="5" t="str">
        <f t="shared" si="28"/>
        <v/>
      </c>
      <c r="F226" s="5" t="str">
        <f t="shared" si="23"/>
        <v/>
      </c>
      <c r="G226" s="5" t="str">
        <f t="shared" si="21"/>
        <v/>
      </c>
      <c r="H226" s="31" t="str">
        <f t="shared" si="24"/>
        <v/>
      </c>
      <c r="I226" s="31" t="str">
        <f t="shared" si="25"/>
        <v/>
      </c>
    </row>
    <row r="227" spans="1:9" x14ac:dyDescent="0.25">
      <c r="A227" s="4" t="str">
        <f t="shared" si="26"/>
        <v/>
      </c>
      <c r="B227" s="5" t="str">
        <f t="shared" si="27"/>
        <v/>
      </c>
      <c r="C227" s="5" t="str">
        <f t="shared" si="20"/>
        <v/>
      </c>
      <c r="D227" s="5" t="str">
        <f t="shared" si="22"/>
        <v/>
      </c>
      <c r="E227" s="5" t="str">
        <f t="shared" si="28"/>
        <v/>
      </c>
      <c r="F227" s="5" t="str">
        <f t="shared" si="23"/>
        <v/>
      </c>
      <c r="G227" s="5" t="str">
        <f t="shared" si="21"/>
        <v/>
      </c>
      <c r="H227" s="31" t="str">
        <f t="shared" si="24"/>
        <v/>
      </c>
      <c r="I227" s="31" t="str">
        <f t="shared" si="25"/>
        <v/>
      </c>
    </row>
    <row r="228" spans="1:9" x14ac:dyDescent="0.25">
      <c r="A228" s="4" t="str">
        <f t="shared" si="26"/>
        <v/>
      </c>
      <c r="B228" s="5" t="str">
        <f t="shared" si="27"/>
        <v/>
      </c>
      <c r="C228" s="5" t="str">
        <f t="shared" si="20"/>
        <v/>
      </c>
      <c r="D228" s="5" t="str">
        <f t="shared" si="22"/>
        <v/>
      </c>
      <c r="E228" s="5" t="str">
        <f t="shared" si="28"/>
        <v/>
      </c>
      <c r="F228" s="5" t="str">
        <f t="shared" si="23"/>
        <v/>
      </c>
      <c r="G228" s="5" t="str">
        <f t="shared" si="21"/>
        <v/>
      </c>
      <c r="H228" s="31" t="str">
        <f t="shared" si="24"/>
        <v/>
      </c>
      <c r="I228" s="31" t="str">
        <f t="shared" si="25"/>
        <v/>
      </c>
    </row>
    <row r="229" spans="1:9" x14ac:dyDescent="0.25">
      <c r="A229" s="4" t="str">
        <f t="shared" si="26"/>
        <v/>
      </c>
      <c r="B229" s="5" t="str">
        <f t="shared" si="27"/>
        <v/>
      </c>
      <c r="C229" s="5" t="str">
        <f t="shared" si="20"/>
        <v/>
      </c>
      <c r="D229" s="5" t="str">
        <f t="shared" si="22"/>
        <v/>
      </c>
      <c r="E229" s="5" t="str">
        <f t="shared" si="28"/>
        <v/>
      </c>
      <c r="F229" s="5" t="str">
        <f t="shared" si="23"/>
        <v/>
      </c>
      <c r="G229" s="5" t="str">
        <f t="shared" si="21"/>
        <v/>
      </c>
      <c r="H229" s="31" t="str">
        <f t="shared" si="24"/>
        <v/>
      </c>
      <c r="I229" s="31" t="str">
        <f t="shared" si="25"/>
        <v/>
      </c>
    </row>
    <row r="230" spans="1:9" x14ac:dyDescent="0.25">
      <c r="A230" s="4" t="str">
        <f t="shared" si="26"/>
        <v/>
      </c>
      <c r="B230" s="5" t="str">
        <f t="shared" si="27"/>
        <v/>
      </c>
      <c r="C230" s="5" t="str">
        <f t="shared" si="20"/>
        <v/>
      </c>
      <c r="D230" s="5" t="str">
        <f t="shared" si="22"/>
        <v/>
      </c>
      <c r="E230" s="5" t="str">
        <f t="shared" si="28"/>
        <v/>
      </c>
      <c r="F230" s="5" t="str">
        <f t="shared" si="23"/>
        <v/>
      </c>
      <c r="G230" s="5" t="str">
        <f t="shared" si="21"/>
        <v/>
      </c>
      <c r="H230" s="31" t="str">
        <f t="shared" si="24"/>
        <v/>
      </c>
      <c r="I230" s="31" t="str">
        <f t="shared" si="25"/>
        <v/>
      </c>
    </row>
    <row r="231" spans="1:9" x14ac:dyDescent="0.25">
      <c r="A231" s="4" t="str">
        <f t="shared" si="26"/>
        <v/>
      </c>
      <c r="B231" s="5" t="str">
        <f t="shared" si="27"/>
        <v/>
      </c>
      <c r="C231" s="5" t="str">
        <f t="shared" ref="C231:C239" si="29">IF(A231="","",IF($B$23="Y",IF(ISNA(VLOOKUP(A231,$Z$3:$AA$100,2,FALSE)),0,VLOOKUP(A231,$Z$3:$AA$100,2,FALSE)),IF(A231=$B$9,IF($B$9=$B$18,$B$4*$B$13/100,$B$22),0)))</f>
        <v/>
      </c>
      <c r="D231" s="5" t="str">
        <f t="shared" si="22"/>
        <v/>
      </c>
      <c r="E231" s="5" t="str">
        <f t="shared" si="28"/>
        <v/>
      </c>
      <c r="F231" s="5" t="str">
        <f t="shared" si="23"/>
        <v/>
      </c>
      <c r="G231" s="5" t="str">
        <f t="shared" ref="G231:G239" si="30">IF(A231="","",F231*(B231+C231))</f>
        <v/>
      </c>
      <c r="H231" s="31" t="str">
        <f t="shared" si="24"/>
        <v/>
      </c>
      <c r="I231" s="31" t="str">
        <f t="shared" si="25"/>
        <v/>
      </c>
    </row>
    <row r="232" spans="1:9" x14ac:dyDescent="0.25">
      <c r="A232" s="4" t="str">
        <f t="shared" si="26"/>
        <v/>
      </c>
      <c r="B232" s="5" t="str">
        <f t="shared" si="27"/>
        <v/>
      </c>
      <c r="C232" s="5" t="str">
        <f t="shared" si="29"/>
        <v/>
      </c>
      <c r="D232" s="5" t="str">
        <f t="shared" ref="D232:D239" si="31">IF(A232="","",D231-C232)</f>
        <v/>
      </c>
      <c r="E232" s="5" t="str">
        <f t="shared" si="28"/>
        <v/>
      </c>
      <c r="F232" s="5" t="str">
        <f t="shared" ref="F232:F239" si="32">IF(A232="","",IF(E232=0,0,IF($B$8=$B$9,1/(1+$B$3/$B$5*E232),1/((1+$B$3/$B$5)^E232))))</f>
        <v/>
      </c>
      <c r="G232" s="5" t="str">
        <f t="shared" si="30"/>
        <v/>
      </c>
      <c r="H232" s="31" t="str">
        <f t="shared" ref="H232:H239" si="33">IF(A232="","",IF(A232&lt;$B$8,0,B232/$B$25))</f>
        <v/>
      </c>
      <c r="I232" s="31" t="str">
        <f t="shared" ref="I232:I239" si="34">IF(A232="","",IF(A232&lt;$B$8,0,C232/$B$25))</f>
        <v/>
      </c>
    </row>
    <row r="233" spans="1:9" x14ac:dyDescent="0.25">
      <c r="A233" s="4" t="str">
        <f t="shared" ref="A233:A239" si="35">IF(OR(A232=$B$9,A232=""),"",IF(MIN(EOMONTH(A232,(12/$B$5)*IF($B$15="Long",2,1)+IF($B$17,0,-1))+IF($B$17,0,DAY($B$11)),EOMONTH(A232,(12/$B$5)*IF($B$15="Long",2,1)))&gt;=$B$9,$B$9,MIN(EOMONTH(A232,12/$B$5+IF($B$17,0,-1))+IF($B$17,0,DAY($B$11)),EOMONTH(A232,12/$B$5))))</f>
        <v/>
      </c>
      <c r="B233" s="5" t="str">
        <f t="shared" ref="B233:B239" si="36">IF(A233="","",IF(A233=$B$9,$K$30/100*D232,$B$6/$B$5*D232))</f>
        <v/>
      </c>
      <c r="C233" s="5" t="str">
        <f t="shared" si="29"/>
        <v/>
      </c>
      <c r="D233" s="5" t="str">
        <f t="shared" si="31"/>
        <v/>
      </c>
      <c r="E233" s="5" t="str">
        <f t="shared" ref="E233:E239" si="37">IF(A233="","",IF(A233&lt;$B$8,0,IF(A233=$B$11,K$19,IF(A233=$B$9,$K$32+E232,IF(A233=$B$8,(A233-$B$2)/(A233-A232),1+E232)))))</f>
        <v/>
      </c>
      <c r="F233" s="5" t="str">
        <f t="shared" si="32"/>
        <v/>
      </c>
      <c r="G233" s="5" t="str">
        <f t="shared" si="30"/>
        <v/>
      </c>
      <c r="H233" s="31" t="str">
        <f t="shared" si="33"/>
        <v/>
      </c>
      <c r="I233" s="31" t="str">
        <f t="shared" si="34"/>
        <v/>
      </c>
    </row>
    <row r="234" spans="1:9" x14ac:dyDescent="0.25">
      <c r="A234" s="4" t="str">
        <f t="shared" si="35"/>
        <v/>
      </c>
      <c r="B234" s="5" t="str">
        <f t="shared" si="36"/>
        <v/>
      </c>
      <c r="C234" s="5" t="str">
        <f t="shared" si="29"/>
        <v/>
      </c>
      <c r="D234" s="5" t="str">
        <f t="shared" si="31"/>
        <v/>
      </c>
      <c r="E234" s="5" t="str">
        <f t="shared" si="37"/>
        <v/>
      </c>
      <c r="F234" s="5" t="str">
        <f t="shared" si="32"/>
        <v/>
      </c>
      <c r="G234" s="5" t="str">
        <f t="shared" si="30"/>
        <v/>
      </c>
      <c r="H234" s="31" t="str">
        <f t="shared" si="33"/>
        <v/>
      </c>
      <c r="I234" s="31" t="str">
        <f t="shared" si="34"/>
        <v/>
      </c>
    </row>
    <row r="235" spans="1:9" x14ac:dyDescent="0.25">
      <c r="A235" s="4" t="str">
        <f t="shared" si="35"/>
        <v/>
      </c>
      <c r="B235" s="5" t="str">
        <f t="shared" si="36"/>
        <v/>
      </c>
      <c r="C235" s="5" t="str">
        <f t="shared" si="29"/>
        <v/>
      </c>
      <c r="D235" s="5" t="str">
        <f t="shared" si="31"/>
        <v/>
      </c>
      <c r="E235" s="5" t="str">
        <f t="shared" si="37"/>
        <v/>
      </c>
      <c r="F235" s="5" t="str">
        <f t="shared" si="32"/>
        <v/>
      </c>
      <c r="G235" s="5" t="str">
        <f t="shared" si="30"/>
        <v/>
      </c>
      <c r="H235" s="31" t="str">
        <f t="shared" si="33"/>
        <v/>
      </c>
      <c r="I235" s="31" t="str">
        <f t="shared" si="34"/>
        <v/>
      </c>
    </row>
    <row r="236" spans="1:9" x14ac:dyDescent="0.25">
      <c r="A236" s="4" t="str">
        <f t="shared" si="35"/>
        <v/>
      </c>
      <c r="B236" s="5" t="str">
        <f t="shared" si="36"/>
        <v/>
      </c>
      <c r="C236" s="5" t="str">
        <f t="shared" si="29"/>
        <v/>
      </c>
      <c r="D236" s="5" t="str">
        <f t="shared" si="31"/>
        <v/>
      </c>
      <c r="E236" s="5" t="str">
        <f t="shared" si="37"/>
        <v/>
      </c>
      <c r="F236" s="5" t="str">
        <f t="shared" si="32"/>
        <v/>
      </c>
      <c r="G236" s="5" t="str">
        <f t="shared" si="30"/>
        <v/>
      </c>
      <c r="H236" s="31" t="str">
        <f t="shared" si="33"/>
        <v/>
      </c>
      <c r="I236" s="31" t="str">
        <f t="shared" si="34"/>
        <v/>
      </c>
    </row>
    <row r="237" spans="1:9" x14ac:dyDescent="0.25">
      <c r="A237" s="4" t="str">
        <f t="shared" si="35"/>
        <v/>
      </c>
      <c r="B237" s="5" t="str">
        <f t="shared" si="36"/>
        <v/>
      </c>
      <c r="C237" s="5" t="str">
        <f t="shared" si="29"/>
        <v/>
      </c>
      <c r="D237" s="5" t="str">
        <f t="shared" si="31"/>
        <v/>
      </c>
      <c r="E237" s="5" t="str">
        <f t="shared" si="37"/>
        <v/>
      </c>
      <c r="F237" s="5" t="str">
        <f t="shared" si="32"/>
        <v/>
      </c>
      <c r="G237" s="5" t="str">
        <f t="shared" si="30"/>
        <v/>
      </c>
      <c r="H237" s="31" t="str">
        <f t="shared" si="33"/>
        <v/>
      </c>
      <c r="I237" s="31" t="str">
        <f t="shared" si="34"/>
        <v/>
      </c>
    </row>
    <row r="238" spans="1:9" x14ac:dyDescent="0.25">
      <c r="A238" s="4" t="str">
        <f t="shared" si="35"/>
        <v/>
      </c>
      <c r="B238" s="5" t="str">
        <f t="shared" si="36"/>
        <v/>
      </c>
      <c r="C238" s="5" t="str">
        <f t="shared" si="29"/>
        <v/>
      </c>
      <c r="D238" s="5" t="str">
        <f t="shared" si="31"/>
        <v/>
      </c>
      <c r="E238" s="5" t="str">
        <f t="shared" si="37"/>
        <v/>
      </c>
      <c r="F238" s="5" t="str">
        <f t="shared" si="32"/>
        <v/>
      </c>
      <c r="G238" s="5" t="str">
        <f t="shared" si="30"/>
        <v/>
      </c>
      <c r="H238" s="31" t="str">
        <f t="shared" si="33"/>
        <v/>
      </c>
      <c r="I238" s="31" t="str">
        <f t="shared" si="34"/>
        <v/>
      </c>
    </row>
    <row r="239" spans="1:9" x14ac:dyDescent="0.25">
      <c r="A239" s="4" t="str">
        <f t="shared" si="35"/>
        <v/>
      </c>
      <c r="B239" s="5" t="str">
        <f t="shared" si="36"/>
        <v/>
      </c>
      <c r="C239" s="5" t="str">
        <f t="shared" si="29"/>
        <v/>
      </c>
      <c r="D239" s="5" t="str">
        <f t="shared" si="31"/>
        <v/>
      </c>
      <c r="E239" s="5" t="str">
        <f t="shared" si="37"/>
        <v/>
      </c>
      <c r="F239" s="5" t="str">
        <f t="shared" si="32"/>
        <v/>
      </c>
      <c r="G239" s="5" t="str">
        <f t="shared" si="30"/>
        <v/>
      </c>
      <c r="H239" s="31" t="str">
        <f t="shared" si="33"/>
        <v/>
      </c>
      <c r="I239" s="31" t="str">
        <f t="shared" si="34"/>
        <v/>
      </c>
    </row>
  </sheetData>
  <mergeCells count="1">
    <mergeCell ref="H37:I37"/>
  </mergeCells>
  <dataValidations disablePrompts="1" count="1">
    <dataValidation type="list" allowBlank="1" showInputMessage="1" showErrorMessage="1" sqref="B26" xr:uid="{396DD16E-6A1B-4EDC-B35F-0BD293914DBF}">
      <formula1>$P$1:$P$2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act_act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Siqueira, Thiago</dc:creator>
  <cp:lastModifiedBy>Siqueira, Thiago</cp:lastModifiedBy>
  <dcterms:created xsi:type="dcterms:W3CDTF">2025-06-27T15:10:28Z</dcterms:created>
  <dcterms:modified xsi:type="dcterms:W3CDTF">2025-06-28T00:37:27Z</dcterms:modified>
</cp:coreProperties>
</file>